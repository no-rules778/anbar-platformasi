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MY COMPUTER Torsion\MY\Anbar platforması\Codex_Code_chat\work-in-progress\"/>
    </mc:Choice>
  </mc:AlternateContent>
  <xr:revisionPtr revIDLastSave="0" documentId="13_ncr:1_{80CBCDFC-90FF-40B5-8FE1-09994FDECACD}" xr6:coauthVersionLast="47" xr6:coauthVersionMax="47" xr10:uidLastSave="{00000000-0000-0000-0000-000000000000}"/>
  <bookViews>
    <workbookView xWindow="-108" yWindow="-108" windowWidth="23256" windowHeight="12456" tabRatio="598" firstSheet="10" activeTab="3" xr2:uid="{EEABBD88-5440-4139-8298-8B74A5377893}"/>
  </bookViews>
  <sheets>
    <sheet name="Mal hereket" sheetId="16" r:id="rId1"/>
    <sheet name="Checkup" sheetId="13" r:id="rId2"/>
    <sheet name="Filtrasiya" sheetId="1" r:id="rId3"/>
    <sheet name="Hesabat Anbar" sheetId="11" r:id="rId4"/>
    <sheet name="Hesabat Filtrasiya" sheetId="12" r:id="rId5"/>
    <sheet name="Ələt (Anbar)" sheetId="5" r:id="rId6"/>
    <sheet name="Yasamal (Qanlı göl) (Anbar)" sheetId="18" r:id="rId7"/>
    <sheet name="Astara (Anbar)" sheetId="10" r:id="rId8"/>
    <sheet name="Ofis (Anbar)" sheetId="17" r:id="rId9"/>
    <sheet name="Xocahəsən (Anbar)" sheetId="14" r:id="rId10"/>
    <sheet name="Nomenklatura bazası" sheetId="2" r:id="rId11"/>
    <sheet name="Kontragent bazası" sheetId="3" r:id="rId12"/>
    <sheet name="Layihə anbarlarının siyahısı" sheetId="4" r:id="rId13"/>
  </sheets>
  <definedNames>
    <definedName name="_xlnm._FilterDatabase" localSheetId="1" hidden="1">Checkup!$A$1:$B$1227</definedName>
    <definedName name="_xlnm._FilterDatabase" localSheetId="3" hidden="1">'Hesabat Anbar'!$A$3:$F$1326</definedName>
    <definedName name="_xlnm._FilterDatabase" localSheetId="0" hidden="1">'Mal hereket'!$A$1:$D$970</definedName>
  </definedNames>
  <calcPr calcId="191029" iterateDelta="1E-4"/>
  <pivotCaches>
    <pivotCache cacheId="10" r:id="rId14"/>
    <pivotCache cacheId="14" r:id="rId15"/>
    <pivotCache cacheId="1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8" l="1"/>
  <c r="B4" i="18"/>
  <c r="E4" i="17"/>
  <c r="B4" i="17"/>
  <c r="B44" i="10"/>
  <c r="B45" i="10"/>
  <c r="E44" i="10"/>
  <c r="E45" i="10"/>
  <c r="B1277" i="1"/>
  <c r="B1278" i="1"/>
  <c r="D1277" i="1" a="1"/>
  <c r="D1278" i="1" a="1"/>
  <c r="I1277" i="1"/>
  <c r="I1278" i="1"/>
  <c r="L1277" i="1"/>
  <c r="L1278" i="1"/>
  <c r="M1277" i="1"/>
  <c r="M1278" i="1"/>
  <c r="B1233" i="2"/>
  <c r="D1233" i="2"/>
  <c r="E1233" i="2"/>
  <c r="B1232" i="2"/>
  <c r="D1232" i="2"/>
  <c r="E1232" i="2"/>
  <c r="B43" i="10"/>
  <c r="B1276" i="1"/>
  <c r="D1276" i="1" a="1"/>
  <c r="E43" i="10" s="1"/>
  <c r="I1276" i="1"/>
  <c r="L1276" i="1"/>
  <c r="M1276" i="1"/>
  <c r="D1230" i="2"/>
  <c r="D1231" i="2"/>
  <c r="B1231" i="2"/>
  <c r="E1231" i="2"/>
  <c r="B259" i="14"/>
  <c r="B42" i="10"/>
  <c r="B1181" i="5"/>
  <c r="B257" i="14"/>
  <c r="B258" i="14"/>
  <c r="B1274" i="1"/>
  <c r="B1275" i="1"/>
  <c r="D1274" i="1" a="1"/>
  <c r="E257" i="14" s="1"/>
  <c r="D1275" i="1" a="1"/>
  <c r="E258" i="14" s="1"/>
  <c r="I1274" i="1"/>
  <c r="I1275" i="1"/>
  <c r="L1274" i="1"/>
  <c r="L1275" i="1"/>
  <c r="B1230" i="2"/>
  <c r="E1230" i="2"/>
  <c r="B1229" i="2"/>
  <c r="D1229" i="2"/>
  <c r="E1229" i="2"/>
  <c r="B253" i="14"/>
  <c r="B254" i="14"/>
  <c r="B255" i="14"/>
  <c r="B256" i="14"/>
  <c r="B22" i="3"/>
  <c r="B1270" i="1"/>
  <c r="B1271" i="1"/>
  <c r="B1272" i="1"/>
  <c r="B1273" i="1"/>
  <c r="I1270" i="1"/>
  <c r="I1271" i="1"/>
  <c r="I1272" i="1"/>
  <c r="I1273" i="1"/>
  <c r="L1270" i="1"/>
  <c r="L1271" i="1"/>
  <c r="L1272" i="1"/>
  <c r="L1273" i="1"/>
  <c r="D1273" i="1" a="1"/>
  <c r="E256" i="14" s="1"/>
  <c r="D1272" i="1" a="1"/>
  <c r="E255" i="14" s="1"/>
  <c r="D1271" i="1" a="1"/>
  <c r="E254" i="14" s="1"/>
  <c r="D1270" i="1" a="1"/>
  <c r="E253" i="14" s="1"/>
  <c r="B1225" i="2"/>
  <c r="B1226" i="2"/>
  <c r="B1227" i="2"/>
  <c r="B1228" i="2"/>
  <c r="D1225" i="2"/>
  <c r="D1226" i="2"/>
  <c r="D1227" i="2"/>
  <c r="D1228" i="2"/>
  <c r="E1225" i="2"/>
  <c r="E1226" i="2"/>
  <c r="E1227" i="2"/>
  <c r="E1228" i="2"/>
  <c r="B247" i="14"/>
  <c r="B248" i="14"/>
  <c r="B249" i="14"/>
  <c r="B250" i="14"/>
  <c r="B251" i="14"/>
  <c r="B252" i="14"/>
  <c r="B1264" i="1"/>
  <c r="B1265" i="1"/>
  <c r="B1266" i="1"/>
  <c r="B1267" i="1"/>
  <c r="B1268" i="1"/>
  <c r="B1269" i="1"/>
  <c r="I1264" i="1"/>
  <c r="I1265" i="1"/>
  <c r="I1266" i="1"/>
  <c r="I1267" i="1"/>
  <c r="I1268" i="1"/>
  <c r="I1269" i="1"/>
  <c r="L1264" i="1"/>
  <c r="D1269" i="1" a="1"/>
  <c r="E252" i="14" s="1"/>
  <c r="D1268" i="1" a="1"/>
  <c r="E251" i="14" s="1"/>
  <c r="D1267" i="1" a="1"/>
  <c r="E250" i="14" s="1"/>
  <c r="D1266" i="1" a="1"/>
  <c r="E249" i="14" s="1"/>
  <c r="D1265" i="1" a="1"/>
  <c r="E248" i="14" s="1"/>
  <c r="D1264" i="1" a="1"/>
  <c r="E247" i="14" s="1"/>
  <c r="B1224" i="2"/>
  <c r="D1224" i="2"/>
  <c r="E1224" i="2"/>
  <c r="B1223" i="2"/>
  <c r="D1223" i="2"/>
  <c r="E1223" i="2"/>
  <c r="B1222" i="2"/>
  <c r="D1222" i="2"/>
  <c r="E1222" i="2"/>
  <c r="B1221" i="2"/>
  <c r="D1221" i="2"/>
  <c r="E1221" i="2"/>
  <c r="B1220" i="2"/>
  <c r="D1220" i="2"/>
  <c r="E1220" i="2"/>
  <c r="B1219" i="2"/>
  <c r="D1219" i="2"/>
  <c r="E1219" i="2"/>
  <c r="B246" i="14"/>
  <c r="B1263" i="1"/>
  <c r="D1263" i="1" a="1"/>
  <c r="E246" i="14" s="1"/>
  <c r="I1263" i="1"/>
  <c r="L1263" i="1"/>
  <c r="B1218" i="2"/>
  <c r="D1218" i="2"/>
  <c r="E1218" i="2"/>
  <c r="B242" i="14"/>
  <c r="B243" i="14"/>
  <c r="B244" i="14"/>
  <c r="B245" i="14"/>
  <c r="B1262" i="1"/>
  <c r="D1262" i="1" a="1"/>
  <c r="E245" i="14" s="1"/>
  <c r="I1262" i="1"/>
  <c r="B1261" i="1"/>
  <c r="D1261" i="1" a="1"/>
  <c r="E244" i="14" s="1"/>
  <c r="I1261" i="1"/>
  <c r="L1261" i="1"/>
  <c r="B1260" i="1"/>
  <c r="D1260" i="1" a="1"/>
  <c r="E243" i="14" s="1"/>
  <c r="I1260" i="1"/>
  <c r="L1260" i="1"/>
  <c r="B1259" i="1"/>
  <c r="D1259" i="1" a="1"/>
  <c r="E242" i="14" s="1"/>
  <c r="I1259" i="1"/>
  <c r="L1259" i="1"/>
  <c r="B9" i="4"/>
  <c r="B8" i="4"/>
  <c r="B7" i="4"/>
  <c r="B6" i="4"/>
  <c r="B5" i="4"/>
  <c r="B4" i="4"/>
  <c r="B3" i="4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E1217" i="2"/>
  <c r="D1217" i="2"/>
  <c r="B1217" i="2"/>
  <c r="E1216" i="2"/>
  <c r="D1216" i="2"/>
  <c r="B1216" i="2"/>
  <c r="E1215" i="2"/>
  <c r="D1215" i="2"/>
  <c r="B1215" i="2"/>
  <c r="E1214" i="2"/>
  <c r="D1214" i="2"/>
  <c r="B1214" i="2"/>
  <c r="E1213" i="2"/>
  <c r="D1213" i="2"/>
  <c r="B1213" i="2"/>
  <c r="E1212" i="2"/>
  <c r="D1212" i="2"/>
  <c r="B1212" i="2"/>
  <c r="E1211" i="2"/>
  <c r="D1211" i="2"/>
  <c r="B1211" i="2"/>
  <c r="E1210" i="2"/>
  <c r="D1210" i="2"/>
  <c r="B1210" i="2"/>
  <c r="E1209" i="2"/>
  <c r="D1209" i="2"/>
  <c r="B1209" i="2"/>
  <c r="E1208" i="2"/>
  <c r="D1208" i="2"/>
  <c r="B1208" i="2"/>
  <c r="E1207" i="2"/>
  <c r="D1207" i="2"/>
  <c r="B1207" i="2"/>
  <c r="E1206" i="2"/>
  <c r="D1206" i="2"/>
  <c r="B1206" i="2"/>
  <c r="E1205" i="2"/>
  <c r="D1205" i="2"/>
  <c r="B1205" i="2"/>
  <c r="E1204" i="2"/>
  <c r="D1204" i="2"/>
  <c r="B1204" i="2"/>
  <c r="E1203" i="2"/>
  <c r="D1203" i="2"/>
  <c r="B1203" i="2"/>
  <c r="E1202" i="2"/>
  <c r="D1202" i="2"/>
  <c r="B1202" i="2"/>
  <c r="E1201" i="2"/>
  <c r="D1201" i="2"/>
  <c r="B1201" i="2"/>
  <c r="E1200" i="2"/>
  <c r="D1200" i="2"/>
  <c r="B1200" i="2"/>
  <c r="E1199" i="2"/>
  <c r="D1199" i="2"/>
  <c r="B1199" i="2"/>
  <c r="E1198" i="2"/>
  <c r="D1198" i="2"/>
  <c r="B1198" i="2"/>
  <c r="E1197" i="2"/>
  <c r="D1197" i="2"/>
  <c r="B1197" i="2"/>
  <c r="E1196" i="2"/>
  <c r="D1196" i="2"/>
  <c r="B1196" i="2"/>
  <c r="E1195" i="2"/>
  <c r="D1195" i="2"/>
  <c r="B1195" i="2"/>
  <c r="E1194" i="2"/>
  <c r="D1194" i="2"/>
  <c r="B1194" i="2"/>
  <c r="E1193" i="2"/>
  <c r="D1193" i="2"/>
  <c r="B1193" i="2"/>
  <c r="E1192" i="2"/>
  <c r="D1192" i="2"/>
  <c r="B1192" i="2"/>
  <c r="E1191" i="2"/>
  <c r="D1191" i="2"/>
  <c r="B1191" i="2"/>
  <c r="E1190" i="2"/>
  <c r="D1190" i="2"/>
  <c r="B1190" i="2"/>
  <c r="E1189" i="2"/>
  <c r="D1189" i="2"/>
  <c r="B1189" i="2"/>
  <c r="E1188" i="2"/>
  <c r="D1188" i="2"/>
  <c r="B1188" i="2"/>
  <c r="E1187" i="2"/>
  <c r="D1187" i="2"/>
  <c r="B1187" i="2"/>
  <c r="E1186" i="2"/>
  <c r="D1186" i="2"/>
  <c r="B1186" i="2"/>
  <c r="E1185" i="2"/>
  <c r="D1185" i="2"/>
  <c r="B1185" i="2"/>
  <c r="E1184" i="2"/>
  <c r="D1184" i="2"/>
  <c r="B1184" i="2"/>
  <c r="E1183" i="2"/>
  <c r="D1183" i="2"/>
  <c r="B1183" i="2"/>
  <c r="E1182" i="2"/>
  <c r="D1182" i="2"/>
  <c r="B1182" i="2"/>
  <c r="E1181" i="2"/>
  <c r="D1181" i="2"/>
  <c r="B1181" i="2"/>
  <c r="E1180" i="2"/>
  <c r="D1180" i="2"/>
  <c r="B1180" i="2"/>
  <c r="E1179" i="2"/>
  <c r="D1179" i="2"/>
  <c r="B1179" i="2"/>
  <c r="E1178" i="2"/>
  <c r="D1178" i="2"/>
  <c r="B1178" i="2"/>
  <c r="E1177" i="2"/>
  <c r="D1177" i="2"/>
  <c r="B1177" i="2"/>
  <c r="E1176" i="2"/>
  <c r="D1176" i="2"/>
  <c r="B1176" i="2"/>
  <c r="E1175" i="2"/>
  <c r="D1175" i="2"/>
  <c r="B1175" i="2"/>
  <c r="E1174" i="2"/>
  <c r="D1174" i="2"/>
  <c r="B1174" i="2"/>
  <c r="E1173" i="2"/>
  <c r="D1173" i="2"/>
  <c r="B1173" i="2"/>
  <c r="E1172" i="2"/>
  <c r="D1172" i="2"/>
  <c r="B1172" i="2"/>
  <c r="E1171" i="2"/>
  <c r="D1171" i="2"/>
  <c r="B1171" i="2"/>
  <c r="E1170" i="2"/>
  <c r="D1170" i="2"/>
  <c r="B1170" i="2"/>
  <c r="E1169" i="2"/>
  <c r="D1169" i="2"/>
  <c r="B1169" i="2"/>
  <c r="E1168" i="2"/>
  <c r="D1168" i="2"/>
  <c r="B1168" i="2"/>
  <c r="E1167" i="2"/>
  <c r="D1167" i="2"/>
  <c r="B1167" i="2"/>
  <c r="E1166" i="2"/>
  <c r="D1166" i="2"/>
  <c r="B1166" i="2"/>
  <c r="E1165" i="2"/>
  <c r="D1165" i="2"/>
  <c r="B1165" i="2"/>
  <c r="E1164" i="2"/>
  <c r="D1164" i="2"/>
  <c r="B1164" i="2"/>
  <c r="E1163" i="2"/>
  <c r="D1163" i="2"/>
  <c r="B1163" i="2"/>
  <c r="E1162" i="2"/>
  <c r="D1162" i="2"/>
  <c r="B1162" i="2"/>
  <c r="E1161" i="2"/>
  <c r="D1161" i="2"/>
  <c r="B1161" i="2"/>
  <c r="E1160" i="2"/>
  <c r="D1160" i="2"/>
  <c r="B1160" i="2"/>
  <c r="E1159" i="2"/>
  <c r="D1159" i="2"/>
  <c r="B1159" i="2"/>
  <c r="E1158" i="2"/>
  <c r="D1158" i="2"/>
  <c r="B1158" i="2"/>
  <c r="E1157" i="2"/>
  <c r="D1157" i="2"/>
  <c r="B1157" i="2"/>
  <c r="E1156" i="2"/>
  <c r="D1156" i="2"/>
  <c r="B1156" i="2"/>
  <c r="E1155" i="2"/>
  <c r="D1155" i="2"/>
  <c r="B1155" i="2"/>
  <c r="E1154" i="2"/>
  <c r="D1154" i="2"/>
  <c r="B1154" i="2"/>
  <c r="E1153" i="2"/>
  <c r="D1153" i="2"/>
  <c r="B1153" i="2"/>
  <c r="E1152" i="2"/>
  <c r="D1152" i="2"/>
  <c r="B1152" i="2"/>
  <c r="E1151" i="2"/>
  <c r="D1151" i="2"/>
  <c r="B1151" i="2"/>
  <c r="E1150" i="2"/>
  <c r="D1150" i="2"/>
  <c r="B1150" i="2"/>
  <c r="E1149" i="2"/>
  <c r="D1149" i="2"/>
  <c r="B1149" i="2"/>
  <c r="E1148" i="2"/>
  <c r="D1148" i="2"/>
  <c r="B1148" i="2"/>
  <c r="E1147" i="2"/>
  <c r="D1147" i="2"/>
  <c r="B1147" i="2"/>
  <c r="E1146" i="2"/>
  <c r="D1146" i="2"/>
  <c r="B1146" i="2"/>
  <c r="E1145" i="2"/>
  <c r="D1145" i="2"/>
  <c r="B1145" i="2"/>
  <c r="E1144" i="2"/>
  <c r="D1144" i="2"/>
  <c r="B1144" i="2"/>
  <c r="E1143" i="2"/>
  <c r="D1143" i="2"/>
  <c r="B1143" i="2"/>
  <c r="E1142" i="2"/>
  <c r="D1142" i="2"/>
  <c r="B1142" i="2"/>
  <c r="E1141" i="2"/>
  <c r="D1141" i="2"/>
  <c r="B1141" i="2"/>
  <c r="E1140" i="2"/>
  <c r="D1140" i="2"/>
  <c r="B1140" i="2"/>
  <c r="E1139" i="2"/>
  <c r="D1139" i="2"/>
  <c r="B1139" i="2"/>
  <c r="E1138" i="2"/>
  <c r="D1138" i="2"/>
  <c r="B1138" i="2"/>
  <c r="E1137" i="2"/>
  <c r="D1137" i="2"/>
  <c r="B1137" i="2"/>
  <c r="E1136" i="2"/>
  <c r="D1136" i="2"/>
  <c r="B1136" i="2"/>
  <c r="E1135" i="2"/>
  <c r="D1135" i="2"/>
  <c r="B1135" i="2"/>
  <c r="E1134" i="2"/>
  <c r="D1134" i="2"/>
  <c r="B1134" i="2"/>
  <c r="E1133" i="2"/>
  <c r="D1133" i="2"/>
  <c r="B1133" i="2"/>
  <c r="E1132" i="2"/>
  <c r="D1132" i="2"/>
  <c r="B1132" i="2"/>
  <c r="E1131" i="2"/>
  <c r="D1131" i="2"/>
  <c r="B1131" i="2"/>
  <c r="E1130" i="2"/>
  <c r="D1130" i="2"/>
  <c r="B1130" i="2"/>
  <c r="E1129" i="2"/>
  <c r="D1129" i="2"/>
  <c r="B1129" i="2"/>
  <c r="E1128" i="2"/>
  <c r="D1128" i="2"/>
  <c r="B1128" i="2"/>
  <c r="E1127" i="2"/>
  <c r="D1127" i="2"/>
  <c r="B1127" i="2"/>
  <c r="E1126" i="2"/>
  <c r="D1126" i="2"/>
  <c r="B1126" i="2"/>
  <c r="E1125" i="2"/>
  <c r="D1125" i="2"/>
  <c r="B1125" i="2"/>
  <c r="E1124" i="2"/>
  <c r="D1124" i="2"/>
  <c r="B1124" i="2"/>
  <c r="E1123" i="2"/>
  <c r="D1123" i="2"/>
  <c r="B1123" i="2"/>
  <c r="E1122" i="2"/>
  <c r="D1122" i="2"/>
  <c r="B1122" i="2"/>
  <c r="E1121" i="2"/>
  <c r="D1121" i="2"/>
  <c r="B1121" i="2"/>
  <c r="E1120" i="2"/>
  <c r="D1120" i="2"/>
  <c r="B1120" i="2"/>
  <c r="E1119" i="2"/>
  <c r="D1119" i="2"/>
  <c r="B1119" i="2"/>
  <c r="E1118" i="2"/>
  <c r="D1118" i="2"/>
  <c r="B1118" i="2"/>
  <c r="E1117" i="2"/>
  <c r="D1117" i="2"/>
  <c r="B1117" i="2"/>
  <c r="E1116" i="2"/>
  <c r="D1116" i="2"/>
  <c r="B1116" i="2"/>
  <c r="E1115" i="2"/>
  <c r="D1115" i="2"/>
  <c r="B1115" i="2"/>
  <c r="E1114" i="2"/>
  <c r="D1114" i="2"/>
  <c r="B1114" i="2"/>
  <c r="E1113" i="2"/>
  <c r="D1113" i="2"/>
  <c r="B1113" i="2"/>
  <c r="E1112" i="2"/>
  <c r="D1112" i="2"/>
  <c r="B1112" i="2"/>
  <c r="E1111" i="2"/>
  <c r="D1111" i="2"/>
  <c r="B1111" i="2"/>
  <c r="E1110" i="2"/>
  <c r="D1110" i="2"/>
  <c r="B1110" i="2"/>
  <c r="E1109" i="2"/>
  <c r="D1109" i="2"/>
  <c r="B1109" i="2"/>
  <c r="E1108" i="2"/>
  <c r="D1108" i="2"/>
  <c r="B1108" i="2"/>
  <c r="E1107" i="2"/>
  <c r="D1107" i="2"/>
  <c r="B1107" i="2"/>
  <c r="E1106" i="2"/>
  <c r="D1106" i="2"/>
  <c r="B1106" i="2"/>
  <c r="E1105" i="2"/>
  <c r="D1105" i="2"/>
  <c r="B1105" i="2"/>
  <c r="E1104" i="2"/>
  <c r="D1104" i="2"/>
  <c r="B1104" i="2"/>
  <c r="E1103" i="2"/>
  <c r="D1103" i="2"/>
  <c r="B1103" i="2"/>
  <c r="E1102" i="2"/>
  <c r="D1102" i="2"/>
  <c r="B1102" i="2"/>
  <c r="E1101" i="2"/>
  <c r="D1101" i="2"/>
  <c r="B1101" i="2"/>
  <c r="E1100" i="2"/>
  <c r="D1100" i="2"/>
  <c r="B1100" i="2"/>
  <c r="E1099" i="2"/>
  <c r="D1099" i="2"/>
  <c r="B1099" i="2"/>
  <c r="E1098" i="2"/>
  <c r="D1098" i="2"/>
  <c r="B1098" i="2"/>
  <c r="E1097" i="2"/>
  <c r="D1097" i="2"/>
  <c r="B1097" i="2"/>
  <c r="E1096" i="2"/>
  <c r="D1096" i="2"/>
  <c r="B1096" i="2"/>
  <c r="E1095" i="2"/>
  <c r="D1095" i="2"/>
  <c r="B1095" i="2"/>
  <c r="E1094" i="2"/>
  <c r="D1094" i="2"/>
  <c r="B1094" i="2"/>
  <c r="E1093" i="2"/>
  <c r="D1093" i="2"/>
  <c r="B1093" i="2"/>
  <c r="E1092" i="2"/>
  <c r="D1092" i="2"/>
  <c r="B1092" i="2"/>
  <c r="E1091" i="2"/>
  <c r="D1091" i="2"/>
  <c r="B1091" i="2"/>
  <c r="E1090" i="2"/>
  <c r="D1090" i="2"/>
  <c r="B1090" i="2"/>
  <c r="E1089" i="2"/>
  <c r="D1089" i="2"/>
  <c r="B1089" i="2"/>
  <c r="E1088" i="2"/>
  <c r="D1088" i="2"/>
  <c r="B1088" i="2"/>
  <c r="E1087" i="2"/>
  <c r="D1087" i="2"/>
  <c r="B1087" i="2"/>
  <c r="E1086" i="2"/>
  <c r="D1086" i="2"/>
  <c r="B1086" i="2"/>
  <c r="E1085" i="2"/>
  <c r="D1085" i="2"/>
  <c r="B1085" i="2"/>
  <c r="E1084" i="2"/>
  <c r="D1084" i="2"/>
  <c r="B1084" i="2"/>
  <c r="E1083" i="2"/>
  <c r="D1083" i="2"/>
  <c r="B1083" i="2"/>
  <c r="E1082" i="2"/>
  <c r="D1082" i="2"/>
  <c r="B1082" i="2"/>
  <c r="E1081" i="2"/>
  <c r="D1081" i="2"/>
  <c r="B1081" i="2"/>
  <c r="E1080" i="2"/>
  <c r="D1080" i="2"/>
  <c r="B1080" i="2"/>
  <c r="E1079" i="2"/>
  <c r="D1079" i="2"/>
  <c r="B1079" i="2"/>
  <c r="E1078" i="2"/>
  <c r="D1078" i="2"/>
  <c r="B1078" i="2"/>
  <c r="E1077" i="2"/>
  <c r="D1077" i="2"/>
  <c r="B1077" i="2"/>
  <c r="E1076" i="2"/>
  <c r="D1076" i="2"/>
  <c r="B1076" i="2"/>
  <c r="E1075" i="2"/>
  <c r="D1075" i="2"/>
  <c r="B1075" i="2"/>
  <c r="E1074" i="2"/>
  <c r="D1074" i="2"/>
  <c r="B1074" i="2"/>
  <c r="E1073" i="2"/>
  <c r="D1073" i="2"/>
  <c r="B1073" i="2"/>
  <c r="E1072" i="2"/>
  <c r="D1072" i="2"/>
  <c r="B1072" i="2"/>
  <c r="E1071" i="2"/>
  <c r="D1071" i="2"/>
  <c r="B1071" i="2"/>
  <c r="E1070" i="2"/>
  <c r="D1070" i="2"/>
  <c r="B1070" i="2"/>
  <c r="E1069" i="2"/>
  <c r="D1069" i="2"/>
  <c r="B1069" i="2"/>
  <c r="E1068" i="2"/>
  <c r="D1068" i="2"/>
  <c r="B1068" i="2"/>
  <c r="E1067" i="2"/>
  <c r="D1067" i="2"/>
  <c r="B1067" i="2"/>
  <c r="E1066" i="2"/>
  <c r="D1066" i="2"/>
  <c r="B1066" i="2"/>
  <c r="E1065" i="2"/>
  <c r="D1065" i="2"/>
  <c r="B1065" i="2"/>
  <c r="E1064" i="2"/>
  <c r="D1064" i="2"/>
  <c r="B1064" i="2"/>
  <c r="E1063" i="2"/>
  <c r="D1063" i="2"/>
  <c r="B1063" i="2"/>
  <c r="E1062" i="2"/>
  <c r="D1062" i="2"/>
  <c r="B1062" i="2"/>
  <c r="E1061" i="2"/>
  <c r="D1061" i="2"/>
  <c r="B1061" i="2"/>
  <c r="E1060" i="2"/>
  <c r="D1060" i="2"/>
  <c r="B1060" i="2"/>
  <c r="E1059" i="2"/>
  <c r="D1059" i="2"/>
  <c r="B1059" i="2"/>
  <c r="E1058" i="2"/>
  <c r="D1058" i="2"/>
  <c r="B1058" i="2"/>
  <c r="E1057" i="2"/>
  <c r="D1057" i="2"/>
  <c r="B1057" i="2"/>
  <c r="E1056" i="2"/>
  <c r="D1056" i="2"/>
  <c r="B1056" i="2"/>
  <c r="E1055" i="2"/>
  <c r="D1055" i="2"/>
  <c r="B1055" i="2"/>
  <c r="E1054" i="2"/>
  <c r="D1054" i="2"/>
  <c r="B1054" i="2"/>
  <c r="E1053" i="2"/>
  <c r="D1053" i="2"/>
  <c r="B1053" i="2"/>
  <c r="E1052" i="2"/>
  <c r="D1052" i="2"/>
  <c r="B1052" i="2"/>
  <c r="E1051" i="2"/>
  <c r="D1051" i="2"/>
  <c r="B1051" i="2"/>
  <c r="E1050" i="2"/>
  <c r="D1050" i="2"/>
  <c r="B1050" i="2"/>
  <c r="E1049" i="2"/>
  <c r="D1049" i="2"/>
  <c r="B1049" i="2"/>
  <c r="E1048" i="2"/>
  <c r="D1048" i="2"/>
  <c r="B1048" i="2"/>
  <c r="E1047" i="2"/>
  <c r="D1047" i="2"/>
  <c r="B1047" i="2"/>
  <c r="E1046" i="2"/>
  <c r="D1046" i="2"/>
  <c r="B1046" i="2"/>
  <c r="E1045" i="2"/>
  <c r="D1045" i="2"/>
  <c r="B1045" i="2"/>
  <c r="E1044" i="2"/>
  <c r="D1044" i="2"/>
  <c r="B1044" i="2"/>
  <c r="E1043" i="2"/>
  <c r="D1043" i="2"/>
  <c r="B1043" i="2"/>
  <c r="E1042" i="2"/>
  <c r="D1042" i="2"/>
  <c r="B1042" i="2"/>
  <c r="E1041" i="2"/>
  <c r="D1041" i="2"/>
  <c r="B1041" i="2"/>
  <c r="E1040" i="2"/>
  <c r="D1040" i="2"/>
  <c r="B1040" i="2"/>
  <c r="E1039" i="2"/>
  <c r="D1039" i="2"/>
  <c r="B1039" i="2"/>
  <c r="E1038" i="2"/>
  <c r="D1038" i="2"/>
  <c r="B1038" i="2"/>
  <c r="E1037" i="2"/>
  <c r="D1037" i="2"/>
  <c r="B1037" i="2"/>
  <c r="E1036" i="2"/>
  <c r="D1036" i="2"/>
  <c r="B1036" i="2"/>
  <c r="E1035" i="2"/>
  <c r="D1035" i="2"/>
  <c r="B1035" i="2"/>
  <c r="E1034" i="2"/>
  <c r="D1034" i="2"/>
  <c r="B1034" i="2"/>
  <c r="E1033" i="2"/>
  <c r="D1033" i="2"/>
  <c r="B1033" i="2"/>
  <c r="E1032" i="2"/>
  <c r="D1032" i="2"/>
  <c r="B1032" i="2"/>
  <c r="E1031" i="2"/>
  <c r="D1031" i="2"/>
  <c r="B1031" i="2"/>
  <c r="E1030" i="2"/>
  <c r="D1030" i="2"/>
  <c r="B1030" i="2"/>
  <c r="E1029" i="2"/>
  <c r="D1029" i="2"/>
  <c r="B1029" i="2"/>
  <c r="E1028" i="2"/>
  <c r="D1028" i="2"/>
  <c r="B1028" i="2"/>
  <c r="E1027" i="2"/>
  <c r="D1027" i="2"/>
  <c r="B1027" i="2"/>
  <c r="E1026" i="2"/>
  <c r="D1026" i="2"/>
  <c r="B1026" i="2"/>
  <c r="E1025" i="2"/>
  <c r="D1025" i="2"/>
  <c r="B1025" i="2"/>
  <c r="E1024" i="2"/>
  <c r="D1024" i="2"/>
  <c r="B1024" i="2"/>
  <c r="E1023" i="2"/>
  <c r="D1023" i="2"/>
  <c r="B1023" i="2"/>
  <c r="E1022" i="2"/>
  <c r="D1022" i="2"/>
  <c r="B1022" i="2"/>
  <c r="E1021" i="2"/>
  <c r="D1021" i="2"/>
  <c r="B1021" i="2"/>
  <c r="E1020" i="2"/>
  <c r="D1020" i="2"/>
  <c r="B1020" i="2"/>
  <c r="E1019" i="2"/>
  <c r="D1019" i="2"/>
  <c r="B1019" i="2"/>
  <c r="E1018" i="2"/>
  <c r="D1018" i="2"/>
  <c r="B1018" i="2"/>
  <c r="E1017" i="2"/>
  <c r="D1017" i="2"/>
  <c r="B1017" i="2"/>
  <c r="E1016" i="2"/>
  <c r="D1016" i="2"/>
  <c r="B1016" i="2"/>
  <c r="E1015" i="2"/>
  <c r="D1015" i="2"/>
  <c r="B1015" i="2"/>
  <c r="E1014" i="2"/>
  <c r="D1014" i="2"/>
  <c r="B1014" i="2"/>
  <c r="E1013" i="2"/>
  <c r="D1013" i="2"/>
  <c r="B1013" i="2"/>
  <c r="E1012" i="2"/>
  <c r="D1012" i="2"/>
  <c r="B1012" i="2"/>
  <c r="E1011" i="2"/>
  <c r="D1011" i="2"/>
  <c r="B1011" i="2"/>
  <c r="E1010" i="2"/>
  <c r="D1010" i="2"/>
  <c r="B1010" i="2"/>
  <c r="E1009" i="2"/>
  <c r="D1009" i="2"/>
  <c r="B1009" i="2"/>
  <c r="E1008" i="2"/>
  <c r="D1008" i="2"/>
  <c r="B1008" i="2"/>
  <c r="E1007" i="2"/>
  <c r="D1007" i="2"/>
  <c r="B1007" i="2"/>
  <c r="E1006" i="2"/>
  <c r="D1006" i="2"/>
  <c r="B1006" i="2"/>
  <c r="E1005" i="2"/>
  <c r="D1005" i="2"/>
  <c r="B1005" i="2"/>
  <c r="E1004" i="2"/>
  <c r="D1004" i="2"/>
  <c r="B1004" i="2"/>
  <c r="E1003" i="2"/>
  <c r="D1003" i="2"/>
  <c r="B1003" i="2"/>
  <c r="E1002" i="2"/>
  <c r="D1002" i="2"/>
  <c r="B1002" i="2"/>
  <c r="E1001" i="2"/>
  <c r="D1001" i="2"/>
  <c r="B1001" i="2"/>
  <c r="E1000" i="2"/>
  <c r="D1000" i="2"/>
  <c r="B1000" i="2"/>
  <c r="E999" i="2"/>
  <c r="D999" i="2"/>
  <c r="B999" i="2"/>
  <c r="E998" i="2"/>
  <c r="D998" i="2"/>
  <c r="B998" i="2"/>
  <c r="E997" i="2"/>
  <c r="D997" i="2"/>
  <c r="B997" i="2"/>
  <c r="E996" i="2"/>
  <c r="D996" i="2"/>
  <c r="B996" i="2"/>
  <c r="E995" i="2"/>
  <c r="D995" i="2"/>
  <c r="B995" i="2"/>
  <c r="E994" i="2"/>
  <c r="D994" i="2"/>
  <c r="B994" i="2"/>
  <c r="E993" i="2"/>
  <c r="D993" i="2"/>
  <c r="B993" i="2"/>
  <c r="E992" i="2"/>
  <c r="D992" i="2"/>
  <c r="B992" i="2"/>
  <c r="E991" i="2"/>
  <c r="D991" i="2"/>
  <c r="B991" i="2"/>
  <c r="E990" i="2"/>
  <c r="D990" i="2"/>
  <c r="B990" i="2"/>
  <c r="E989" i="2"/>
  <c r="D989" i="2"/>
  <c r="B989" i="2"/>
  <c r="E988" i="2"/>
  <c r="D988" i="2"/>
  <c r="B988" i="2"/>
  <c r="E987" i="2"/>
  <c r="D987" i="2"/>
  <c r="B987" i="2"/>
  <c r="E986" i="2"/>
  <c r="D986" i="2"/>
  <c r="B986" i="2"/>
  <c r="E985" i="2"/>
  <c r="D985" i="2"/>
  <c r="B985" i="2"/>
  <c r="E984" i="2"/>
  <c r="D984" i="2"/>
  <c r="B984" i="2"/>
  <c r="E983" i="2"/>
  <c r="D983" i="2"/>
  <c r="B983" i="2"/>
  <c r="E982" i="2"/>
  <c r="D982" i="2"/>
  <c r="B982" i="2"/>
  <c r="E981" i="2"/>
  <c r="D981" i="2"/>
  <c r="B981" i="2"/>
  <c r="E980" i="2"/>
  <c r="D980" i="2"/>
  <c r="B980" i="2"/>
  <c r="E979" i="2"/>
  <c r="D979" i="2"/>
  <c r="B979" i="2"/>
  <c r="E978" i="2"/>
  <c r="D978" i="2"/>
  <c r="B978" i="2"/>
  <c r="E977" i="2"/>
  <c r="D977" i="2"/>
  <c r="B977" i="2"/>
  <c r="E976" i="2"/>
  <c r="D976" i="2"/>
  <c r="B976" i="2"/>
  <c r="E975" i="2"/>
  <c r="D975" i="2"/>
  <c r="B975" i="2"/>
  <c r="E974" i="2"/>
  <c r="D974" i="2"/>
  <c r="B974" i="2"/>
  <c r="E973" i="2"/>
  <c r="D973" i="2"/>
  <c r="B973" i="2"/>
  <c r="E972" i="2"/>
  <c r="D972" i="2"/>
  <c r="B972" i="2"/>
  <c r="E971" i="2"/>
  <c r="D971" i="2"/>
  <c r="B971" i="2"/>
  <c r="E970" i="2"/>
  <c r="D970" i="2"/>
  <c r="B970" i="2"/>
  <c r="E969" i="2"/>
  <c r="D969" i="2"/>
  <c r="B969" i="2"/>
  <c r="E968" i="2"/>
  <c r="D968" i="2"/>
  <c r="B968" i="2"/>
  <c r="E967" i="2"/>
  <c r="D967" i="2"/>
  <c r="B967" i="2"/>
  <c r="E966" i="2"/>
  <c r="D966" i="2"/>
  <c r="B966" i="2"/>
  <c r="E965" i="2"/>
  <c r="D965" i="2"/>
  <c r="B965" i="2"/>
  <c r="E964" i="2"/>
  <c r="D964" i="2"/>
  <c r="B964" i="2"/>
  <c r="E963" i="2"/>
  <c r="D963" i="2"/>
  <c r="B963" i="2"/>
  <c r="E962" i="2"/>
  <c r="D962" i="2"/>
  <c r="B962" i="2"/>
  <c r="E961" i="2"/>
  <c r="D961" i="2"/>
  <c r="B961" i="2"/>
  <c r="E960" i="2"/>
  <c r="D960" i="2"/>
  <c r="B960" i="2"/>
  <c r="E959" i="2"/>
  <c r="D959" i="2"/>
  <c r="B959" i="2"/>
  <c r="E958" i="2"/>
  <c r="D958" i="2"/>
  <c r="B958" i="2"/>
  <c r="E957" i="2"/>
  <c r="D957" i="2"/>
  <c r="B957" i="2"/>
  <c r="E956" i="2"/>
  <c r="D956" i="2"/>
  <c r="B956" i="2"/>
  <c r="E955" i="2"/>
  <c r="D955" i="2"/>
  <c r="B955" i="2"/>
  <c r="E954" i="2"/>
  <c r="D954" i="2"/>
  <c r="B954" i="2"/>
  <c r="E953" i="2"/>
  <c r="D953" i="2"/>
  <c r="B953" i="2"/>
  <c r="E952" i="2"/>
  <c r="D952" i="2"/>
  <c r="B952" i="2"/>
  <c r="E951" i="2"/>
  <c r="D951" i="2"/>
  <c r="B951" i="2"/>
  <c r="E950" i="2"/>
  <c r="D950" i="2"/>
  <c r="B950" i="2"/>
  <c r="E949" i="2"/>
  <c r="D949" i="2"/>
  <c r="B949" i="2"/>
  <c r="E948" i="2"/>
  <c r="D948" i="2"/>
  <c r="B948" i="2"/>
  <c r="E947" i="2"/>
  <c r="D947" i="2"/>
  <c r="B947" i="2"/>
  <c r="E946" i="2"/>
  <c r="D946" i="2"/>
  <c r="B946" i="2"/>
  <c r="E945" i="2"/>
  <c r="D945" i="2"/>
  <c r="B945" i="2"/>
  <c r="E944" i="2"/>
  <c r="D944" i="2"/>
  <c r="B944" i="2"/>
  <c r="E943" i="2"/>
  <c r="D943" i="2"/>
  <c r="B943" i="2"/>
  <c r="E942" i="2"/>
  <c r="D942" i="2"/>
  <c r="B942" i="2"/>
  <c r="E941" i="2"/>
  <c r="D941" i="2"/>
  <c r="B941" i="2"/>
  <c r="E940" i="2"/>
  <c r="D940" i="2"/>
  <c r="B940" i="2"/>
  <c r="E939" i="2"/>
  <c r="D939" i="2"/>
  <c r="B939" i="2"/>
  <c r="E938" i="2"/>
  <c r="D938" i="2"/>
  <c r="B938" i="2"/>
  <c r="E937" i="2"/>
  <c r="D937" i="2"/>
  <c r="B937" i="2"/>
  <c r="E936" i="2"/>
  <c r="D936" i="2"/>
  <c r="B936" i="2"/>
  <c r="E935" i="2"/>
  <c r="D935" i="2"/>
  <c r="B935" i="2"/>
  <c r="E934" i="2"/>
  <c r="D934" i="2"/>
  <c r="B934" i="2"/>
  <c r="E933" i="2"/>
  <c r="D933" i="2"/>
  <c r="B933" i="2"/>
  <c r="E932" i="2"/>
  <c r="D932" i="2"/>
  <c r="B932" i="2"/>
  <c r="E931" i="2"/>
  <c r="D931" i="2"/>
  <c r="B931" i="2"/>
  <c r="E930" i="2"/>
  <c r="D930" i="2"/>
  <c r="B930" i="2"/>
  <c r="E929" i="2"/>
  <c r="D929" i="2"/>
  <c r="B929" i="2"/>
  <c r="E928" i="2"/>
  <c r="D928" i="2"/>
  <c r="B928" i="2"/>
  <c r="E927" i="2"/>
  <c r="D927" i="2"/>
  <c r="B927" i="2"/>
  <c r="E926" i="2"/>
  <c r="D926" i="2"/>
  <c r="B926" i="2"/>
  <c r="E925" i="2"/>
  <c r="D925" i="2"/>
  <c r="B925" i="2"/>
  <c r="E924" i="2"/>
  <c r="D924" i="2"/>
  <c r="B924" i="2"/>
  <c r="E923" i="2"/>
  <c r="D923" i="2"/>
  <c r="B923" i="2"/>
  <c r="E922" i="2"/>
  <c r="D922" i="2"/>
  <c r="B922" i="2"/>
  <c r="E921" i="2"/>
  <c r="D921" i="2"/>
  <c r="B921" i="2"/>
  <c r="E920" i="2"/>
  <c r="D920" i="2"/>
  <c r="B920" i="2"/>
  <c r="E919" i="2"/>
  <c r="D919" i="2"/>
  <c r="B919" i="2"/>
  <c r="E918" i="2"/>
  <c r="D918" i="2"/>
  <c r="B918" i="2"/>
  <c r="E917" i="2"/>
  <c r="D917" i="2"/>
  <c r="B917" i="2"/>
  <c r="E916" i="2"/>
  <c r="D916" i="2"/>
  <c r="B916" i="2"/>
  <c r="E915" i="2"/>
  <c r="D915" i="2"/>
  <c r="B915" i="2"/>
  <c r="E914" i="2"/>
  <c r="D914" i="2"/>
  <c r="B914" i="2"/>
  <c r="E913" i="2"/>
  <c r="D913" i="2"/>
  <c r="B913" i="2"/>
  <c r="E912" i="2"/>
  <c r="D912" i="2"/>
  <c r="B912" i="2"/>
  <c r="E911" i="2"/>
  <c r="D911" i="2"/>
  <c r="B911" i="2"/>
  <c r="E910" i="2"/>
  <c r="D910" i="2"/>
  <c r="B910" i="2"/>
  <c r="E909" i="2"/>
  <c r="D909" i="2"/>
  <c r="B909" i="2"/>
  <c r="E908" i="2"/>
  <c r="D908" i="2"/>
  <c r="B908" i="2"/>
  <c r="E907" i="2"/>
  <c r="D907" i="2"/>
  <c r="B907" i="2"/>
  <c r="E906" i="2"/>
  <c r="D906" i="2"/>
  <c r="B906" i="2"/>
  <c r="E905" i="2"/>
  <c r="D905" i="2"/>
  <c r="B905" i="2"/>
  <c r="E904" i="2"/>
  <c r="D904" i="2"/>
  <c r="B904" i="2"/>
  <c r="E903" i="2"/>
  <c r="D903" i="2"/>
  <c r="B903" i="2"/>
  <c r="E902" i="2"/>
  <c r="D902" i="2"/>
  <c r="B902" i="2"/>
  <c r="E901" i="2"/>
  <c r="D901" i="2"/>
  <c r="B901" i="2"/>
  <c r="E900" i="2"/>
  <c r="D900" i="2"/>
  <c r="B900" i="2"/>
  <c r="E899" i="2"/>
  <c r="D899" i="2"/>
  <c r="B899" i="2"/>
  <c r="E898" i="2"/>
  <c r="D898" i="2"/>
  <c r="B898" i="2"/>
  <c r="E897" i="2"/>
  <c r="D897" i="2"/>
  <c r="B897" i="2"/>
  <c r="E896" i="2"/>
  <c r="D896" i="2"/>
  <c r="B896" i="2"/>
  <c r="E895" i="2"/>
  <c r="D895" i="2"/>
  <c r="B895" i="2"/>
  <c r="E894" i="2"/>
  <c r="D894" i="2"/>
  <c r="B894" i="2"/>
  <c r="E893" i="2"/>
  <c r="D893" i="2"/>
  <c r="B893" i="2"/>
  <c r="E892" i="2"/>
  <c r="D892" i="2"/>
  <c r="B892" i="2"/>
  <c r="E891" i="2"/>
  <c r="D891" i="2"/>
  <c r="B891" i="2"/>
  <c r="E890" i="2"/>
  <c r="D890" i="2"/>
  <c r="B890" i="2"/>
  <c r="E889" i="2"/>
  <c r="D889" i="2"/>
  <c r="B889" i="2"/>
  <c r="E888" i="2"/>
  <c r="D888" i="2"/>
  <c r="B888" i="2"/>
  <c r="E887" i="2"/>
  <c r="D887" i="2"/>
  <c r="B887" i="2"/>
  <c r="E886" i="2"/>
  <c r="D886" i="2"/>
  <c r="B886" i="2"/>
  <c r="E885" i="2"/>
  <c r="D885" i="2"/>
  <c r="B885" i="2"/>
  <c r="E884" i="2"/>
  <c r="D884" i="2"/>
  <c r="B884" i="2"/>
  <c r="E883" i="2"/>
  <c r="D883" i="2"/>
  <c r="B883" i="2"/>
  <c r="E882" i="2"/>
  <c r="D882" i="2"/>
  <c r="B882" i="2"/>
  <c r="E881" i="2"/>
  <c r="D881" i="2"/>
  <c r="B881" i="2"/>
  <c r="E880" i="2"/>
  <c r="D880" i="2"/>
  <c r="B880" i="2"/>
  <c r="E879" i="2"/>
  <c r="D879" i="2"/>
  <c r="B879" i="2"/>
  <c r="E878" i="2"/>
  <c r="D878" i="2"/>
  <c r="B878" i="2"/>
  <c r="E877" i="2"/>
  <c r="D877" i="2"/>
  <c r="B877" i="2"/>
  <c r="E876" i="2"/>
  <c r="D876" i="2"/>
  <c r="B876" i="2"/>
  <c r="E875" i="2"/>
  <c r="D875" i="2"/>
  <c r="B875" i="2"/>
  <c r="E874" i="2"/>
  <c r="D874" i="2"/>
  <c r="B874" i="2"/>
  <c r="E873" i="2"/>
  <c r="D873" i="2"/>
  <c r="B873" i="2"/>
  <c r="E872" i="2"/>
  <c r="D872" i="2"/>
  <c r="B872" i="2"/>
  <c r="E871" i="2"/>
  <c r="D871" i="2"/>
  <c r="B871" i="2"/>
  <c r="E870" i="2"/>
  <c r="D870" i="2"/>
  <c r="B870" i="2"/>
  <c r="E869" i="2"/>
  <c r="D869" i="2"/>
  <c r="B869" i="2"/>
  <c r="E868" i="2"/>
  <c r="D868" i="2"/>
  <c r="B868" i="2"/>
  <c r="E867" i="2"/>
  <c r="D867" i="2"/>
  <c r="B867" i="2"/>
  <c r="E866" i="2"/>
  <c r="D866" i="2"/>
  <c r="B866" i="2"/>
  <c r="E865" i="2"/>
  <c r="D865" i="2"/>
  <c r="B865" i="2"/>
  <c r="E864" i="2"/>
  <c r="D864" i="2"/>
  <c r="B864" i="2"/>
  <c r="E863" i="2"/>
  <c r="D863" i="2"/>
  <c r="B863" i="2"/>
  <c r="E862" i="2"/>
  <c r="D862" i="2"/>
  <c r="B862" i="2"/>
  <c r="E861" i="2"/>
  <c r="D861" i="2"/>
  <c r="B861" i="2"/>
  <c r="E860" i="2"/>
  <c r="D860" i="2"/>
  <c r="B860" i="2"/>
  <c r="E859" i="2"/>
  <c r="D859" i="2"/>
  <c r="B859" i="2"/>
  <c r="E858" i="2"/>
  <c r="D858" i="2"/>
  <c r="B858" i="2"/>
  <c r="E857" i="2"/>
  <c r="D857" i="2"/>
  <c r="B857" i="2"/>
  <c r="E856" i="2"/>
  <c r="D856" i="2"/>
  <c r="B856" i="2"/>
  <c r="E855" i="2"/>
  <c r="D855" i="2"/>
  <c r="B855" i="2"/>
  <c r="E854" i="2"/>
  <c r="D854" i="2"/>
  <c r="B854" i="2"/>
  <c r="E853" i="2"/>
  <c r="D853" i="2"/>
  <c r="B853" i="2"/>
  <c r="E852" i="2"/>
  <c r="D852" i="2"/>
  <c r="B852" i="2"/>
  <c r="E851" i="2"/>
  <c r="D851" i="2"/>
  <c r="B851" i="2"/>
  <c r="E850" i="2"/>
  <c r="D850" i="2"/>
  <c r="B850" i="2"/>
  <c r="E849" i="2"/>
  <c r="D849" i="2"/>
  <c r="B849" i="2"/>
  <c r="E848" i="2"/>
  <c r="D848" i="2"/>
  <c r="B848" i="2"/>
  <c r="E847" i="2"/>
  <c r="D847" i="2"/>
  <c r="B847" i="2"/>
  <c r="E846" i="2"/>
  <c r="D846" i="2"/>
  <c r="B846" i="2"/>
  <c r="E845" i="2"/>
  <c r="D845" i="2"/>
  <c r="B845" i="2"/>
  <c r="E844" i="2"/>
  <c r="D844" i="2"/>
  <c r="B844" i="2"/>
  <c r="E843" i="2"/>
  <c r="D843" i="2"/>
  <c r="B843" i="2"/>
  <c r="E842" i="2"/>
  <c r="D842" i="2"/>
  <c r="B842" i="2"/>
  <c r="E841" i="2"/>
  <c r="D841" i="2"/>
  <c r="B841" i="2"/>
  <c r="E840" i="2"/>
  <c r="D840" i="2"/>
  <c r="B840" i="2"/>
  <c r="E839" i="2"/>
  <c r="D839" i="2"/>
  <c r="B839" i="2"/>
  <c r="E838" i="2"/>
  <c r="D838" i="2"/>
  <c r="B838" i="2"/>
  <c r="E837" i="2"/>
  <c r="D837" i="2"/>
  <c r="B837" i="2"/>
  <c r="E836" i="2"/>
  <c r="D836" i="2"/>
  <c r="B836" i="2"/>
  <c r="E835" i="2"/>
  <c r="D835" i="2"/>
  <c r="B835" i="2"/>
  <c r="E834" i="2"/>
  <c r="D834" i="2"/>
  <c r="B834" i="2"/>
  <c r="E833" i="2"/>
  <c r="D833" i="2"/>
  <c r="B833" i="2"/>
  <c r="E832" i="2"/>
  <c r="D832" i="2"/>
  <c r="B832" i="2"/>
  <c r="E831" i="2"/>
  <c r="D831" i="2"/>
  <c r="B831" i="2"/>
  <c r="E830" i="2"/>
  <c r="D830" i="2"/>
  <c r="B830" i="2"/>
  <c r="E829" i="2"/>
  <c r="D829" i="2"/>
  <c r="B829" i="2"/>
  <c r="E828" i="2"/>
  <c r="D828" i="2"/>
  <c r="B828" i="2"/>
  <c r="E827" i="2"/>
  <c r="D827" i="2"/>
  <c r="B827" i="2"/>
  <c r="E826" i="2"/>
  <c r="D826" i="2"/>
  <c r="B826" i="2"/>
  <c r="E825" i="2"/>
  <c r="D825" i="2"/>
  <c r="B825" i="2"/>
  <c r="E824" i="2"/>
  <c r="D824" i="2"/>
  <c r="B824" i="2"/>
  <c r="E823" i="2"/>
  <c r="D823" i="2"/>
  <c r="B823" i="2"/>
  <c r="E822" i="2"/>
  <c r="D822" i="2"/>
  <c r="B822" i="2"/>
  <c r="E821" i="2"/>
  <c r="D821" i="2"/>
  <c r="B821" i="2"/>
  <c r="E820" i="2"/>
  <c r="D820" i="2"/>
  <c r="B820" i="2"/>
  <c r="E819" i="2"/>
  <c r="D819" i="2"/>
  <c r="B819" i="2"/>
  <c r="E818" i="2"/>
  <c r="D818" i="2"/>
  <c r="B818" i="2"/>
  <c r="E817" i="2"/>
  <c r="D817" i="2"/>
  <c r="B817" i="2"/>
  <c r="E816" i="2"/>
  <c r="D816" i="2"/>
  <c r="B816" i="2"/>
  <c r="E815" i="2"/>
  <c r="D815" i="2"/>
  <c r="B815" i="2"/>
  <c r="E814" i="2"/>
  <c r="D814" i="2"/>
  <c r="B814" i="2"/>
  <c r="E813" i="2"/>
  <c r="D813" i="2"/>
  <c r="B813" i="2"/>
  <c r="E812" i="2"/>
  <c r="D812" i="2"/>
  <c r="B812" i="2"/>
  <c r="E811" i="2"/>
  <c r="D811" i="2"/>
  <c r="B811" i="2"/>
  <c r="E810" i="2"/>
  <c r="D810" i="2"/>
  <c r="B810" i="2"/>
  <c r="E809" i="2"/>
  <c r="D809" i="2"/>
  <c r="B809" i="2"/>
  <c r="E808" i="2"/>
  <c r="D808" i="2"/>
  <c r="B808" i="2"/>
  <c r="E807" i="2"/>
  <c r="D807" i="2"/>
  <c r="B807" i="2"/>
  <c r="E806" i="2"/>
  <c r="D806" i="2"/>
  <c r="B806" i="2"/>
  <c r="E805" i="2"/>
  <c r="D805" i="2"/>
  <c r="B805" i="2"/>
  <c r="E804" i="2"/>
  <c r="D804" i="2"/>
  <c r="B804" i="2"/>
  <c r="E803" i="2"/>
  <c r="D803" i="2"/>
  <c r="B803" i="2"/>
  <c r="E802" i="2"/>
  <c r="D802" i="2"/>
  <c r="B802" i="2"/>
  <c r="E801" i="2"/>
  <c r="D801" i="2"/>
  <c r="B801" i="2"/>
  <c r="E800" i="2"/>
  <c r="D800" i="2"/>
  <c r="B800" i="2"/>
  <c r="E799" i="2"/>
  <c r="D799" i="2"/>
  <c r="B799" i="2"/>
  <c r="E798" i="2"/>
  <c r="D798" i="2"/>
  <c r="B798" i="2"/>
  <c r="E797" i="2"/>
  <c r="D797" i="2"/>
  <c r="B797" i="2"/>
  <c r="E796" i="2"/>
  <c r="D796" i="2"/>
  <c r="B796" i="2"/>
  <c r="E795" i="2"/>
  <c r="D795" i="2"/>
  <c r="B795" i="2"/>
  <c r="E794" i="2"/>
  <c r="D794" i="2"/>
  <c r="B794" i="2"/>
  <c r="E793" i="2"/>
  <c r="D793" i="2"/>
  <c r="B793" i="2"/>
  <c r="E792" i="2"/>
  <c r="D792" i="2"/>
  <c r="B792" i="2"/>
  <c r="E791" i="2"/>
  <c r="D791" i="2"/>
  <c r="B791" i="2"/>
  <c r="E790" i="2"/>
  <c r="D790" i="2"/>
  <c r="B790" i="2"/>
  <c r="E789" i="2"/>
  <c r="D789" i="2"/>
  <c r="B789" i="2"/>
  <c r="E788" i="2"/>
  <c r="D788" i="2"/>
  <c r="B788" i="2"/>
  <c r="E787" i="2"/>
  <c r="D787" i="2"/>
  <c r="B787" i="2"/>
  <c r="E786" i="2"/>
  <c r="D786" i="2"/>
  <c r="B786" i="2"/>
  <c r="E785" i="2"/>
  <c r="D785" i="2"/>
  <c r="B785" i="2"/>
  <c r="E784" i="2"/>
  <c r="D784" i="2"/>
  <c r="B784" i="2"/>
  <c r="E783" i="2"/>
  <c r="D783" i="2"/>
  <c r="B783" i="2"/>
  <c r="E782" i="2"/>
  <c r="D782" i="2"/>
  <c r="B782" i="2"/>
  <c r="E781" i="2"/>
  <c r="D781" i="2"/>
  <c r="B781" i="2"/>
  <c r="E780" i="2"/>
  <c r="D780" i="2"/>
  <c r="B780" i="2"/>
  <c r="E779" i="2"/>
  <c r="D779" i="2"/>
  <c r="B779" i="2"/>
  <c r="E778" i="2"/>
  <c r="D778" i="2"/>
  <c r="B778" i="2"/>
  <c r="E777" i="2"/>
  <c r="D777" i="2"/>
  <c r="B777" i="2"/>
  <c r="E776" i="2"/>
  <c r="D776" i="2"/>
  <c r="B776" i="2"/>
  <c r="E775" i="2"/>
  <c r="D775" i="2"/>
  <c r="B775" i="2"/>
  <c r="E774" i="2"/>
  <c r="D774" i="2"/>
  <c r="B774" i="2"/>
  <c r="E773" i="2"/>
  <c r="D773" i="2"/>
  <c r="B773" i="2"/>
  <c r="E772" i="2"/>
  <c r="D772" i="2"/>
  <c r="B772" i="2"/>
  <c r="E771" i="2"/>
  <c r="D771" i="2"/>
  <c r="B771" i="2"/>
  <c r="E770" i="2"/>
  <c r="D770" i="2"/>
  <c r="B770" i="2"/>
  <c r="E769" i="2"/>
  <c r="D769" i="2"/>
  <c r="B769" i="2"/>
  <c r="E768" i="2"/>
  <c r="D768" i="2"/>
  <c r="B768" i="2"/>
  <c r="E767" i="2"/>
  <c r="D767" i="2"/>
  <c r="B767" i="2"/>
  <c r="E766" i="2"/>
  <c r="D766" i="2"/>
  <c r="B766" i="2"/>
  <c r="E765" i="2"/>
  <c r="D765" i="2"/>
  <c r="B765" i="2"/>
  <c r="E764" i="2"/>
  <c r="D764" i="2"/>
  <c r="B764" i="2"/>
  <c r="E763" i="2"/>
  <c r="D763" i="2"/>
  <c r="B763" i="2"/>
  <c r="E762" i="2"/>
  <c r="D762" i="2"/>
  <c r="B762" i="2"/>
  <c r="E761" i="2"/>
  <c r="D761" i="2"/>
  <c r="B761" i="2"/>
  <c r="E760" i="2"/>
  <c r="D760" i="2"/>
  <c r="B760" i="2"/>
  <c r="E759" i="2"/>
  <c r="D759" i="2"/>
  <c r="B759" i="2"/>
  <c r="E758" i="2"/>
  <c r="D758" i="2"/>
  <c r="B758" i="2"/>
  <c r="E757" i="2"/>
  <c r="D757" i="2"/>
  <c r="B757" i="2"/>
  <c r="E756" i="2"/>
  <c r="D756" i="2"/>
  <c r="B756" i="2"/>
  <c r="E755" i="2"/>
  <c r="D755" i="2"/>
  <c r="B755" i="2"/>
  <c r="E754" i="2"/>
  <c r="D754" i="2"/>
  <c r="B754" i="2"/>
  <c r="E753" i="2"/>
  <c r="D753" i="2"/>
  <c r="B753" i="2"/>
  <c r="E752" i="2"/>
  <c r="D752" i="2"/>
  <c r="B752" i="2"/>
  <c r="E751" i="2"/>
  <c r="D751" i="2"/>
  <c r="B751" i="2"/>
  <c r="E750" i="2"/>
  <c r="D750" i="2"/>
  <c r="B750" i="2"/>
  <c r="E749" i="2"/>
  <c r="D749" i="2"/>
  <c r="B749" i="2"/>
  <c r="E748" i="2"/>
  <c r="D748" i="2"/>
  <c r="B748" i="2"/>
  <c r="E747" i="2"/>
  <c r="D747" i="2"/>
  <c r="B747" i="2"/>
  <c r="E746" i="2"/>
  <c r="D746" i="2"/>
  <c r="B746" i="2"/>
  <c r="E745" i="2"/>
  <c r="D745" i="2"/>
  <c r="B745" i="2"/>
  <c r="E744" i="2"/>
  <c r="D744" i="2"/>
  <c r="B744" i="2"/>
  <c r="E743" i="2"/>
  <c r="D743" i="2"/>
  <c r="B743" i="2"/>
  <c r="E742" i="2"/>
  <c r="D742" i="2"/>
  <c r="B742" i="2"/>
  <c r="E741" i="2"/>
  <c r="D741" i="2"/>
  <c r="B741" i="2"/>
  <c r="E740" i="2"/>
  <c r="D740" i="2"/>
  <c r="B740" i="2"/>
  <c r="E739" i="2"/>
  <c r="D739" i="2"/>
  <c r="B739" i="2"/>
  <c r="E738" i="2"/>
  <c r="D738" i="2"/>
  <c r="B738" i="2"/>
  <c r="E737" i="2"/>
  <c r="D737" i="2"/>
  <c r="B737" i="2"/>
  <c r="E736" i="2"/>
  <c r="D736" i="2"/>
  <c r="B736" i="2"/>
  <c r="E735" i="2"/>
  <c r="D735" i="2"/>
  <c r="B735" i="2"/>
  <c r="E734" i="2"/>
  <c r="D734" i="2"/>
  <c r="B734" i="2"/>
  <c r="E733" i="2"/>
  <c r="D733" i="2"/>
  <c r="B733" i="2"/>
  <c r="E732" i="2"/>
  <c r="D732" i="2"/>
  <c r="B732" i="2"/>
  <c r="E731" i="2"/>
  <c r="D731" i="2"/>
  <c r="B731" i="2"/>
  <c r="E730" i="2"/>
  <c r="D730" i="2"/>
  <c r="B730" i="2"/>
  <c r="E729" i="2"/>
  <c r="D729" i="2"/>
  <c r="B729" i="2"/>
  <c r="E728" i="2"/>
  <c r="D728" i="2"/>
  <c r="B728" i="2"/>
  <c r="E727" i="2"/>
  <c r="D727" i="2"/>
  <c r="B727" i="2"/>
  <c r="E726" i="2"/>
  <c r="D726" i="2"/>
  <c r="B726" i="2"/>
  <c r="E725" i="2"/>
  <c r="D725" i="2"/>
  <c r="B725" i="2"/>
  <c r="E724" i="2"/>
  <c r="D724" i="2"/>
  <c r="B724" i="2"/>
  <c r="E723" i="2"/>
  <c r="D723" i="2"/>
  <c r="B723" i="2"/>
  <c r="E722" i="2"/>
  <c r="D722" i="2"/>
  <c r="B722" i="2"/>
  <c r="E721" i="2"/>
  <c r="D721" i="2"/>
  <c r="B721" i="2"/>
  <c r="E720" i="2"/>
  <c r="D720" i="2"/>
  <c r="B720" i="2"/>
  <c r="E719" i="2"/>
  <c r="D719" i="2"/>
  <c r="B719" i="2"/>
  <c r="E718" i="2"/>
  <c r="D718" i="2"/>
  <c r="B718" i="2"/>
  <c r="E717" i="2"/>
  <c r="D717" i="2"/>
  <c r="B717" i="2"/>
  <c r="E716" i="2"/>
  <c r="D716" i="2"/>
  <c r="B716" i="2"/>
  <c r="E715" i="2"/>
  <c r="D715" i="2"/>
  <c r="B715" i="2"/>
  <c r="E714" i="2"/>
  <c r="D714" i="2"/>
  <c r="B714" i="2"/>
  <c r="E713" i="2"/>
  <c r="D713" i="2"/>
  <c r="B713" i="2"/>
  <c r="E712" i="2"/>
  <c r="D712" i="2"/>
  <c r="B712" i="2"/>
  <c r="E711" i="2"/>
  <c r="D711" i="2"/>
  <c r="B711" i="2"/>
  <c r="E710" i="2"/>
  <c r="D710" i="2"/>
  <c r="B710" i="2"/>
  <c r="E709" i="2"/>
  <c r="D709" i="2"/>
  <c r="B709" i="2"/>
  <c r="E708" i="2"/>
  <c r="D708" i="2"/>
  <c r="B708" i="2"/>
  <c r="E707" i="2"/>
  <c r="D707" i="2"/>
  <c r="B707" i="2"/>
  <c r="E706" i="2"/>
  <c r="D706" i="2"/>
  <c r="B706" i="2"/>
  <c r="E705" i="2"/>
  <c r="D705" i="2"/>
  <c r="B705" i="2"/>
  <c r="E704" i="2"/>
  <c r="D704" i="2"/>
  <c r="B704" i="2"/>
  <c r="E703" i="2"/>
  <c r="D703" i="2"/>
  <c r="B703" i="2"/>
  <c r="E702" i="2"/>
  <c r="D702" i="2"/>
  <c r="B702" i="2"/>
  <c r="E701" i="2"/>
  <c r="D701" i="2"/>
  <c r="B701" i="2"/>
  <c r="E700" i="2"/>
  <c r="D700" i="2"/>
  <c r="B700" i="2"/>
  <c r="E699" i="2"/>
  <c r="D699" i="2"/>
  <c r="B699" i="2"/>
  <c r="E698" i="2"/>
  <c r="D698" i="2"/>
  <c r="B698" i="2"/>
  <c r="E697" i="2"/>
  <c r="D697" i="2"/>
  <c r="B697" i="2"/>
  <c r="E696" i="2"/>
  <c r="D696" i="2"/>
  <c r="B696" i="2"/>
  <c r="E695" i="2"/>
  <c r="D695" i="2"/>
  <c r="B695" i="2"/>
  <c r="E694" i="2"/>
  <c r="D694" i="2"/>
  <c r="B694" i="2"/>
  <c r="E693" i="2"/>
  <c r="D693" i="2"/>
  <c r="B693" i="2"/>
  <c r="E692" i="2"/>
  <c r="D692" i="2"/>
  <c r="B692" i="2"/>
  <c r="E691" i="2"/>
  <c r="D691" i="2"/>
  <c r="B691" i="2"/>
  <c r="E690" i="2"/>
  <c r="D690" i="2"/>
  <c r="B690" i="2"/>
  <c r="E689" i="2"/>
  <c r="D689" i="2"/>
  <c r="B689" i="2"/>
  <c r="E688" i="2"/>
  <c r="D688" i="2"/>
  <c r="B688" i="2"/>
  <c r="E687" i="2"/>
  <c r="D687" i="2"/>
  <c r="B687" i="2"/>
  <c r="E686" i="2"/>
  <c r="D686" i="2"/>
  <c r="B686" i="2"/>
  <c r="E685" i="2"/>
  <c r="D685" i="2"/>
  <c r="B685" i="2"/>
  <c r="E684" i="2"/>
  <c r="D684" i="2"/>
  <c r="B684" i="2"/>
  <c r="E683" i="2"/>
  <c r="D683" i="2"/>
  <c r="B683" i="2"/>
  <c r="E682" i="2"/>
  <c r="D682" i="2"/>
  <c r="B682" i="2"/>
  <c r="E681" i="2"/>
  <c r="D681" i="2"/>
  <c r="B681" i="2"/>
  <c r="E680" i="2"/>
  <c r="D680" i="2"/>
  <c r="B680" i="2"/>
  <c r="E679" i="2"/>
  <c r="D679" i="2"/>
  <c r="B679" i="2"/>
  <c r="E678" i="2"/>
  <c r="D678" i="2"/>
  <c r="B678" i="2"/>
  <c r="E677" i="2"/>
  <c r="D677" i="2"/>
  <c r="B677" i="2"/>
  <c r="E676" i="2"/>
  <c r="D676" i="2"/>
  <c r="B676" i="2"/>
  <c r="E675" i="2"/>
  <c r="D675" i="2"/>
  <c r="B675" i="2"/>
  <c r="E674" i="2"/>
  <c r="D674" i="2"/>
  <c r="B674" i="2"/>
  <c r="E673" i="2"/>
  <c r="D673" i="2"/>
  <c r="B673" i="2"/>
  <c r="E672" i="2"/>
  <c r="D672" i="2"/>
  <c r="B672" i="2"/>
  <c r="E671" i="2"/>
  <c r="D671" i="2"/>
  <c r="B671" i="2"/>
  <c r="E670" i="2"/>
  <c r="D670" i="2"/>
  <c r="B670" i="2"/>
  <c r="E669" i="2"/>
  <c r="D669" i="2"/>
  <c r="B669" i="2"/>
  <c r="E668" i="2"/>
  <c r="D668" i="2"/>
  <c r="B668" i="2"/>
  <c r="E667" i="2"/>
  <c r="D667" i="2"/>
  <c r="B667" i="2"/>
  <c r="E666" i="2"/>
  <c r="D666" i="2"/>
  <c r="B666" i="2"/>
  <c r="E665" i="2"/>
  <c r="D665" i="2"/>
  <c r="B665" i="2"/>
  <c r="E664" i="2"/>
  <c r="D664" i="2"/>
  <c r="B664" i="2"/>
  <c r="E663" i="2"/>
  <c r="D663" i="2"/>
  <c r="B663" i="2"/>
  <c r="E662" i="2"/>
  <c r="D662" i="2"/>
  <c r="B662" i="2"/>
  <c r="E661" i="2"/>
  <c r="D661" i="2"/>
  <c r="B661" i="2"/>
  <c r="E660" i="2"/>
  <c r="D660" i="2"/>
  <c r="B660" i="2"/>
  <c r="E659" i="2"/>
  <c r="D659" i="2"/>
  <c r="B659" i="2"/>
  <c r="E658" i="2"/>
  <c r="D658" i="2"/>
  <c r="B658" i="2"/>
  <c r="E657" i="2"/>
  <c r="D657" i="2"/>
  <c r="B657" i="2"/>
  <c r="E656" i="2"/>
  <c r="D656" i="2"/>
  <c r="B656" i="2"/>
  <c r="E655" i="2"/>
  <c r="D655" i="2"/>
  <c r="B655" i="2"/>
  <c r="E654" i="2"/>
  <c r="D654" i="2"/>
  <c r="B654" i="2"/>
  <c r="E653" i="2"/>
  <c r="D653" i="2"/>
  <c r="B653" i="2"/>
  <c r="E652" i="2"/>
  <c r="D652" i="2"/>
  <c r="B652" i="2"/>
  <c r="E651" i="2"/>
  <c r="D651" i="2"/>
  <c r="B651" i="2"/>
  <c r="E650" i="2"/>
  <c r="D650" i="2"/>
  <c r="B650" i="2"/>
  <c r="E649" i="2"/>
  <c r="D649" i="2"/>
  <c r="B649" i="2"/>
  <c r="E648" i="2"/>
  <c r="D648" i="2"/>
  <c r="B648" i="2"/>
  <c r="E647" i="2"/>
  <c r="D647" i="2"/>
  <c r="B647" i="2"/>
  <c r="E646" i="2"/>
  <c r="D646" i="2"/>
  <c r="B646" i="2"/>
  <c r="E645" i="2"/>
  <c r="D645" i="2"/>
  <c r="B645" i="2"/>
  <c r="E644" i="2"/>
  <c r="D644" i="2"/>
  <c r="B644" i="2"/>
  <c r="E643" i="2"/>
  <c r="D643" i="2"/>
  <c r="B643" i="2"/>
  <c r="E642" i="2"/>
  <c r="D642" i="2"/>
  <c r="B642" i="2"/>
  <c r="E641" i="2"/>
  <c r="D641" i="2"/>
  <c r="B641" i="2"/>
  <c r="E640" i="2"/>
  <c r="D640" i="2"/>
  <c r="B640" i="2"/>
  <c r="E639" i="2"/>
  <c r="D639" i="2"/>
  <c r="B639" i="2"/>
  <c r="E638" i="2"/>
  <c r="D638" i="2"/>
  <c r="B638" i="2"/>
  <c r="E637" i="2"/>
  <c r="D637" i="2"/>
  <c r="B637" i="2"/>
  <c r="E636" i="2"/>
  <c r="D636" i="2"/>
  <c r="B636" i="2"/>
  <c r="E635" i="2"/>
  <c r="D635" i="2"/>
  <c r="B635" i="2"/>
  <c r="E634" i="2"/>
  <c r="D634" i="2"/>
  <c r="B634" i="2"/>
  <c r="E633" i="2"/>
  <c r="D633" i="2"/>
  <c r="B633" i="2"/>
  <c r="E632" i="2"/>
  <c r="D632" i="2"/>
  <c r="B632" i="2"/>
  <c r="E631" i="2"/>
  <c r="D631" i="2"/>
  <c r="B631" i="2"/>
  <c r="E630" i="2"/>
  <c r="D630" i="2"/>
  <c r="B630" i="2"/>
  <c r="E629" i="2"/>
  <c r="D629" i="2"/>
  <c r="B629" i="2"/>
  <c r="E628" i="2"/>
  <c r="D628" i="2"/>
  <c r="B628" i="2"/>
  <c r="E627" i="2"/>
  <c r="D627" i="2"/>
  <c r="B627" i="2"/>
  <c r="E626" i="2"/>
  <c r="D626" i="2"/>
  <c r="B626" i="2"/>
  <c r="E625" i="2"/>
  <c r="D625" i="2"/>
  <c r="B625" i="2"/>
  <c r="E624" i="2"/>
  <c r="D624" i="2"/>
  <c r="B624" i="2"/>
  <c r="E623" i="2"/>
  <c r="D623" i="2"/>
  <c r="B623" i="2"/>
  <c r="E622" i="2"/>
  <c r="D622" i="2"/>
  <c r="B622" i="2"/>
  <c r="E621" i="2"/>
  <c r="D621" i="2"/>
  <c r="B621" i="2"/>
  <c r="E620" i="2"/>
  <c r="D620" i="2"/>
  <c r="B620" i="2"/>
  <c r="E619" i="2"/>
  <c r="D619" i="2"/>
  <c r="B619" i="2"/>
  <c r="E618" i="2"/>
  <c r="D618" i="2"/>
  <c r="B618" i="2"/>
  <c r="E617" i="2"/>
  <c r="D617" i="2"/>
  <c r="B617" i="2"/>
  <c r="E616" i="2"/>
  <c r="D616" i="2"/>
  <c r="B616" i="2"/>
  <c r="E615" i="2"/>
  <c r="D615" i="2"/>
  <c r="B615" i="2"/>
  <c r="E614" i="2"/>
  <c r="D614" i="2"/>
  <c r="B614" i="2"/>
  <c r="E613" i="2"/>
  <c r="D613" i="2"/>
  <c r="B613" i="2"/>
  <c r="E612" i="2"/>
  <c r="D612" i="2"/>
  <c r="B612" i="2"/>
  <c r="E611" i="2"/>
  <c r="D611" i="2"/>
  <c r="B611" i="2"/>
  <c r="E610" i="2"/>
  <c r="D610" i="2"/>
  <c r="B610" i="2"/>
  <c r="E609" i="2"/>
  <c r="D609" i="2"/>
  <c r="B609" i="2"/>
  <c r="E608" i="2"/>
  <c r="D608" i="2"/>
  <c r="B608" i="2"/>
  <c r="E607" i="2"/>
  <c r="D607" i="2"/>
  <c r="B607" i="2"/>
  <c r="E606" i="2"/>
  <c r="D606" i="2"/>
  <c r="B606" i="2"/>
  <c r="E605" i="2"/>
  <c r="D605" i="2"/>
  <c r="B605" i="2"/>
  <c r="E604" i="2"/>
  <c r="D604" i="2"/>
  <c r="B604" i="2"/>
  <c r="E603" i="2"/>
  <c r="D603" i="2"/>
  <c r="B603" i="2"/>
  <c r="E602" i="2"/>
  <c r="D602" i="2"/>
  <c r="B602" i="2"/>
  <c r="E601" i="2"/>
  <c r="D601" i="2"/>
  <c r="B601" i="2"/>
  <c r="E600" i="2"/>
  <c r="D600" i="2"/>
  <c r="B600" i="2"/>
  <c r="E599" i="2"/>
  <c r="D599" i="2"/>
  <c r="B599" i="2"/>
  <c r="E598" i="2"/>
  <c r="D598" i="2"/>
  <c r="B598" i="2"/>
  <c r="E597" i="2"/>
  <c r="D597" i="2"/>
  <c r="B597" i="2"/>
  <c r="E596" i="2"/>
  <c r="D596" i="2"/>
  <c r="B596" i="2"/>
  <c r="E595" i="2"/>
  <c r="D595" i="2"/>
  <c r="B595" i="2"/>
  <c r="E594" i="2"/>
  <c r="D594" i="2"/>
  <c r="B594" i="2"/>
  <c r="E593" i="2"/>
  <c r="D593" i="2"/>
  <c r="B593" i="2"/>
  <c r="E592" i="2"/>
  <c r="D592" i="2"/>
  <c r="B592" i="2"/>
  <c r="E591" i="2"/>
  <c r="D591" i="2"/>
  <c r="B591" i="2"/>
  <c r="E590" i="2"/>
  <c r="D590" i="2"/>
  <c r="B590" i="2"/>
  <c r="E589" i="2"/>
  <c r="D589" i="2"/>
  <c r="B589" i="2"/>
  <c r="E588" i="2"/>
  <c r="D588" i="2"/>
  <c r="B588" i="2"/>
  <c r="E587" i="2"/>
  <c r="D587" i="2"/>
  <c r="B587" i="2"/>
  <c r="E586" i="2"/>
  <c r="D586" i="2"/>
  <c r="B586" i="2"/>
  <c r="E585" i="2"/>
  <c r="D585" i="2"/>
  <c r="B585" i="2"/>
  <c r="E584" i="2"/>
  <c r="D584" i="2"/>
  <c r="B584" i="2"/>
  <c r="E583" i="2"/>
  <c r="D583" i="2"/>
  <c r="B583" i="2"/>
  <c r="E582" i="2"/>
  <c r="D582" i="2"/>
  <c r="B582" i="2"/>
  <c r="E581" i="2"/>
  <c r="D581" i="2"/>
  <c r="B581" i="2"/>
  <c r="E580" i="2"/>
  <c r="D580" i="2"/>
  <c r="B580" i="2"/>
  <c r="E579" i="2"/>
  <c r="D579" i="2"/>
  <c r="B579" i="2"/>
  <c r="E578" i="2"/>
  <c r="D578" i="2"/>
  <c r="B578" i="2"/>
  <c r="E577" i="2"/>
  <c r="D577" i="2"/>
  <c r="B577" i="2"/>
  <c r="E576" i="2"/>
  <c r="D576" i="2"/>
  <c r="B576" i="2"/>
  <c r="E575" i="2"/>
  <c r="D575" i="2"/>
  <c r="B575" i="2"/>
  <c r="E574" i="2"/>
  <c r="D574" i="2"/>
  <c r="B574" i="2"/>
  <c r="E573" i="2"/>
  <c r="D573" i="2"/>
  <c r="B573" i="2"/>
  <c r="E572" i="2"/>
  <c r="D572" i="2"/>
  <c r="B572" i="2"/>
  <c r="E571" i="2"/>
  <c r="D571" i="2"/>
  <c r="B571" i="2"/>
  <c r="E570" i="2"/>
  <c r="D570" i="2"/>
  <c r="B570" i="2"/>
  <c r="E569" i="2"/>
  <c r="D569" i="2"/>
  <c r="B569" i="2"/>
  <c r="E568" i="2"/>
  <c r="D568" i="2"/>
  <c r="B568" i="2"/>
  <c r="E567" i="2"/>
  <c r="D567" i="2"/>
  <c r="B567" i="2"/>
  <c r="E566" i="2"/>
  <c r="D566" i="2"/>
  <c r="B566" i="2"/>
  <c r="E565" i="2"/>
  <c r="D565" i="2"/>
  <c r="B565" i="2"/>
  <c r="E564" i="2"/>
  <c r="D564" i="2"/>
  <c r="B564" i="2"/>
  <c r="E563" i="2"/>
  <c r="D563" i="2"/>
  <c r="B563" i="2"/>
  <c r="E562" i="2"/>
  <c r="D562" i="2"/>
  <c r="B562" i="2"/>
  <c r="E561" i="2"/>
  <c r="D561" i="2"/>
  <c r="B561" i="2"/>
  <c r="E560" i="2"/>
  <c r="D560" i="2"/>
  <c r="B560" i="2"/>
  <c r="E559" i="2"/>
  <c r="D559" i="2"/>
  <c r="B559" i="2"/>
  <c r="E558" i="2"/>
  <c r="D558" i="2"/>
  <c r="B558" i="2"/>
  <c r="E557" i="2"/>
  <c r="D557" i="2"/>
  <c r="B557" i="2"/>
  <c r="E556" i="2"/>
  <c r="D556" i="2"/>
  <c r="B556" i="2"/>
  <c r="E555" i="2"/>
  <c r="D555" i="2"/>
  <c r="B555" i="2"/>
  <c r="E554" i="2"/>
  <c r="D554" i="2"/>
  <c r="B554" i="2"/>
  <c r="E553" i="2"/>
  <c r="D553" i="2"/>
  <c r="B553" i="2"/>
  <c r="E552" i="2"/>
  <c r="D552" i="2"/>
  <c r="B552" i="2"/>
  <c r="E551" i="2"/>
  <c r="D551" i="2"/>
  <c r="B551" i="2"/>
  <c r="E550" i="2"/>
  <c r="D550" i="2"/>
  <c r="B550" i="2"/>
  <c r="E549" i="2"/>
  <c r="D549" i="2"/>
  <c r="B549" i="2"/>
  <c r="E548" i="2"/>
  <c r="D548" i="2"/>
  <c r="B548" i="2"/>
  <c r="E547" i="2"/>
  <c r="D547" i="2"/>
  <c r="B547" i="2"/>
  <c r="E546" i="2"/>
  <c r="D546" i="2"/>
  <c r="B546" i="2"/>
  <c r="E545" i="2"/>
  <c r="D545" i="2"/>
  <c r="B545" i="2"/>
  <c r="E544" i="2"/>
  <c r="D544" i="2"/>
  <c r="B544" i="2"/>
  <c r="E543" i="2"/>
  <c r="D543" i="2"/>
  <c r="B543" i="2"/>
  <c r="E542" i="2"/>
  <c r="D542" i="2"/>
  <c r="B542" i="2"/>
  <c r="E541" i="2"/>
  <c r="D541" i="2"/>
  <c r="B541" i="2"/>
  <c r="E540" i="2"/>
  <c r="D540" i="2"/>
  <c r="B540" i="2"/>
  <c r="E539" i="2"/>
  <c r="D539" i="2"/>
  <c r="B539" i="2"/>
  <c r="E538" i="2"/>
  <c r="D538" i="2"/>
  <c r="B538" i="2"/>
  <c r="E537" i="2"/>
  <c r="D537" i="2"/>
  <c r="B537" i="2"/>
  <c r="E536" i="2"/>
  <c r="D536" i="2"/>
  <c r="B536" i="2"/>
  <c r="E535" i="2"/>
  <c r="D535" i="2"/>
  <c r="B535" i="2"/>
  <c r="E534" i="2"/>
  <c r="D534" i="2"/>
  <c r="B534" i="2"/>
  <c r="E533" i="2"/>
  <c r="D533" i="2"/>
  <c r="B533" i="2"/>
  <c r="E532" i="2"/>
  <c r="D532" i="2"/>
  <c r="B532" i="2"/>
  <c r="E531" i="2"/>
  <c r="D531" i="2"/>
  <c r="B531" i="2"/>
  <c r="E530" i="2"/>
  <c r="D530" i="2"/>
  <c r="B530" i="2"/>
  <c r="E529" i="2"/>
  <c r="D529" i="2"/>
  <c r="B529" i="2"/>
  <c r="E528" i="2"/>
  <c r="D528" i="2"/>
  <c r="B528" i="2"/>
  <c r="E527" i="2"/>
  <c r="D527" i="2"/>
  <c r="B527" i="2"/>
  <c r="E526" i="2"/>
  <c r="D526" i="2"/>
  <c r="B526" i="2"/>
  <c r="E525" i="2"/>
  <c r="D525" i="2"/>
  <c r="B525" i="2"/>
  <c r="E524" i="2"/>
  <c r="D524" i="2"/>
  <c r="B524" i="2"/>
  <c r="E523" i="2"/>
  <c r="D523" i="2"/>
  <c r="B523" i="2"/>
  <c r="E522" i="2"/>
  <c r="D522" i="2"/>
  <c r="B522" i="2"/>
  <c r="E521" i="2"/>
  <c r="D521" i="2"/>
  <c r="B521" i="2"/>
  <c r="E520" i="2"/>
  <c r="D520" i="2"/>
  <c r="B520" i="2"/>
  <c r="E519" i="2"/>
  <c r="D519" i="2"/>
  <c r="B519" i="2"/>
  <c r="E518" i="2"/>
  <c r="D518" i="2"/>
  <c r="B518" i="2"/>
  <c r="E517" i="2"/>
  <c r="D517" i="2"/>
  <c r="B517" i="2"/>
  <c r="E516" i="2"/>
  <c r="D516" i="2"/>
  <c r="B516" i="2"/>
  <c r="E515" i="2"/>
  <c r="D515" i="2"/>
  <c r="B515" i="2"/>
  <c r="E514" i="2"/>
  <c r="D514" i="2"/>
  <c r="B514" i="2"/>
  <c r="E513" i="2"/>
  <c r="D513" i="2"/>
  <c r="B513" i="2"/>
  <c r="E512" i="2"/>
  <c r="D512" i="2"/>
  <c r="B512" i="2"/>
  <c r="E511" i="2"/>
  <c r="D511" i="2"/>
  <c r="B511" i="2"/>
  <c r="E510" i="2"/>
  <c r="D510" i="2"/>
  <c r="B510" i="2"/>
  <c r="E509" i="2"/>
  <c r="D509" i="2"/>
  <c r="B509" i="2"/>
  <c r="E508" i="2"/>
  <c r="D508" i="2"/>
  <c r="B508" i="2"/>
  <c r="E507" i="2"/>
  <c r="D507" i="2"/>
  <c r="B507" i="2"/>
  <c r="E506" i="2"/>
  <c r="D506" i="2"/>
  <c r="B506" i="2"/>
  <c r="E505" i="2"/>
  <c r="D505" i="2"/>
  <c r="B505" i="2"/>
  <c r="E504" i="2"/>
  <c r="D504" i="2"/>
  <c r="B504" i="2"/>
  <c r="E503" i="2"/>
  <c r="D503" i="2"/>
  <c r="B503" i="2"/>
  <c r="E502" i="2"/>
  <c r="D502" i="2"/>
  <c r="B502" i="2"/>
  <c r="E501" i="2"/>
  <c r="D501" i="2"/>
  <c r="B501" i="2"/>
  <c r="E500" i="2"/>
  <c r="D500" i="2"/>
  <c r="B500" i="2"/>
  <c r="E499" i="2"/>
  <c r="D499" i="2"/>
  <c r="B499" i="2"/>
  <c r="E498" i="2"/>
  <c r="D498" i="2"/>
  <c r="B498" i="2"/>
  <c r="E497" i="2"/>
  <c r="D497" i="2"/>
  <c r="B497" i="2"/>
  <c r="E496" i="2"/>
  <c r="D496" i="2"/>
  <c r="B496" i="2"/>
  <c r="E495" i="2"/>
  <c r="D495" i="2"/>
  <c r="B495" i="2"/>
  <c r="E494" i="2"/>
  <c r="D494" i="2"/>
  <c r="B494" i="2"/>
  <c r="E493" i="2"/>
  <c r="D493" i="2"/>
  <c r="B493" i="2"/>
  <c r="E492" i="2"/>
  <c r="D492" i="2"/>
  <c r="B492" i="2"/>
  <c r="E491" i="2"/>
  <c r="D491" i="2"/>
  <c r="B491" i="2"/>
  <c r="E490" i="2"/>
  <c r="D490" i="2"/>
  <c r="B490" i="2"/>
  <c r="E489" i="2"/>
  <c r="D489" i="2"/>
  <c r="B489" i="2"/>
  <c r="E488" i="2"/>
  <c r="D488" i="2"/>
  <c r="B488" i="2"/>
  <c r="E487" i="2"/>
  <c r="D487" i="2"/>
  <c r="B487" i="2"/>
  <c r="E486" i="2"/>
  <c r="D486" i="2"/>
  <c r="B486" i="2"/>
  <c r="E485" i="2"/>
  <c r="D485" i="2"/>
  <c r="B485" i="2"/>
  <c r="E484" i="2"/>
  <c r="D484" i="2"/>
  <c r="B484" i="2"/>
  <c r="E483" i="2"/>
  <c r="D483" i="2"/>
  <c r="B483" i="2"/>
  <c r="E482" i="2"/>
  <c r="D482" i="2"/>
  <c r="B482" i="2"/>
  <c r="E481" i="2"/>
  <c r="D481" i="2"/>
  <c r="B481" i="2"/>
  <c r="E480" i="2"/>
  <c r="D480" i="2"/>
  <c r="B480" i="2"/>
  <c r="E479" i="2"/>
  <c r="D479" i="2"/>
  <c r="B479" i="2"/>
  <c r="E478" i="2"/>
  <c r="D478" i="2"/>
  <c r="B478" i="2"/>
  <c r="E477" i="2"/>
  <c r="D477" i="2"/>
  <c r="B477" i="2"/>
  <c r="E476" i="2"/>
  <c r="D476" i="2"/>
  <c r="B476" i="2"/>
  <c r="E475" i="2"/>
  <c r="D475" i="2"/>
  <c r="B475" i="2"/>
  <c r="E474" i="2"/>
  <c r="D474" i="2"/>
  <c r="B474" i="2"/>
  <c r="E473" i="2"/>
  <c r="D473" i="2"/>
  <c r="B473" i="2"/>
  <c r="E472" i="2"/>
  <c r="D472" i="2"/>
  <c r="B472" i="2"/>
  <c r="E471" i="2"/>
  <c r="D471" i="2"/>
  <c r="B471" i="2"/>
  <c r="E470" i="2"/>
  <c r="D470" i="2"/>
  <c r="B470" i="2"/>
  <c r="E469" i="2"/>
  <c r="D469" i="2"/>
  <c r="B469" i="2"/>
  <c r="E468" i="2"/>
  <c r="D468" i="2"/>
  <c r="B468" i="2"/>
  <c r="E467" i="2"/>
  <c r="D467" i="2"/>
  <c r="B467" i="2"/>
  <c r="E466" i="2"/>
  <c r="D466" i="2"/>
  <c r="B466" i="2"/>
  <c r="E465" i="2"/>
  <c r="D465" i="2"/>
  <c r="B465" i="2"/>
  <c r="E464" i="2"/>
  <c r="D464" i="2"/>
  <c r="B464" i="2"/>
  <c r="E463" i="2"/>
  <c r="D463" i="2"/>
  <c r="B463" i="2"/>
  <c r="E462" i="2"/>
  <c r="D462" i="2"/>
  <c r="B462" i="2"/>
  <c r="E461" i="2"/>
  <c r="D461" i="2"/>
  <c r="B461" i="2"/>
  <c r="E460" i="2"/>
  <c r="D460" i="2"/>
  <c r="B460" i="2"/>
  <c r="E459" i="2"/>
  <c r="D459" i="2"/>
  <c r="B459" i="2"/>
  <c r="E458" i="2"/>
  <c r="D458" i="2"/>
  <c r="B458" i="2"/>
  <c r="E457" i="2"/>
  <c r="D457" i="2"/>
  <c r="B457" i="2"/>
  <c r="E456" i="2"/>
  <c r="D456" i="2"/>
  <c r="B456" i="2"/>
  <c r="E455" i="2"/>
  <c r="D455" i="2"/>
  <c r="B455" i="2"/>
  <c r="E454" i="2"/>
  <c r="D454" i="2"/>
  <c r="B454" i="2"/>
  <c r="E453" i="2"/>
  <c r="D453" i="2"/>
  <c r="B453" i="2"/>
  <c r="E452" i="2"/>
  <c r="D452" i="2"/>
  <c r="B452" i="2"/>
  <c r="E451" i="2"/>
  <c r="D451" i="2"/>
  <c r="B451" i="2"/>
  <c r="E450" i="2"/>
  <c r="D450" i="2"/>
  <c r="B450" i="2"/>
  <c r="E449" i="2"/>
  <c r="D449" i="2"/>
  <c r="B449" i="2"/>
  <c r="E448" i="2"/>
  <c r="D448" i="2"/>
  <c r="B448" i="2"/>
  <c r="E447" i="2"/>
  <c r="D447" i="2"/>
  <c r="B447" i="2"/>
  <c r="E446" i="2"/>
  <c r="D446" i="2"/>
  <c r="B446" i="2"/>
  <c r="E445" i="2"/>
  <c r="D445" i="2"/>
  <c r="B445" i="2"/>
  <c r="E444" i="2"/>
  <c r="D444" i="2"/>
  <c r="B444" i="2"/>
  <c r="E443" i="2"/>
  <c r="D443" i="2"/>
  <c r="B443" i="2"/>
  <c r="E442" i="2"/>
  <c r="D442" i="2"/>
  <c r="B442" i="2"/>
  <c r="E441" i="2"/>
  <c r="D441" i="2"/>
  <c r="B441" i="2"/>
  <c r="E440" i="2"/>
  <c r="D440" i="2"/>
  <c r="B440" i="2"/>
  <c r="E439" i="2"/>
  <c r="D439" i="2"/>
  <c r="B439" i="2"/>
  <c r="E438" i="2"/>
  <c r="D438" i="2"/>
  <c r="B438" i="2"/>
  <c r="E437" i="2"/>
  <c r="D437" i="2"/>
  <c r="B437" i="2"/>
  <c r="E436" i="2"/>
  <c r="D436" i="2"/>
  <c r="B436" i="2"/>
  <c r="E435" i="2"/>
  <c r="D435" i="2"/>
  <c r="B435" i="2"/>
  <c r="E434" i="2"/>
  <c r="D434" i="2"/>
  <c r="B434" i="2"/>
  <c r="E433" i="2"/>
  <c r="D433" i="2"/>
  <c r="B433" i="2"/>
  <c r="E432" i="2"/>
  <c r="D432" i="2"/>
  <c r="B432" i="2"/>
  <c r="E431" i="2"/>
  <c r="D431" i="2"/>
  <c r="B431" i="2"/>
  <c r="E430" i="2"/>
  <c r="D430" i="2"/>
  <c r="B430" i="2"/>
  <c r="E429" i="2"/>
  <c r="D429" i="2"/>
  <c r="B429" i="2"/>
  <c r="E428" i="2"/>
  <c r="D428" i="2"/>
  <c r="B428" i="2"/>
  <c r="E427" i="2"/>
  <c r="D427" i="2"/>
  <c r="B427" i="2"/>
  <c r="E426" i="2"/>
  <c r="D426" i="2"/>
  <c r="B426" i="2"/>
  <c r="E425" i="2"/>
  <c r="D425" i="2"/>
  <c r="B425" i="2"/>
  <c r="E424" i="2"/>
  <c r="D424" i="2"/>
  <c r="B424" i="2"/>
  <c r="E423" i="2"/>
  <c r="D423" i="2"/>
  <c r="B423" i="2"/>
  <c r="E422" i="2"/>
  <c r="D422" i="2"/>
  <c r="B422" i="2"/>
  <c r="E421" i="2"/>
  <c r="D421" i="2"/>
  <c r="B421" i="2"/>
  <c r="E420" i="2"/>
  <c r="D420" i="2"/>
  <c r="B420" i="2"/>
  <c r="E419" i="2"/>
  <c r="D419" i="2"/>
  <c r="B419" i="2"/>
  <c r="E418" i="2"/>
  <c r="D418" i="2"/>
  <c r="B418" i="2"/>
  <c r="E417" i="2"/>
  <c r="D417" i="2"/>
  <c r="B417" i="2"/>
  <c r="E416" i="2"/>
  <c r="D416" i="2"/>
  <c r="B416" i="2"/>
  <c r="E415" i="2"/>
  <c r="D415" i="2"/>
  <c r="B415" i="2"/>
  <c r="E414" i="2"/>
  <c r="D414" i="2"/>
  <c r="B414" i="2"/>
  <c r="E413" i="2"/>
  <c r="D413" i="2"/>
  <c r="B413" i="2"/>
  <c r="E412" i="2"/>
  <c r="D412" i="2"/>
  <c r="B412" i="2"/>
  <c r="E411" i="2"/>
  <c r="D411" i="2"/>
  <c r="B411" i="2"/>
  <c r="E410" i="2"/>
  <c r="D410" i="2"/>
  <c r="B410" i="2"/>
  <c r="E409" i="2"/>
  <c r="D409" i="2"/>
  <c r="B409" i="2"/>
  <c r="E408" i="2"/>
  <c r="D408" i="2"/>
  <c r="B408" i="2"/>
  <c r="E407" i="2"/>
  <c r="D407" i="2"/>
  <c r="B407" i="2"/>
  <c r="E406" i="2"/>
  <c r="D406" i="2"/>
  <c r="B406" i="2"/>
  <c r="E405" i="2"/>
  <c r="D405" i="2"/>
  <c r="B405" i="2"/>
  <c r="E404" i="2"/>
  <c r="D404" i="2"/>
  <c r="B404" i="2"/>
  <c r="E403" i="2"/>
  <c r="D403" i="2"/>
  <c r="B403" i="2"/>
  <c r="E402" i="2"/>
  <c r="D402" i="2"/>
  <c r="B402" i="2"/>
  <c r="E401" i="2"/>
  <c r="D401" i="2"/>
  <c r="B401" i="2"/>
  <c r="E400" i="2"/>
  <c r="D400" i="2"/>
  <c r="B400" i="2"/>
  <c r="E399" i="2"/>
  <c r="D399" i="2"/>
  <c r="B399" i="2"/>
  <c r="E398" i="2"/>
  <c r="D398" i="2"/>
  <c r="B398" i="2"/>
  <c r="E397" i="2"/>
  <c r="D397" i="2"/>
  <c r="B397" i="2"/>
  <c r="E396" i="2"/>
  <c r="D396" i="2"/>
  <c r="B396" i="2"/>
  <c r="E395" i="2"/>
  <c r="D395" i="2"/>
  <c r="B395" i="2"/>
  <c r="E394" i="2"/>
  <c r="D394" i="2"/>
  <c r="B394" i="2"/>
  <c r="E393" i="2"/>
  <c r="D393" i="2"/>
  <c r="B393" i="2"/>
  <c r="E392" i="2"/>
  <c r="D392" i="2"/>
  <c r="B392" i="2"/>
  <c r="E391" i="2"/>
  <c r="D391" i="2"/>
  <c r="B391" i="2"/>
  <c r="E390" i="2"/>
  <c r="D390" i="2"/>
  <c r="B390" i="2"/>
  <c r="E389" i="2"/>
  <c r="D389" i="2"/>
  <c r="B389" i="2"/>
  <c r="E388" i="2"/>
  <c r="D388" i="2"/>
  <c r="B388" i="2"/>
  <c r="E387" i="2"/>
  <c r="D387" i="2"/>
  <c r="B387" i="2"/>
  <c r="E386" i="2"/>
  <c r="D386" i="2"/>
  <c r="B386" i="2"/>
  <c r="E385" i="2"/>
  <c r="D385" i="2"/>
  <c r="B385" i="2"/>
  <c r="E384" i="2"/>
  <c r="D384" i="2"/>
  <c r="B384" i="2"/>
  <c r="E383" i="2"/>
  <c r="D383" i="2"/>
  <c r="B383" i="2"/>
  <c r="E382" i="2"/>
  <c r="D382" i="2"/>
  <c r="B382" i="2"/>
  <c r="E381" i="2"/>
  <c r="D381" i="2"/>
  <c r="B381" i="2"/>
  <c r="E380" i="2"/>
  <c r="D380" i="2"/>
  <c r="B380" i="2"/>
  <c r="E379" i="2"/>
  <c r="D379" i="2"/>
  <c r="B379" i="2"/>
  <c r="E378" i="2"/>
  <c r="D378" i="2"/>
  <c r="B378" i="2"/>
  <c r="E377" i="2"/>
  <c r="D377" i="2"/>
  <c r="B377" i="2"/>
  <c r="E376" i="2"/>
  <c r="D376" i="2"/>
  <c r="B376" i="2"/>
  <c r="E375" i="2"/>
  <c r="D375" i="2"/>
  <c r="B375" i="2"/>
  <c r="E374" i="2"/>
  <c r="D374" i="2"/>
  <c r="B374" i="2"/>
  <c r="E373" i="2"/>
  <c r="D373" i="2"/>
  <c r="B373" i="2"/>
  <c r="E372" i="2"/>
  <c r="D372" i="2"/>
  <c r="B372" i="2"/>
  <c r="E371" i="2"/>
  <c r="D371" i="2"/>
  <c r="B371" i="2"/>
  <c r="E370" i="2"/>
  <c r="D370" i="2"/>
  <c r="B370" i="2"/>
  <c r="E369" i="2"/>
  <c r="D369" i="2"/>
  <c r="B369" i="2"/>
  <c r="E368" i="2"/>
  <c r="D368" i="2"/>
  <c r="B368" i="2"/>
  <c r="E367" i="2"/>
  <c r="D367" i="2"/>
  <c r="B367" i="2"/>
  <c r="E366" i="2"/>
  <c r="D366" i="2"/>
  <c r="B366" i="2"/>
  <c r="E365" i="2"/>
  <c r="D365" i="2"/>
  <c r="B365" i="2"/>
  <c r="E364" i="2"/>
  <c r="D364" i="2"/>
  <c r="B364" i="2"/>
  <c r="E363" i="2"/>
  <c r="D363" i="2"/>
  <c r="B363" i="2"/>
  <c r="E362" i="2"/>
  <c r="D362" i="2"/>
  <c r="B362" i="2"/>
  <c r="E361" i="2"/>
  <c r="D361" i="2"/>
  <c r="B361" i="2"/>
  <c r="E360" i="2"/>
  <c r="D360" i="2"/>
  <c r="B360" i="2"/>
  <c r="E359" i="2"/>
  <c r="D359" i="2"/>
  <c r="B359" i="2"/>
  <c r="E358" i="2"/>
  <c r="D358" i="2"/>
  <c r="B358" i="2"/>
  <c r="E357" i="2"/>
  <c r="D357" i="2"/>
  <c r="B357" i="2"/>
  <c r="E356" i="2"/>
  <c r="D356" i="2"/>
  <c r="B356" i="2"/>
  <c r="E355" i="2"/>
  <c r="D355" i="2"/>
  <c r="B355" i="2"/>
  <c r="E354" i="2"/>
  <c r="D354" i="2"/>
  <c r="B354" i="2"/>
  <c r="E353" i="2"/>
  <c r="D353" i="2"/>
  <c r="B353" i="2"/>
  <c r="E352" i="2"/>
  <c r="D352" i="2"/>
  <c r="B352" i="2"/>
  <c r="E351" i="2"/>
  <c r="D351" i="2"/>
  <c r="B351" i="2"/>
  <c r="E350" i="2"/>
  <c r="D350" i="2"/>
  <c r="B350" i="2"/>
  <c r="E349" i="2"/>
  <c r="D349" i="2"/>
  <c r="B349" i="2"/>
  <c r="E348" i="2"/>
  <c r="D348" i="2"/>
  <c r="B348" i="2"/>
  <c r="E347" i="2"/>
  <c r="D347" i="2"/>
  <c r="B347" i="2"/>
  <c r="E346" i="2"/>
  <c r="D346" i="2"/>
  <c r="B346" i="2"/>
  <c r="E345" i="2"/>
  <c r="D345" i="2"/>
  <c r="B345" i="2"/>
  <c r="E344" i="2"/>
  <c r="D344" i="2"/>
  <c r="B344" i="2"/>
  <c r="E343" i="2"/>
  <c r="D343" i="2"/>
  <c r="B343" i="2"/>
  <c r="E342" i="2"/>
  <c r="D342" i="2"/>
  <c r="B342" i="2"/>
  <c r="E341" i="2"/>
  <c r="D341" i="2"/>
  <c r="B341" i="2"/>
  <c r="E340" i="2"/>
  <c r="D340" i="2"/>
  <c r="B340" i="2"/>
  <c r="E339" i="2"/>
  <c r="D339" i="2"/>
  <c r="B339" i="2"/>
  <c r="E338" i="2"/>
  <c r="D338" i="2"/>
  <c r="B338" i="2"/>
  <c r="E337" i="2"/>
  <c r="D337" i="2"/>
  <c r="B337" i="2"/>
  <c r="E336" i="2"/>
  <c r="D336" i="2"/>
  <c r="B336" i="2"/>
  <c r="E335" i="2"/>
  <c r="D335" i="2"/>
  <c r="B335" i="2"/>
  <c r="E334" i="2"/>
  <c r="D334" i="2"/>
  <c r="B334" i="2"/>
  <c r="E333" i="2"/>
  <c r="D333" i="2"/>
  <c r="B333" i="2"/>
  <c r="E332" i="2"/>
  <c r="D332" i="2"/>
  <c r="B332" i="2"/>
  <c r="E331" i="2"/>
  <c r="D331" i="2"/>
  <c r="B331" i="2"/>
  <c r="E330" i="2"/>
  <c r="D330" i="2"/>
  <c r="B330" i="2"/>
  <c r="E329" i="2"/>
  <c r="D329" i="2"/>
  <c r="B329" i="2"/>
  <c r="E328" i="2"/>
  <c r="D328" i="2"/>
  <c r="B328" i="2"/>
  <c r="E327" i="2"/>
  <c r="D327" i="2"/>
  <c r="B327" i="2"/>
  <c r="E326" i="2"/>
  <c r="D326" i="2"/>
  <c r="B326" i="2"/>
  <c r="E325" i="2"/>
  <c r="D325" i="2"/>
  <c r="B325" i="2"/>
  <c r="E324" i="2"/>
  <c r="D324" i="2"/>
  <c r="B324" i="2"/>
  <c r="E323" i="2"/>
  <c r="D323" i="2"/>
  <c r="B323" i="2"/>
  <c r="E322" i="2"/>
  <c r="D322" i="2"/>
  <c r="B322" i="2"/>
  <c r="E321" i="2"/>
  <c r="D321" i="2"/>
  <c r="B321" i="2"/>
  <c r="E320" i="2"/>
  <c r="D320" i="2"/>
  <c r="B320" i="2"/>
  <c r="E319" i="2"/>
  <c r="D319" i="2"/>
  <c r="B319" i="2"/>
  <c r="E318" i="2"/>
  <c r="D318" i="2"/>
  <c r="B318" i="2"/>
  <c r="E317" i="2"/>
  <c r="D317" i="2"/>
  <c r="B317" i="2"/>
  <c r="E316" i="2"/>
  <c r="D316" i="2"/>
  <c r="B316" i="2"/>
  <c r="E315" i="2"/>
  <c r="D315" i="2"/>
  <c r="B315" i="2"/>
  <c r="E314" i="2"/>
  <c r="D314" i="2"/>
  <c r="B314" i="2"/>
  <c r="E313" i="2"/>
  <c r="D313" i="2"/>
  <c r="B313" i="2"/>
  <c r="E312" i="2"/>
  <c r="D312" i="2"/>
  <c r="B312" i="2"/>
  <c r="E311" i="2"/>
  <c r="D311" i="2"/>
  <c r="B311" i="2"/>
  <c r="E310" i="2"/>
  <c r="D310" i="2"/>
  <c r="B310" i="2"/>
  <c r="E309" i="2"/>
  <c r="D309" i="2"/>
  <c r="B309" i="2"/>
  <c r="E308" i="2"/>
  <c r="D308" i="2"/>
  <c r="B308" i="2"/>
  <c r="E307" i="2"/>
  <c r="D307" i="2"/>
  <c r="B307" i="2"/>
  <c r="E306" i="2"/>
  <c r="D306" i="2"/>
  <c r="B306" i="2"/>
  <c r="E305" i="2"/>
  <c r="D305" i="2"/>
  <c r="B305" i="2"/>
  <c r="E304" i="2"/>
  <c r="D304" i="2"/>
  <c r="B304" i="2"/>
  <c r="E303" i="2"/>
  <c r="D303" i="2"/>
  <c r="B303" i="2"/>
  <c r="E302" i="2"/>
  <c r="D302" i="2"/>
  <c r="B302" i="2"/>
  <c r="E301" i="2"/>
  <c r="D301" i="2"/>
  <c r="B301" i="2"/>
  <c r="E300" i="2"/>
  <c r="D300" i="2"/>
  <c r="B300" i="2"/>
  <c r="E299" i="2"/>
  <c r="D299" i="2"/>
  <c r="B299" i="2"/>
  <c r="E298" i="2"/>
  <c r="D298" i="2"/>
  <c r="B298" i="2"/>
  <c r="E297" i="2"/>
  <c r="D297" i="2"/>
  <c r="B297" i="2"/>
  <c r="E296" i="2"/>
  <c r="D296" i="2"/>
  <c r="B296" i="2"/>
  <c r="E295" i="2"/>
  <c r="D295" i="2"/>
  <c r="B295" i="2"/>
  <c r="E294" i="2"/>
  <c r="D294" i="2"/>
  <c r="B294" i="2"/>
  <c r="E293" i="2"/>
  <c r="D293" i="2"/>
  <c r="B293" i="2"/>
  <c r="E292" i="2"/>
  <c r="D292" i="2"/>
  <c r="B292" i="2"/>
  <c r="E291" i="2"/>
  <c r="D291" i="2"/>
  <c r="B291" i="2"/>
  <c r="E290" i="2"/>
  <c r="D290" i="2"/>
  <c r="B290" i="2"/>
  <c r="E289" i="2"/>
  <c r="D289" i="2"/>
  <c r="B289" i="2"/>
  <c r="E288" i="2"/>
  <c r="D288" i="2"/>
  <c r="B288" i="2"/>
  <c r="E287" i="2"/>
  <c r="D287" i="2"/>
  <c r="B287" i="2"/>
  <c r="E286" i="2"/>
  <c r="D286" i="2"/>
  <c r="B286" i="2"/>
  <c r="E285" i="2"/>
  <c r="D285" i="2"/>
  <c r="B285" i="2"/>
  <c r="E284" i="2"/>
  <c r="D284" i="2"/>
  <c r="B284" i="2"/>
  <c r="E283" i="2"/>
  <c r="D283" i="2"/>
  <c r="B283" i="2"/>
  <c r="E282" i="2"/>
  <c r="D282" i="2"/>
  <c r="B282" i="2"/>
  <c r="E281" i="2"/>
  <c r="D281" i="2"/>
  <c r="B281" i="2"/>
  <c r="E280" i="2"/>
  <c r="D280" i="2"/>
  <c r="B280" i="2"/>
  <c r="E279" i="2"/>
  <c r="D279" i="2"/>
  <c r="B279" i="2"/>
  <c r="E278" i="2"/>
  <c r="D278" i="2"/>
  <c r="B278" i="2"/>
  <c r="E277" i="2"/>
  <c r="D277" i="2"/>
  <c r="B277" i="2"/>
  <c r="E276" i="2"/>
  <c r="D276" i="2"/>
  <c r="B276" i="2"/>
  <c r="E275" i="2"/>
  <c r="D275" i="2"/>
  <c r="B275" i="2"/>
  <c r="E274" i="2"/>
  <c r="D274" i="2"/>
  <c r="B274" i="2"/>
  <c r="E273" i="2"/>
  <c r="D273" i="2"/>
  <c r="B273" i="2"/>
  <c r="E272" i="2"/>
  <c r="D272" i="2"/>
  <c r="B272" i="2"/>
  <c r="E271" i="2"/>
  <c r="D271" i="2"/>
  <c r="B271" i="2"/>
  <c r="E270" i="2"/>
  <c r="D270" i="2"/>
  <c r="B270" i="2"/>
  <c r="E269" i="2"/>
  <c r="D269" i="2"/>
  <c r="B269" i="2"/>
  <c r="E268" i="2"/>
  <c r="D268" i="2"/>
  <c r="B268" i="2"/>
  <c r="E267" i="2"/>
  <c r="D267" i="2"/>
  <c r="B267" i="2"/>
  <c r="E266" i="2"/>
  <c r="D266" i="2"/>
  <c r="B266" i="2"/>
  <c r="E265" i="2"/>
  <c r="D265" i="2"/>
  <c r="B265" i="2"/>
  <c r="E264" i="2"/>
  <c r="D264" i="2"/>
  <c r="B264" i="2"/>
  <c r="E263" i="2"/>
  <c r="D263" i="2"/>
  <c r="B263" i="2"/>
  <c r="E262" i="2"/>
  <c r="D262" i="2"/>
  <c r="B262" i="2"/>
  <c r="E261" i="2"/>
  <c r="D261" i="2"/>
  <c r="B261" i="2"/>
  <c r="E260" i="2"/>
  <c r="D260" i="2"/>
  <c r="B260" i="2"/>
  <c r="E259" i="2"/>
  <c r="D259" i="2"/>
  <c r="B259" i="2"/>
  <c r="E258" i="2"/>
  <c r="D258" i="2"/>
  <c r="B258" i="2"/>
  <c r="E257" i="2"/>
  <c r="D257" i="2"/>
  <c r="B257" i="2"/>
  <c r="E256" i="2"/>
  <c r="D256" i="2"/>
  <c r="B256" i="2"/>
  <c r="E255" i="2"/>
  <c r="D255" i="2"/>
  <c r="B255" i="2"/>
  <c r="E254" i="2"/>
  <c r="D254" i="2"/>
  <c r="B254" i="2"/>
  <c r="E253" i="2"/>
  <c r="D253" i="2"/>
  <c r="B253" i="2"/>
  <c r="E252" i="2"/>
  <c r="D252" i="2"/>
  <c r="B252" i="2"/>
  <c r="E251" i="2"/>
  <c r="D251" i="2"/>
  <c r="B251" i="2"/>
  <c r="E250" i="2"/>
  <c r="D250" i="2"/>
  <c r="B250" i="2"/>
  <c r="E249" i="2"/>
  <c r="D249" i="2"/>
  <c r="B249" i="2"/>
  <c r="E248" i="2"/>
  <c r="D248" i="2"/>
  <c r="B248" i="2"/>
  <c r="E247" i="2"/>
  <c r="D247" i="2"/>
  <c r="B247" i="2"/>
  <c r="E246" i="2"/>
  <c r="D246" i="2"/>
  <c r="B246" i="2"/>
  <c r="E245" i="2"/>
  <c r="D245" i="2"/>
  <c r="B245" i="2"/>
  <c r="E244" i="2"/>
  <c r="D244" i="2"/>
  <c r="B244" i="2"/>
  <c r="E243" i="2"/>
  <c r="D243" i="2"/>
  <c r="B243" i="2"/>
  <c r="E242" i="2"/>
  <c r="D242" i="2"/>
  <c r="B242" i="2"/>
  <c r="E241" i="2"/>
  <c r="D241" i="2"/>
  <c r="B241" i="2"/>
  <c r="E240" i="2"/>
  <c r="D240" i="2"/>
  <c r="B240" i="2"/>
  <c r="E239" i="2"/>
  <c r="D239" i="2"/>
  <c r="B239" i="2"/>
  <c r="E238" i="2"/>
  <c r="D238" i="2"/>
  <c r="B238" i="2"/>
  <c r="E237" i="2"/>
  <c r="D237" i="2"/>
  <c r="B237" i="2"/>
  <c r="E236" i="2"/>
  <c r="D236" i="2"/>
  <c r="B236" i="2"/>
  <c r="E235" i="2"/>
  <c r="D235" i="2"/>
  <c r="B235" i="2"/>
  <c r="E234" i="2"/>
  <c r="D234" i="2"/>
  <c r="B234" i="2"/>
  <c r="E233" i="2"/>
  <c r="D233" i="2"/>
  <c r="B233" i="2"/>
  <c r="E232" i="2"/>
  <c r="D232" i="2"/>
  <c r="B232" i="2"/>
  <c r="E231" i="2"/>
  <c r="D231" i="2"/>
  <c r="B231" i="2"/>
  <c r="E230" i="2"/>
  <c r="D230" i="2"/>
  <c r="B230" i="2"/>
  <c r="E229" i="2"/>
  <c r="D229" i="2"/>
  <c r="B229" i="2"/>
  <c r="E228" i="2"/>
  <c r="D228" i="2"/>
  <c r="B228" i="2"/>
  <c r="E227" i="2"/>
  <c r="D227" i="2"/>
  <c r="B227" i="2"/>
  <c r="E226" i="2"/>
  <c r="D226" i="2"/>
  <c r="B226" i="2"/>
  <c r="E225" i="2"/>
  <c r="D225" i="2"/>
  <c r="B225" i="2"/>
  <c r="E224" i="2"/>
  <c r="D224" i="2"/>
  <c r="B224" i="2"/>
  <c r="E223" i="2"/>
  <c r="D223" i="2"/>
  <c r="B223" i="2"/>
  <c r="E222" i="2"/>
  <c r="D222" i="2"/>
  <c r="B222" i="2"/>
  <c r="E221" i="2"/>
  <c r="D221" i="2"/>
  <c r="B221" i="2"/>
  <c r="E220" i="2"/>
  <c r="D220" i="2"/>
  <c r="B220" i="2"/>
  <c r="E219" i="2"/>
  <c r="D219" i="2"/>
  <c r="B219" i="2"/>
  <c r="E218" i="2"/>
  <c r="D218" i="2"/>
  <c r="B218" i="2"/>
  <c r="E217" i="2"/>
  <c r="D217" i="2"/>
  <c r="B217" i="2"/>
  <c r="E216" i="2"/>
  <c r="D216" i="2"/>
  <c r="B216" i="2"/>
  <c r="E215" i="2"/>
  <c r="D215" i="2"/>
  <c r="B215" i="2"/>
  <c r="E214" i="2"/>
  <c r="D214" i="2"/>
  <c r="B214" i="2"/>
  <c r="E213" i="2"/>
  <c r="D213" i="2"/>
  <c r="B213" i="2"/>
  <c r="E212" i="2"/>
  <c r="D212" i="2"/>
  <c r="B212" i="2"/>
  <c r="E211" i="2"/>
  <c r="D211" i="2"/>
  <c r="B211" i="2"/>
  <c r="E210" i="2"/>
  <c r="D210" i="2"/>
  <c r="B210" i="2"/>
  <c r="E209" i="2"/>
  <c r="D209" i="2"/>
  <c r="B209" i="2"/>
  <c r="E208" i="2"/>
  <c r="D208" i="2"/>
  <c r="B208" i="2"/>
  <c r="E207" i="2"/>
  <c r="D207" i="2"/>
  <c r="B207" i="2"/>
  <c r="E206" i="2"/>
  <c r="D206" i="2"/>
  <c r="B206" i="2"/>
  <c r="E205" i="2"/>
  <c r="D205" i="2"/>
  <c r="B205" i="2"/>
  <c r="E204" i="2"/>
  <c r="D204" i="2"/>
  <c r="B204" i="2"/>
  <c r="E203" i="2"/>
  <c r="D203" i="2"/>
  <c r="B203" i="2"/>
  <c r="E202" i="2"/>
  <c r="D202" i="2"/>
  <c r="B202" i="2"/>
  <c r="E201" i="2"/>
  <c r="D201" i="2"/>
  <c r="B201" i="2"/>
  <c r="E200" i="2"/>
  <c r="D200" i="2"/>
  <c r="B200" i="2"/>
  <c r="E199" i="2"/>
  <c r="D199" i="2"/>
  <c r="B199" i="2"/>
  <c r="E198" i="2"/>
  <c r="D198" i="2"/>
  <c r="B198" i="2"/>
  <c r="E197" i="2"/>
  <c r="D197" i="2"/>
  <c r="B197" i="2"/>
  <c r="E196" i="2"/>
  <c r="D196" i="2"/>
  <c r="B196" i="2"/>
  <c r="E195" i="2"/>
  <c r="D195" i="2"/>
  <c r="B195" i="2"/>
  <c r="E194" i="2"/>
  <c r="D194" i="2"/>
  <c r="B194" i="2"/>
  <c r="E193" i="2"/>
  <c r="D193" i="2"/>
  <c r="B193" i="2"/>
  <c r="E192" i="2"/>
  <c r="D192" i="2"/>
  <c r="B192" i="2"/>
  <c r="E191" i="2"/>
  <c r="D191" i="2"/>
  <c r="B191" i="2"/>
  <c r="E190" i="2"/>
  <c r="D190" i="2"/>
  <c r="B190" i="2"/>
  <c r="E189" i="2"/>
  <c r="D189" i="2"/>
  <c r="B189" i="2"/>
  <c r="E188" i="2"/>
  <c r="D188" i="2"/>
  <c r="B188" i="2"/>
  <c r="E187" i="2"/>
  <c r="D187" i="2"/>
  <c r="B187" i="2"/>
  <c r="E186" i="2"/>
  <c r="D186" i="2"/>
  <c r="B186" i="2"/>
  <c r="E185" i="2"/>
  <c r="D185" i="2"/>
  <c r="B185" i="2"/>
  <c r="E184" i="2"/>
  <c r="D184" i="2"/>
  <c r="B184" i="2"/>
  <c r="E183" i="2"/>
  <c r="D183" i="2"/>
  <c r="B183" i="2"/>
  <c r="E182" i="2"/>
  <c r="D182" i="2"/>
  <c r="B182" i="2"/>
  <c r="E181" i="2"/>
  <c r="D181" i="2"/>
  <c r="B181" i="2"/>
  <c r="E180" i="2"/>
  <c r="D180" i="2"/>
  <c r="B180" i="2"/>
  <c r="E179" i="2"/>
  <c r="D179" i="2"/>
  <c r="B179" i="2"/>
  <c r="E178" i="2"/>
  <c r="D178" i="2"/>
  <c r="B178" i="2"/>
  <c r="E177" i="2"/>
  <c r="D177" i="2"/>
  <c r="B177" i="2"/>
  <c r="E176" i="2"/>
  <c r="D176" i="2"/>
  <c r="B176" i="2"/>
  <c r="E175" i="2"/>
  <c r="D175" i="2"/>
  <c r="B175" i="2"/>
  <c r="E174" i="2"/>
  <c r="D174" i="2"/>
  <c r="B174" i="2"/>
  <c r="E173" i="2"/>
  <c r="D173" i="2"/>
  <c r="B173" i="2"/>
  <c r="E172" i="2"/>
  <c r="D172" i="2"/>
  <c r="B172" i="2"/>
  <c r="E171" i="2"/>
  <c r="D171" i="2"/>
  <c r="B171" i="2"/>
  <c r="E170" i="2"/>
  <c r="D170" i="2"/>
  <c r="B170" i="2"/>
  <c r="E169" i="2"/>
  <c r="D169" i="2"/>
  <c r="B169" i="2"/>
  <c r="E168" i="2"/>
  <c r="D168" i="2"/>
  <c r="B168" i="2"/>
  <c r="E167" i="2"/>
  <c r="D167" i="2"/>
  <c r="B167" i="2"/>
  <c r="E166" i="2"/>
  <c r="D166" i="2"/>
  <c r="B166" i="2"/>
  <c r="E165" i="2"/>
  <c r="D165" i="2"/>
  <c r="B165" i="2"/>
  <c r="E164" i="2"/>
  <c r="D164" i="2"/>
  <c r="B164" i="2"/>
  <c r="E163" i="2"/>
  <c r="D163" i="2"/>
  <c r="B163" i="2"/>
  <c r="E162" i="2"/>
  <c r="D162" i="2"/>
  <c r="B162" i="2"/>
  <c r="E161" i="2"/>
  <c r="D161" i="2"/>
  <c r="B161" i="2"/>
  <c r="E160" i="2"/>
  <c r="D160" i="2"/>
  <c r="B160" i="2"/>
  <c r="E159" i="2"/>
  <c r="D159" i="2"/>
  <c r="B159" i="2"/>
  <c r="E158" i="2"/>
  <c r="D158" i="2"/>
  <c r="B158" i="2"/>
  <c r="E157" i="2"/>
  <c r="D157" i="2"/>
  <c r="B157" i="2"/>
  <c r="E156" i="2"/>
  <c r="D156" i="2"/>
  <c r="B156" i="2"/>
  <c r="E155" i="2"/>
  <c r="D155" i="2"/>
  <c r="B155" i="2"/>
  <c r="E154" i="2"/>
  <c r="D154" i="2"/>
  <c r="B154" i="2"/>
  <c r="E153" i="2"/>
  <c r="D153" i="2"/>
  <c r="B153" i="2"/>
  <c r="E152" i="2"/>
  <c r="D152" i="2"/>
  <c r="B152" i="2"/>
  <c r="E151" i="2"/>
  <c r="D151" i="2"/>
  <c r="B151" i="2"/>
  <c r="E150" i="2"/>
  <c r="D150" i="2"/>
  <c r="B150" i="2"/>
  <c r="E149" i="2"/>
  <c r="D149" i="2"/>
  <c r="B149" i="2"/>
  <c r="E148" i="2"/>
  <c r="D148" i="2"/>
  <c r="B148" i="2"/>
  <c r="E147" i="2"/>
  <c r="D147" i="2"/>
  <c r="B147" i="2"/>
  <c r="E146" i="2"/>
  <c r="D146" i="2"/>
  <c r="B146" i="2"/>
  <c r="E145" i="2"/>
  <c r="D145" i="2"/>
  <c r="B145" i="2"/>
  <c r="E144" i="2"/>
  <c r="D144" i="2"/>
  <c r="B144" i="2"/>
  <c r="E143" i="2"/>
  <c r="D143" i="2"/>
  <c r="B143" i="2"/>
  <c r="E142" i="2"/>
  <c r="D142" i="2"/>
  <c r="B142" i="2"/>
  <c r="E141" i="2"/>
  <c r="D141" i="2"/>
  <c r="B141" i="2"/>
  <c r="E140" i="2"/>
  <c r="D140" i="2"/>
  <c r="B140" i="2"/>
  <c r="E139" i="2"/>
  <c r="D139" i="2"/>
  <c r="B139" i="2"/>
  <c r="E138" i="2"/>
  <c r="D138" i="2"/>
  <c r="B138" i="2"/>
  <c r="E137" i="2"/>
  <c r="D137" i="2"/>
  <c r="B137" i="2"/>
  <c r="E136" i="2"/>
  <c r="D136" i="2"/>
  <c r="B136" i="2"/>
  <c r="E135" i="2"/>
  <c r="D135" i="2"/>
  <c r="B135" i="2"/>
  <c r="E134" i="2"/>
  <c r="D134" i="2"/>
  <c r="B134" i="2"/>
  <c r="E133" i="2"/>
  <c r="D133" i="2"/>
  <c r="B133" i="2"/>
  <c r="E132" i="2"/>
  <c r="D132" i="2"/>
  <c r="B132" i="2"/>
  <c r="E131" i="2"/>
  <c r="D131" i="2"/>
  <c r="B131" i="2"/>
  <c r="E130" i="2"/>
  <c r="D130" i="2"/>
  <c r="B130" i="2"/>
  <c r="E129" i="2"/>
  <c r="D129" i="2"/>
  <c r="B129" i="2"/>
  <c r="E128" i="2"/>
  <c r="D128" i="2"/>
  <c r="B128" i="2"/>
  <c r="E127" i="2"/>
  <c r="D127" i="2"/>
  <c r="B127" i="2"/>
  <c r="E126" i="2"/>
  <c r="D126" i="2"/>
  <c r="B126" i="2"/>
  <c r="E125" i="2"/>
  <c r="D125" i="2"/>
  <c r="B125" i="2"/>
  <c r="E124" i="2"/>
  <c r="D124" i="2"/>
  <c r="B124" i="2"/>
  <c r="E123" i="2"/>
  <c r="D123" i="2"/>
  <c r="B123" i="2"/>
  <c r="E122" i="2"/>
  <c r="D122" i="2"/>
  <c r="B122" i="2"/>
  <c r="E121" i="2"/>
  <c r="D121" i="2"/>
  <c r="B121" i="2"/>
  <c r="E120" i="2"/>
  <c r="D120" i="2"/>
  <c r="B120" i="2"/>
  <c r="E119" i="2"/>
  <c r="D119" i="2"/>
  <c r="B119" i="2"/>
  <c r="E118" i="2"/>
  <c r="D118" i="2"/>
  <c r="B118" i="2"/>
  <c r="E117" i="2"/>
  <c r="D117" i="2"/>
  <c r="B117" i="2"/>
  <c r="E116" i="2"/>
  <c r="D116" i="2"/>
  <c r="B116" i="2"/>
  <c r="E115" i="2"/>
  <c r="D115" i="2"/>
  <c r="B115" i="2"/>
  <c r="E114" i="2"/>
  <c r="D114" i="2"/>
  <c r="B114" i="2"/>
  <c r="E113" i="2"/>
  <c r="D113" i="2"/>
  <c r="B113" i="2"/>
  <c r="E112" i="2"/>
  <c r="D112" i="2"/>
  <c r="B112" i="2"/>
  <c r="E111" i="2"/>
  <c r="D111" i="2"/>
  <c r="B111" i="2"/>
  <c r="E110" i="2"/>
  <c r="D110" i="2"/>
  <c r="B110" i="2"/>
  <c r="E109" i="2"/>
  <c r="D109" i="2"/>
  <c r="B109" i="2"/>
  <c r="E108" i="2"/>
  <c r="D108" i="2"/>
  <c r="B108" i="2"/>
  <c r="E107" i="2"/>
  <c r="D107" i="2"/>
  <c r="B107" i="2"/>
  <c r="E106" i="2"/>
  <c r="D106" i="2"/>
  <c r="B106" i="2"/>
  <c r="E105" i="2"/>
  <c r="D105" i="2"/>
  <c r="B105" i="2"/>
  <c r="E104" i="2"/>
  <c r="D104" i="2"/>
  <c r="B104" i="2"/>
  <c r="E103" i="2"/>
  <c r="D103" i="2"/>
  <c r="B103" i="2"/>
  <c r="E102" i="2"/>
  <c r="D102" i="2"/>
  <c r="B102" i="2"/>
  <c r="E101" i="2"/>
  <c r="D101" i="2"/>
  <c r="B101" i="2"/>
  <c r="E100" i="2"/>
  <c r="D100" i="2"/>
  <c r="B100" i="2"/>
  <c r="E99" i="2"/>
  <c r="D99" i="2"/>
  <c r="B99" i="2"/>
  <c r="E98" i="2"/>
  <c r="D98" i="2"/>
  <c r="B98" i="2"/>
  <c r="E97" i="2"/>
  <c r="D97" i="2"/>
  <c r="B97" i="2"/>
  <c r="E96" i="2"/>
  <c r="D96" i="2"/>
  <c r="B96" i="2"/>
  <c r="E95" i="2"/>
  <c r="D95" i="2"/>
  <c r="B95" i="2"/>
  <c r="E94" i="2"/>
  <c r="D94" i="2"/>
  <c r="B94" i="2"/>
  <c r="E93" i="2"/>
  <c r="D93" i="2"/>
  <c r="B93" i="2"/>
  <c r="E92" i="2"/>
  <c r="D92" i="2"/>
  <c r="B92" i="2"/>
  <c r="E91" i="2"/>
  <c r="D91" i="2"/>
  <c r="B91" i="2"/>
  <c r="E90" i="2"/>
  <c r="D90" i="2"/>
  <c r="B90" i="2"/>
  <c r="E89" i="2"/>
  <c r="D89" i="2"/>
  <c r="B89" i="2"/>
  <c r="E88" i="2"/>
  <c r="D88" i="2"/>
  <c r="B88" i="2"/>
  <c r="E87" i="2"/>
  <c r="D87" i="2"/>
  <c r="B87" i="2"/>
  <c r="E86" i="2"/>
  <c r="D86" i="2"/>
  <c r="B86" i="2"/>
  <c r="E85" i="2"/>
  <c r="D85" i="2"/>
  <c r="B85" i="2"/>
  <c r="E84" i="2"/>
  <c r="D84" i="2"/>
  <c r="B84" i="2"/>
  <c r="E83" i="2"/>
  <c r="D83" i="2"/>
  <c r="B83" i="2"/>
  <c r="E82" i="2"/>
  <c r="D82" i="2"/>
  <c r="B82" i="2"/>
  <c r="E81" i="2"/>
  <c r="D81" i="2"/>
  <c r="B81" i="2"/>
  <c r="E80" i="2"/>
  <c r="D80" i="2"/>
  <c r="B80" i="2"/>
  <c r="E79" i="2"/>
  <c r="D79" i="2"/>
  <c r="B79" i="2"/>
  <c r="E78" i="2"/>
  <c r="D78" i="2"/>
  <c r="B78" i="2"/>
  <c r="E77" i="2"/>
  <c r="D77" i="2"/>
  <c r="B77" i="2"/>
  <c r="E76" i="2"/>
  <c r="D76" i="2"/>
  <c r="B76" i="2"/>
  <c r="E75" i="2"/>
  <c r="D75" i="2"/>
  <c r="B75" i="2"/>
  <c r="E74" i="2"/>
  <c r="D74" i="2"/>
  <c r="B74" i="2"/>
  <c r="E73" i="2"/>
  <c r="D73" i="2"/>
  <c r="B73" i="2"/>
  <c r="E72" i="2"/>
  <c r="D72" i="2"/>
  <c r="B72" i="2"/>
  <c r="E71" i="2"/>
  <c r="D71" i="2"/>
  <c r="B71" i="2"/>
  <c r="E70" i="2"/>
  <c r="D70" i="2"/>
  <c r="B70" i="2"/>
  <c r="E69" i="2"/>
  <c r="D69" i="2"/>
  <c r="B69" i="2"/>
  <c r="E68" i="2"/>
  <c r="D68" i="2"/>
  <c r="B68" i="2"/>
  <c r="E67" i="2"/>
  <c r="D67" i="2"/>
  <c r="B67" i="2"/>
  <c r="E66" i="2"/>
  <c r="D66" i="2"/>
  <c r="B66" i="2"/>
  <c r="E65" i="2"/>
  <c r="D65" i="2"/>
  <c r="B65" i="2"/>
  <c r="E64" i="2"/>
  <c r="D64" i="2"/>
  <c r="B64" i="2"/>
  <c r="E63" i="2"/>
  <c r="D63" i="2"/>
  <c r="B63" i="2"/>
  <c r="E62" i="2"/>
  <c r="D62" i="2"/>
  <c r="B62" i="2"/>
  <c r="E61" i="2"/>
  <c r="D61" i="2"/>
  <c r="B61" i="2"/>
  <c r="E60" i="2"/>
  <c r="D60" i="2"/>
  <c r="B60" i="2"/>
  <c r="E59" i="2"/>
  <c r="D59" i="2"/>
  <c r="B59" i="2"/>
  <c r="E58" i="2"/>
  <c r="D58" i="2"/>
  <c r="B58" i="2"/>
  <c r="E57" i="2"/>
  <c r="D57" i="2"/>
  <c r="B57" i="2"/>
  <c r="E56" i="2"/>
  <c r="D56" i="2"/>
  <c r="B56" i="2"/>
  <c r="E55" i="2"/>
  <c r="D55" i="2"/>
  <c r="B55" i="2"/>
  <c r="E54" i="2"/>
  <c r="D54" i="2"/>
  <c r="B54" i="2"/>
  <c r="E53" i="2"/>
  <c r="D53" i="2"/>
  <c r="B53" i="2"/>
  <c r="E52" i="2"/>
  <c r="D52" i="2"/>
  <c r="B52" i="2"/>
  <c r="E51" i="2"/>
  <c r="D51" i="2"/>
  <c r="B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4" i="2"/>
  <c r="D44" i="2"/>
  <c r="B44" i="2"/>
  <c r="E43" i="2"/>
  <c r="D43" i="2"/>
  <c r="B43" i="2"/>
  <c r="E42" i="2"/>
  <c r="D42" i="2"/>
  <c r="B42" i="2"/>
  <c r="E41" i="2"/>
  <c r="D41" i="2"/>
  <c r="B41" i="2"/>
  <c r="E40" i="2"/>
  <c r="D40" i="2"/>
  <c r="B40" i="2"/>
  <c r="E39" i="2"/>
  <c r="D39" i="2"/>
  <c r="B39" i="2"/>
  <c r="E38" i="2"/>
  <c r="D38" i="2"/>
  <c r="B38" i="2"/>
  <c r="E37" i="2"/>
  <c r="D37" i="2"/>
  <c r="B37" i="2"/>
  <c r="E36" i="2"/>
  <c r="D36" i="2"/>
  <c r="B36" i="2"/>
  <c r="E35" i="2"/>
  <c r="D35" i="2"/>
  <c r="B35" i="2"/>
  <c r="E34" i="2"/>
  <c r="D34" i="2"/>
  <c r="B34" i="2"/>
  <c r="E33" i="2"/>
  <c r="D33" i="2"/>
  <c r="B33" i="2"/>
  <c r="E32" i="2"/>
  <c r="D32" i="2"/>
  <c r="B32" i="2"/>
  <c r="E31" i="2"/>
  <c r="D31" i="2"/>
  <c r="B31" i="2"/>
  <c r="E30" i="2"/>
  <c r="D30" i="2"/>
  <c r="B30" i="2"/>
  <c r="E29" i="2"/>
  <c r="D29" i="2"/>
  <c r="B29" i="2"/>
  <c r="E28" i="2"/>
  <c r="D28" i="2"/>
  <c r="B28" i="2"/>
  <c r="E27" i="2"/>
  <c r="D27" i="2"/>
  <c r="B27" i="2"/>
  <c r="E26" i="2"/>
  <c r="D26" i="2"/>
  <c r="B26" i="2"/>
  <c r="E25" i="2"/>
  <c r="D25" i="2"/>
  <c r="B25" i="2"/>
  <c r="E24" i="2"/>
  <c r="D24" i="2"/>
  <c r="B24" i="2"/>
  <c r="E23" i="2"/>
  <c r="D23" i="2"/>
  <c r="B23" i="2"/>
  <c r="E22" i="2"/>
  <c r="D22" i="2"/>
  <c r="B22" i="2"/>
  <c r="E21" i="2"/>
  <c r="D21" i="2"/>
  <c r="B21" i="2"/>
  <c r="E20" i="2"/>
  <c r="D20" i="2"/>
  <c r="B20" i="2"/>
  <c r="E19" i="2"/>
  <c r="D19" i="2"/>
  <c r="B19" i="2"/>
  <c r="E18" i="2"/>
  <c r="D18" i="2"/>
  <c r="B18" i="2"/>
  <c r="E17" i="2"/>
  <c r="D17" i="2"/>
  <c r="B17" i="2"/>
  <c r="E16" i="2"/>
  <c r="D16" i="2"/>
  <c r="B16" i="2"/>
  <c r="E15" i="2"/>
  <c r="D15" i="2"/>
  <c r="B15" i="2"/>
  <c r="E14" i="2"/>
  <c r="D14" i="2"/>
  <c r="B14" i="2"/>
  <c r="E13" i="2"/>
  <c r="D13" i="2"/>
  <c r="B13" i="2"/>
  <c r="E12" i="2"/>
  <c r="D12" i="2"/>
  <c r="B12" i="2"/>
  <c r="E11" i="2"/>
  <c r="D11" i="2"/>
  <c r="B11" i="2"/>
  <c r="E10" i="2"/>
  <c r="D10" i="2"/>
  <c r="B10" i="2"/>
  <c r="E9" i="2"/>
  <c r="D9" i="2"/>
  <c r="B9" i="2"/>
  <c r="E8" i="2"/>
  <c r="D8" i="2"/>
  <c r="B8" i="2"/>
  <c r="E7" i="2"/>
  <c r="D7" i="2"/>
  <c r="B7" i="2"/>
  <c r="E6" i="2"/>
  <c r="D6" i="2"/>
  <c r="B6" i="2"/>
  <c r="E5" i="2"/>
  <c r="D5" i="2"/>
  <c r="B5" i="2"/>
  <c r="E4" i="2"/>
  <c r="D4" i="2"/>
  <c r="B4" i="2"/>
  <c r="E3" i="2"/>
  <c r="D3" i="2"/>
  <c r="B3" i="2"/>
  <c r="B241" i="14"/>
  <c r="B240" i="14"/>
  <c r="B239" i="14"/>
  <c r="B238" i="14"/>
  <c r="B237" i="14"/>
  <c r="B236" i="14"/>
  <c r="B235" i="14"/>
  <c r="B234" i="14"/>
  <c r="B233" i="14"/>
  <c r="B232" i="14"/>
  <c r="B231" i="14"/>
  <c r="B230" i="14"/>
  <c r="B229" i="14"/>
  <c r="B228" i="14"/>
  <c r="B227" i="14"/>
  <c r="B226" i="14"/>
  <c r="B225" i="14"/>
  <c r="B224" i="14"/>
  <c r="B223" i="14"/>
  <c r="B222" i="14"/>
  <c r="B221" i="14"/>
  <c r="B220" i="14"/>
  <c r="B219" i="14"/>
  <c r="B218" i="14"/>
  <c r="B217" i="14"/>
  <c r="B216" i="14"/>
  <c r="B215" i="14"/>
  <c r="B214" i="14"/>
  <c r="B213" i="14"/>
  <c r="B212" i="14"/>
  <c r="B211" i="14"/>
  <c r="B210" i="14"/>
  <c r="B209" i="14"/>
  <c r="B208" i="14"/>
  <c r="B207" i="14"/>
  <c r="B206" i="14"/>
  <c r="B205" i="14"/>
  <c r="B204" i="14"/>
  <c r="B203" i="14"/>
  <c r="B202" i="14"/>
  <c r="B201" i="14"/>
  <c r="B200" i="14"/>
  <c r="B199" i="14"/>
  <c r="B198" i="14"/>
  <c r="B197" i="14"/>
  <c r="B196" i="14"/>
  <c r="B195" i="14"/>
  <c r="B194" i="14"/>
  <c r="B193" i="14"/>
  <c r="B192" i="14"/>
  <c r="B191" i="14"/>
  <c r="B190" i="14"/>
  <c r="B189" i="14"/>
  <c r="B188" i="14"/>
  <c r="B187" i="14"/>
  <c r="B186" i="14"/>
  <c r="B185" i="14"/>
  <c r="B184" i="14"/>
  <c r="B183" i="14"/>
  <c r="B182" i="14"/>
  <c r="B181" i="14"/>
  <c r="B180" i="14"/>
  <c r="B179" i="14"/>
  <c r="B178" i="14"/>
  <c r="B177" i="14"/>
  <c r="B176" i="14"/>
  <c r="B175" i="14"/>
  <c r="B174" i="14"/>
  <c r="B173" i="14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E943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E924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E903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E773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E675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E533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I1258" i="1"/>
  <c r="B1258" i="1"/>
  <c r="I1257" i="1"/>
  <c r="B1257" i="1"/>
  <c r="I1256" i="1"/>
  <c r="B1256" i="1"/>
  <c r="I1255" i="1"/>
  <c r="B1255" i="1"/>
  <c r="I1254" i="1"/>
  <c r="B1254" i="1"/>
  <c r="I1253" i="1"/>
  <c r="B1253" i="1"/>
  <c r="I1252" i="1"/>
  <c r="B1252" i="1"/>
  <c r="I1251" i="1"/>
  <c r="B1251" i="1"/>
  <c r="I1250" i="1"/>
  <c r="B1250" i="1"/>
  <c r="I1249" i="1"/>
  <c r="B1249" i="1"/>
  <c r="I1248" i="1"/>
  <c r="B1248" i="1"/>
  <c r="I1247" i="1"/>
  <c r="B1247" i="1"/>
  <c r="I1246" i="1"/>
  <c r="B1246" i="1"/>
  <c r="I1245" i="1"/>
  <c r="B1245" i="1"/>
  <c r="L1244" i="1"/>
  <c r="I1244" i="1"/>
  <c r="B1244" i="1"/>
  <c r="L1243" i="1"/>
  <c r="I1243" i="1"/>
  <c r="B1243" i="1"/>
  <c r="L1242" i="1"/>
  <c r="I1242" i="1"/>
  <c r="B1242" i="1"/>
  <c r="L1241" i="1"/>
  <c r="I1241" i="1"/>
  <c r="B1241" i="1"/>
  <c r="L1240" i="1"/>
  <c r="I1240" i="1"/>
  <c r="B1240" i="1"/>
  <c r="L1239" i="1"/>
  <c r="I1239" i="1"/>
  <c r="B1239" i="1"/>
  <c r="L1238" i="1"/>
  <c r="I1238" i="1"/>
  <c r="B1238" i="1"/>
  <c r="L1237" i="1"/>
  <c r="I1237" i="1"/>
  <c r="B1237" i="1"/>
  <c r="L1236" i="1"/>
  <c r="I1236" i="1"/>
  <c r="B1236" i="1"/>
  <c r="I1235" i="1"/>
  <c r="B1235" i="1"/>
  <c r="I1234" i="1"/>
  <c r="B1234" i="1"/>
  <c r="I1233" i="1"/>
  <c r="B1233" i="1"/>
  <c r="L1232" i="1"/>
  <c r="I1232" i="1"/>
  <c r="B1232" i="1"/>
  <c r="L1231" i="1"/>
  <c r="I1231" i="1"/>
  <c r="B1231" i="1"/>
  <c r="L1230" i="1"/>
  <c r="I1230" i="1"/>
  <c r="B1230" i="1"/>
  <c r="I1229" i="1"/>
  <c r="B1229" i="1"/>
  <c r="I1228" i="1"/>
  <c r="B1228" i="1"/>
  <c r="I1227" i="1"/>
  <c r="B1227" i="1"/>
  <c r="I1226" i="1"/>
  <c r="B1226" i="1"/>
  <c r="I1225" i="1"/>
  <c r="B1225" i="1"/>
  <c r="I1224" i="1"/>
  <c r="B1224" i="1"/>
  <c r="I1223" i="1"/>
  <c r="B1223" i="1"/>
  <c r="I1222" i="1"/>
  <c r="B1222" i="1"/>
  <c r="I1221" i="1"/>
  <c r="B1221" i="1"/>
  <c r="I1220" i="1"/>
  <c r="B1220" i="1"/>
  <c r="I1219" i="1"/>
  <c r="B1219" i="1"/>
  <c r="I1218" i="1"/>
  <c r="B1218" i="1"/>
  <c r="I1217" i="1"/>
  <c r="B1217" i="1"/>
  <c r="L1216" i="1"/>
  <c r="I1216" i="1"/>
  <c r="B1216" i="1"/>
  <c r="L1215" i="1"/>
  <c r="I1215" i="1"/>
  <c r="B1215" i="1"/>
  <c r="L1214" i="1"/>
  <c r="I1214" i="1"/>
  <c r="B1214" i="1"/>
  <c r="L1213" i="1"/>
  <c r="I1213" i="1"/>
  <c r="B1213" i="1"/>
  <c r="I1212" i="1"/>
  <c r="B1212" i="1"/>
  <c r="I1211" i="1"/>
  <c r="B1211" i="1"/>
  <c r="I1210" i="1"/>
  <c r="B1210" i="1"/>
  <c r="L1209" i="1"/>
  <c r="I1209" i="1"/>
  <c r="B1209" i="1"/>
  <c r="I1208" i="1"/>
  <c r="B1208" i="1"/>
  <c r="L1207" i="1"/>
  <c r="I1207" i="1"/>
  <c r="B1207" i="1"/>
  <c r="I1206" i="1"/>
  <c r="B1206" i="1"/>
  <c r="I1205" i="1"/>
  <c r="B1205" i="1"/>
  <c r="I1204" i="1"/>
  <c r="B1204" i="1"/>
  <c r="I1203" i="1"/>
  <c r="B1203" i="1"/>
  <c r="I1202" i="1"/>
  <c r="B1202" i="1"/>
  <c r="I1201" i="1"/>
  <c r="B1201" i="1"/>
  <c r="I1200" i="1"/>
  <c r="B1200" i="1"/>
  <c r="I1199" i="1"/>
  <c r="B1199" i="1"/>
  <c r="I1198" i="1"/>
  <c r="B1198" i="1"/>
  <c r="I1197" i="1"/>
  <c r="B1197" i="1"/>
  <c r="I1196" i="1"/>
  <c r="B1196" i="1"/>
  <c r="I1195" i="1"/>
  <c r="B1195" i="1"/>
  <c r="I1194" i="1"/>
  <c r="B1194" i="1"/>
  <c r="I1193" i="1"/>
  <c r="B1193" i="1"/>
  <c r="I1192" i="1"/>
  <c r="B1192" i="1"/>
  <c r="I1191" i="1"/>
  <c r="B1191" i="1"/>
  <c r="I1190" i="1"/>
  <c r="B1190" i="1"/>
  <c r="I1189" i="1"/>
  <c r="B1189" i="1"/>
  <c r="I1188" i="1"/>
  <c r="B1188" i="1"/>
  <c r="I1187" i="1"/>
  <c r="B1187" i="1"/>
  <c r="M1186" i="1"/>
  <c r="L1186" i="1"/>
  <c r="I1186" i="1"/>
  <c r="B1186" i="1"/>
  <c r="I1185" i="1"/>
  <c r="B1185" i="1"/>
  <c r="I1184" i="1"/>
  <c r="B1184" i="1"/>
  <c r="I1183" i="1"/>
  <c r="B1183" i="1"/>
  <c r="I1182" i="1"/>
  <c r="B1182" i="1"/>
  <c r="I1181" i="1"/>
  <c r="B1181" i="1"/>
  <c r="L1180" i="1"/>
  <c r="I1180" i="1"/>
  <c r="B1180" i="1"/>
  <c r="I1179" i="1"/>
  <c r="B1179" i="1"/>
  <c r="I1178" i="1"/>
  <c r="B1178" i="1"/>
  <c r="L1177" i="1"/>
  <c r="I1177" i="1"/>
  <c r="B1177" i="1"/>
  <c r="L1176" i="1"/>
  <c r="I1176" i="1"/>
  <c r="B1176" i="1"/>
  <c r="L1175" i="1"/>
  <c r="I1175" i="1"/>
  <c r="B1175" i="1"/>
  <c r="L1174" i="1"/>
  <c r="I1174" i="1"/>
  <c r="B1174" i="1"/>
  <c r="L1173" i="1"/>
  <c r="I1173" i="1"/>
  <c r="B1173" i="1"/>
  <c r="L1172" i="1"/>
  <c r="I1172" i="1"/>
  <c r="B1172" i="1"/>
  <c r="L1171" i="1"/>
  <c r="I1171" i="1"/>
  <c r="B1171" i="1"/>
  <c r="L1170" i="1"/>
  <c r="I1170" i="1"/>
  <c r="B1170" i="1"/>
  <c r="I1169" i="1"/>
  <c r="B1169" i="1"/>
  <c r="I1168" i="1"/>
  <c r="B1168" i="1"/>
  <c r="I1167" i="1"/>
  <c r="B1167" i="1"/>
  <c r="I1166" i="1"/>
  <c r="B1166" i="1"/>
  <c r="I1165" i="1"/>
  <c r="B1165" i="1"/>
  <c r="I1164" i="1"/>
  <c r="B1164" i="1"/>
  <c r="I1163" i="1"/>
  <c r="B1163" i="1"/>
  <c r="I1162" i="1"/>
  <c r="B1162" i="1"/>
  <c r="I1161" i="1"/>
  <c r="B1161" i="1"/>
  <c r="I1160" i="1"/>
  <c r="B1160" i="1"/>
  <c r="I1159" i="1"/>
  <c r="B1159" i="1"/>
  <c r="I1158" i="1"/>
  <c r="B1158" i="1"/>
  <c r="I1157" i="1"/>
  <c r="B1157" i="1"/>
  <c r="I1156" i="1"/>
  <c r="B1156" i="1"/>
  <c r="I1155" i="1"/>
  <c r="B1155" i="1"/>
  <c r="I1154" i="1"/>
  <c r="B1154" i="1"/>
  <c r="I1153" i="1"/>
  <c r="B1153" i="1"/>
  <c r="I1152" i="1"/>
  <c r="B1152" i="1"/>
  <c r="I1151" i="1"/>
  <c r="B1151" i="1"/>
  <c r="M1150" i="1"/>
  <c r="L1150" i="1"/>
  <c r="I1150" i="1"/>
  <c r="B1150" i="1"/>
  <c r="M1149" i="1"/>
  <c r="L1149" i="1"/>
  <c r="I1149" i="1"/>
  <c r="B1149" i="1"/>
  <c r="M1148" i="1"/>
  <c r="L1148" i="1"/>
  <c r="I1148" i="1"/>
  <c r="B1148" i="1"/>
  <c r="M1147" i="1"/>
  <c r="L1147" i="1"/>
  <c r="I1147" i="1"/>
  <c r="B1147" i="1"/>
  <c r="M1146" i="1"/>
  <c r="L1146" i="1"/>
  <c r="I1146" i="1"/>
  <c r="B1146" i="1"/>
  <c r="I1145" i="1"/>
  <c r="B1145" i="1"/>
  <c r="I1144" i="1"/>
  <c r="B1144" i="1"/>
  <c r="I1143" i="1"/>
  <c r="B1143" i="1"/>
  <c r="I1142" i="1"/>
  <c r="B1142" i="1"/>
  <c r="I1141" i="1"/>
  <c r="B1141" i="1"/>
  <c r="I1140" i="1"/>
  <c r="B1140" i="1"/>
  <c r="I1139" i="1"/>
  <c r="B1139" i="1"/>
  <c r="L1138" i="1"/>
  <c r="I1138" i="1"/>
  <c r="B1138" i="1"/>
  <c r="I1137" i="1"/>
  <c r="B1137" i="1"/>
  <c r="I1136" i="1"/>
  <c r="B1136" i="1"/>
  <c r="I1135" i="1"/>
  <c r="B1135" i="1"/>
  <c r="I1134" i="1"/>
  <c r="B1134" i="1"/>
  <c r="I1133" i="1"/>
  <c r="B1133" i="1"/>
  <c r="I1132" i="1"/>
  <c r="B1132" i="1"/>
  <c r="I1131" i="1"/>
  <c r="B1131" i="1"/>
  <c r="I1130" i="1"/>
  <c r="B1130" i="1"/>
  <c r="I1129" i="1"/>
  <c r="B1129" i="1"/>
  <c r="I1128" i="1"/>
  <c r="B1128" i="1"/>
  <c r="I1127" i="1"/>
  <c r="B1127" i="1"/>
  <c r="I1126" i="1"/>
  <c r="B1126" i="1"/>
  <c r="I1125" i="1"/>
  <c r="B1125" i="1"/>
  <c r="I1124" i="1"/>
  <c r="B1124" i="1"/>
  <c r="I1123" i="1"/>
  <c r="B1123" i="1"/>
  <c r="I1122" i="1"/>
  <c r="B1122" i="1"/>
  <c r="I1121" i="1"/>
  <c r="B1121" i="1"/>
  <c r="I1120" i="1"/>
  <c r="B1120" i="1"/>
  <c r="I1119" i="1"/>
  <c r="B1119" i="1"/>
  <c r="I1118" i="1"/>
  <c r="B1118" i="1"/>
  <c r="I1117" i="1"/>
  <c r="B1117" i="1"/>
  <c r="I1116" i="1"/>
  <c r="B1116" i="1"/>
  <c r="I1115" i="1"/>
  <c r="B1115" i="1"/>
  <c r="L1114" i="1"/>
  <c r="I1114" i="1"/>
  <c r="B1114" i="1"/>
  <c r="L1113" i="1"/>
  <c r="I1113" i="1"/>
  <c r="B1113" i="1"/>
  <c r="I1112" i="1"/>
  <c r="B1112" i="1"/>
  <c r="I1111" i="1"/>
  <c r="B1111" i="1"/>
  <c r="I1110" i="1"/>
  <c r="B1110" i="1"/>
  <c r="I1109" i="1"/>
  <c r="B1109" i="1"/>
  <c r="I1108" i="1"/>
  <c r="B1108" i="1"/>
  <c r="I1107" i="1"/>
  <c r="B1107" i="1"/>
  <c r="I1106" i="1"/>
  <c r="B1106" i="1"/>
  <c r="I1105" i="1"/>
  <c r="B1105" i="1"/>
  <c r="I1104" i="1"/>
  <c r="B1104" i="1"/>
  <c r="L1103" i="1"/>
  <c r="I1103" i="1"/>
  <c r="B1103" i="1"/>
  <c r="I1102" i="1"/>
  <c r="B1102" i="1"/>
  <c r="L1101" i="1"/>
  <c r="I1101" i="1"/>
  <c r="B1101" i="1"/>
  <c r="L1100" i="1"/>
  <c r="I1100" i="1"/>
  <c r="B1100" i="1"/>
  <c r="L1099" i="1"/>
  <c r="I1099" i="1"/>
  <c r="B1099" i="1"/>
  <c r="L1098" i="1"/>
  <c r="I1098" i="1"/>
  <c r="B1098" i="1"/>
  <c r="L1097" i="1"/>
  <c r="I1097" i="1"/>
  <c r="B1097" i="1"/>
  <c r="L1096" i="1"/>
  <c r="I1096" i="1"/>
  <c r="B1096" i="1"/>
  <c r="L1095" i="1"/>
  <c r="I1095" i="1"/>
  <c r="B1095" i="1"/>
  <c r="L1094" i="1"/>
  <c r="I1094" i="1"/>
  <c r="B1094" i="1"/>
  <c r="L1093" i="1"/>
  <c r="I1093" i="1"/>
  <c r="B1093" i="1"/>
  <c r="L1092" i="1"/>
  <c r="I1092" i="1"/>
  <c r="B1092" i="1"/>
  <c r="L1091" i="1"/>
  <c r="I1091" i="1"/>
  <c r="B1091" i="1"/>
  <c r="L1090" i="1"/>
  <c r="I1090" i="1"/>
  <c r="B1090" i="1"/>
  <c r="L1089" i="1"/>
  <c r="I1089" i="1"/>
  <c r="B1089" i="1"/>
  <c r="L1088" i="1"/>
  <c r="I1088" i="1"/>
  <c r="B1088" i="1"/>
  <c r="L1087" i="1"/>
  <c r="I1087" i="1"/>
  <c r="B1087" i="1"/>
  <c r="L1086" i="1"/>
  <c r="I1086" i="1"/>
  <c r="B1086" i="1"/>
  <c r="L1085" i="1"/>
  <c r="I1085" i="1"/>
  <c r="B1085" i="1"/>
  <c r="L1084" i="1"/>
  <c r="I1084" i="1"/>
  <c r="B1084" i="1"/>
  <c r="L1083" i="1"/>
  <c r="I1083" i="1"/>
  <c r="B1083" i="1"/>
  <c r="L1082" i="1"/>
  <c r="I1082" i="1"/>
  <c r="B1082" i="1"/>
  <c r="L1081" i="1"/>
  <c r="I1081" i="1"/>
  <c r="B1081" i="1"/>
  <c r="I1080" i="1"/>
  <c r="B1080" i="1"/>
  <c r="L1079" i="1"/>
  <c r="I1079" i="1"/>
  <c r="B1079" i="1"/>
  <c r="L1078" i="1"/>
  <c r="I1078" i="1"/>
  <c r="B1078" i="1"/>
  <c r="L1077" i="1"/>
  <c r="I1077" i="1"/>
  <c r="B1077" i="1"/>
  <c r="L1076" i="1"/>
  <c r="I1076" i="1"/>
  <c r="B1076" i="1"/>
  <c r="L1075" i="1"/>
  <c r="I1075" i="1"/>
  <c r="B1075" i="1"/>
  <c r="L1074" i="1"/>
  <c r="I1074" i="1"/>
  <c r="B1074" i="1"/>
  <c r="L1073" i="1"/>
  <c r="I1073" i="1"/>
  <c r="B1073" i="1"/>
  <c r="L1072" i="1"/>
  <c r="I1072" i="1"/>
  <c r="B1072" i="1"/>
  <c r="L1071" i="1"/>
  <c r="I1071" i="1"/>
  <c r="B1071" i="1"/>
  <c r="L1070" i="1"/>
  <c r="I1070" i="1"/>
  <c r="B1070" i="1"/>
  <c r="L1069" i="1"/>
  <c r="I1069" i="1"/>
  <c r="B1069" i="1"/>
  <c r="L1068" i="1"/>
  <c r="I1068" i="1"/>
  <c r="B1068" i="1"/>
  <c r="L1067" i="1"/>
  <c r="I1067" i="1"/>
  <c r="B1067" i="1"/>
  <c r="L1066" i="1"/>
  <c r="I1066" i="1"/>
  <c r="B1066" i="1"/>
  <c r="L1065" i="1"/>
  <c r="I1065" i="1"/>
  <c r="B1065" i="1"/>
  <c r="L1064" i="1"/>
  <c r="I1064" i="1"/>
  <c r="B1064" i="1"/>
  <c r="L1063" i="1"/>
  <c r="I1063" i="1"/>
  <c r="B1063" i="1"/>
  <c r="L1062" i="1"/>
  <c r="I1062" i="1"/>
  <c r="B1062" i="1"/>
  <c r="L1061" i="1"/>
  <c r="I1061" i="1"/>
  <c r="B1061" i="1"/>
  <c r="L1060" i="1"/>
  <c r="I1060" i="1"/>
  <c r="B1060" i="1"/>
  <c r="L1059" i="1"/>
  <c r="I1059" i="1"/>
  <c r="B1059" i="1"/>
  <c r="L1058" i="1"/>
  <c r="I1058" i="1"/>
  <c r="B1058" i="1"/>
  <c r="L1057" i="1"/>
  <c r="I1057" i="1"/>
  <c r="B1057" i="1"/>
  <c r="L1056" i="1"/>
  <c r="I1056" i="1"/>
  <c r="B1056" i="1"/>
  <c r="L1055" i="1"/>
  <c r="I1055" i="1"/>
  <c r="B1055" i="1"/>
  <c r="L1054" i="1"/>
  <c r="I1054" i="1"/>
  <c r="B1054" i="1"/>
  <c r="L1053" i="1"/>
  <c r="I1053" i="1"/>
  <c r="B1053" i="1"/>
  <c r="L1052" i="1"/>
  <c r="I1052" i="1"/>
  <c r="B1052" i="1"/>
  <c r="L1051" i="1"/>
  <c r="I1051" i="1"/>
  <c r="B1051" i="1"/>
  <c r="M1050" i="1"/>
  <c r="L1050" i="1"/>
  <c r="I1050" i="1"/>
  <c r="B1050" i="1"/>
  <c r="L1049" i="1"/>
  <c r="I1049" i="1"/>
  <c r="B1049" i="1"/>
  <c r="L1048" i="1"/>
  <c r="I1048" i="1"/>
  <c r="B1048" i="1"/>
  <c r="M1047" i="1"/>
  <c r="L1047" i="1"/>
  <c r="I1047" i="1"/>
  <c r="B1047" i="1"/>
  <c r="L1046" i="1"/>
  <c r="I1046" i="1"/>
  <c r="B1046" i="1"/>
  <c r="L1045" i="1"/>
  <c r="I1045" i="1"/>
  <c r="B1045" i="1"/>
  <c r="L1044" i="1"/>
  <c r="I1044" i="1"/>
  <c r="B1044" i="1"/>
  <c r="L1043" i="1"/>
  <c r="I1043" i="1"/>
  <c r="B1043" i="1"/>
  <c r="L1042" i="1"/>
  <c r="I1042" i="1"/>
  <c r="B1042" i="1"/>
  <c r="L1041" i="1"/>
  <c r="I1041" i="1"/>
  <c r="B1041" i="1"/>
  <c r="L1040" i="1"/>
  <c r="I1040" i="1"/>
  <c r="B1040" i="1"/>
  <c r="L1039" i="1"/>
  <c r="I1039" i="1"/>
  <c r="B1039" i="1"/>
  <c r="L1038" i="1"/>
  <c r="I1038" i="1"/>
  <c r="B1038" i="1"/>
  <c r="L1037" i="1"/>
  <c r="I1037" i="1"/>
  <c r="B1037" i="1"/>
  <c r="L1036" i="1"/>
  <c r="I1036" i="1"/>
  <c r="B1036" i="1"/>
  <c r="L1035" i="1"/>
  <c r="I1035" i="1"/>
  <c r="B1035" i="1"/>
  <c r="L1034" i="1"/>
  <c r="I1034" i="1"/>
  <c r="B1034" i="1"/>
  <c r="M1033" i="1"/>
  <c r="L1033" i="1"/>
  <c r="I1033" i="1"/>
  <c r="B1033" i="1"/>
  <c r="M1032" i="1"/>
  <c r="L1032" i="1"/>
  <c r="I1032" i="1"/>
  <c r="B1032" i="1"/>
  <c r="L1031" i="1"/>
  <c r="I1031" i="1"/>
  <c r="B1031" i="1"/>
  <c r="L1030" i="1"/>
  <c r="I1030" i="1"/>
  <c r="B1030" i="1"/>
  <c r="L1029" i="1"/>
  <c r="I1029" i="1"/>
  <c r="B1029" i="1"/>
  <c r="L1028" i="1"/>
  <c r="I1028" i="1"/>
  <c r="B1028" i="1"/>
  <c r="L1027" i="1"/>
  <c r="I1027" i="1"/>
  <c r="B1027" i="1"/>
  <c r="L1026" i="1"/>
  <c r="I1026" i="1"/>
  <c r="B1026" i="1"/>
  <c r="L1025" i="1"/>
  <c r="I1025" i="1"/>
  <c r="B1025" i="1"/>
  <c r="L1024" i="1"/>
  <c r="I1024" i="1"/>
  <c r="B1024" i="1"/>
  <c r="L1023" i="1"/>
  <c r="I1023" i="1"/>
  <c r="B1023" i="1"/>
  <c r="L1022" i="1"/>
  <c r="I1022" i="1"/>
  <c r="B1022" i="1"/>
  <c r="L1021" i="1"/>
  <c r="I1021" i="1"/>
  <c r="B1021" i="1"/>
  <c r="L1020" i="1"/>
  <c r="I1020" i="1"/>
  <c r="B1020" i="1"/>
  <c r="L1019" i="1"/>
  <c r="I1019" i="1"/>
  <c r="B1019" i="1"/>
  <c r="L1018" i="1"/>
  <c r="I1018" i="1"/>
  <c r="B1018" i="1"/>
  <c r="M1017" i="1"/>
  <c r="L1017" i="1"/>
  <c r="I1017" i="1"/>
  <c r="B1017" i="1"/>
  <c r="L1016" i="1"/>
  <c r="I1016" i="1"/>
  <c r="B1016" i="1"/>
  <c r="L1015" i="1"/>
  <c r="I1015" i="1"/>
  <c r="B1015" i="1"/>
  <c r="L1014" i="1"/>
  <c r="I1014" i="1"/>
  <c r="B1014" i="1"/>
  <c r="L1013" i="1"/>
  <c r="I1013" i="1"/>
  <c r="B1013" i="1"/>
  <c r="L1012" i="1"/>
  <c r="I1012" i="1"/>
  <c r="B1012" i="1"/>
  <c r="L1011" i="1"/>
  <c r="I1011" i="1"/>
  <c r="B1011" i="1"/>
  <c r="L1010" i="1"/>
  <c r="I1010" i="1"/>
  <c r="B1010" i="1"/>
  <c r="L1009" i="1"/>
  <c r="I1009" i="1"/>
  <c r="B1009" i="1"/>
  <c r="L1008" i="1"/>
  <c r="I1008" i="1"/>
  <c r="B1008" i="1"/>
  <c r="L1007" i="1"/>
  <c r="I1007" i="1"/>
  <c r="B1007" i="1"/>
  <c r="L1006" i="1"/>
  <c r="I1006" i="1"/>
  <c r="B1006" i="1"/>
  <c r="L1005" i="1"/>
  <c r="I1005" i="1"/>
  <c r="B1005" i="1"/>
  <c r="L1004" i="1"/>
  <c r="I1004" i="1"/>
  <c r="B1004" i="1"/>
  <c r="L1003" i="1"/>
  <c r="I1003" i="1"/>
  <c r="B1003" i="1"/>
  <c r="L1002" i="1"/>
  <c r="I1002" i="1"/>
  <c r="B1002" i="1"/>
  <c r="L1001" i="1"/>
  <c r="I1001" i="1"/>
  <c r="B1001" i="1"/>
  <c r="L1000" i="1"/>
  <c r="I1000" i="1"/>
  <c r="B1000" i="1"/>
  <c r="L999" i="1"/>
  <c r="I999" i="1"/>
  <c r="B999" i="1"/>
  <c r="L998" i="1"/>
  <c r="I998" i="1"/>
  <c r="B998" i="1"/>
  <c r="L997" i="1"/>
  <c r="I997" i="1"/>
  <c r="B997" i="1"/>
  <c r="L996" i="1"/>
  <c r="I996" i="1"/>
  <c r="B996" i="1"/>
  <c r="L995" i="1"/>
  <c r="I995" i="1"/>
  <c r="B995" i="1"/>
  <c r="L994" i="1"/>
  <c r="I994" i="1"/>
  <c r="B994" i="1"/>
  <c r="L993" i="1"/>
  <c r="I993" i="1"/>
  <c r="B993" i="1"/>
  <c r="L992" i="1"/>
  <c r="I992" i="1"/>
  <c r="B992" i="1"/>
  <c r="L991" i="1"/>
  <c r="I991" i="1"/>
  <c r="B991" i="1"/>
  <c r="L990" i="1"/>
  <c r="I990" i="1"/>
  <c r="B990" i="1"/>
  <c r="L989" i="1"/>
  <c r="I989" i="1"/>
  <c r="B989" i="1"/>
  <c r="L988" i="1"/>
  <c r="I988" i="1"/>
  <c r="B988" i="1"/>
  <c r="L987" i="1"/>
  <c r="I987" i="1"/>
  <c r="B987" i="1"/>
  <c r="M986" i="1"/>
  <c r="I986" i="1"/>
  <c r="B986" i="1"/>
  <c r="M985" i="1"/>
  <c r="I985" i="1"/>
  <c r="B985" i="1"/>
  <c r="M984" i="1"/>
  <c r="I984" i="1"/>
  <c r="B984" i="1"/>
  <c r="M983" i="1"/>
  <c r="L983" i="1"/>
  <c r="I983" i="1"/>
  <c r="B983" i="1"/>
  <c r="M982" i="1"/>
  <c r="L982" i="1"/>
  <c r="I982" i="1"/>
  <c r="B982" i="1"/>
  <c r="M981" i="1"/>
  <c r="L981" i="1"/>
  <c r="I981" i="1"/>
  <c r="B981" i="1"/>
  <c r="M980" i="1"/>
  <c r="L980" i="1"/>
  <c r="I980" i="1"/>
  <c r="B980" i="1"/>
  <c r="M979" i="1"/>
  <c r="L979" i="1"/>
  <c r="I979" i="1"/>
  <c r="B979" i="1"/>
  <c r="M978" i="1"/>
  <c r="L978" i="1"/>
  <c r="I978" i="1"/>
  <c r="B978" i="1"/>
  <c r="M977" i="1"/>
  <c r="L977" i="1"/>
  <c r="I977" i="1"/>
  <c r="B977" i="1"/>
  <c r="M976" i="1"/>
  <c r="L976" i="1"/>
  <c r="I976" i="1"/>
  <c r="B976" i="1"/>
  <c r="M975" i="1"/>
  <c r="L975" i="1"/>
  <c r="I975" i="1"/>
  <c r="B975" i="1"/>
  <c r="M974" i="1"/>
  <c r="L974" i="1"/>
  <c r="I974" i="1"/>
  <c r="B974" i="1"/>
  <c r="M973" i="1"/>
  <c r="L973" i="1"/>
  <c r="I973" i="1"/>
  <c r="B973" i="1"/>
  <c r="M972" i="1"/>
  <c r="L972" i="1"/>
  <c r="I972" i="1"/>
  <c r="B972" i="1"/>
  <c r="M971" i="1"/>
  <c r="L971" i="1"/>
  <c r="I971" i="1"/>
  <c r="B971" i="1"/>
  <c r="M970" i="1"/>
  <c r="L970" i="1"/>
  <c r="I970" i="1"/>
  <c r="B970" i="1"/>
  <c r="M969" i="1"/>
  <c r="L969" i="1"/>
  <c r="I969" i="1"/>
  <c r="B969" i="1"/>
  <c r="M968" i="1"/>
  <c r="L968" i="1"/>
  <c r="I968" i="1"/>
  <c r="B968" i="1"/>
  <c r="M967" i="1"/>
  <c r="L967" i="1"/>
  <c r="I967" i="1"/>
  <c r="B967" i="1"/>
  <c r="M966" i="1"/>
  <c r="L966" i="1"/>
  <c r="I966" i="1"/>
  <c r="B966" i="1"/>
  <c r="M965" i="1"/>
  <c r="L965" i="1"/>
  <c r="I965" i="1"/>
  <c r="B965" i="1"/>
  <c r="M964" i="1"/>
  <c r="L964" i="1"/>
  <c r="I964" i="1"/>
  <c r="B964" i="1"/>
  <c r="M963" i="1"/>
  <c r="L963" i="1"/>
  <c r="I963" i="1"/>
  <c r="B963" i="1"/>
  <c r="M962" i="1"/>
  <c r="L962" i="1"/>
  <c r="I962" i="1"/>
  <c r="B962" i="1"/>
  <c r="M961" i="1"/>
  <c r="L961" i="1"/>
  <c r="I961" i="1"/>
  <c r="B961" i="1"/>
  <c r="M960" i="1"/>
  <c r="L960" i="1"/>
  <c r="I960" i="1"/>
  <c r="B960" i="1"/>
  <c r="M959" i="1"/>
  <c r="L959" i="1"/>
  <c r="I959" i="1"/>
  <c r="B959" i="1"/>
  <c r="M958" i="1"/>
  <c r="L958" i="1"/>
  <c r="I958" i="1"/>
  <c r="B958" i="1"/>
  <c r="M957" i="1"/>
  <c r="L957" i="1"/>
  <c r="I957" i="1"/>
  <c r="B957" i="1"/>
  <c r="M956" i="1"/>
  <c r="L956" i="1"/>
  <c r="I956" i="1"/>
  <c r="B956" i="1"/>
  <c r="M955" i="1"/>
  <c r="L955" i="1"/>
  <c r="I955" i="1"/>
  <c r="B955" i="1"/>
  <c r="M954" i="1"/>
  <c r="L954" i="1"/>
  <c r="I954" i="1"/>
  <c r="B954" i="1"/>
  <c r="M953" i="1"/>
  <c r="L953" i="1"/>
  <c r="I953" i="1"/>
  <c r="B953" i="1"/>
  <c r="M952" i="1"/>
  <c r="L952" i="1"/>
  <c r="I952" i="1"/>
  <c r="B952" i="1"/>
  <c r="M951" i="1"/>
  <c r="L951" i="1"/>
  <c r="I951" i="1"/>
  <c r="B951" i="1"/>
  <c r="M950" i="1"/>
  <c r="L950" i="1"/>
  <c r="I950" i="1"/>
  <c r="B950" i="1"/>
  <c r="M949" i="1"/>
  <c r="L949" i="1"/>
  <c r="I949" i="1"/>
  <c r="B949" i="1"/>
  <c r="M948" i="1"/>
  <c r="L948" i="1"/>
  <c r="I948" i="1"/>
  <c r="B948" i="1"/>
  <c r="M947" i="1"/>
  <c r="L947" i="1"/>
  <c r="I947" i="1"/>
  <c r="B947" i="1"/>
  <c r="M946" i="1"/>
  <c r="L946" i="1"/>
  <c r="I946" i="1"/>
  <c r="B946" i="1"/>
  <c r="M945" i="1"/>
  <c r="L945" i="1"/>
  <c r="I945" i="1"/>
  <c r="B945" i="1"/>
  <c r="M944" i="1"/>
  <c r="L944" i="1"/>
  <c r="I944" i="1"/>
  <c r="B944" i="1"/>
  <c r="M943" i="1"/>
  <c r="L943" i="1"/>
  <c r="I943" i="1"/>
  <c r="B943" i="1"/>
  <c r="M942" i="1"/>
  <c r="L942" i="1"/>
  <c r="I942" i="1"/>
  <c r="B942" i="1"/>
  <c r="M941" i="1"/>
  <c r="L941" i="1"/>
  <c r="I941" i="1"/>
  <c r="B941" i="1"/>
  <c r="M940" i="1"/>
  <c r="L940" i="1"/>
  <c r="I940" i="1"/>
  <c r="B940" i="1"/>
  <c r="M939" i="1"/>
  <c r="L939" i="1"/>
  <c r="I939" i="1"/>
  <c r="B939" i="1"/>
  <c r="M938" i="1"/>
  <c r="L938" i="1"/>
  <c r="I938" i="1"/>
  <c r="B938" i="1"/>
  <c r="M937" i="1"/>
  <c r="L937" i="1"/>
  <c r="I937" i="1"/>
  <c r="B937" i="1"/>
  <c r="M936" i="1"/>
  <c r="L936" i="1"/>
  <c r="I936" i="1"/>
  <c r="B936" i="1"/>
  <c r="M935" i="1"/>
  <c r="L935" i="1"/>
  <c r="I935" i="1"/>
  <c r="B935" i="1"/>
  <c r="M934" i="1"/>
  <c r="L934" i="1"/>
  <c r="I934" i="1"/>
  <c r="B934" i="1"/>
  <c r="M933" i="1"/>
  <c r="L933" i="1"/>
  <c r="I933" i="1"/>
  <c r="B933" i="1"/>
  <c r="M932" i="1"/>
  <c r="L932" i="1"/>
  <c r="I932" i="1"/>
  <c r="B932" i="1"/>
  <c r="M931" i="1"/>
  <c r="L931" i="1"/>
  <c r="I931" i="1"/>
  <c r="B931" i="1"/>
  <c r="M930" i="1"/>
  <c r="L930" i="1"/>
  <c r="I930" i="1"/>
  <c r="B930" i="1"/>
  <c r="M929" i="1"/>
  <c r="L929" i="1"/>
  <c r="I929" i="1"/>
  <c r="B929" i="1"/>
  <c r="M928" i="1"/>
  <c r="L928" i="1"/>
  <c r="I928" i="1"/>
  <c r="B928" i="1"/>
  <c r="M927" i="1"/>
  <c r="L927" i="1"/>
  <c r="I927" i="1"/>
  <c r="B927" i="1"/>
  <c r="M926" i="1"/>
  <c r="L926" i="1"/>
  <c r="I926" i="1"/>
  <c r="B926" i="1"/>
  <c r="M925" i="1"/>
  <c r="L925" i="1"/>
  <c r="I925" i="1"/>
  <c r="B925" i="1"/>
  <c r="M924" i="1"/>
  <c r="L924" i="1"/>
  <c r="I924" i="1"/>
  <c r="B924" i="1"/>
  <c r="M923" i="1"/>
  <c r="L923" i="1"/>
  <c r="I923" i="1"/>
  <c r="B923" i="1"/>
  <c r="M922" i="1"/>
  <c r="L922" i="1"/>
  <c r="I922" i="1"/>
  <c r="B922" i="1"/>
  <c r="M921" i="1"/>
  <c r="L921" i="1"/>
  <c r="I921" i="1"/>
  <c r="B921" i="1"/>
  <c r="M920" i="1"/>
  <c r="L920" i="1"/>
  <c r="I920" i="1"/>
  <c r="B920" i="1"/>
  <c r="M919" i="1"/>
  <c r="L919" i="1"/>
  <c r="I919" i="1"/>
  <c r="B919" i="1"/>
  <c r="M918" i="1"/>
  <c r="L918" i="1"/>
  <c r="I918" i="1"/>
  <c r="B918" i="1"/>
  <c r="M917" i="1"/>
  <c r="L917" i="1"/>
  <c r="I917" i="1"/>
  <c r="B917" i="1"/>
  <c r="M916" i="1"/>
  <c r="L916" i="1"/>
  <c r="I916" i="1"/>
  <c r="B916" i="1"/>
  <c r="M915" i="1"/>
  <c r="L915" i="1"/>
  <c r="I915" i="1"/>
  <c r="B915" i="1"/>
  <c r="M914" i="1"/>
  <c r="L914" i="1"/>
  <c r="I914" i="1"/>
  <c r="B914" i="1"/>
  <c r="M913" i="1"/>
  <c r="L913" i="1"/>
  <c r="I913" i="1"/>
  <c r="B913" i="1"/>
  <c r="M912" i="1"/>
  <c r="L912" i="1"/>
  <c r="I912" i="1"/>
  <c r="B912" i="1"/>
  <c r="M911" i="1"/>
  <c r="L911" i="1"/>
  <c r="I911" i="1"/>
  <c r="B911" i="1"/>
  <c r="M910" i="1"/>
  <c r="L910" i="1"/>
  <c r="I910" i="1"/>
  <c r="B910" i="1"/>
  <c r="M909" i="1"/>
  <c r="L909" i="1"/>
  <c r="I909" i="1"/>
  <c r="B909" i="1"/>
  <c r="M908" i="1"/>
  <c r="L908" i="1"/>
  <c r="I908" i="1"/>
  <c r="B908" i="1"/>
  <c r="M907" i="1"/>
  <c r="L907" i="1"/>
  <c r="I907" i="1"/>
  <c r="B907" i="1"/>
  <c r="M906" i="1"/>
  <c r="L906" i="1"/>
  <c r="I906" i="1"/>
  <c r="B906" i="1"/>
  <c r="M905" i="1"/>
  <c r="L905" i="1"/>
  <c r="I905" i="1"/>
  <c r="B905" i="1"/>
  <c r="M904" i="1"/>
  <c r="L904" i="1"/>
  <c r="I904" i="1"/>
  <c r="B904" i="1"/>
  <c r="M903" i="1"/>
  <c r="L903" i="1"/>
  <c r="I903" i="1"/>
  <c r="B903" i="1"/>
  <c r="M902" i="1"/>
  <c r="L902" i="1"/>
  <c r="I902" i="1"/>
  <c r="B902" i="1"/>
  <c r="M901" i="1"/>
  <c r="L901" i="1"/>
  <c r="I901" i="1"/>
  <c r="B901" i="1"/>
  <c r="M900" i="1"/>
  <c r="L900" i="1"/>
  <c r="I900" i="1"/>
  <c r="B900" i="1"/>
  <c r="M899" i="1"/>
  <c r="L899" i="1"/>
  <c r="I899" i="1"/>
  <c r="B899" i="1"/>
  <c r="M898" i="1"/>
  <c r="L898" i="1"/>
  <c r="I898" i="1"/>
  <c r="B898" i="1"/>
  <c r="M897" i="1"/>
  <c r="L897" i="1"/>
  <c r="I897" i="1"/>
  <c r="B897" i="1"/>
  <c r="M896" i="1"/>
  <c r="L896" i="1"/>
  <c r="I896" i="1"/>
  <c r="B896" i="1"/>
  <c r="M895" i="1"/>
  <c r="L895" i="1"/>
  <c r="I895" i="1"/>
  <c r="B895" i="1"/>
  <c r="M894" i="1"/>
  <c r="L894" i="1"/>
  <c r="I894" i="1"/>
  <c r="B894" i="1"/>
  <c r="M893" i="1"/>
  <c r="L893" i="1"/>
  <c r="I893" i="1"/>
  <c r="B893" i="1"/>
  <c r="M892" i="1"/>
  <c r="L892" i="1"/>
  <c r="I892" i="1"/>
  <c r="B892" i="1"/>
  <c r="M891" i="1"/>
  <c r="L891" i="1"/>
  <c r="I891" i="1"/>
  <c r="B891" i="1"/>
  <c r="M890" i="1"/>
  <c r="L890" i="1"/>
  <c r="I890" i="1"/>
  <c r="B890" i="1"/>
  <c r="M889" i="1"/>
  <c r="L889" i="1"/>
  <c r="I889" i="1"/>
  <c r="B889" i="1"/>
  <c r="M888" i="1"/>
  <c r="L888" i="1"/>
  <c r="I888" i="1"/>
  <c r="B888" i="1"/>
  <c r="M887" i="1"/>
  <c r="L887" i="1"/>
  <c r="I887" i="1"/>
  <c r="B887" i="1"/>
  <c r="M886" i="1"/>
  <c r="L886" i="1"/>
  <c r="I886" i="1"/>
  <c r="B886" i="1"/>
  <c r="M885" i="1"/>
  <c r="L885" i="1"/>
  <c r="I885" i="1"/>
  <c r="B885" i="1"/>
  <c r="M884" i="1"/>
  <c r="L884" i="1"/>
  <c r="I884" i="1"/>
  <c r="B884" i="1"/>
  <c r="M883" i="1"/>
  <c r="L883" i="1"/>
  <c r="I883" i="1"/>
  <c r="B883" i="1"/>
  <c r="M882" i="1"/>
  <c r="L882" i="1"/>
  <c r="I882" i="1"/>
  <c r="B882" i="1"/>
  <c r="M881" i="1"/>
  <c r="L881" i="1"/>
  <c r="I881" i="1"/>
  <c r="B881" i="1"/>
  <c r="M880" i="1"/>
  <c r="L880" i="1"/>
  <c r="I880" i="1"/>
  <c r="B880" i="1"/>
  <c r="M879" i="1"/>
  <c r="L879" i="1"/>
  <c r="I879" i="1"/>
  <c r="B879" i="1"/>
  <c r="M878" i="1"/>
  <c r="L878" i="1"/>
  <c r="I878" i="1"/>
  <c r="B878" i="1"/>
  <c r="M877" i="1"/>
  <c r="L877" i="1"/>
  <c r="I877" i="1"/>
  <c r="B877" i="1"/>
  <c r="M876" i="1"/>
  <c r="L876" i="1"/>
  <c r="I876" i="1"/>
  <c r="B876" i="1"/>
  <c r="M875" i="1"/>
  <c r="L875" i="1"/>
  <c r="I875" i="1"/>
  <c r="B875" i="1"/>
  <c r="M874" i="1"/>
  <c r="L874" i="1"/>
  <c r="I874" i="1"/>
  <c r="B874" i="1"/>
  <c r="M873" i="1"/>
  <c r="L873" i="1"/>
  <c r="I873" i="1"/>
  <c r="B873" i="1"/>
  <c r="M872" i="1"/>
  <c r="L872" i="1"/>
  <c r="I872" i="1"/>
  <c r="B872" i="1"/>
  <c r="M871" i="1"/>
  <c r="L871" i="1"/>
  <c r="I871" i="1"/>
  <c r="B871" i="1"/>
  <c r="M870" i="1"/>
  <c r="L870" i="1"/>
  <c r="I870" i="1"/>
  <c r="B870" i="1"/>
  <c r="M869" i="1"/>
  <c r="L869" i="1"/>
  <c r="I869" i="1"/>
  <c r="B869" i="1"/>
  <c r="M868" i="1"/>
  <c r="L868" i="1"/>
  <c r="I868" i="1"/>
  <c r="B868" i="1"/>
  <c r="M867" i="1"/>
  <c r="L867" i="1"/>
  <c r="I867" i="1"/>
  <c r="B867" i="1"/>
  <c r="M866" i="1"/>
  <c r="L866" i="1"/>
  <c r="I866" i="1"/>
  <c r="B866" i="1"/>
  <c r="M865" i="1"/>
  <c r="L865" i="1"/>
  <c r="I865" i="1"/>
  <c r="B865" i="1"/>
  <c r="M864" i="1"/>
  <c r="L864" i="1"/>
  <c r="I864" i="1"/>
  <c r="B864" i="1"/>
  <c r="M863" i="1"/>
  <c r="L863" i="1"/>
  <c r="I863" i="1"/>
  <c r="B863" i="1"/>
  <c r="M862" i="1"/>
  <c r="L862" i="1"/>
  <c r="I862" i="1"/>
  <c r="B862" i="1"/>
  <c r="M861" i="1"/>
  <c r="L861" i="1"/>
  <c r="I861" i="1"/>
  <c r="B861" i="1"/>
  <c r="M860" i="1"/>
  <c r="L860" i="1"/>
  <c r="I860" i="1"/>
  <c r="B860" i="1"/>
  <c r="M859" i="1"/>
  <c r="L859" i="1"/>
  <c r="I859" i="1"/>
  <c r="B859" i="1"/>
  <c r="M858" i="1"/>
  <c r="L858" i="1"/>
  <c r="I858" i="1"/>
  <c r="B858" i="1"/>
  <c r="M857" i="1"/>
  <c r="L857" i="1"/>
  <c r="I857" i="1"/>
  <c r="B857" i="1"/>
  <c r="M856" i="1"/>
  <c r="L856" i="1"/>
  <c r="I856" i="1"/>
  <c r="B856" i="1"/>
  <c r="M855" i="1"/>
  <c r="L855" i="1"/>
  <c r="I855" i="1"/>
  <c r="B855" i="1"/>
  <c r="M854" i="1"/>
  <c r="L854" i="1"/>
  <c r="I854" i="1"/>
  <c r="B854" i="1"/>
  <c r="M853" i="1"/>
  <c r="L853" i="1"/>
  <c r="I853" i="1"/>
  <c r="B853" i="1"/>
  <c r="M852" i="1"/>
  <c r="L852" i="1"/>
  <c r="I852" i="1"/>
  <c r="B852" i="1"/>
  <c r="M851" i="1"/>
  <c r="L851" i="1"/>
  <c r="I851" i="1"/>
  <c r="B851" i="1"/>
  <c r="M850" i="1"/>
  <c r="L850" i="1"/>
  <c r="I850" i="1"/>
  <c r="B850" i="1"/>
  <c r="M849" i="1"/>
  <c r="L849" i="1"/>
  <c r="I849" i="1"/>
  <c r="B849" i="1"/>
  <c r="M848" i="1"/>
  <c r="L848" i="1"/>
  <c r="I848" i="1"/>
  <c r="B848" i="1"/>
  <c r="M847" i="1"/>
  <c r="L847" i="1"/>
  <c r="I847" i="1"/>
  <c r="B847" i="1"/>
  <c r="M846" i="1"/>
  <c r="L846" i="1"/>
  <c r="I846" i="1"/>
  <c r="B846" i="1"/>
  <c r="M845" i="1"/>
  <c r="L845" i="1"/>
  <c r="I845" i="1"/>
  <c r="B845" i="1"/>
  <c r="M844" i="1"/>
  <c r="L844" i="1"/>
  <c r="I844" i="1"/>
  <c r="B844" i="1"/>
  <c r="M843" i="1"/>
  <c r="L843" i="1"/>
  <c r="I843" i="1"/>
  <c r="B843" i="1"/>
  <c r="M842" i="1"/>
  <c r="L842" i="1"/>
  <c r="I842" i="1"/>
  <c r="B842" i="1"/>
  <c r="M841" i="1"/>
  <c r="L841" i="1"/>
  <c r="I841" i="1"/>
  <c r="B841" i="1"/>
  <c r="M840" i="1"/>
  <c r="L840" i="1"/>
  <c r="I840" i="1"/>
  <c r="B840" i="1"/>
  <c r="M839" i="1"/>
  <c r="L839" i="1"/>
  <c r="I839" i="1"/>
  <c r="B839" i="1"/>
  <c r="M838" i="1"/>
  <c r="L838" i="1"/>
  <c r="I838" i="1"/>
  <c r="B838" i="1"/>
  <c r="M837" i="1"/>
  <c r="L837" i="1"/>
  <c r="I837" i="1"/>
  <c r="B837" i="1"/>
  <c r="M836" i="1"/>
  <c r="L836" i="1"/>
  <c r="I836" i="1"/>
  <c r="B836" i="1"/>
  <c r="M835" i="1"/>
  <c r="L835" i="1"/>
  <c r="I835" i="1"/>
  <c r="B835" i="1"/>
  <c r="M834" i="1"/>
  <c r="L834" i="1"/>
  <c r="I834" i="1"/>
  <c r="B834" i="1"/>
  <c r="M833" i="1"/>
  <c r="L833" i="1"/>
  <c r="I833" i="1"/>
  <c r="B833" i="1"/>
  <c r="M832" i="1"/>
  <c r="L832" i="1"/>
  <c r="I832" i="1"/>
  <c r="B832" i="1"/>
  <c r="M831" i="1"/>
  <c r="L831" i="1"/>
  <c r="I831" i="1"/>
  <c r="B831" i="1"/>
  <c r="M830" i="1"/>
  <c r="L830" i="1"/>
  <c r="I830" i="1"/>
  <c r="B830" i="1"/>
  <c r="M829" i="1"/>
  <c r="L829" i="1"/>
  <c r="I829" i="1"/>
  <c r="B829" i="1"/>
  <c r="M828" i="1"/>
  <c r="L828" i="1"/>
  <c r="I828" i="1"/>
  <c r="B828" i="1"/>
  <c r="M827" i="1"/>
  <c r="L827" i="1"/>
  <c r="I827" i="1"/>
  <c r="B827" i="1"/>
  <c r="M826" i="1"/>
  <c r="L826" i="1"/>
  <c r="I826" i="1"/>
  <c r="B826" i="1"/>
  <c r="M825" i="1"/>
  <c r="L825" i="1"/>
  <c r="I825" i="1"/>
  <c r="B825" i="1"/>
  <c r="M824" i="1"/>
  <c r="L824" i="1"/>
  <c r="I824" i="1"/>
  <c r="B824" i="1"/>
  <c r="M823" i="1"/>
  <c r="L823" i="1"/>
  <c r="I823" i="1"/>
  <c r="B823" i="1"/>
  <c r="M822" i="1"/>
  <c r="L822" i="1"/>
  <c r="I822" i="1"/>
  <c r="B822" i="1"/>
  <c r="M821" i="1"/>
  <c r="L821" i="1"/>
  <c r="I821" i="1"/>
  <c r="B821" i="1"/>
  <c r="M820" i="1"/>
  <c r="L820" i="1"/>
  <c r="I820" i="1"/>
  <c r="B820" i="1"/>
  <c r="M819" i="1"/>
  <c r="L819" i="1"/>
  <c r="I819" i="1"/>
  <c r="B819" i="1"/>
  <c r="M818" i="1"/>
  <c r="L818" i="1"/>
  <c r="I818" i="1"/>
  <c r="B818" i="1"/>
  <c r="M817" i="1"/>
  <c r="L817" i="1"/>
  <c r="I817" i="1"/>
  <c r="B817" i="1"/>
  <c r="M816" i="1"/>
  <c r="L816" i="1"/>
  <c r="I816" i="1"/>
  <c r="B816" i="1"/>
  <c r="M815" i="1"/>
  <c r="L815" i="1"/>
  <c r="I815" i="1"/>
  <c r="B815" i="1"/>
  <c r="M814" i="1"/>
  <c r="L814" i="1"/>
  <c r="I814" i="1"/>
  <c r="B814" i="1"/>
  <c r="M813" i="1"/>
  <c r="L813" i="1"/>
  <c r="I813" i="1"/>
  <c r="B813" i="1"/>
  <c r="M812" i="1"/>
  <c r="L812" i="1"/>
  <c r="I812" i="1"/>
  <c r="B812" i="1"/>
  <c r="M811" i="1"/>
  <c r="L811" i="1"/>
  <c r="I811" i="1"/>
  <c r="B811" i="1"/>
  <c r="M810" i="1"/>
  <c r="L810" i="1"/>
  <c r="I810" i="1"/>
  <c r="B810" i="1"/>
  <c r="M809" i="1"/>
  <c r="L809" i="1"/>
  <c r="I809" i="1"/>
  <c r="B809" i="1"/>
  <c r="M808" i="1"/>
  <c r="L808" i="1"/>
  <c r="I808" i="1"/>
  <c r="B808" i="1"/>
  <c r="M807" i="1"/>
  <c r="L807" i="1"/>
  <c r="I807" i="1"/>
  <c r="B807" i="1"/>
  <c r="M806" i="1"/>
  <c r="L806" i="1"/>
  <c r="I806" i="1"/>
  <c r="B806" i="1"/>
  <c r="M805" i="1"/>
  <c r="L805" i="1"/>
  <c r="I805" i="1"/>
  <c r="B805" i="1"/>
  <c r="M804" i="1"/>
  <c r="L804" i="1"/>
  <c r="I804" i="1"/>
  <c r="B804" i="1"/>
  <c r="M803" i="1"/>
  <c r="L803" i="1"/>
  <c r="I803" i="1"/>
  <c r="B803" i="1"/>
  <c r="M802" i="1"/>
  <c r="L802" i="1"/>
  <c r="I802" i="1"/>
  <c r="B802" i="1"/>
  <c r="M801" i="1"/>
  <c r="L801" i="1"/>
  <c r="I801" i="1"/>
  <c r="B801" i="1"/>
  <c r="M800" i="1"/>
  <c r="L800" i="1"/>
  <c r="I800" i="1"/>
  <c r="B800" i="1"/>
  <c r="M799" i="1"/>
  <c r="L799" i="1"/>
  <c r="I799" i="1"/>
  <c r="B799" i="1"/>
  <c r="M798" i="1"/>
  <c r="L798" i="1"/>
  <c r="I798" i="1"/>
  <c r="B798" i="1"/>
  <c r="M797" i="1"/>
  <c r="L797" i="1"/>
  <c r="I797" i="1"/>
  <c r="B797" i="1"/>
  <c r="M796" i="1"/>
  <c r="L796" i="1"/>
  <c r="I796" i="1"/>
  <c r="B796" i="1"/>
  <c r="M795" i="1"/>
  <c r="L795" i="1"/>
  <c r="I795" i="1"/>
  <c r="B795" i="1"/>
  <c r="M794" i="1"/>
  <c r="L794" i="1"/>
  <c r="I794" i="1"/>
  <c r="B794" i="1"/>
  <c r="M793" i="1"/>
  <c r="L793" i="1"/>
  <c r="I793" i="1"/>
  <c r="B793" i="1"/>
  <c r="M792" i="1"/>
  <c r="L792" i="1"/>
  <c r="I792" i="1"/>
  <c r="B792" i="1"/>
  <c r="M791" i="1"/>
  <c r="L791" i="1"/>
  <c r="I791" i="1"/>
  <c r="B791" i="1"/>
  <c r="M790" i="1"/>
  <c r="L790" i="1"/>
  <c r="I790" i="1"/>
  <c r="B790" i="1"/>
  <c r="M789" i="1"/>
  <c r="L789" i="1"/>
  <c r="I789" i="1"/>
  <c r="B789" i="1"/>
  <c r="M788" i="1"/>
  <c r="L788" i="1"/>
  <c r="I788" i="1"/>
  <c r="B788" i="1"/>
  <c r="M787" i="1"/>
  <c r="L787" i="1"/>
  <c r="I787" i="1"/>
  <c r="B787" i="1"/>
  <c r="M786" i="1"/>
  <c r="L786" i="1"/>
  <c r="I786" i="1"/>
  <c r="B786" i="1"/>
  <c r="M785" i="1"/>
  <c r="L785" i="1"/>
  <c r="I785" i="1"/>
  <c r="B785" i="1"/>
  <c r="M784" i="1"/>
  <c r="L784" i="1"/>
  <c r="I784" i="1"/>
  <c r="B784" i="1"/>
  <c r="M783" i="1"/>
  <c r="L783" i="1"/>
  <c r="I783" i="1"/>
  <c r="B783" i="1"/>
  <c r="M782" i="1"/>
  <c r="L782" i="1"/>
  <c r="I782" i="1"/>
  <c r="B782" i="1"/>
  <c r="M781" i="1"/>
  <c r="L781" i="1"/>
  <c r="I781" i="1"/>
  <c r="B781" i="1"/>
  <c r="M780" i="1"/>
  <c r="L780" i="1"/>
  <c r="I780" i="1"/>
  <c r="B780" i="1"/>
  <c r="M779" i="1"/>
  <c r="L779" i="1"/>
  <c r="I779" i="1"/>
  <c r="B779" i="1"/>
  <c r="M778" i="1"/>
  <c r="L778" i="1"/>
  <c r="I778" i="1"/>
  <c r="B778" i="1"/>
  <c r="M777" i="1"/>
  <c r="L777" i="1"/>
  <c r="I777" i="1"/>
  <c r="B777" i="1"/>
  <c r="M776" i="1"/>
  <c r="L776" i="1"/>
  <c r="I776" i="1"/>
  <c r="B776" i="1"/>
  <c r="M775" i="1"/>
  <c r="L775" i="1"/>
  <c r="I775" i="1"/>
  <c r="B775" i="1"/>
  <c r="M774" i="1"/>
  <c r="L774" i="1"/>
  <c r="I774" i="1"/>
  <c r="B774" i="1"/>
  <c r="M773" i="1"/>
  <c r="L773" i="1"/>
  <c r="I773" i="1"/>
  <c r="B773" i="1"/>
  <c r="M772" i="1"/>
  <c r="L772" i="1"/>
  <c r="I772" i="1"/>
  <c r="B772" i="1"/>
  <c r="M771" i="1"/>
  <c r="L771" i="1"/>
  <c r="I771" i="1"/>
  <c r="B771" i="1"/>
  <c r="M770" i="1"/>
  <c r="L770" i="1"/>
  <c r="I770" i="1"/>
  <c r="B770" i="1"/>
  <c r="M769" i="1"/>
  <c r="L769" i="1"/>
  <c r="I769" i="1"/>
  <c r="B769" i="1"/>
  <c r="M768" i="1"/>
  <c r="L768" i="1"/>
  <c r="I768" i="1"/>
  <c r="B768" i="1"/>
  <c r="M767" i="1"/>
  <c r="L767" i="1"/>
  <c r="I767" i="1"/>
  <c r="B767" i="1"/>
  <c r="M766" i="1"/>
  <c r="L766" i="1"/>
  <c r="I766" i="1"/>
  <c r="B766" i="1"/>
  <c r="M765" i="1"/>
  <c r="L765" i="1"/>
  <c r="I765" i="1"/>
  <c r="B765" i="1"/>
  <c r="M764" i="1"/>
  <c r="L764" i="1"/>
  <c r="I764" i="1"/>
  <c r="B764" i="1"/>
  <c r="M763" i="1"/>
  <c r="L763" i="1"/>
  <c r="I763" i="1"/>
  <c r="B763" i="1"/>
  <c r="M762" i="1"/>
  <c r="L762" i="1"/>
  <c r="I762" i="1"/>
  <c r="B762" i="1"/>
  <c r="M761" i="1"/>
  <c r="L761" i="1"/>
  <c r="I761" i="1"/>
  <c r="B761" i="1"/>
  <c r="M760" i="1"/>
  <c r="L760" i="1"/>
  <c r="I760" i="1"/>
  <c r="B760" i="1"/>
  <c r="M759" i="1"/>
  <c r="L759" i="1"/>
  <c r="I759" i="1"/>
  <c r="B759" i="1"/>
  <c r="M758" i="1"/>
  <c r="L758" i="1"/>
  <c r="I758" i="1"/>
  <c r="B758" i="1"/>
  <c r="M757" i="1"/>
  <c r="L757" i="1"/>
  <c r="I757" i="1"/>
  <c r="B757" i="1"/>
  <c r="M756" i="1"/>
  <c r="L756" i="1"/>
  <c r="I756" i="1"/>
  <c r="B756" i="1"/>
  <c r="M755" i="1"/>
  <c r="L755" i="1"/>
  <c r="I755" i="1"/>
  <c r="B755" i="1"/>
  <c r="M754" i="1"/>
  <c r="L754" i="1"/>
  <c r="I754" i="1"/>
  <c r="B754" i="1"/>
  <c r="M753" i="1"/>
  <c r="L753" i="1"/>
  <c r="I753" i="1"/>
  <c r="B753" i="1"/>
  <c r="M752" i="1"/>
  <c r="L752" i="1"/>
  <c r="I752" i="1"/>
  <c r="B752" i="1"/>
  <c r="M751" i="1"/>
  <c r="L751" i="1"/>
  <c r="I751" i="1"/>
  <c r="B751" i="1"/>
  <c r="M750" i="1"/>
  <c r="L750" i="1"/>
  <c r="I750" i="1"/>
  <c r="B750" i="1"/>
  <c r="M749" i="1"/>
  <c r="L749" i="1"/>
  <c r="I749" i="1"/>
  <c r="B749" i="1"/>
  <c r="M748" i="1"/>
  <c r="L748" i="1"/>
  <c r="I748" i="1"/>
  <c r="B748" i="1"/>
  <c r="M747" i="1"/>
  <c r="L747" i="1"/>
  <c r="I747" i="1"/>
  <c r="B747" i="1"/>
  <c r="M746" i="1"/>
  <c r="L746" i="1"/>
  <c r="I746" i="1"/>
  <c r="B746" i="1"/>
  <c r="M745" i="1"/>
  <c r="L745" i="1"/>
  <c r="I745" i="1"/>
  <c r="B745" i="1"/>
  <c r="M744" i="1"/>
  <c r="L744" i="1"/>
  <c r="I744" i="1"/>
  <c r="B744" i="1"/>
  <c r="M743" i="1"/>
  <c r="L743" i="1"/>
  <c r="I743" i="1"/>
  <c r="B743" i="1"/>
  <c r="M742" i="1"/>
  <c r="L742" i="1"/>
  <c r="I742" i="1"/>
  <c r="B742" i="1"/>
  <c r="M741" i="1"/>
  <c r="L741" i="1"/>
  <c r="I741" i="1"/>
  <c r="B741" i="1"/>
  <c r="M740" i="1"/>
  <c r="L740" i="1"/>
  <c r="I740" i="1"/>
  <c r="B740" i="1"/>
  <c r="M739" i="1"/>
  <c r="L739" i="1"/>
  <c r="I739" i="1"/>
  <c r="B739" i="1"/>
  <c r="M738" i="1"/>
  <c r="L738" i="1"/>
  <c r="I738" i="1"/>
  <c r="B738" i="1"/>
  <c r="M737" i="1"/>
  <c r="L737" i="1"/>
  <c r="I737" i="1"/>
  <c r="B737" i="1"/>
  <c r="M736" i="1"/>
  <c r="L736" i="1"/>
  <c r="I736" i="1"/>
  <c r="B736" i="1"/>
  <c r="M735" i="1"/>
  <c r="L735" i="1"/>
  <c r="I735" i="1"/>
  <c r="B735" i="1"/>
  <c r="M734" i="1"/>
  <c r="L734" i="1"/>
  <c r="I734" i="1"/>
  <c r="B734" i="1"/>
  <c r="M733" i="1"/>
  <c r="L733" i="1"/>
  <c r="I733" i="1"/>
  <c r="B733" i="1"/>
  <c r="M732" i="1"/>
  <c r="L732" i="1"/>
  <c r="I732" i="1"/>
  <c r="B732" i="1"/>
  <c r="M731" i="1"/>
  <c r="L731" i="1"/>
  <c r="I731" i="1"/>
  <c r="B731" i="1"/>
  <c r="M730" i="1"/>
  <c r="L730" i="1"/>
  <c r="I730" i="1"/>
  <c r="B730" i="1"/>
  <c r="M729" i="1"/>
  <c r="L729" i="1"/>
  <c r="I729" i="1"/>
  <c r="B729" i="1"/>
  <c r="M728" i="1"/>
  <c r="L728" i="1"/>
  <c r="I728" i="1"/>
  <c r="B728" i="1"/>
  <c r="M727" i="1"/>
  <c r="L727" i="1"/>
  <c r="I727" i="1"/>
  <c r="B727" i="1"/>
  <c r="M726" i="1"/>
  <c r="L726" i="1"/>
  <c r="I726" i="1"/>
  <c r="B726" i="1"/>
  <c r="M725" i="1"/>
  <c r="L725" i="1"/>
  <c r="I725" i="1"/>
  <c r="B725" i="1"/>
  <c r="M724" i="1"/>
  <c r="L724" i="1"/>
  <c r="I724" i="1"/>
  <c r="B724" i="1"/>
  <c r="M723" i="1"/>
  <c r="L723" i="1"/>
  <c r="I723" i="1"/>
  <c r="B723" i="1"/>
  <c r="M722" i="1"/>
  <c r="L722" i="1"/>
  <c r="I722" i="1"/>
  <c r="B722" i="1"/>
  <c r="M721" i="1"/>
  <c r="L721" i="1"/>
  <c r="I721" i="1"/>
  <c r="B721" i="1"/>
  <c r="M720" i="1"/>
  <c r="L720" i="1"/>
  <c r="I720" i="1"/>
  <c r="B720" i="1"/>
  <c r="M719" i="1"/>
  <c r="L719" i="1"/>
  <c r="I719" i="1"/>
  <c r="B719" i="1"/>
  <c r="M718" i="1"/>
  <c r="L718" i="1"/>
  <c r="I718" i="1"/>
  <c r="B718" i="1"/>
  <c r="M717" i="1"/>
  <c r="L717" i="1"/>
  <c r="I717" i="1"/>
  <c r="B717" i="1"/>
  <c r="M716" i="1"/>
  <c r="L716" i="1"/>
  <c r="I716" i="1"/>
  <c r="B716" i="1"/>
  <c r="M715" i="1"/>
  <c r="L715" i="1"/>
  <c r="I715" i="1"/>
  <c r="B715" i="1"/>
  <c r="M714" i="1"/>
  <c r="L714" i="1"/>
  <c r="I714" i="1"/>
  <c r="B714" i="1"/>
  <c r="M713" i="1"/>
  <c r="L713" i="1"/>
  <c r="I713" i="1"/>
  <c r="B713" i="1"/>
  <c r="M712" i="1"/>
  <c r="L712" i="1"/>
  <c r="I712" i="1"/>
  <c r="B712" i="1"/>
  <c r="M711" i="1"/>
  <c r="L711" i="1"/>
  <c r="I711" i="1"/>
  <c r="B711" i="1"/>
  <c r="M710" i="1"/>
  <c r="L710" i="1"/>
  <c r="I710" i="1"/>
  <c r="B710" i="1"/>
  <c r="M709" i="1"/>
  <c r="L709" i="1"/>
  <c r="I709" i="1"/>
  <c r="B709" i="1"/>
  <c r="M708" i="1"/>
  <c r="L708" i="1"/>
  <c r="I708" i="1"/>
  <c r="B708" i="1"/>
  <c r="M707" i="1"/>
  <c r="L707" i="1"/>
  <c r="I707" i="1"/>
  <c r="B707" i="1"/>
  <c r="M706" i="1"/>
  <c r="L706" i="1"/>
  <c r="I706" i="1"/>
  <c r="B706" i="1"/>
  <c r="M705" i="1"/>
  <c r="L705" i="1"/>
  <c r="I705" i="1"/>
  <c r="B705" i="1"/>
  <c r="M704" i="1"/>
  <c r="L704" i="1"/>
  <c r="I704" i="1"/>
  <c r="B704" i="1"/>
  <c r="M703" i="1"/>
  <c r="L703" i="1"/>
  <c r="I703" i="1"/>
  <c r="B703" i="1"/>
  <c r="M702" i="1"/>
  <c r="L702" i="1"/>
  <c r="I702" i="1"/>
  <c r="B702" i="1"/>
  <c r="M701" i="1"/>
  <c r="L701" i="1"/>
  <c r="I701" i="1"/>
  <c r="B701" i="1"/>
  <c r="M700" i="1"/>
  <c r="L700" i="1"/>
  <c r="I700" i="1"/>
  <c r="B700" i="1"/>
  <c r="M699" i="1"/>
  <c r="L699" i="1"/>
  <c r="I699" i="1"/>
  <c r="B699" i="1"/>
  <c r="M698" i="1"/>
  <c r="L698" i="1"/>
  <c r="I698" i="1"/>
  <c r="B698" i="1"/>
  <c r="M697" i="1"/>
  <c r="L697" i="1"/>
  <c r="I697" i="1"/>
  <c r="B697" i="1"/>
  <c r="M696" i="1"/>
  <c r="L696" i="1"/>
  <c r="I696" i="1"/>
  <c r="B696" i="1"/>
  <c r="M695" i="1"/>
  <c r="L695" i="1"/>
  <c r="I695" i="1"/>
  <c r="B695" i="1"/>
  <c r="M694" i="1"/>
  <c r="L694" i="1"/>
  <c r="I694" i="1"/>
  <c r="B694" i="1"/>
  <c r="M693" i="1"/>
  <c r="L693" i="1"/>
  <c r="I693" i="1"/>
  <c r="B693" i="1"/>
  <c r="M692" i="1"/>
  <c r="L692" i="1"/>
  <c r="I692" i="1"/>
  <c r="B692" i="1"/>
  <c r="M691" i="1"/>
  <c r="L691" i="1"/>
  <c r="I691" i="1"/>
  <c r="B691" i="1"/>
  <c r="M690" i="1"/>
  <c r="L690" i="1"/>
  <c r="I690" i="1"/>
  <c r="B690" i="1"/>
  <c r="M689" i="1"/>
  <c r="L689" i="1"/>
  <c r="I689" i="1"/>
  <c r="B689" i="1"/>
  <c r="M688" i="1"/>
  <c r="L688" i="1"/>
  <c r="I688" i="1"/>
  <c r="B688" i="1"/>
  <c r="M687" i="1"/>
  <c r="L687" i="1"/>
  <c r="I687" i="1"/>
  <c r="B687" i="1"/>
  <c r="M686" i="1"/>
  <c r="L686" i="1"/>
  <c r="I686" i="1"/>
  <c r="B686" i="1"/>
  <c r="M685" i="1"/>
  <c r="L685" i="1"/>
  <c r="I685" i="1"/>
  <c r="B685" i="1"/>
  <c r="M684" i="1"/>
  <c r="L684" i="1"/>
  <c r="I684" i="1"/>
  <c r="B684" i="1"/>
  <c r="M683" i="1"/>
  <c r="L683" i="1"/>
  <c r="I683" i="1"/>
  <c r="B683" i="1"/>
  <c r="M682" i="1"/>
  <c r="L682" i="1"/>
  <c r="I682" i="1"/>
  <c r="B682" i="1"/>
  <c r="M681" i="1"/>
  <c r="L681" i="1"/>
  <c r="I681" i="1"/>
  <c r="B681" i="1"/>
  <c r="M680" i="1"/>
  <c r="L680" i="1"/>
  <c r="I680" i="1"/>
  <c r="B680" i="1"/>
  <c r="M679" i="1"/>
  <c r="L679" i="1"/>
  <c r="I679" i="1"/>
  <c r="B679" i="1"/>
  <c r="M678" i="1"/>
  <c r="L678" i="1"/>
  <c r="I678" i="1"/>
  <c r="B678" i="1"/>
  <c r="M677" i="1"/>
  <c r="L677" i="1"/>
  <c r="I677" i="1"/>
  <c r="B677" i="1"/>
  <c r="M676" i="1"/>
  <c r="L676" i="1"/>
  <c r="I676" i="1"/>
  <c r="B676" i="1"/>
  <c r="M675" i="1"/>
  <c r="L675" i="1"/>
  <c r="I675" i="1"/>
  <c r="B675" i="1"/>
  <c r="M674" i="1"/>
  <c r="L674" i="1"/>
  <c r="I674" i="1"/>
  <c r="B674" i="1"/>
  <c r="M673" i="1"/>
  <c r="L673" i="1"/>
  <c r="I673" i="1"/>
  <c r="B673" i="1"/>
  <c r="M672" i="1"/>
  <c r="L672" i="1"/>
  <c r="I672" i="1"/>
  <c r="B672" i="1"/>
  <c r="M671" i="1"/>
  <c r="L671" i="1"/>
  <c r="I671" i="1"/>
  <c r="B671" i="1"/>
  <c r="M670" i="1"/>
  <c r="L670" i="1"/>
  <c r="I670" i="1"/>
  <c r="B670" i="1"/>
  <c r="M669" i="1"/>
  <c r="L669" i="1"/>
  <c r="I669" i="1"/>
  <c r="B669" i="1"/>
  <c r="M668" i="1"/>
  <c r="L668" i="1"/>
  <c r="I668" i="1"/>
  <c r="B668" i="1"/>
  <c r="M667" i="1"/>
  <c r="L667" i="1"/>
  <c r="I667" i="1"/>
  <c r="B667" i="1"/>
  <c r="M666" i="1"/>
  <c r="L666" i="1"/>
  <c r="I666" i="1"/>
  <c r="B666" i="1"/>
  <c r="M665" i="1"/>
  <c r="L665" i="1"/>
  <c r="I665" i="1"/>
  <c r="B665" i="1"/>
  <c r="M664" i="1"/>
  <c r="L664" i="1"/>
  <c r="I664" i="1"/>
  <c r="B664" i="1"/>
  <c r="M663" i="1"/>
  <c r="L663" i="1"/>
  <c r="I663" i="1"/>
  <c r="B663" i="1"/>
  <c r="M662" i="1"/>
  <c r="L662" i="1"/>
  <c r="I662" i="1"/>
  <c r="B662" i="1"/>
  <c r="M661" i="1"/>
  <c r="L661" i="1"/>
  <c r="I661" i="1"/>
  <c r="B661" i="1"/>
  <c r="M660" i="1"/>
  <c r="L660" i="1"/>
  <c r="I660" i="1"/>
  <c r="B660" i="1"/>
  <c r="M659" i="1"/>
  <c r="L659" i="1"/>
  <c r="I659" i="1"/>
  <c r="B659" i="1"/>
  <c r="M658" i="1"/>
  <c r="L658" i="1"/>
  <c r="I658" i="1"/>
  <c r="B658" i="1"/>
  <c r="M657" i="1"/>
  <c r="L657" i="1"/>
  <c r="I657" i="1"/>
  <c r="B657" i="1"/>
  <c r="M656" i="1"/>
  <c r="L656" i="1"/>
  <c r="I656" i="1"/>
  <c r="B656" i="1"/>
  <c r="M655" i="1"/>
  <c r="L655" i="1"/>
  <c r="I655" i="1"/>
  <c r="B655" i="1"/>
  <c r="M654" i="1"/>
  <c r="L654" i="1"/>
  <c r="I654" i="1"/>
  <c r="B654" i="1"/>
  <c r="M653" i="1"/>
  <c r="L653" i="1"/>
  <c r="I653" i="1"/>
  <c r="B653" i="1"/>
  <c r="M652" i="1"/>
  <c r="L652" i="1"/>
  <c r="I652" i="1"/>
  <c r="B652" i="1"/>
  <c r="M651" i="1"/>
  <c r="L651" i="1"/>
  <c r="I651" i="1"/>
  <c r="B651" i="1"/>
  <c r="M650" i="1"/>
  <c r="L650" i="1"/>
  <c r="I650" i="1"/>
  <c r="B650" i="1"/>
  <c r="M649" i="1"/>
  <c r="L649" i="1"/>
  <c r="I649" i="1"/>
  <c r="B649" i="1"/>
  <c r="M648" i="1"/>
  <c r="L648" i="1"/>
  <c r="I648" i="1"/>
  <c r="B648" i="1"/>
  <c r="M647" i="1"/>
  <c r="L647" i="1"/>
  <c r="I647" i="1"/>
  <c r="B647" i="1"/>
  <c r="M646" i="1"/>
  <c r="L646" i="1"/>
  <c r="I646" i="1"/>
  <c r="B646" i="1"/>
  <c r="M645" i="1"/>
  <c r="L645" i="1"/>
  <c r="I645" i="1"/>
  <c r="B645" i="1"/>
  <c r="M644" i="1"/>
  <c r="L644" i="1"/>
  <c r="I644" i="1"/>
  <c r="B644" i="1"/>
  <c r="M643" i="1"/>
  <c r="L643" i="1"/>
  <c r="I643" i="1"/>
  <c r="B643" i="1"/>
  <c r="M642" i="1"/>
  <c r="L642" i="1"/>
  <c r="I642" i="1"/>
  <c r="B642" i="1"/>
  <c r="M641" i="1"/>
  <c r="L641" i="1"/>
  <c r="I641" i="1"/>
  <c r="B641" i="1"/>
  <c r="M640" i="1"/>
  <c r="L640" i="1"/>
  <c r="I640" i="1"/>
  <c r="B640" i="1"/>
  <c r="M639" i="1"/>
  <c r="L639" i="1"/>
  <c r="I639" i="1"/>
  <c r="B639" i="1"/>
  <c r="M638" i="1"/>
  <c r="L638" i="1"/>
  <c r="I638" i="1"/>
  <c r="B638" i="1"/>
  <c r="M637" i="1"/>
  <c r="L637" i="1"/>
  <c r="I637" i="1"/>
  <c r="B637" i="1"/>
  <c r="M636" i="1"/>
  <c r="L636" i="1"/>
  <c r="I636" i="1"/>
  <c r="B636" i="1"/>
  <c r="M635" i="1"/>
  <c r="L635" i="1"/>
  <c r="I635" i="1"/>
  <c r="B635" i="1"/>
  <c r="M634" i="1"/>
  <c r="L634" i="1"/>
  <c r="I634" i="1"/>
  <c r="B634" i="1"/>
  <c r="M633" i="1"/>
  <c r="L633" i="1"/>
  <c r="I633" i="1"/>
  <c r="B633" i="1"/>
  <c r="M632" i="1"/>
  <c r="L632" i="1"/>
  <c r="I632" i="1"/>
  <c r="B632" i="1"/>
  <c r="M631" i="1"/>
  <c r="L631" i="1"/>
  <c r="I631" i="1"/>
  <c r="B631" i="1"/>
  <c r="M630" i="1"/>
  <c r="L630" i="1"/>
  <c r="I630" i="1"/>
  <c r="B630" i="1"/>
  <c r="M629" i="1"/>
  <c r="L629" i="1"/>
  <c r="I629" i="1"/>
  <c r="B629" i="1"/>
  <c r="M628" i="1"/>
  <c r="L628" i="1"/>
  <c r="I628" i="1"/>
  <c r="B628" i="1"/>
  <c r="M627" i="1"/>
  <c r="L627" i="1"/>
  <c r="I627" i="1"/>
  <c r="B627" i="1"/>
  <c r="M626" i="1"/>
  <c r="L626" i="1"/>
  <c r="I626" i="1"/>
  <c r="B626" i="1"/>
  <c r="M625" i="1"/>
  <c r="L625" i="1"/>
  <c r="I625" i="1"/>
  <c r="B625" i="1"/>
  <c r="M624" i="1"/>
  <c r="L624" i="1"/>
  <c r="I624" i="1"/>
  <c r="B624" i="1"/>
  <c r="M623" i="1"/>
  <c r="L623" i="1"/>
  <c r="I623" i="1"/>
  <c r="B623" i="1"/>
  <c r="M622" i="1"/>
  <c r="L622" i="1"/>
  <c r="I622" i="1"/>
  <c r="B622" i="1"/>
  <c r="M621" i="1"/>
  <c r="L621" i="1"/>
  <c r="I621" i="1"/>
  <c r="B621" i="1"/>
  <c r="M620" i="1"/>
  <c r="L620" i="1"/>
  <c r="I620" i="1"/>
  <c r="B620" i="1"/>
  <c r="M619" i="1"/>
  <c r="L619" i="1"/>
  <c r="I619" i="1"/>
  <c r="B619" i="1"/>
  <c r="M618" i="1"/>
  <c r="L618" i="1"/>
  <c r="I618" i="1"/>
  <c r="B618" i="1"/>
  <c r="M617" i="1"/>
  <c r="L617" i="1"/>
  <c r="I617" i="1"/>
  <c r="B617" i="1"/>
  <c r="M616" i="1"/>
  <c r="L616" i="1"/>
  <c r="I616" i="1"/>
  <c r="B616" i="1"/>
  <c r="M615" i="1"/>
  <c r="L615" i="1"/>
  <c r="I615" i="1"/>
  <c r="B615" i="1"/>
  <c r="M614" i="1"/>
  <c r="L614" i="1"/>
  <c r="I614" i="1"/>
  <c r="B614" i="1"/>
  <c r="M613" i="1"/>
  <c r="L613" i="1"/>
  <c r="I613" i="1"/>
  <c r="B613" i="1"/>
  <c r="M612" i="1"/>
  <c r="L612" i="1"/>
  <c r="I612" i="1"/>
  <c r="B612" i="1"/>
  <c r="M611" i="1"/>
  <c r="L611" i="1"/>
  <c r="I611" i="1"/>
  <c r="B611" i="1"/>
  <c r="M610" i="1"/>
  <c r="L610" i="1"/>
  <c r="I610" i="1"/>
  <c r="B610" i="1"/>
  <c r="M609" i="1"/>
  <c r="L609" i="1"/>
  <c r="I609" i="1"/>
  <c r="B609" i="1"/>
  <c r="M608" i="1"/>
  <c r="L608" i="1"/>
  <c r="I608" i="1"/>
  <c r="B608" i="1"/>
  <c r="M607" i="1"/>
  <c r="L607" i="1"/>
  <c r="I607" i="1"/>
  <c r="B607" i="1"/>
  <c r="M606" i="1"/>
  <c r="L606" i="1"/>
  <c r="I606" i="1"/>
  <c r="B606" i="1"/>
  <c r="M605" i="1"/>
  <c r="L605" i="1"/>
  <c r="I605" i="1"/>
  <c r="B605" i="1"/>
  <c r="M604" i="1"/>
  <c r="L604" i="1"/>
  <c r="I604" i="1"/>
  <c r="B604" i="1"/>
  <c r="M603" i="1"/>
  <c r="L603" i="1"/>
  <c r="I603" i="1"/>
  <c r="B603" i="1"/>
  <c r="M602" i="1"/>
  <c r="L602" i="1"/>
  <c r="I602" i="1"/>
  <c r="B602" i="1"/>
  <c r="M601" i="1"/>
  <c r="L601" i="1"/>
  <c r="I601" i="1"/>
  <c r="B601" i="1"/>
  <c r="M600" i="1"/>
  <c r="L600" i="1"/>
  <c r="I600" i="1"/>
  <c r="B600" i="1"/>
  <c r="M599" i="1"/>
  <c r="L599" i="1"/>
  <c r="I599" i="1"/>
  <c r="B599" i="1"/>
  <c r="M598" i="1"/>
  <c r="L598" i="1"/>
  <c r="I598" i="1"/>
  <c r="B598" i="1"/>
  <c r="M597" i="1"/>
  <c r="L597" i="1"/>
  <c r="I597" i="1"/>
  <c r="B597" i="1"/>
  <c r="M596" i="1"/>
  <c r="L596" i="1"/>
  <c r="I596" i="1"/>
  <c r="B596" i="1"/>
  <c r="M595" i="1"/>
  <c r="L595" i="1"/>
  <c r="I595" i="1"/>
  <c r="B595" i="1"/>
  <c r="M594" i="1"/>
  <c r="L594" i="1"/>
  <c r="I594" i="1"/>
  <c r="B594" i="1"/>
  <c r="M593" i="1"/>
  <c r="L593" i="1"/>
  <c r="I593" i="1"/>
  <c r="B593" i="1"/>
  <c r="M592" i="1"/>
  <c r="L592" i="1"/>
  <c r="I592" i="1"/>
  <c r="B592" i="1"/>
  <c r="M591" i="1"/>
  <c r="L591" i="1"/>
  <c r="I591" i="1"/>
  <c r="B591" i="1"/>
  <c r="M590" i="1"/>
  <c r="L590" i="1"/>
  <c r="I590" i="1"/>
  <c r="B590" i="1"/>
  <c r="M589" i="1"/>
  <c r="L589" i="1"/>
  <c r="I589" i="1"/>
  <c r="B589" i="1"/>
  <c r="M588" i="1"/>
  <c r="L588" i="1"/>
  <c r="I588" i="1"/>
  <c r="B588" i="1"/>
  <c r="M587" i="1"/>
  <c r="L587" i="1"/>
  <c r="I587" i="1"/>
  <c r="B587" i="1"/>
  <c r="M586" i="1"/>
  <c r="L586" i="1"/>
  <c r="I586" i="1"/>
  <c r="B586" i="1"/>
  <c r="M585" i="1"/>
  <c r="L585" i="1"/>
  <c r="I585" i="1"/>
  <c r="B585" i="1"/>
  <c r="M584" i="1"/>
  <c r="L584" i="1"/>
  <c r="I584" i="1"/>
  <c r="B584" i="1"/>
  <c r="M583" i="1"/>
  <c r="L583" i="1"/>
  <c r="I583" i="1"/>
  <c r="B583" i="1"/>
  <c r="M582" i="1"/>
  <c r="L582" i="1"/>
  <c r="I582" i="1"/>
  <c r="B582" i="1"/>
  <c r="M581" i="1"/>
  <c r="L581" i="1"/>
  <c r="I581" i="1"/>
  <c r="B581" i="1"/>
  <c r="M580" i="1"/>
  <c r="L580" i="1"/>
  <c r="I580" i="1"/>
  <c r="B580" i="1"/>
  <c r="M579" i="1"/>
  <c r="L579" i="1"/>
  <c r="I579" i="1"/>
  <c r="B579" i="1"/>
  <c r="M578" i="1"/>
  <c r="L578" i="1"/>
  <c r="I578" i="1"/>
  <c r="B578" i="1"/>
  <c r="M577" i="1"/>
  <c r="L577" i="1"/>
  <c r="I577" i="1"/>
  <c r="B577" i="1"/>
  <c r="M576" i="1"/>
  <c r="L576" i="1"/>
  <c r="I576" i="1"/>
  <c r="B576" i="1"/>
  <c r="M575" i="1"/>
  <c r="L575" i="1"/>
  <c r="I575" i="1"/>
  <c r="B575" i="1"/>
  <c r="M574" i="1"/>
  <c r="L574" i="1"/>
  <c r="I574" i="1"/>
  <c r="B574" i="1"/>
  <c r="M573" i="1"/>
  <c r="L573" i="1"/>
  <c r="I573" i="1"/>
  <c r="B573" i="1"/>
  <c r="M572" i="1"/>
  <c r="L572" i="1"/>
  <c r="I572" i="1"/>
  <c r="B572" i="1"/>
  <c r="M571" i="1"/>
  <c r="L571" i="1"/>
  <c r="I571" i="1"/>
  <c r="B571" i="1"/>
  <c r="M570" i="1"/>
  <c r="L570" i="1"/>
  <c r="I570" i="1"/>
  <c r="B570" i="1"/>
  <c r="M569" i="1"/>
  <c r="L569" i="1"/>
  <c r="I569" i="1"/>
  <c r="B569" i="1"/>
  <c r="M568" i="1"/>
  <c r="L568" i="1"/>
  <c r="I568" i="1"/>
  <c r="B568" i="1"/>
  <c r="M567" i="1"/>
  <c r="L567" i="1"/>
  <c r="I567" i="1"/>
  <c r="B567" i="1"/>
  <c r="M566" i="1"/>
  <c r="L566" i="1"/>
  <c r="I566" i="1"/>
  <c r="B566" i="1"/>
  <c r="M565" i="1"/>
  <c r="L565" i="1"/>
  <c r="I565" i="1"/>
  <c r="B565" i="1"/>
  <c r="M564" i="1"/>
  <c r="L564" i="1"/>
  <c r="I564" i="1"/>
  <c r="B564" i="1"/>
  <c r="M563" i="1"/>
  <c r="L563" i="1"/>
  <c r="I563" i="1"/>
  <c r="B563" i="1"/>
  <c r="M562" i="1"/>
  <c r="L562" i="1"/>
  <c r="I562" i="1"/>
  <c r="B562" i="1"/>
  <c r="M561" i="1"/>
  <c r="L561" i="1"/>
  <c r="I561" i="1"/>
  <c r="B561" i="1"/>
  <c r="M560" i="1"/>
  <c r="L560" i="1"/>
  <c r="I560" i="1"/>
  <c r="B560" i="1"/>
  <c r="M559" i="1"/>
  <c r="L559" i="1"/>
  <c r="I559" i="1"/>
  <c r="B559" i="1"/>
  <c r="M558" i="1"/>
  <c r="L558" i="1"/>
  <c r="I558" i="1"/>
  <c r="B558" i="1"/>
  <c r="M557" i="1"/>
  <c r="L557" i="1"/>
  <c r="I557" i="1"/>
  <c r="B557" i="1"/>
  <c r="M556" i="1"/>
  <c r="L556" i="1"/>
  <c r="I556" i="1"/>
  <c r="B556" i="1"/>
  <c r="M555" i="1"/>
  <c r="L555" i="1"/>
  <c r="I555" i="1"/>
  <c r="B555" i="1"/>
  <c r="M554" i="1"/>
  <c r="L554" i="1"/>
  <c r="I554" i="1"/>
  <c r="B554" i="1"/>
  <c r="M553" i="1"/>
  <c r="L553" i="1"/>
  <c r="I553" i="1"/>
  <c r="B553" i="1"/>
  <c r="M552" i="1"/>
  <c r="L552" i="1"/>
  <c r="I552" i="1"/>
  <c r="B552" i="1"/>
  <c r="M551" i="1"/>
  <c r="L551" i="1"/>
  <c r="I551" i="1"/>
  <c r="B551" i="1"/>
  <c r="M550" i="1"/>
  <c r="L550" i="1"/>
  <c r="I550" i="1"/>
  <c r="B550" i="1"/>
  <c r="M549" i="1"/>
  <c r="L549" i="1"/>
  <c r="I549" i="1"/>
  <c r="B549" i="1"/>
  <c r="M548" i="1"/>
  <c r="L548" i="1"/>
  <c r="I548" i="1"/>
  <c r="B548" i="1"/>
  <c r="M547" i="1"/>
  <c r="L547" i="1"/>
  <c r="I547" i="1"/>
  <c r="B547" i="1"/>
  <c r="M546" i="1"/>
  <c r="L546" i="1"/>
  <c r="I546" i="1"/>
  <c r="B546" i="1"/>
  <c r="M545" i="1"/>
  <c r="L545" i="1"/>
  <c r="I545" i="1"/>
  <c r="B545" i="1"/>
  <c r="M544" i="1"/>
  <c r="L544" i="1"/>
  <c r="I544" i="1"/>
  <c r="B544" i="1"/>
  <c r="M543" i="1"/>
  <c r="L543" i="1"/>
  <c r="I543" i="1"/>
  <c r="B543" i="1"/>
  <c r="M542" i="1"/>
  <c r="L542" i="1"/>
  <c r="I542" i="1"/>
  <c r="B542" i="1"/>
  <c r="M541" i="1"/>
  <c r="L541" i="1"/>
  <c r="I541" i="1"/>
  <c r="B541" i="1"/>
  <c r="M540" i="1"/>
  <c r="L540" i="1"/>
  <c r="I540" i="1"/>
  <c r="B540" i="1"/>
  <c r="M539" i="1"/>
  <c r="L539" i="1"/>
  <c r="I539" i="1"/>
  <c r="B539" i="1"/>
  <c r="M538" i="1"/>
  <c r="L538" i="1"/>
  <c r="I538" i="1"/>
  <c r="B538" i="1"/>
  <c r="M537" i="1"/>
  <c r="L537" i="1"/>
  <c r="I537" i="1"/>
  <c r="B537" i="1"/>
  <c r="M536" i="1"/>
  <c r="L536" i="1"/>
  <c r="I536" i="1"/>
  <c r="B536" i="1"/>
  <c r="M535" i="1"/>
  <c r="L535" i="1"/>
  <c r="I535" i="1"/>
  <c r="B535" i="1"/>
  <c r="M534" i="1"/>
  <c r="L534" i="1"/>
  <c r="I534" i="1"/>
  <c r="B534" i="1"/>
  <c r="M533" i="1"/>
  <c r="L533" i="1"/>
  <c r="I533" i="1"/>
  <c r="B533" i="1"/>
  <c r="M532" i="1"/>
  <c r="L532" i="1"/>
  <c r="I532" i="1"/>
  <c r="B532" i="1"/>
  <c r="M531" i="1"/>
  <c r="L531" i="1"/>
  <c r="I531" i="1"/>
  <c r="B531" i="1"/>
  <c r="M530" i="1"/>
  <c r="L530" i="1"/>
  <c r="I530" i="1"/>
  <c r="B530" i="1"/>
  <c r="M529" i="1"/>
  <c r="L529" i="1"/>
  <c r="I529" i="1"/>
  <c r="B529" i="1"/>
  <c r="M528" i="1"/>
  <c r="L528" i="1"/>
  <c r="I528" i="1"/>
  <c r="B528" i="1"/>
  <c r="M527" i="1"/>
  <c r="L527" i="1"/>
  <c r="I527" i="1"/>
  <c r="B527" i="1"/>
  <c r="M526" i="1"/>
  <c r="L526" i="1"/>
  <c r="I526" i="1"/>
  <c r="B526" i="1"/>
  <c r="M525" i="1"/>
  <c r="L525" i="1"/>
  <c r="I525" i="1"/>
  <c r="B525" i="1"/>
  <c r="M524" i="1"/>
  <c r="L524" i="1"/>
  <c r="I524" i="1"/>
  <c r="B524" i="1"/>
  <c r="M523" i="1"/>
  <c r="L523" i="1"/>
  <c r="I523" i="1"/>
  <c r="B523" i="1"/>
  <c r="M522" i="1"/>
  <c r="L522" i="1"/>
  <c r="I522" i="1"/>
  <c r="B522" i="1"/>
  <c r="M521" i="1"/>
  <c r="L521" i="1"/>
  <c r="I521" i="1"/>
  <c r="B521" i="1"/>
  <c r="M520" i="1"/>
  <c r="L520" i="1"/>
  <c r="I520" i="1"/>
  <c r="B520" i="1"/>
  <c r="M519" i="1"/>
  <c r="L519" i="1"/>
  <c r="I519" i="1"/>
  <c r="B519" i="1"/>
  <c r="M518" i="1"/>
  <c r="L518" i="1"/>
  <c r="I518" i="1"/>
  <c r="B518" i="1"/>
  <c r="M517" i="1"/>
  <c r="L517" i="1"/>
  <c r="I517" i="1"/>
  <c r="B517" i="1"/>
  <c r="M516" i="1"/>
  <c r="L516" i="1"/>
  <c r="I516" i="1"/>
  <c r="B516" i="1"/>
  <c r="M515" i="1"/>
  <c r="L515" i="1"/>
  <c r="I515" i="1"/>
  <c r="B515" i="1"/>
  <c r="M514" i="1"/>
  <c r="L514" i="1"/>
  <c r="I514" i="1"/>
  <c r="B514" i="1"/>
  <c r="M513" i="1"/>
  <c r="L513" i="1"/>
  <c r="I513" i="1"/>
  <c r="B513" i="1"/>
  <c r="M512" i="1"/>
  <c r="L512" i="1"/>
  <c r="I512" i="1"/>
  <c r="B512" i="1"/>
  <c r="M511" i="1"/>
  <c r="L511" i="1"/>
  <c r="I511" i="1"/>
  <c r="B511" i="1"/>
  <c r="M510" i="1"/>
  <c r="L510" i="1"/>
  <c r="I510" i="1"/>
  <c r="B510" i="1"/>
  <c r="M509" i="1"/>
  <c r="L509" i="1"/>
  <c r="I509" i="1"/>
  <c r="B509" i="1"/>
  <c r="M508" i="1"/>
  <c r="L508" i="1"/>
  <c r="I508" i="1"/>
  <c r="B508" i="1"/>
  <c r="M507" i="1"/>
  <c r="L507" i="1"/>
  <c r="I507" i="1"/>
  <c r="B507" i="1"/>
  <c r="M506" i="1"/>
  <c r="L506" i="1"/>
  <c r="I506" i="1"/>
  <c r="B506" i="1"/>
  <c r="M505" i="1"/>
  <c r="L505" i="1"/>
  <c r="I505" i="1"/>
  <c r="B505" i="1"/>
  <c r="M504" i="1"/>
  <c r="L504" i="1"/>
  <c r="I504" i="1"/>
  <c r="B504" i="1"/>
  <c r="M503" i="1"/>
  <c r="L503" i="1"/>
  <c r="I503" i="1"/>
  <c r="B503" i="1"/>
  <c r="M502" i="1"/>
  <c r="L502" i="1"/>
  <c r="I502" i="1"/>
  <c r="B502" i="1"/>
  <c r="M501" i="1"/>
  <c r="L501" i="1"/>
  <c r="I501" i="1"/>
  <c r="B501" i="1"/>
  <c r="M500" i="1"/>
  <c r="L500" i="1"/>
  <c r="I500" i="1"/>
  <c r="B500" i="1"/>
  <c r="M499" i="1"/>
  <c r="L499" i="1"/>
  <c r="I499" i="1"/>
  <c r="B499" i="1"/>
  <c r="M498" i="1"/>
  <c r="L498" i="1"/>
  <c r="I498" i="1"/>
  <c r="B498" i="1"/>
  <c r="M497" i="1"/>
  <c r="L497" i="1"/>
  <c r="I497" i="1"/>
  <c r="B497" i="1"/>
  <c r="M496" i="1"/>
  <c r="L496" i="1"/>
  <c r="I496" i="1"/>
  <c r="B496" i="1"/>
  <c r="M495" i="1"/>
  <c r="L495" i="1"/>
  <c r="I495" i="1"/>
  <c r="B495" i="1"/>
  <c r="M494" i="1"/>
  <c r="L494" i="1"/>
  <c r="I494" i="1"/>
  <c r="B494" i="1"/>
  <c r="M493" i="1"/>
  <c r="L493" i="1"/>
  <c r="I493" i="1"/>
  <c r="B493" i="1"/>
  <c r="M492" i="1"/>
  <c r="L492" i="1"/>
  <c r="I492" i="1"/>
  <c r="B492" i="1"/>
  <c r="M491" i="1"/>
  <c r="L491" i="1"/>
  <c r="I491" i="1"/>
  <c r="B491" i="1"/>
  <c r="M490" i="1"/>
  <c r="L490" i="1"/>
  <c r="I490" i="1"/>
  <c r="B490" i="1"/>
  <c r="M489" i="1"/>
  <c r="L489" i="1"/>
  <c r="I489" i="1"/>
  <c r="B489" i="1"/>
  <c r="M488" i="1"/>
  <c r="L488" i="1"/>
  <c r="I488" i="1"/>
  <c r="B488" i="1"/>
  <c r="M487" i="1"/>
  <c r="L487" i="1"/>
  <c r="I487" i="1"/>
  <c r="B487" i="1"/>
  <c r="M486" i="1"/>
  <c r="L486" i="1"/>
  <c r="I486" i="1"/>
  <c r="B486" i="1"/>
  <c r="M485" i="1"/>
  <c r="L485" i="1"/>
  <c r="I485" i="1"/>
  <c r="B485" i="1"/>
  <c r="M484" i="1"/>
  <c r="L484" i="1"/>
  <c r="I484" i="1"/>
  <c r="B484" i="1"/>
  <c r="M483" i="1"/>
  <c r="L483" i="1"/>
  <c r="I483" i="1"/>
  <c r="B483" i="1"/>
  <c r="M482" i="1"/>
  <c r="L482" i="1"/>
  <c r="I482" i="1"/>
  <c r="B482" i="1"/>
  <c r="M481" i="1"/>
  <c r="L481" i="1"/>
  <c r="I481" i="1"/>
  <c r="B481" i="1"/>
  <c r="M480" i="1"/>
  <c r="L480" i="1"/>
  <c r="I480" i="1"/>
  <c r="B480" i="1"/>
  <c r="M479" i="1"/>
  <c r="L479" i="1"/>
  <c r="I479" i="1"/>
  <c r="B479" i="1"/>
  <c r="M478" i="1"/>
  <c r="L478" i="1"/>
  <c r="I478" i="1"/>
  <c r="B478" i="1"/>
  <c r="M477" i="1"/>
  <c r="L477" i="1"/>
  <c r="I477" i="1"/>
  <c r="B477" i="1"/>
  <c r="M476" i="1"/>
  <c r="L476" i="1"/>
  <c r="I476" i="1"/>
  <c r="B476" i="1"/>
  <c r="M475" i="1"/>
  <c r="L475" i="1"/>
  <c r="I475" i="1"/>
  <c r="B475" i="1"/>
  <c r="M474" i="1"/>
  <c r="L474" i="1"/>
  <c r="I474" i="1"/>
  <c r="B474" i="1"/>
  <c r="M473" i="1"/>
  <c r="L473" i="1"/>
  <c r="I473" i="1"/>
  <c r="B473" i="1"/>
  <c r="M472" i="1"/>
  <c r="L472" i="1"/>
  <c r="I472" i="1"/>
  <c r="B472" i="1"/>
  <c r="M471" i="1"/>
  <c r="L471" i="1"/>
  <c r="I471" i="1"/>
  <c r="B471" i="1"/>
  <c r="M470" i="1"/>
  <c r="L470" i="1"/>
  <c r="I470" i="1"/>
  <c r="B470" i="1"/>
  <c r="M469" i="1"/>
  <c r="L469" i="1"/>
  <c r="I469" i="1"/>
  <c r="B469" i="1"/>
  <c r="M468" i="1"/>
  <c r="L468" i="1"/>
  <c r="I468" i="1"/>
  <c r="B468" i="1"/>
  <c r="M467" i="1"/>
  <c r="L467" i="1"/>
  <c r="I467" i="1"/>
  <c r="B467" i="1"/>
  <c r="M466" i="1"/>
  <c r="L466" i="1"/>
  <c r="I466" i="1"/>
  <c r="B466" i="1"/>
  <c r="M465" i="1"/>
  <c r="L465" i="1"/>
  <c r="I465" i="1"/>
  <c r="B465" i="1"/>
  <c r="M464" i="1"/>
  <c r="L464" i="1"/>
  <c r="I464" i="1"/>
  <c r="B464" i="1"/>
  <c r="M463" i="1"/>
  <c r="L463" i="1"/>
  <c r="I463" i="1"/>
  <c r="B463" i="1"/>
  <c r="M462" i="1"/>
  <c r="L462" i="1"/>
  <c r="I462" i="1"/>
  <c r="B462" i="1"/>
  <c r="M461" i="1"/>
  <c r="L461" i="1"/>
  <c r="I461" i="1"/>
  <c r="B461" i="1"/>
  <c r="M460" i="1"/>
  <c r="L460" i="1"/>
  <c r="I460" i="1"/>
  <c r="B460" i="1"/>
  <c r="M459" i="1"/>
  <c r="L459" i="1"/>
  <c r="I459" i="1"/>
  <c r="B459" i="1"/>
  <c r="M458" i="1"/>
  <c r="L458" i="1"/>
  <c r="I458" i="1"/>
  <c r="B458" i="1"/>
  <c r="M457" i="1"/>
  <c r="L457" i="1"/>
  <c r="I457" i="1"/>
  <c r="B457" i="1"/>
  <c r="M456" i="1"/>
  <c r="L456" i="1"/>
  <c r="I456" i="1"/>
  <c r="B456" i="1"/>
  <c r="M455" i="1"/>
  <c r="L455" i="1"/>
  <c r="I455" i="1"/>
  <c r="B455" i="1"/>
  <c r="M454" i="1"/>
  <c r="L454" i="1"/>
  <c r="I454" i="1"/>
  <c r="B454" i="1"/>
  <c r="M453" i="1"/>
  <c r="L453" i="1"/>
  <c r="I453" i="1"/>
  <c r="B453" i="1"/>
  <c r="M452" i="1"/>
  <c r="L452" i="1"/>
  <c r="I452" i="1"/>
  <c r="B452" i="1"/>
  <c r="M451" i="1"/>
  <c r="L451" i="1"/>
  <c r="I451" i="1"/>
  <c r="B451" i="1"/>
  <c r="M450" i="1"/>
  <c r="L450" i="1"/>
  <c r="I450" i="1"/>
  <c r="B450" i="1"/>
  <c r="M449" i="1"/>
  <c r="L449" i="1"/>
  <c r="I449" i="1"/>
  <c r="B449" i="1"/>
  <c r="M448" i="1"/>
  <c r="L448" i="1"/>
  <c r="I448" i="1"/>
  <c r="B448" i="1"/>
  <c r="M447" i="1"/>
  <c r="L447" i="1"/>
  <c r="I447" i="1"/>
  <c r="B447" i="1"/>
  <c r="M446" i="1"/>
  <c r="L446" i="1"/>
  <c r="I446" i="1"/>
  <c r="B446" i="1"/>
  <c r="M445" i="1"/>
  <c r="L445" i="1"/>
  <c r="I445" i="1"/>
  <c r="B445" i="1"/>
  <c r="M444" i="1"/>
  <c r="L444" i="1"/>
  <c r="I444" i="1"/>
  <c r="B444" i="1"/>
  <c r="M443" i="1"/>
  <c r="L443" i="1"/>
  <c r="I443" i="1"/>
  <c r="B443" i="1"/>
  <c r="M442" i="1"/>
  <c r="L442" i="1"/>
  <c r="I442" i="1"/>
  <c r="B442" i="1"/>
  <c r="M441" i="1"/>
  <c r="L441" i="1"/>
  <c r="I441" i="1"/>
  <c r="B441" i="1"/>
  <c r="M440" i="1"/>
  <c r="L440" i="1"/>
  <c r="I440" i="1"/>
  <c r="B440" i="1"/>
  <c r="M439" i="1"/>
  <c r="L439" i="1"/>
  <c r="I439" i="1"/>
  <c r="B439" i="1"/>
  <c r="M438" i="1"/>
  <c r="L438" i="1"/>
  <c r="I438" i="1"/>
  <c r="B438" i="1"/>
  <c r="M437" i="1"/>
  <c r="L437" i="1"/>
  <c r="I437" i="1"/>
  <c r="B437" i="1"/>
  <c r="M436" i="1"/>
  <c r="L436" i="1"/>
  <c r="I436" i="1"/>
  <c r="B436" i="1"/>
  <c r="M435" i="1"/>
  <c r="L435" i="1"/>
  <c r="I435" i="1"/>
  <c r="B435" i="1"/>
  <c r="M434" i="1"/>
  <c r="L434" i="1"/>
  <c r="I434" i="1"/>
  <c r="B434" i="1"/>
  <c r="M433" i="1"/>
  <c r="L433" i="1"/>
  <c r="I433" i="1"/>
  <c r="B433" i="1"/>
  <c r="M432" i="1"/>
  <c r="L432" i="1"/>
  <c r="I432" i="1"/>
  <c r="B432" i="1"/>
  <c r="M431" i="1"/>
  <c r="L431" i="1"/>
  <c r="I431" i="1"/>
  <c r="B431" i="1"/>
  <c r="M430" i="1"/>
  <c r="L430" i="1"/>
  <c r="I430" i="1"/>
  <c r="B430" i="1"/>
  <c r="M429" i="1"/>
  <c r="L429" i="1"/>
  <c r="I429" i="1"/>
  <c r="B429" i="1"/>
  <c r="M428" i="1"/>
  <c r="L428" i="1"/>
  <c r="I428" i="1"/>
  <c r="B428" i="1"/>
  <c r="M427" i="1"/>
  <c r="L427" i="1"/>
  <c r="I427" i="1"/>
  <c r="B427" i="1"/>
  <c r="M426" i="1"/>
  <c r="L426" i="1"/>
  <c r="I426" i="1"/>
  <c r="B426" i="1"/>
  <c r="M425" i="1"/>
  <c r="L425" i="1"/>
  <c r="I425" i="1"/>
  <c r="B425" i="1"/>
  <c r="M424" i="1"/>
  <c r="L424" i="1"/>
  <c r="I424" i="1"/>
  <c r="B424" i="1"/>
  <c r="M423" i="1"/>
  <c r="L423" i="1"/>
  <c r="I423" i="1"/>
  <c r="B423" i="1"/>
  <c r="M422" i="1"/>
  <c r="L422" i="1"/>
  <c r="I422" i="1"/>
  <c r="B422" i="1"/>
  <c r="M421" i="1"/>
  <c r="L421" i="1"/>
  <c r="I421" i="1"/>
  <c r="B421" i="1"/>
  <c r="M420" i="1"/>
  <c r="L420" i="1"/>
  <c r="I420" i="1"/>
  <c r="B420" i="1"/>
  <c r="M419" i="1"/>
  <c r="L419" i="1"/>
  <c r="I419" i="1"/>
  <c r="B419" i="1"/>
  <c r="M418" i="1"/>
  <c r="L418" i="1"/>
  <c r="I418" i="1"/>
  <c r="B418" i="1"/>
  <c r="M417" i="1"/>
  <c r="L417" i="1"/>
  <c r="I417" i="1"/>
  <c r="B417" i="1"/>
  <c r="M416" i="1"/>
  <c r="L416" i="1"/>
  <c r="I416" i="1"/>
  <c r="B416" i="1"/>
  <c r="M415" i="1"/>
  <c r="L415" i="1"/>
  <c r="I415" i="1"/>
  <c r="B415" i="1"/>
  <c r="M414" i="1"/>
  <c r="L414" i="1"/>
  <c r="I414" i="1"/>
  <c r="B414" i="1"/>
  <c r="M413" i="1"/>
  <c r="L413" i="1"/>
  <c r="I413" i="1"/>
  <c r="B413" i="1"/>
  <c r="M412" i="1"/>
  <c r="L412" i="1"/>
  <c r="I412" i="1"/>
  <c r="B412" i="1"/>
  <c r="M411" i="1"/>
  <c r="L411" i="1"/>
  <c r="I411" i="1"/>
  <c r="B411" i="1"/>
  <c r="M410" i="1"/>
  <c r="L410" i="1"/>
  <c r="I410" i="1"/>
  <c r="B410" i="1"/>
  <c r="M409" i="1"/>
  <c r="L409" i="1"/>
  <c r="I409" i="1"/>
  <c r="B409" i="1"/>
  <c r="M408" i="1"/>
  <c r="L408" i="1"/>
  <c r="I408" i="1"/>
  <c r="B408" i="1"/>
  <c r="M407" i="1"/>
  <c r="L407" i="1"/>
  <c r="I407" i="1"/>
  <c r="B407" i="1"/>
  <c r="M406" i="1"/>
  <c r="L406" i="1"/>
  <c r="I406" i="1"/>
  <c r="B406" i="1"/>
  <c r="M405" i="1"/>
  <c r="L405" i="1"/>
  <c r="I405" i="1"/>
  <c r="B405" i="1"/>
  <c r="M404" i="1"/>
  <c r="L404" i="1"/>
  <c r="I404" i="1"/>
  <c r="B404" i="1"/>
  <c r="M403" i="1"/>
  <c r="L403" i="1"/>
  <c r="I403" i="1"/>
  <c r="B403" i="1"/>
  <c r="M402" i="1"/>
  <c r="L402" i="1"/>
  <c r="I402" i="1"/>
  <c r="B402" i="1"/>
  <c r="M401" i="1"/>
  <c r="L401" i="1"/>
  <c r="I401" i="1"/>
  <c r="B401" i="1"/>
  <c r="M400" i="1"/>
  <c r="L400" i="1"/>
  <c r="I400" i="1"/>
  <c r="B400" i="1"/>
  <c r="M399" i="1"/>
  <c r="L399" i="1"/>
  <c r="I399" i="1"/>
  <c r="B399" i="1"/>
  <c r="M398" i="1"/>
  <c r="L398" i="1"/>
  <c r="I398" i="1"/>
  <c r="B398" i="1"/>
  <c r="M397" i="1"/>
  <c r="L397" i="1"/>
  <c r="I397" i="1"/>
  <c r="B397" i="1"/>
  <c r="M396" i="1"/>
  <c r="L396" i="1"/>
  <c r="I396" i="1"/>
  <c r="B396" i="1"/>
  <c r="M395" i="1"/>
  <c r="L395" i="1"/>
  <c r="I395" i="1"/>
  <c r="B395" i="1"/>
  <c r="M394" i="1"/>
  <c r="L394" i="1"/>
  <c r="I394" i="1"/>
  <c r="B394" i="1"/>
  <c r="M393" i="1"/>
  <c r="L393" i="1"/>
  <c r="I393" i="1"/>
  <c r="B393" i="1"/>
  <c r="M392" i="1"/>
  <c r="L392" i="1"/>
  <c r="I392" i="1"/>
  <c r="B392" i="1"/>
  <c r="M391" i="1"/>
  <c r="L391" i="1"/>
  <c r="I391" i="1"/>
  <c r="B391" i="1"/>
  <c r="M390" i="1"/>
  <c r="L390" i="1"/>
  <c r="I390" i="1"/>
  <c r="B390" i="1"/>
  <c r="M389" i="1"/>
  <c r="L389" i="1"/>
  <c r="I389" i="1"/>
  <c r="B389" i="1"/>
  <c r="M388" i="1"/>
  <c r="L388" i="1"/>
  <c r="I388" i="1"/>
  <c r="B388" i="1"/>
  <c r="M387" i="1"/>
  <c r="L387" i="1"/>
  <c r="I387" i="1"/>
  <c r="B387" i="1"/>
  <c r="M386" i="1"/>
  <c r="L386" i="1"/>
  <c r="I386" i="1"/>
  <c r="B386" i="1"/>
  <c r="M385" i="1"/>
  <c r="L385" i="1"/>
  <c r="I385" i="1"/>
  <c r="B385" i="1"/>
  <c r="M384" i="1"/>
  <c r="L384" i="1"/>
  <c r="I384" i="1"/>
  <c r="B384" i="1"/>
  <c r="M383" i="1"/>
  <c r="L383" i="1"/>
  <c r="I383" i="1"/>
  <c r="B383" i="1"/>
  <c r="M382" i="1"/>
  <c r="L382" i="1"/>
  <c r="I382" i="1"/>
  <c r="B382" i="1"/>
  <c r="M381" i="1"/>
  <c r="L381" i="1"/>
  <c r="I381" i="1"/>
  <c r="B381" i="1"/>
  <c r="M380" i="1"/>
  <c r="L380" i="1"/>
  <c r="I380" i="1"/>
  <c r="B380" i="1"/>
  <c r="M379" i="1"/>
  <c r="L379" i="1"/>
  <c r="I379" i="1"/>
  <c r="B379" i="1"/>
  <c r="M378" i="1"/>
  <c r="L378" i="1"/>
  <c r="I378" i="1"/>
  <c r="B378" i="1"/>
  <c r="M377" i="1"/>
  <c r="L377" i="1"/>
  <c r="I377" i="1"/>
  <c r="B377" i="1"/>
  <c r="M376" i="1"/>
  <c r="L376" i="1"/>
  <c r="I376" i="1"/>
  <c r="B376" i="1"/>
  <c r="M375" i="1"/>
  <c r="L375" i="1"/>
  <c r="I375" i="1"/>
  <c r="B375" i="1"/>
  <c r="M374" i="1"/>
  <c r="L374" i="1"/>
  <c r="I374" i="1"/>
  <c r="B374" i="1"/>
  <c r="M373" i="1"/>
  <c r="L373" i="1"/>
  <c r="I373" i="1"/>
  <c r="B373" i="1"/>
  <c r="M372" i="1"/>
  <c r="L372" i="1"/>
  <c r="I372" i="1"/>
  <c r="B372" i="1"/>
  <c r="M371" i="1"/>
  <c r="L371" i="1"/>
  <c r="I371" i="1"/>
  <c r="B371" i="1"/>
  <c r="M370" i="1"/>
  <c r="L370" i="1"/>
  <c r="I370" i="1"/>
  <c r="B370" i="1"/>
  <c r="M369" i="1"/>
  <c r="L369" i="1"/>
  <c r="I369" i="1"/>
  <c r="B369" i="1"/>
  <c r="M368" i="1"/>
  <c r="L368" i="1"/>
  <c r="I368" i="1"/>
  <c r="B368" i="1"/>
  <c r="M367" i="1"/>
  <c r="L367" i="1"/>
  <c r="I367" i="1"/>
  <c r="B367" i="1"/>
  <c r="M366" i="1"/>
  <c r="L366" i="1"/>
  <c r="I366" i="1"/>
  <c r="B366" i="1"/>
  <c r="M365" i="1"/>
  <c r="L365" i="1"/>
  <c r="I365" i="1"/>
  <c r="B365" i="1"/>
  <c r="M364" i="1"/>
  <c r="L364" i="1"/>
  <c r="I364" i="1"/>
  <c r="B364" i="1"/>
  <c r="M363" i="1"/>
  <c r="L363" i="1"/>
  <c r="I363" i="1"/>
  <c r="B363" i="1"/>
  <c r="M362" i="1"/>
  <c r="L362" i="1"/>
  <c r="I362" i="1"/>
  <c r="B362" i="1"/>
  <c r="M361" i="1"/>
  <c r="L361" i="1"/>
  <c r="I361" i="1"/>
  <c r="B361" i="1"/>
  <c r="M360" i="1"/>
  <c r="L360" i="1"/>
  <c r="I360" i="1"/>
  <c r="B360" i="1"/>
  <c r="M359" i="1"/>
  <c r="L359" i="1"/>
  <c r="I359" i="1"/>
  <c r="B359" i="1"/>
  <c r="M358" i="1"/>
  <c r="L358" i="1"/>
  <c r="I358" i="1"/>
  <c r="B358" i="1"/>
  <c r="M357" i="1"/>
  <c r="L357" i="1"/>
  <c r="I357" i="1"/>
  <c r="B357" i="1"/>
  <c r="M356" i="1"/>
  <c r="L356" i="1"/>
  <c r="I356" i="1"/>
  <c r="B356" i="1"/>
  <c r="M355" i="1"/>
  <c r="L355" i="1"/>
  <c r="I355" i="1"/>
  <c r="B355" i="1"/>
  <c r="M354" i="1"/>
  <c r="L354" i="1"/>
  <c r="I354" i="1"/>
  <c r="B354" i="1"/>
  <c r="M353" i="1"/>
  <c r="L353" i="1"/>
  <c r="I353" i="1"/>
  <c r="B353" i="1"/>
  <c r="M352" i="1"/>
  <c r="L352" i="1"/>
  <c r="I352" i="1"/>
  <c r="B352" i="1"/>
  <c r="M351" i="1"/>
  <c r="L351" i="1"/>
  <c r="I351" i="1"/>
  <c r="B351" i="1"/>
  <c r="M350" i="1"/>
  <c r="L350" i="1"/>
  <c r="I350" i="1"/>
  <c r="B350" i="1"/>
  <c r="M349" i="1"/>
  <c r="L349" i="1"/>
  <c r="I349" i="1"/>
  <c r="B349" i="1"/>
  <c r="M348" i="1"/>
  <c r="L348" i="1"/>
  <c r="I348" i="1"/>
  <c r="B348" i="1"/>
  <c r="M347" i="1"/>
  <c r="L347" i="1"/>
  <c r="I347" i="1"/>
  <c r="B347" i="1"/>
  <c r="M346" i="1"/>
  <c r="L346" i="1"/>
  <c r="I346" i="1"/>
  <c r="B346" i="1"/>
  <c r="M345" i="1"/>
  <c r="L345" i="1"/>
  <c r="I345" i="1"/>
  <c r="B345" i="1"/>
  <c r="M344" i="1"/>
  <c r="L344" i="1"/>
  <c r="I344" i="1"/>
  <c r="B344" i="1"/>
  <c r="M343" i="1"/>
  <c r="L343" i="1"/>
  <c r="I343" i="1"/>
  <c r="B343" i="1"/>
  <c r="M342" i="1"/>
  <c r="L342" i="1"/>
  <c r="I342" i="1"/>
  <c r="B342" i="1"/>
  <c r="M341" i="1"/>
  <c r="L341" i="1"/>
  <c r="I341" i="1"/>
  <c r="B341" i="1"/>
  <c r="M340" i="1"/>
  <c r="L340" i="1"/>
  <c r="I340" i="1"/>
  <c r="B340" i="1"/>
  <c r="M339" i="1"/>
  <c r="L339" i="1"/>
  <c r="I339" i="1"/>
  <c r="B339" i="1"/>
  <c r="M338" i="1"/>
  <c r="L338" i="1"/>
  <c r="I338" i="1"/>
  <c r="B338" i="1"/>
  <c r="M337" i="1"/>
  <c r="L337" i="1"/>
  <c r="I337" i="1"/>
  <c r="B337" i="1"/>
  <c r="M336" i="1"/>
  <c r="L336" i="1"/>
  <c r="I336" i="1"/>
  <c r="B336" i="1"/>
  <c r="M335" i="1"/>
  <c r="L335" i="1"/>
  <c r="I335" i="1"/>
  <c r="B335" i="1"/>
  <c r="M334" i="1"/>
  <c r="L334" i="1"/>
  <c r="I334" i="1"/>
  <c r="B334" i="1"/>
  <c r="M333" i="1"/>
  <c r="L333" i="1"/>
  <c r="I333" i="1"/>
  <c r="B333" i="1"/>
  <c r="M332" i="1"/>
  <c r="L332" i="1"/>
  <c r="I332" i="1"/>
  <c r="B332" i="1"/>
  <c r="M331" i="1"/>
  <c r="L331" i="1"/>
  <c r="I331" i="1"/>
  <c r="B331" i="1"/>
  <c r="M330" i="1"/>
  <c r="L330" i="1"/>
  <c r="I330" i="1"/>
  <c r="B330" i="1"/>
  <c r="M329" i="1"/>
  <c r="L329" i="1"/>
  <c r="I329" i="1"/>
  <c r="B329" i="1"/>
  <c r="M328" i="1"/>
  <c r="L328" i="1"/>
  <c r="I328" i="1"/>
  <c r="B328" i="1"/>
  <c r="M327" i="1"/>
  <c r="L327" i="1"/>
  <c r="I327" i="1"/>
  <c r="B327" i="1"/>
  <c r="M326" i="1"/>
  <c r="L326" i="1"/>
  <c r="I326" i="1"/>
  <c r="B326" i="1"/>
  <c r="M325" i="1"/>
  <c r="L325" i="1"/>
  <c r="I325" i="1"/>
  <c r="B325" i="1"/>
  <c r="M324" i="1"/>
  <c r="L324" i="1"/>
  <c r="I324" i="1"/>
  <c r="B324" i="1"/>
  <c r="M323" i="1"/>
  <c r="L323" i="1"/>
  <c r="I323" i="1"/>
  <c r="B323" i="1"/>
  <c r="M322" i="1"/>
  <c r="L322" i="1"/>
  <c r="I322" i="1"/>
  <c r="B322" i="1"/>
  <c r="M321" i="1"/>
  <c r="L321" i="1"/>
  <c r="I321" i="1"/>
  <c r="B321" i="1"/>
  <c r="M320" i="1"/>
  <c r="L320" i="1"/>
  <c r="I320" i="1"/>
  <c r="B320" i="1"/>
  <c r="M319" i="1"/>
  <c r="L319" i="1"/>
  <c r="I319" i="1"/>
  <c r="B319" i="1"/>
  <c r="M318" i="1"/>
  <c r="L318" i="1"/>
  <c r="I318" i="1"/>
  <c r="B318" i="1"/>
  <c r="M317" i="1"/>
  <c r="L317" i="1"/>
  <c r="I317" i="1"/>
  <c r="B317" i="1"/>
  <c r="M316" i="1"/>
  <c r="L316" i="1"/>
  <c r="I316" i="1"/>
  <c r="B316" i="1"/>
  <c r="M315" i="1"/>
  <c r="L315" i="1"/>
  <c r="I315" i="1"/>
  <c r="B315" i="1"/>
  <c r="M314" i="1"/>
  <c r="L314" i="1"/>
  <c r="I314" i="1"/>
  <c r="B314" i="1"/>
  <c r="M313" i="1"/>
  <c r="L313" i="1"/>
  <c r="I313" i="1"/>
  <c r="B313" i="1"/>
  <c r="M312" i="1"/>
  <c r="L312" i="1"/>
  <c r="I312" i="1"/>
  <c r="B312" i="1"/>
  <c r="M311" i="1"/>
  <c r="L311" i="1"/>
  <c r="I311" i="1"/>
  <c r="B311" i="1"/>
  <c r="M310" i="1"/>
  <c r="L310" i="1"/>
  <c r="I310" i="1"/>
  <c r="B310" i="1"/>
  <c r="M309" i="1"/>
  <c r="L309" i="1"/>
  <c r="I309" i="1"/>
  <c r="B309" i="1"/>
  <c r="M308" i="1"/>
  <c r="L308" i="1"/>
  <c r="I308" i="1"/>
  <c r="B308" i="1"/>
  <c r="M307" i="1"/>
  <c r="L307" i="1"/>
  <c r="I307" i="1"/>
  <c r="B307" i="1"/>
  <c r="M306" i="1"/>
  <c r="L306" i="1"/>
  <c r="I306" i="1"/>
  <c r="B306" i="1"/>
  <c r="M305" i="1"/>
  <c r="L305" i="1"/>
  <c r="I305" i="1"/>
  <c r="B305" i="1"/>
  <c r="M304" i="1"/>
  <c r="L304" i="1"/>
  <c r="I304" i="1"/>
  <c r="B304" i="1"/>
  <c r="M303" i="1"/>
  <c r="L303" i="1"/>
  <c r="I303" i="1"/>
  <c r="B303" i="1"/>
  <c r="M302" i="1"/>
  <c r="L302" i="1"/>
  <c r="I302" i="1"/>
  <c r="B302" i="1"/>
  <c r="M301" i="1"/>
  <c r="L301" i="1"/>
  <c r="I301" i="1"/>
  <c r="B301" i="1"/>
  <c r="M300" i="1"/>
  <c r="L300" i="1"/>
  <c r="I300" i="1"/>
  <c r="B300" i="1"/>
  <c r="M299" i="1"/>
  <c r="L299" i="1"/>
  <c r="I299" i="1"/>
  <c r="B299" i="1"/>
  <c r="M298" i="1"/>
  <c r="L298" i="1"/>
  <c r="I298" i="1"/>
  <c r="B298" i="1"/>
  <c r="M297" i="1"/>
  <c r="L297" i="1"/>
  <c r="I297" i="1"/>
  <c r="B297" i="1"/>
  <c r="M296" i="1"/>
  <c r="L296" i="1"/>
  <c r="I296" i="1"/>
  <c r="B296" i="1"/>
  <c r="M295" i="1"/>
  <c r="L295" i="1"/>
  <c r="I295" i="1"/>
  <c r="B295" i="1"/>
  <c r="M294" i="1"/>
  <c r="L294" i="1"/>
  <c r="I294" i="1"/>
  <c r="B294" i="1"/>
  <c r="M293" i="1"/>
  <c r="L293" i="1"/>
  <c r="I293" i="1"/>
  <c r="B293" i="1"/>
  <c r="M292" i="1"/>
  <c r="L292" i="1"/>
  <c r="I292" i="1"/>
  <c r="B292" i="1"/>
  <c r="M291" i="1"/>
  <c r="L291" i="1"/>
  <c r="I291" i="1"/>
  <c r="B291" i="1"/>
  <c r="M290" i="1"/>
  <c r="L290" i="1"/>
  <c r="I290" i="1"/>
  <c r="B290" i="1"/>
  <c r="M289" i="1"/>
  <c r="L289" i="1"/>
  <c r="I289" i="1"/>
  <c r="B289" i="1"/>
  <c r="M288" i="1"/>
  <c r="L288" i="1"/>
  <c r="I288" i="1"/>
  <c r="B288" i="1"/>
  <c r="M287" i="1"/>
  <c r="L287" i="1"/>
  <c r="I287" i="1"/>
  <c r="B287" i="1"/>
  <c r="M286" i="1"/>
  <c r="L286" i="1"/>
  <c r="I286" i="1"/>
  <c r="B286" i="1"/>
  <c r="M285" i="1"/>
  <c r="L285" i="1"/>
  <c r="I285" i="1"/>
  <c r="B285" i="1"/>
  <c r="M284" i="1"/>
  <c r="L284" i="1"/>
  <c r="I284" i="1"/>
  <c r="B284" i="1"/>
  <c r="M283" i="1"/>
  <c r="L283" i="1"/>
  <c r="I283" i="1"/>
  <c r="B283" i="1"/>
  <c r="M282" i="1"/>
  <c r="L282" i="1"/>
  <c r="I282" i="1"/>
  <c r="B282" i="1"/>
  <c r="M281" i="1"/>
  <c r="L281" i="1"/>
  <c r="I281" i="1"/>
  <c r="B281" i="1"/>
  <c r="M280" i="1"/>
  <c r="L280" i="1"/>
  <c r="I280" i="1"/>
  <c r="B280" i="1"/>
  <c r="M279" i="1"/>
  <c r="L279" i="1"/>
  <c r="I279" i="1"/>
  <c r="B279" i="1"/>
  <c r="M278" i="1"/>
  <c r="L278" i="1"/>
  <c r="I278" i="1"/>
  <c r="B278" i="1"/>
  <c r="M277" i="1"/>
  <c r="L277" i="1"/>
  <c r="I277" i="1"/>
  <c r="B277" i="1"/>
  <c r="M276" i="1"/>
  <c r="L276" i="1"/>
  <c r="I276" i="1"/>
  <c r="B276" i="1"/>
  <c r="M275" i="1"/>
  <c r="L275" i="1"/>
  <c r="I275" i="1"/>
  <c r="B275" i="1"/>
  <c r="M274" i="1"/>
  <c r="L274" i="1"/>
  <c r="I274" i="1"/>
  <c r="B274" i="1"/>
  <c r="M273" i="1"/>
  <c r="L273" i="1"/>
  <c r="I273" i="1"/>
  <c r="B273" i="1"/>
  <c r="M272" i="1"/>
  <c r="L272" i="1"/>
  <c r="I272" i="1"/>
  <c r="B272" i="1"/>
  <c r="M271" i="1"/>
  <c r="L271" i="1"/>
  <c r="I271" i="1"/>
  <c r="B271" i="1"/>
  <c r="M270" i="1"/>
  <c r="L270" i="1"/>
  <c r="I270" i="1"/>
  <c r="B270" i="1"/>
  <c r="M269" i="1"/>
  <c r="L269" i="1"/>
  <c r="I269" i="1"/>
  <c r="B269" i="1"/>
  <c r="M268" i="1"/>
  <c r="L268" i="1"/>
  <c r="I268" i="1"/>
  <c r="B268" i="1"/>
  <c r="M267" i="1"/>
  <c r="L267" i="1"/>
  <c r="I267" i="1"/>
  <c r="B267" i="1"/>
  <c r="M266" i="1"/>
  <c r="L266" i="1"/>
  <c r="I266" i="1"/>
  <c r="B266" i="1"/>
  <c r="M265" i="1"/>
  <c r="L265" i="1"/>
  <c r="I265" i="1"/>
  <c r="B265" i="1"/>
  <c r="M264" i="1"/>
  <c r="L264" i="1"/>
  <c r="I264" i="1"/>
  <c r="B264" i="1"/>
  <c r="M263" i="1"/>
  <c r="L263" i="1"/>
  <c r="I263" i="1"/>
  <c r="B263" i="1"/>
  <c r="M262" i="1"/>
  <c r="L262" i="1"/>
  <c r="I262" i="1"/>
  <c r="B262" i="1"/>
  <c r="M261" i="1"/>
  <c r="L261" i="1"/>
  <c r="I261" i="1"/>
  <c r="B261" i="1"/>
  <c r="M260" i="1"/>
  <c r="L260" i="1"/>
  <c r="I260" i="1"/>
  <c r="B260" i="1"/>
  <c r="M259" i="1"/>
  <c r="L259" i="1"/>
  <c r="I259" i="1"/>
  <c r="B259" i="1"/>
  <c r="M258" i="1"/>
  <c r="L258" i="1"/>
  <c r="I258" i="1"/>
  <c r="B258" i="1"/>
  <c r="M257" i="1"/>
  <c r="L257" i="1"/>
  <c r="I257" i="1"/>
  <c r="B257" i="1"/>
  <c r="M256" i="1"/>
  <c r="L256" i="1"/>
  <c r="I256" i="1"/>
  <c r="B256" i="1"/>
  <c r="M255" i="1"/>
  <c r="L255" i="1"/>
  <c r="I255" i="1"/>
  <c r="B255" i="1"/>
  <c r="M254" i="1"/>
  <c r="L254" i="1"/>
  <c r="I254" i="1"/>
  <c r="B254" i="1"/>
  <c r="M253" i="1"/>
  <c r="L253" i="1"/>
  <c r="I253" i="1"/>
  <c r="B253" i="1"/>
  <c r="M252" i="1"/>
  <c r="L252" i="1"/>
  <c r="I252" i="1"/>
  <c r="B252" i="1"/>
  <c r="M251" i="1"/>
  <c r="L251" i="1"/>
  <c r="I251" i="1"/>
  <c r="B251" i="1"/>
  <c r="M250" i="1"/>
  <c r="L250" i="1"/>
  <c r="I250" i="1"/>
  <c r="B250" i="1"/>
  <c r="M249" i="1"/>
  <c r="L249" i="1"/>
  <c r="I249" i="1"/>
  <c r="B249" i="1"/>
  <c r="M248" i="1"/>
  <c r="L248" i="1"/>
  <c r="I248" i="1"/>
  <c r="B248" i="1"/>
  <c r="M247" i="1"/>
  <c r="L247" i="1"/>
  <c r="I247" i="1"/>
  <c r="B247" i="1"/>
  <c r="M246" i="1"/>
  <c r="L246" i="1"/>
  <c r="I246" i="1"/>
  <c r="B246" i="1"/>
  <c r="M245" i="1"/>
  <c r="L245" i="1"/>
  <c r="I245" i="1"/>
  <c r="B245" i="1"/>
  <c r="M244" i="1"/>
  <c r="L244" i="1"/>
  <c r="I244" i="1"/>
  <c r="B244" i="1"/>
  <c r="M243" i="1"/>
  <c r="L243" i="1"/>
  <c r="I243" i="1"/>
  <c r="B243" i="1"/>
  <c r="M242" i="1"/>
  <c r="L242" i="1"/>
  <c r="I242" i="1"/>
  <c r="B242" i="1"/>
  <c r="M241" i="1"/>
  <c r="L241" i="1"/>
  <c r="I241" i="1"/>
  <c r="B241" i="1"/>
  <c r="M240" i="1"/>
  <c r="L240" i="1"/>
  <c r="I240" i="1"/>
  <c r="B240" i="1"/>
  <c r="M239" i="1"/>
  <c r="L239" i="1"/>
  <c r="I239" i="1"/>
  <c r="B239" i="1"/>
  <c r="M238" i="1"/>
  <c r="L238" i="1"/>
  <c r="I238" i="1"/>
  <c r="B238" i="1"/>
  <c r="M237" i="1"/>
  <c r="L237" i="1"/>
  <c r="I237" i="1"/>
  <c r="B237" i="1"/>
  <c r="M236" i="1"/>
  <c r="L236" i="1"/>
  <c r="I236" i="1"/>
  <c r="B236" i="1"/>
  <c r="M235" i="1"/>
  <c r="L235" i="1"/>
  <c r="I235" i="1"/>
  <c r="B235" i="1"/>
  <c r="M234" i="1"/>
  <c r="L234" i="1"/>
  <c r="I234" i="1"/>
  <c r="B234" i="1"/>
  <c r="M233" i="1"/>
  <c r="L233" i="1"/>
  <c r="I233" i="1"/>
  <c r="B233" i="1"/>
  <c r="M232" i="1"/>
  <c r="L232" i="1"/>
  <c r="I232" i="1"/>
  <c r="B232" i="1"/>
  <c r="M231" i="1"/>
  <c r="L231" i="1"/>
  <c r="I231" i="1"/>
  <c r="B231" i="1"/>
  <c r="M230" i="1"/>
  <c r="L230" i="1"/>
  <c r="I230" i="1"/>
  <c r="B230" i="1"/>
  <c r="M229" i="1"/>
  <c r="L229" i="1"/>
  <c r="I229" i="1"/>
  <c r="B229" i="1"/>
  <c r="M228" i="1"/>
  <c r="L228" i="1"/>
  <c r="I228" i="1"/>
  <c r="B228" i="1"/>
  <c r="M227" i="1"/>
  <c r="L227" i="1"/>
  <c r="I227" i="1"/>
  <c r="B227" i="1"/>
  <c r="M226" i="1"/>
  <c r="L226" i="1"/>
  <c r="I226" i="1"/>
  <c r="B226" i="1"/>
  <c r="M225" i="1"/>
  <c r="L225" i="1"/>
  <c r="I225" i="1"/>
  <c r="B225" i="1"/>
  <c r="M224" i="1"/>
  <c r="L224" i="1"/>
  <c r="I224" i="1"/>
  <c r="B224" i="1"/>
  <c r="M223" i="1"/>
  <c r="L223" i="1"/>
  <c r="I223" i="1"/>
  <c r="B223" i="1"/>
  <c r="M222" i="1"/>
  <c r="L222" i="1"/>
  <c r="I222" i="1"/>
  <c r="B222" i="1"/>
  <c r="M221" i="1"/>
  <c r="L221" i="1"/>
  <c r="I221" i="1"/>
  <c r="B221" i="1"/>
  <c r="M220" i="1"/>
  <c r="L220" i="1"/>
  <c r="I220" i="1"/>
  <c r="B220" i="1"/>
  <c r="M219" i="1"/>
  <c r="L219" i="1"/>
  <c r="I219" i="1"/>
  <c r="B219" i="1"/>
  <c r="M218" i="1"/>
  <c r="L218" i="1"/>
  <c r="I218" i="1"/>
  <c r="B218" i="1"/>
  <c r="M217" i="1"/>
  <c r="L217" i="1"/>
  <c r="I217" i="1"/>
  <c r="B217" i="1"/>
  <c r="M216" i="1"/>
  <c r="L216" i="1"/>
  <c r="I216" i="1"/>
  <c r="B216" i="1"/>
  <c r="M215" i="1"/>
  <c r="L215" i="1"/>
  <c r="I215" i="1"/>
  <c r="B215" i="1"/>
  <c r="M214" i="1"/>
  <c r="L214" i="1"/>
  <c r="I214" i="1"/>
  <c r="B214" i="1"/>
  <c r="M213" i="1"/>
  <c r="L213" i="1"/>
  <c r="I213" i="1"/>
  <c r="B213" i="1"/>
  <c r="M212" i="1"/>
  <c r="L212" i="1"/>
  <c r="I212" i="1"/>
  <c r="B212" i="1"/>
  <c r="M211" i="1"/>
  <c r="L211" i="1"/>
  <c r="I211" i="1"/>
  <c r="B211" i="1"/>
  <c r="M210" i="1"/>
  <c r="L210" i="1"/>
  <c r="I210" i="1"/>
  <c r="B210" i="1"/>
  <c r="M209" i="1"/>
  <c r="L209" i="1"/>
  <c r="I209" i="1"/>
  <c r="B209" i="1"/>
  <c r="M208" i="1"/>
  <c r="L208" i="1"/>
  <c r="I208" i="1"/>
  <c r="B208" i="1"/>
  <c r="M207" i="1"/>
  <c r="L207" i="1"/>
  <c r="I207" i="1"/>
  <c r="B207" i="1"/>
  <c r="M206" i="1"/>
  <c r="L206" i="1"/>
  <c r="I206" i="1"/>
  <c r="B206" i="1"/>
  <c r="M205" i="1"/>
  <c r="L205" i="1"/>
  <c r="I205" i="1"/>
  <c r="B205" i="1"/>
  <c r="M204" i="1"/>
  <c r="L204" i="1"/>
  <c r="I204" i="1"/>
  <c r="B204" i="1"/>
  <c r="M203" i="1"/>
  <c r="L203" i="1"/>
  <c r="I203" i="1"/>
  <c r="B203" i="1"/>
  <c r="M202" i="1"/>
  <c r="L202" i="1"/>
  <c r="I202" i="1"/>
  <c r="B202" i="1"/>
  <c r="M201" i="1"/>
  <c r="L201" i="1"/>
  <c r="I201" i="1"/>
  <c r="B201" i="1"/>
  <c r="M200" i="1"/>
  <c r="L200" i="1"/>
  <c r="I200" i="1"/>
  <c r="B200" i="1"/>
  <c r="M199" i="1"/>
  <c r="L199" i="1"/>
  <c r="I199" i="1"/>
  <c r="B199" i="1"/>
  <c r="M198" i="1"/>
  <c r="L198" i="1"/>
  <c r="I198" i="1"/>
  <c r="B198" i="1"/>
  <c r="M197" i="1"/>
  <c r="L197" i="1"/>
  <c r="I197" i="1"/>
  <c r="B197" i="1"/>
  <c r="M196" i="1"/>
  <c r="L196" i="1"/>
  <c r="I196" i="1"/>
  <c r="B196" i="1"/>
  <c r="M195" i="1"/>
  <c r="L195" i="1"/>
  <c r="I195" i="1"/>
  <c r="B195" i="1"/>
  <c r="M194" i="1"/>
  <c r="L194" i="1"/>
  <c r="I194" i="1"/>
  <c r="B194" i="1"/>
  <c r="M193" i="1"/>
  <c r="L193" i="1"/>
  <c r="I193" i="1"/>
  <c r="B193" i="1"/>
  <c r="M192" i="1"/>
  <c r="L192" i="1"/>
  <c r="I192" i="1"/>
  <c r="B192" i="1"/>
  <c r="M191" i="1"/>
  <c r="L191" i="1"/>
  <c r="I191" i="1"/>
  <c r="B191" i="1"/>
  <c r="M190" i="1"/>
  <c r="L190" i="1"/>
  <c r="I190" i="1"/>
  <c r="B190" i="1"/>
  <c r="M189" i="1"/>
  <c r="L189" i="1"/>
  <c r="I189" i="1"/>
  <c r="B189" i="1"/>
  <c r="M188" i="1"/>
  <c r="L188" i="1"/>
  <c r="I188" i="1"/>
  <c r="B188" i="1"/>
  <c r="M187" i="1"/>
  <c r="L187" i="1"/>
  <c r="I187" i="1"/>
  <c r="B187" i="1"/>
  <c r="M186" i="1"/>
  <c r="L186" i="1"/>
  <c r="I186" i="1"/>
  <c r="B186" i="1"/>
  <c r="M185" i="1"/>
  <c r="L185" i="1"/>
  <c r="I185" i="1"/>
  <c r="B185" i="1"/>
  <c r="M184" i="1"/>
  <c r="L184" i="1"/>
  <c r="I184" i="1"/>
  <c r="B184" i="1"/>
  <c r="M183" i="1"/>
  <c r="L183" i="1"/>
  <c r="I183" i="1"/>
  <c r="B183" i="1"/>
  <c r="M182" i="1"/>
  <c r="L182" i="1"/>
  <c r="I182" i="1"/>
  <c r="B182" i="1"/>
  <c r="M181" i="1"/>
  <c r="L181" i="1"/>
  <c r="I181" i="1"/>
  <c r="B181" i="1"/>
  <c r="M180" i="1"/>
  <c r="L180" i="1"/>
  <c r="I180" i="1"/>
  <c r="B180" i="1"/>
  <c r="M179" i="1"/>
  <c r="L179" i="1"/>
  <c r="I179" i="1"/>
  <c r="B179" i="1"/>
  <c r="M178" i="1"/>
  <c r="L178" i="1"/>
  <c r="I178" i="1"/>
  <c r="B178" i="1"/>
  <c r="M177" i="1"/>
  <c r="L177" i="1"/>
  <c r="I177" i="1"/>
  <c r="B177" i="1"/>
  <c r="M176" i="1"/>
  <c r="L176" i="1"/>
  <c r="I176" i="1"/>
  <c r="B176" i="1"/>
  <c r="M175" i="1"/>
  <c r="L175" i="1"/>
  <c r="I175" i="1"/>
  <c r="B175" i="1"/>
  <c r="M174" i="1"/>
  <c r="L174" i="1"/>
  <c r="I174" i="1"/>
  <c r="B174" i="1"/>
  <c r="M173" i="1"/>
  <c r="L173" i="1"/>
  <c r="I173" i="1"/>
  <c r="B173" i="1"/>
  <c r="M172" i="1"/>
  <c r="L172" i="1"/>
  <c r="I172" i="1"/>
  <c r="B172" i="1"/>
  <c r="M171" i="1"/>
  <c r="L171" i="1"/>
  <c r="I171" i="1"/>
  <c r="B171" i="1"/>
  <c r="M170" i="1"/>
  <c r="L170" i="1"/>
  <c r="I170" i="1"/>
  <c r="B170" i="1"/>
  <c r="M169" i="1"/>
  <c r="L169" i="1"/>
  <c r="I169" i="1"/>
  <c r="B169" i="1"/>
  <c r="M168" i="1"/>
  <c r="L168" i="1"/>
  <c r="I168" i="1"/>
  <c r="B168" i="1"/>
  <c r="M167" i="1"/>
  <c r="L167" i="1"/>
  <c r="I167" i="1"/>
  <c r="B167" i="1"/>
  <c r="M166" i="1"/>
  <c r="L166" i="1"/>
  <c r="I166" i="1"/>
  <c r="B166" i="1"/>
  <c r="M165" i="1"/>
  <c r="L165" i="1"/>
  <c r="I165" i="1"/>
  <c r="B165" i="1"/>
  <c r="M164" i="1"/>
  <c r="L164" i="1"/>
  <c r="I164" i="1"/>
  <c r="B164" i="1"/>
  <c r="M163" i="1"/>
  <c r="L163" i="1"/>
  <c r="I163" i="1"/>
  <c r="B163" i="1"/>
  <c r="M162" i="1"/>
  <c r="L162" i="1"/>
  <c r="I162" i="1"/>
  <c r="B162" i="1"/>
  <c r="M161" i="1"/>
  <c r="L161" i="1"/>
  <c r="I161" i="1"/>
  <c r="B161" i="1"/>
  <c r="M160" i="1"/>
  <c r="L160" i="1"/>
  <c r="I160" i="1"/>
  <c r="B160" i="1"/>
  <c r="M159" i="1"/>
  <c r="L159" i="1"/>
  <c r="I159" i="1"/>
  <c r="B159" i="1"/>
  <c r="M158" i="1"/>
  <c r="L158" i="1"/>
  <c r="I158" i="1"/>
  <c r="B158" i="1"/>
  <c r="M157" i="1"/>
  <c r="L157" i="1"/>
  <c r="I157" i="1"/>
  <c r="B157" i="1"/>
  <c r="M156" i="1"/>
  <c r="L156" i="1"/>
  <c r="I156" i="1"/>
  <c r="B156" i="1"/>
  <c r="M155" i="1"/>
  <c r="L155" i="1"/>
  <c r="I155" i="1"/>
  <c r="B155" i="1"/>
  <c r="M154" i="1"/>
  <c r="L154" i="1"/>
  <c r="I154" i="1"/>
  <c r="B154" i="1"/>
  <c r="M153" i="1"/>
  <c r="L153" i="1"/>
  <c r="I153" i="1"/>
  <c r="B153" i="1"/>
  <c r="M152" i="1"/>
  <c r="L152" i="1"/>
  <c r="I152" i="1"/>
  <c r="B152" i="1"/>
  <c r="M151" i="1"/>
  <c r="L151" i="1"/>
  <c r="I151" i="1"/>
  <c r="B151" i="1"/>
  <c r="M150" i="1"/>
  <c r="L150" i="1"/>
  <c r="I150" i="1"/>
  <c r="B150" i="1"/>
  <c r="M149" i="1"/>
  <c r="L149" i="1"/>
  <c r="I149" i="1"/>
  <c r="B149" i="1"/>
  <c r="M148" i="1"/>
  <c r="L148" i="1"/>
  <c r="I148" i="1"/>
  <c r="B148" i="1"/>
  <c r="M147" i="1"/>
  <c r="L147" i="1"/>
  <c r="I147" i="1"/>
  <c r="B147" i="1"/>
  <c r="M146" i="1"/>
  <c r="L146" i="1"/>
  <c r="I146" i="1"/>
  <c r="B146" i="1"/>
  <c r="M145" i="1"/>
  <c r="L145" i="1"/>
  <c r="I145" i="1"/>
  <c r="B145" i="1"/>
  <c r="M144" i="1"/>
  <c r="L144" i="1"/>
  <c r="I144" i="1"/>
  <c r="B144" i="1"/>
  <c r="M143" i="1"/>
  <c r="L143" i="1"/>
  <c r="I143" i="1"/>
  <c r="B143" i="1"/>
  <c r="M142" i="1"/>
  <c r="L142" i="1"/>
  <c r="I142" i="1"/>
  <c r="B142" i="1"/>
  <c r="M141" i="1"/>
  <c r="L141" i="1"/>
  <c r="I141" i="1"/>
  <c r="B141" i="1"/>
  <c r="M140" i="1"/>
  <c r="L140" i="1"/>
  <c r="I140" i="1"/>
  <c r="B140" i="1"/>
  <c r="M139" i="1"/>
  <c r="L139" i="1"/>
  <c r="I139" i="1"/>
  <c r="B139" i="1"/>
  <c r="M138" i="1"/>
  <c r="L138" i="1"/>
  <c r="I138" i="1"/>
  <c r="B138" i="1"/>
  <c r="M137" i="1"/>
  <c r="L137" i="1"/>
  <c r="I137" i="1"/>
  <c r="B137" i="1"/>
  <c r="M136" i="1"/>
  <c r="L136" i="1"/>
  <c r="I136" i="1"/>
  <c r="B136" i="1"/>
  <c r="M135" i="1"/>
  <c r="L135" i="1"/>
  <c r="I135" i="1"/>
  <c r="B135" i="1"/>
  <c r="M134" i="1"/>
  <c r="L134" i="1"/>
  <c r="I134" i="1"/>
  <c r="B134" i="1"/>
  <c r="M133" i="1"/>
  <c r="L133" i="1"/>
  <c r="I133" i="1"/>
  <c r="B133" i="1"/>
  <c r="M132" i="1"/>
  <c r="L132" i="1"/>
  <c r="I132" i="1"/>
  <c r="B132" i="1"/>
  <c r="M131" i="1"/>
  <c r="L131" i="1"/>
  <c r="I131" i="1"/>
  <c r="B131" i="1"/>
  <c r="M130" i="1"/>
  <c r="L130" i="1"/>
  <c r="I130" i="1"/>
  <c r="B130" i="1"/>
  <c r="M129" i="1"/>
  <c r="L129" i="1"/>
  <c r="I129" i="1"/>
  <c r="B129" i="1"/>
  <c r="M128" i="1"/>
  <c r="L128" i="1"/>
  <c r="I128" i="1"/>
  <c r="B128" i="1"/>
  <c r="M127" i="1"/>
  <c r="L127" i="1"/>
  <c r="I127" i="1"/>
  <c r="B127" i="1"/>
  <c r="M126" i="1"/>
  <c r="L126" i="1"/>
  <c r="I126" i="1"/>
  <c r="B126" i="1"/>
  <c r="M125" i="1"/>
  <c r="L125" i="1"/>
  <c r="I125" i="1"/>
  <c r="B125" i="1"/>
  <c r="M124" i="1"/>
  <c r="L124" i="1"/>
  <c r="I124" i="1"/>
  <c r="B124" i="1"/>
  <c r="M123" i="1"/>
  <c r="L123" i="1"/>
  <c r="I123" i="1"/>
  <c r="B123" i="1"/>
  <c r="M122" i="1"/>
  <c r="L122" i="1"/>
  <c r="I122" i="1"/>
  <c r="B122" i="1"/>
  <c r="M121" i="1"/>
  <c r="L121" i="1"/>
  <c r="I121" i="1"/>
  <c r="B121" i="1"/>
  <c r="M120" i="1"/>
  <c r="L120" i="1"/>
  <c r="I120" i="1"/>
  <c r="B120" i="1"/>
  <c r="M119" i="1"/>
  <c r="L119" i="1"/>
  <c r="I119" i="1"/>
  <c r="B119" i="1"/>
  <c r="M118" i="1"/>
  <c r="L118" i="1"/>
  <c r="I118" i="1"/>
  <c r="B118" i="1"/>
  <c r="M117" i="1"/>
  <c r="L117" i="1"/>
  <c r="I117" i="1"/>
  <c r="B117" i="1"/>
  <c r="M116" i="1"/>
  <c r="L116" i="1"/>
  <c r="I116" i="1"/>
  <c r="B116" i="1"/>
  <c r="M115" i="1"/>
  <c r="L115" i="1"/>
  <c r="I115" i="1"/>
  <c r="B115" i="1"/>
  <c r="M114" i="1"/>
  <c r="L114" i="1"/>
  <c r="I114" i="1"/>
  <c r="B114" i="1"/>
  <c r="M113" i="1"/>
  <c r="L113" i="1"/>
  <c r="I113" i="1"/>
  <c r="B113" i="1"/>
  <c r="M112" i="1"/>
  <c r="L112" i="1"/>
  <c r="I112" i="1"/>
  <c r="B112" i="1"/>
  <c r="M111" i="1"/>
  <c r="L111" i="1"/>
  <c r="I111" i="1"/>
  <c r="B111" i="1"/>
  <c r="M110" i="1"/>
  <c r="L110" i="1"/>
  <c r="I110" i="1"/>
  <c r="B110" i="1"/>
  <c r="M109" i="1"/>
  <c r="L109" i="1"/>
  <c r="I109" i="1"/>
  <c r="B109" i="1"/>
  <c r="M108" i="1"/>
  <c r="L108" i="1"/>
  <c r="I108" i="1"/>
  <c r="B108" i="1"/>
  <c r="M107" i="1"/>
  <c r="L107" i="1"/>
  <c r="I107" i="1"/>
  <c r="B107" i="1"/>
  <c r="M106" i="1"/>
  <c r="L106" i="1"/>
  <c r="I106" i="1"/>
  <c r="B106" i="1"/>
  <c r="M105" i="1"/>
  <c r="L105" i="1"/>
  <c r="I105" i="1"/>
  <c r="B105" i="1"/>
  <c r="M104" i="1"/>
  <c r="L104" i="1"/>
  <c r="I104" i="1"/>
  <c r="B104" i="1"/>
  <c r="M103" i="1"/>
  <c r="L103" i="1"/>
  <c r="I103" i="1"/>
  <c r="B103" i="1"/>
  <c r="M102" i="1"/>
  <c r="L102" i="1"/>
  <c r="I102" i="1"/>
  <c r="B102" i="1"/>
  <c r="M101" i="1"/>
  <c r="L101" i="1"/>
  <c r="I101" i="1"/>
  <c r="B101" i="1"/>
  <c r="M100" i="1"/>
  <c r="L100" i="1"/>
  <c r="I100" i="1"/>
  <c r="B100" i="1"/>
  <c r="M99" i="1"/>
  <c r="L99" i="1"/>
  <c r="I99" i="1"/>
  <c r="B99" i="1"/>
  <c r="M98" i="1"/>
  <c r="L98" i="1"/>
  <c r="I98" i="1"/>
  <c r="B98" i="1"/>
  <c r="M97" i="1"/>
  <c r="L97" i="1"/>
  <c r="I97" i="1"/>
  <c r="B97" i="1"/>
  <c r="M96" i="1"/>
  <c r="L96" i="1"/>
  <c r="I96" i="1"/>
  <c r="B96" i="1"/>
  <c r="M95" i="1"/>
  <c r="L95" i="1"/>
  <c r="I95" i="1"/>
  <c r="B95" i="1"/>
  <c r="M94" i="1"/>
  <c r="L94" i="1"/>
  <c r="I94" i="1"/>
  <c r="B94" i="1"/>
  <c r="M93" i="1"/>
  <c r="L93" i="1"/>
  <c r="I93" i="1"/>
  <c r="B93" i="1"/>
  <c r="M92" i="1"/>
  <c r="L92" i="1"/>
  <c r="I92" i="1"/>
  <c r="B92" i="1"/>
  <c r="M91" i="1"/>
  <c r="L91" i="1"/>
  <c r="I91" i="1"/>
  <c r="B91" i="1"/>
  <c r="M90" i="1"/>
  <c r="L90" i="1"/>
  <c r="I90" i="1"/>
  <c r="B90" i="1"/>
  <c r="M89" i="1"/>
  <c r="L89" i="1"/>
  <c r="I89" i="1"/>
  <c r="B89" i="1"/>
  <c r="M88" i="1"/>
  <c r="L88" i="1"/>
  <c r="I88" i="1"/>
  <c r="B88" i="1"/>
  <c r="M87" i="1"/>
  <c r="L87" i="1"/>
  <c r="I87" i="1"/>
  <c r="B87" i="1"/>
  <c r="M86" i="1"/>
  <c r="L86" i="1"/>
  <c r="I86" i="1"/>
  <c r="B86" i="1"/>
  <c r="M85" i="1"/>
  <c r="L85" i="1"/>
  <c r="I85" i="1"/>
  <c r="B85" i="1"/>
  <c r="M84" i="1"/>
  <c r="L84" i="1"/>
  <c r="I84" i="1"/>
  <c r="B84" i="1"/>
  <c r="M83" i="1"/>
  <c r="L83" i="1"/>
  <c r="I83" i="1"/>
  <c r="B83" i="1"/>
  <c r="M82" i="1"/>
  <c r="L82" i="1"/>
  <c r="I82" i="1"/>
  <c r="B82" i="1"/>
  <c r="M81" i="1"/>
  <c r="L81" i="1"/>
  <c r="I81" i="1"/>
  <c r="B81" i="1"/>
  <c r="M80" i="1"/>
  <c r="L80" i="1"/>
  <c r="I80" i="1"/>
  <c r="B80" i="1"/>
  <c r="M79" i="1"/>
  <c r="L79" i="1"/>
  <c r="I79" i="1"/>
  <c r="B79" i="1"/>
  <c r="M78" i="1"/>
  <c r="L78" i="1"/>
  <c r="I78" i="1"/>
  <c r="B78" i="1"/>
  <c r="M77" i="1"/>
  <c r="L77" i="1"/>
  <c r="I77" i="1"/>
  <c r="B77" i="1"/>
  <c r="M76" i="1"/>
  <c r="L76" i="1"/>
  <c r="I76" i="1"/>
  <c r="B76" i="1"/>
  <c r="M75" i="1"/>
  <c r="L75" i="1"/>
  <c r="I75" i="1"/>
  <c r="B75" i="1"/>
  <c r="M74" i="1"/>
  <c r="L74" i="1"/>
  <c r="I74" i="1"/>
  <c r="B74" i="1"/>
  <c r="M73" i="1"/>
  <c r="L73" i="1"/>
  <c r="I73" i="1"/>
  <c r="B73" i="1"/>
  <c r="M72" i="1"/>
  <c r="L72" i="1"/>
  <c r="I72" i="1"/>
  <c r="B72" i="1"/>
  <c r="M71" i="1"/>
  <c r="L71" i="1"/>
  <c r="I71" i="1"/>
  <c r="B71" i="1"/>
  <c r="M70" i="1"/>
  <c r="L70" i="1"/>
  <c r="I70" i="1"/>
  <c r="B70" i="1"/>
  <c r="M69" i="1"/>
  <c r="L69" i="1"/>
  <c r="I69" i="1"/>
  <c r="B69" i="1"/>
  <c r="M68" i="1"/>
  <c r="L68" i="1"/>
  <c r="I68" i="1"/>
  <c r="B68" i="1"/>
  <c r="M67" i="1"/>
  <c r="L67" i="1"/>
  <c r="I67" i="1"/>
  <c r="B67" i="1"/>
  <c r="M66" i="1"/>
  <c r="L66" i="1"/>
  <c r="I66" i="1"/>
  <c r="B66" i="1"/>
  <c r="M65" i="1"/>
  <c r="L65" i="1"/>
  <c r="I65" i="1"/>
  <c r="B65" i="1"/>
  <c r="M64" i="1"/>
  <c r="L64" i="1"/>
  <c r="I64" i="1"/>
  <c r="B64" i="1"/>
  <c r="M63" i="1"/>
  <c r="L63" i="1"/>
  <c r="I63" i="1"/>
  <c r="B63" i="1"/>
  <c r="M62" i="1"/>
  <c r="L62" i="1"/>
  <c r="I62" i="1"/>
  <c r="B62" i="1"/>
  <c r="M61" i="1"/>
  <c r="L61" i="1"/>
  <c r="I61" i="1"/>
  <c r="B61" i="1"/>
  <c r="M60" i="1"/>
  <c r="L60" i="1"/>
  <c r="I60" i="1"/>
  <c r="B60" i="1"/>
  <c r="M59" i="1"/>
  <c r="L59" i="1"/>
  <c r="I59" i="1"/>
  <c r="B59" i="1"/>
  <c r="M58" i="1"/>
  <c r="L58" i="1"/>
  <c r="I58" i="1"/>
  <c r="B58" i="1"/>
  <c r="M57" i="1"/>
  <c r="L57" i="1"/>
  <c r="I57" i="1"/>
  <c r="B57" i="1"/>
  <c r="M56" i="1"/>
  <c r="L56" i="1"/>
  <c r="I56" i="1"/>
  <c r="B56" i="1"/>
  <c r="M55" i="1"/>
  <c r="L55" i="1"/>
  <c r="I55" i="1"/>
  <c r="B55" i="1"/>
  <c r="M54" i="1"/>
  <c r="L54" i="1"/>
  <c r="I54" i="1"/>
  <c r="B54" i="1"/>
  <c r="M53" i="1"/>
  <c r="L53" i="1"/>
  <c r="I53" i="1"/>
  <c r="B53" i="1"/>
  <c r="M52" i="1"/>
  <c r="L52" i="1"/>
  <c r="I52" i="1"/>
  <c r="B52" i="1"/>
  <c r="M51" i="1"/>
  <c r="L51" i="1"/>
  <c r="I51" i="1"/>
  <c r="B51" i="1"/>
  <c r="M50" i="1"/>
  <c r="L50" i="1"/>
  <c r="I50" i="1"/>
  <c r="B50" i="1"/>
  <c r="M49" i="1"/>
  <c r="L49" i="1"/>
  <c r="I49" i="1"/>
  <c r="B49" i="1"/>
  <c r="M48" i="1"/>
  <c r="L48" i="1"/>
  <c r="I48" i="1"/>
  <c r="B48" i="1"/>
  <c r="M47" i="1"/>
  <c r="L47" i="1"/>
  <c r="I47" i="1"/>
  <c r="B47" i="1"/>
  <c r="M46" i="1"/>
  <c r="L46" i="1"/>
  <c r="I46" i="1"/>
  <c r="B46" i="1"/>
  <c r="M45" i="1"/>
  <c r="L45" i="1"/>
  <c r="I45" i="1"/>
  <c r="B45" i="1"/>
  <c r="M44" i="1"/>
  <c r="L44" i="1"/>
  <c r="I44" i="1"/>
  <c r="B44" i="1"/>
  <c r="M43" i="1"/>
  <c r="L43" i="1"/>
  <c r="I43" i="1"/>
  <c r="B43" i="1"/>
  <c r="M42" i="1"/>
  <c r="L42" i="1"/>
  <c r="I42" i="1"/>
  <c r="B42" i="1"/>
  <c r="M41" i="1"/>
  <c r="L41" i="1"/>
  <c r="I41" i="1"/>
  <c r="B41" i="1"/>
  <c r="M40" i="1"/>
  <c r="L40" i="1"/>
  <c r="I40" i="1"/>
  <c r="B40" i="1"/>
  <c r="M39" i="1"/>
  <c r="L39" i="1"/>
  <c r="I39" i="1"/>
  <c r="B39" i="1"/>
  <c r="M38" i="1"/>
  <c r="L38" i="1"/>
  <c r="I38" i="1"/>
  <c r="B38" i="1"/>
  <c r="M37" i="1"/>
  <c r="L37" i="1"/>
  <c r="I37" i="1"/>
  <c r="B37" i="1"/>
  <c r="M36" i="1"/>
  <c r="L36" i="1"/>
  <c r="I36" i="1"/>
  <c r="B36" i="1"/>
  <c r="M35" i="1"/>
  <c r="L35" i="1"/>
  <c r="I35" i="1"/>
  <c r="B35" i="1"/>
  <c r="M34" i="1"/>
  <c r="L34" i="1"/>
  <c r="I34" i="1"/>
  <c r="B34" i="1"/>
  <c r="M33" i="1"/>
  <c r="L33" i="1"/>
  <c r="I33" i="1"/>
  <c r="B33" i="1"/>
  <c r="M32" i="1"/>
  <c r="L32" i="1"/>
  <c r="I32" i="1"/>
  <c r="B32" i="1"/>
  <c r="M31" i="1"/>
  <c r="L31" i="1"/>
  <c r="I31" i="1"/>
  <c r="B31" i="1"/>
  <c r="M30" i="1"/>
  <c r="L30" i="1"/>
  <c r="I30" i="1"/>
  <c r="B30" i="1"/>
  <c r="M29" i="1"/>
  <c r="L29" i="1"/>
  <c r="I29" i="1"/>
  <c r="B29" i="1"/>
  <c r="M28" i="1"/>
  <c r="L28" i="1"/>
  <c r="I28" i="1"/>
  <c r="B28" i="1"/>
  <c r="M27" i="1"/>
  <c r="L27" i="1"/>
  <c r="I27" i="1"/>
  <c r="B27" i="1"/>
  <c r="M26" i="1"/>
  <c r="L26" i="1"/>
  <c r="I26" i="1"/>
  <c r="B26" i="1"/>
  <c r="M25" i="1"/>
  <c r="L25" i="1"/>
  <c r="I25" i="1"/>
  <c r="B25" i="1"/>
  <c r="M24" i="1"/>
  <c r="L24" i="1"/>
  <c r="I24" i="1"/>
  <c r="B24" i="1"/>
  <c r="M23" i="1"/>
  <c r="L23" i="1"/>
  <c r="I23" i="1"/>
  <c r="B23" i="1"/>
  <c r="I22" i="1"/>
  <c r="B22" i="1"/>
  <c r="I21" i="1"/>
  <c r="B21" i="1"/>
  <c r="I20" i="1"/>
  <c r="B20" i="1"/>
  <c r="I19" i="1"/>
  <c r="B19" i="1"/>
  <c r="I18" i="1"/>
  <c r="B18" i="1"/>
  <c r="I17" i="1"/>
  <c r="B17" i="1"/>
  <c r="I16" i="1"/>
  <c r="B16" i="1"/>
  <c r="I15" i="1"/>
  <c r="B15" i="1"/>
  <c r="I14" i="1"/>
  <c r="B14" i="1"/>
  <c r="I13" i="1"/>
  <c r="B13" i="1"/>
  <c r="I12" i="1"/>
  <c r="B12" i="1"/>
  <c r="I11" i="1"/>
  <c r="B11" i="1"/>
  <c r="I10" i="1"/>
  <c r="B10" i="1"/>
  <c r="I9" i="1"/>
  <c r="B9" i="1"/>
  <c r="I8" i="1"/>
  <c r="B8" i="1"/>
  <c r="I7" i="1"/>
  <c r="B7" i="1"/>
  <c r="I6" i="1"/>
  <c r="B6" i="1"/>
  <c r="I5" i="1"/>
  <c r="B5" i="1"/>
  <c r="I4" i="1"/>
  <c r="B4" i="1"/>
  <c r="D1258" i="1" l="1" a="1"/>
  <c r="E241" i="14" s="1"/>
  <c r="D1257" i="1" a="1"/>
  <c r="E240" i="14" s="1"/>
  <c r="D1256" i="1" a="1"/>
  <c r="E239" i="14" s="1"/>
  <c r="D1255" i="1" a="1"/>
  <c r="E238" i="14" s="1"/>
  <c r="D1254" i="1" a="1"/>
  <c r="E237" i="14" s="1"/>
  <c r="D1253" i="1" a="1"/>
  <c r="E236" i="14" s="1"/>
  <c r="D1252" i="1" a="1"/>
  <c r="E235" i="14" s="1"/>
  <c r="D1251" i="1" a="1"/>
  <c r="E234" i="14" s="1"/>
  <c r="D1250" i="1" a="1"/>
  <c r="E233" i="14" s="1"/>
  <c r="D1249" i="1" a="1"/>
  <c r="E232" i="14" s="1"/>
  <c r="D1248" i="1" a="1"/>
  <c r="E231" i="14" s="1"/>
  <c r="D1247" i="1" a="1"/>
  <c r="E230" i="14" s="1"/>
  <c r="D1246" i="1" a="1"/>
  <c r="E229" i="14" s="1"/>
  <c r="D1245" i="1" a="1"/>
  <c r="E228" i="14" s="1"/>
  <c r="D1244" i="1" a="1"/>
  <c r="E227" i="14" s="1"/>
  <c r="D1243" i="1" a="1"/>
  <c r="E226" i="14" s="1"/>
  <c r="D1242" i="1" a="1"/>
  <c r="E225" i="14" s="1"/>
  <c r="D1241" i="1" a="1"/>
  <c r="E224" i="14" s="1"/>
  <c r="D1240" i="1" a="1"/>
  <c r="E223" i="14" s="1"/>
  <c r="D1239" i="1" a="1"/>
  <c r="D1238" i="1" a="1"/>
  <c r="D1237" i="1" a="1"/>
  <c r="D1236" i="1" a="1"/>
  <c r="D1235" i="1" a="1"/>
  <c r="D1234" i="1" a="1"/>
  <c r="E1145" i="5" s="1"/>
  <c r="D1233" i="1" a="1"/>
  <c r="E1144" i="5" s="1"/>
  <c r="D1232" i="1" a="1"/>
  <c r="E201" i="14" s="1"/>
  <c r="D1231" i="1" a="1"/>
  <c r="D1230" i="1" a="1"/>
  <c r="E199" i="14" s="1"/>
  <c r="D1229" i="1" a="1"/>
  <c r="E198" i="14" s="1"/>
  <c r="D1228" i="1" a="1"/>
  <c r="E197" i="14" s="1"/>
  <c r="D1227" i="1" a="1"/>
  <c r="E196" i="14" s="1"/>
  <c r="D1226" i="1" a="1"/>
  <c r="E195" i="14" s="1"/>
  <c r="D1225" i="1" a="1"/>
  <c r="E194" i="14" s="1"/>
  <c r="D1224" i="1" a="1"/>
  <c r="E193" i="14" s="1"/>
  <c r="D1223" i="1" a="1"/>
  <c r="E192" i="14" s="1"/>
  <c r="D1222" i="1" a="1"/>
  <c r="E191" i="14" s="1"/>
  <c r="D1221" i="1" a="1"/>
  <c r="E190" i="14" s="1"/>
  <c r="D1220" i="1" a="1"/>
  <c r="E189" i="14" s="1"/>
  <c r="D1219" i="1" a="1"/>
  <c r="E188" i="14" s="1"/>
  <c r="D1218" i="1" a="1"/>
  <c r="E187" i="14" s="1"/>
  <c r="D1217" i="1" a="1"/>
  <c r="E186" i="14" s="1"/>
  <c r="D1216" i="1" a="1"/>
  <c r="E32" i="10" s="1"/>
  <c r="D1215" i="1" a="1"/>
  <c r="E31" i="10" s="1"/>
  <c r="D1214" i="1" a="1"/>
  <c r="D1213" i="1" a="1"/>
  <c r="D1212" i="1" a="1"/>
  <c r="D1211" i="1" a="1"/>
  <c r="E1141" i="5" s="1"/>
  <c r="D1210" i="1" a="1"/>
  <c r="E1140" i="5" s="1"/>
  <c r="D1209" i="1" a="1"/>
  <c r="E184" i="14" s="1"/>
  <c r="D1208" i="1" a="1"/>
  <c r="D1207" i="1" a="1"/>
  <c r="E183" i="14" s="1"/>
  <c r="D1206" i="1" a="1"/>
  <c r="E182" i="14" s="1"/>
  <c r="D1205" i="1" a="1"/>
  <c r="E181" i="14" s="1"/>
  <c r="D1204" i="1" a="1"/>
  <c r="E180" i="14" s="1"/>
  <c r="D1203" i="1" a="1"/>
  <c r="D1202" i="1" a="1"/>
  <c r="E178" i="14" s="1"/>
  <c r="D1201" i="1" a="1"/>
  <c r="E177" i="14" s="1"/>
  <c r="D1200" i="1" a="1"/>
  <c r="D1199" i="1" a="1"/>
  <c r="E175" i="14" s="1"/>
  <c r="D1198" i="1" a="1"/>
  <c r="D1197" i="1" a="1"/>
  <c r="E173" i="14" s="1"/>
  <c r="D1196" i="1" a="1"/>
  <c r="E172" i="14" s="1"/>
  <c r="D1195" i="1" a="1"/>
  <c r="E171" i="14" s="1"/>
  <c r="D1194" i="1" a="1"/>
  <c r="D1193" i="1" a="1"/>
  <c r="D1192" i="1" a="1"/>
  <c r="D1191" i="1" a="1"/>
  <c r="D1190" i="1" a="1"/>
  <c r="D1189" i="1" a="1"/>
  <c r="D1188" i="1" a="1"/>
  <c r="D1187" i="1" a="1"/>
  <c r="D1186" i="1" a="1"/>
  <c r="E1136" i="5" s="1"/>
  <c r="D1185" i="1" a="1"/>
  <c r="D1184" i="1" a="1"/>
  <c r="D1183" i="1" a="1"/>
  <c r="D1182" i="1" a="1"/>
  <c r="E1132" i="5" s="1"/>
  <c r="D1181" i="1" a="1"/>
  <c r="E1131" i="5" s="1"/>
  <c r="D1180" i="1" a="1"/>
  <c r="D1179" i="1" a="1"/>
  <c r="D1178" i="1" a="1"/>
  <c r="D1177" i="1" a="1"/>
  <c r="E163" i="14" s="1"/>
  <c r="D1176" i="1" a="1"/>
  <c r="D1175" i="1" a="1"/>
  <c r="E161" i="14" s="1"/>
  <c r="D1174" i="1" a="1"/>
  <c r="E160" i="14" s="1"/>
  <c r="D1173" i="1" a="1"/>
  <c r="E159" i="14" s="1"/>
  <c r="D1172" i="1" a="1"/>
  <c r="E158" i="14" s="1"/>
  <c r="D1171" i="1" a="1"/>
  <c r="E157" i="14" s="1"/>
  <c r="D1170" i="1" a="1"/>
  <c r="D1169" i="1" a="1"/>
  <c r="D1168" i="1" a="1"/>
  <c r="E1128" i="5" s="1"/>
  <c r="D1167" i="1" a="1"/>
  <c r="E1127" i="5" s="1"/>
  <c r="D1166" i="1" a="1"/>
  <c r="E1126" i="5" s="1"/>
  <c r="D1165" i="1" a="1"/>
  <c r="D1164" i="1" a="1"/>
  <c r="E1124" i="5" s="1"/>
  <c r="D1163" i="1" a="1"/>
  <c r="E1123" i="5" s="1"/>
  <c r="D1162" i="1" a="1"/>
  <c r="E1122" i="5" s="1"/>
  <c r="D1161" i="1" a="1"/>
  <c r="E1121" i="5" s="1"/>
  <c r="D1160" i="1" a="1"/>
  <c r="D1159" i="1" a="1"/>
  <c r="D1158" i="1" a="1"/>
  <c r="D1157" i="1" a="1"/>
  <c r="D1156" i="1" a="1"/>
  <c r="D1155" i="1" a="1"/>
  <c r="D1154" i="1" a="1"/>
  <c r="D1153" i="1" a="1"/>
  <c r="E153" i="14" s="1"/>
  <c r="D1152" i="1" a="1"/>
  <c r="E152" i="14" s="1"/>
  <c r="D1151" i="1" a="1"/>
  <c r="E151" i="14" s="1"/>
  <c r="D1150" i="1" a="1"/>
  <c r="E150" i="14" s="1"/>
  <c r="D1149" i="1" a="1"/>
  <c r="E149" i="14" s="1"/>
  <c r="D1148" i="1" a="1"/>
  <c r="E148" i="14" s="1"/>
  <c r="D1147" i="1" a="1"/>
  <c r="E147" i="14" s="1"/>
  <c r="D1146" i="1" a="1"/>
  <c r="D1145" i="1" a="1"/>
  <c r="D1144" i="1" a="1"/>
  <c r="D1143" i="1" a="1"/>
  <c r="E1106" i="5" s="1"/>
  <c r="D1142" i="1" a="1"/>
  <c r="E1105" i="5" s="1"/>
  <c r="D1141" i="1" a="1"/>
  <c r="E1104" i="5" s="1"/>
  <c r="D1140" i="1" a="1"/>
  <c r="E1103" i="5" s="1"/>
  <c r="D1139" i="1" a="1"/>
  <c r="D1138" i="1" a="1"/>
  <c r="E139" i="14" s="1"/>
  <c r="D1137" i="1" a="1"/>
  <c r="D1136" i="1" a="1"/>
  <c r="E1099" i="5" s="1"/>
  <c r="D1135" i="1" a="1"/>
  <c r="E1098" i="5" s="1"/>
  <c r="D1134" i="1" a="1"/>
  <c r="E1097" i="5" s="1"/>
  <c r="D1133" i="1" a="1"/>
  <c r="E1096" i="5" s="1"/>
  <c r="D1132" i="1" a="1"/>
  <c r="E1095" i="5" s="1"/>
  <c r="D1131" i="1" a="1"/>
  <c r="D1130" i="1" a="1"/>
  <c r="D1129" i="1" a="1"/>
  <c r="D1128" i="1" a="1"/>
  <c r="E1091" i="5" s="1"/>
  <c r="D1127" i="1" a="1"/>
  <c r="E1090" i="5" s="1"/>
  <c r="D1126" i="1" a="1"/>
  <c r="E1089" i="5" s="1"/>
  <c r="D1125" i="1" a="1"/>
  <c r="D1124" i="1" a="1"/>
  <c r="D1123" i="1" a="1"/>
  <c r="E1085" i="5" s="1"/>
  <c r="D1122" i="1" a="1"/>
  <c r="E1084" i="5" s="1"/>
  <c r="D1121" i="1" a="1"/>
  <c r="E1083" i="5" s="1"/>
  <c r="D1120" i="1" a="1"/>
  <c r="E1082" i="5" s="1"/>
  <c r="D1119" i="1" a="1"/>
  <c r="D1118" i="1" a="1"/>
  <c r="D1117" i="1" a="1"/>
  <c r="E1079" i="5" s="1"/>
  <c r="D1116" i="1" a="1"/>
  <c r="E1078" i="5" s="1"/>
  <c r="D1115" i="1" a="1"/>
  <c r="E1077" i="5" s="1"/>
  <c r="D1114" i="1" a="1"/>
  <c r="E138" i="14" s="1"/>
  <c r="D1113" i="1" a="1"/>
  <c r="E137" i="14" s="1"/>
  <c r="D1112" i="1" a="1"/>
  <c r="E136" i="14" s="1"/>
  <c r="D1111" i="1" a="1"/>
  <c r="E135" i="14" s="1"/>
  <c r="D1110" i="1" a="1"/>
  <c r="E134" i="14" s="1"/>
  <c r="D1109" i="1" a="1"/>
  <c r="E133" i="14" s="1"/>
  <c r="D1108" i="1" a="1"/>
  <c r="E132" i="14" s="1"/>
  <c r="D1107" i="1" a="1"/>
  <c r="E131" i="14" s="1"/>
  <c r="D1106" i="1" a="1"/>
  <c r="E130" i="14" s="1"/>
  <c r="D1105" i="1" a="1"/>
  <c r="E129" i="14" s="1"/>
  <c r="D1104" i="1" a="1"/>
  <c r="E128" i="14" s="1"/>
  <c r="D1103" i="1" a="1"/>
  <c r="E127" i="14" s="1"/>
  <c r="D1102" i="1" a="1"/>
  <c r="E126" i="14" s="1"/>
  <c r="D1101" i="1" a="1"/>
  <c r="E1076" i="5" s="1"/>
  <c r="D1100" i="1" a="1"/>
  <c r="E125" i="14" s="1"/>
  <c r="D1099" i="1" a="1"/>
  <c r="E1075" i="5" s="1"/>
  <c r="D1098" i="1" a="1"/>
  <c r="E1074" i="5" s="1"/>
  <c r="D1097" i="1" a="1"/>
  <c r="E1073" i="5" s="1"/>
  <c r="D1096" i="1" a="1"/>
  <c r="E1072" i="5" s="1"/>
  <c r="D1095" i="1" a="1"/>
  <c r="E1071" i="5" s="1"/>
  <c r="D1094" i="1" a="1"/>
  <c r="E1070" i="5" s="1"/>
  <c r="D1093" i="1" a="1"/>
  <c r="E1069" i="5" s="1"/>
  <c r="D1092" i="1" a="1"/>
  <c r="D1091" i="1" a="1"/>
  <c r="E124" i="14" s="1"/>
  <c r="D1090" i="1" a="1"/>
  <c r="E1067" i="5" s="1"/>
  <c r="D1089" i="1" a="1"/>
  <c r="E1066" i="5" s="1"/>
  <c r="D1088" i="1" a="1"/>
  <c r="E1065" i="5" s="1"/>
  <c r="D1087" i="1" a="1"/>
  <c r="E1064" i="5" s="1"/>
  <c r="D1086" i="1" a="1"/>
  <c r="E123" i="14" s="1"/>
  <c r="D1085" i="1" a="1"/>
  <c r="D1084" i="1" a="1"/>
  <c r="E1063" i="5" s="1"/>
  <c r="D1083" i="1" a="1"/>
  <c r="E1062" i="5" s="1"/>
  <c r="D1082" i="1" a="1"/>
  <c r="E1061" i="5" s="1"/>
  <c r="D1081" i="1" a="1"/>
  <c r="E1060" i="5" s="1"/>
  <c r="D1080" i="1" a="1"/>
  <c r="D1079" i="1" a="1"/>
  <c r="D1078" i="1" a="1"/>
  <c r="D1077" i="1" a="1"/>
  <c r="D1076" i="1" a="1"/>
  <c r="D1075" i="1" a="1"/>
  <c r="D1074" i="1" a="1"/>
  <c r="E121" i="14" s="1"/>
  <c r="D1073" i="1" a="1"/>
  <c r="E120" i="14" s="1"/>
  <c r="D1072" i="1" a="1"/>
  <c r="E119" i="14" s="1"/>
  <c r="D1071" i="1" a="1"/>
  <c r="E118" i="14" s="1"/>
  <c r="D1070" i="1" a="1"/>
  <c r="E117" i="14" s="1"/>
  <c r="D1069" i="1" a="1"/>
  <c r="D1068" i="1" a="1"/>
  <c r="E116" i="14" s="1"/>
  <c r="D1067" i="1" a="1"/>
  <c r="D1066" i="1" a="1"/>
  <c r="D1065" i="1" a="1"/>
  <c r="E114" i="14" s="1"/>
  <c r="D1064" i="1" a="1"/>
  <c r="D1063" i="1" a="1"/>
  <c r="E113" i="14" s="1"/>
  <c r="D1062" i="1" a="1"/>
  <c r="E112" i="14" s="1"/>
  <c r="D1061" i="1" a="1"/>
  <c r="D1060" i="1" a="1"/>
  <c r="D1059" i="1" a="1"/>
  <c r="D1058" i="1" a="1"/>
  <c r="E110" i="14" s="1"/>
  <c r="D1057" i="1" a="1"/>
  <c r="D1056" i="1" a="1"/>
  <c r="E109" i="14" s="1"/>
  <c r="D1055" i="1" a="1"/>
  <c r="E108" i="14" s="1"/>
  <c r="D1054" i="1" a="1"/>
  <c r="E107" i="14" s="1"/>
  <c r="D1053" i="1" a="1"/>
  <c r="E106" i="14" s="1"/>
  <c r="D1052" i="1" a="1"/>
  <c r="E105" i="14" s="1"/>
  <c r="D1051" i="1" a="1"/>
  <c r="E104" i="14" s="1"/>
  <c r="D1050" i="1" a="1"/>
  <c r="E983" i="5" s="1"/>
  <c r="D1049" i="1" a="1"/>
  <c r="E982" i="5" s="1"/>
  <c r="D1048" i="1" a="1"/>
  <c r="D1047" i="1" a="1"/>
  <c r="D1046" i="1" a="1"/>
  <c r="E68" i="14" s="1"/>
  <c r="D1045" i="1" a="1"/>
  <c r="E67" i="14" s="1"/>
  <c r="D1044" i="1" a="1"/>
  <c r="E66" i="14" s="1"/>
  <c r="D1043" i="1" a="1"/>
  <c r="E65" i="14" s="1"/>
  <c r="D1042" i="1" a="1"/>
  <c r="E64" i="14" s="1"/>
  <c r="D1041" i="1" a="1"/>
  <c r="E63" i="14" s="1"/>
  <c r="D1040" i="1" a="1"/>
  <c r="E62" i="14" s="1"/>
  <c r="D1039" i="1" a="1"/>
  <c r="E61" i="14" s="1"/>
  <c r="D1038" i="1" a="1"/>
  <c r="E60" i="14" s="1"/>
  <c r="D1037" i="1" a="1"/>
  <c r="E59" i="14" s="1"/>
  <c r="D1036" i="1" a="1"/>
  <c r="E58" i="14" s="1"/>
  <c r="D1035" i="1" a="1"/>
  <c r="E57" i="14" s="1"/>
  <c r="D1034" i="1" a="1"/>
  <c r="E56" i="14" s="1"/>
  <c r="D1033" i="1" a="1"/>
  <c r="E54" i="14" s="1"/>
  <c r="D1032" i="1" a="1"/>
  <c r="E53" i="14" s="1"/>
  <c r="D1031" i="1" a="1"/>
  <c r="D1030" i="1" a="1"/>
  <c r="D1029" i="1" a="1"/>
  <c r="D1028" i="1" a="1"/>
  <c r="E49" i="14" s="1"/>
  <c r="D1027" i="1" a="1"/>
  <c r="E48" i="14" s="1"/>
  <c r="D1026" i="1" a="1"/>
  <c r="E47" i="14" s="1"/>
  <c r="D1025" i="1" a="1"/>
  <c r="E46" i="14" s="1"/>
  <c r="D1024" i="1" a="1"/>
  <c r="E45" i="14" s="1"/>
  <c r="D1023" i="1" a="1"/>
  <c r="E44" i="14" s="1"/>
  <c r="D1022" i="1" a="1"/>
  <c r="D1021" i="1" a="1"/>
  <c r="E42" i="14" s="1"/>
  <c r="D1020" i="1" a="1"/>
  <c r="E41" i="14" s="1"/>
  <c r="D1019" i="1" a="1"/>
  <c r="E40" i="14" s="1"/>
  <c r="D1018" i="1" a="1"/>
  <c r="E39" i="14" s="1"/>
  <c r="D1017" i="1" a="1"/>
  <c r="E38" i="14" s="1"/>
  <c r="D1016" i="1" a="1"/>
  <c r="D1015" i="1" a="1"/>
  <c r="D1014" i="1" a="1"/>
  <c r="D1013" i="1" a="1"/>
  <c r="D1012" i="1" a="1"/>
  <c r="D1011" i="1" a="1"/>
  <c r="D1010" i="1" a="1"/>
  <c r="E32" i="14" s="1"/>
  <c r="D1009" i="1" a="1"/>
  <c r="E31" i="14" s="1"/>
  <c r="D1008" i="1" a="1"/>
  <c r="E30" i="14" s="1"/>
  <c r="D1007" i="1" a="1"/>
  <c r="E29" i="14" s="1"/>
  <c r="D1006" i="1" a="1"/>
  <c r="E28" i="14" s="1"/>
  <c r="D1005" i="1" a="1"/>
  <c r="E27" i="14" s="1"/>
  <c r="D1004" i="1" a="1"/>
  <c r="E26" i="14" s="1"/>
  <c r="D1003" i="1" a="1"/>
  <c r="E25" i="14" s="1"/>
  <c r="D1002" i="1" a="1"/>
  <c r="E24" i="14" s="1"/>
  <c r="D1001" i="1" a="1"/>
  <c r="E23" i="14" s="1"/>
  <c r="D1000" i="1" a="1"/>
  <c r="E22" i="14" s="1"/>
  <c r="D999" i="1" a="1"/>
  <c r="E21" i="14" s="1"/>
  <c r="D998" i="1" a="1"/>
  <c r="E20" i="14" s="1"/>
  <c r="D997" i="1" a="1"/>
  <c r="D996" i="1" a="1"/>
  <c r="D995" i="1" a="1"/>
  <c r="D994" i="1" a="1"/>
  <c r="D993" i="1" a="1"/>
  <c r="D992" i="1" a="1"/>
  <c r="D991" i="1" a="1"/>
  <c r="D990" i="1" a="1"/>
  <c r="D989" i="1" a="1"/>
  <c r="D988" i="1" a="1"/>
  <c r="D987" i="1" a="1"/>
  <c r="D986" i="1" a="1"/>
  <c r="E7" i="14" s="1"/>
  <c r="D985" i="1" a="1"/>
  <c r="E6" i="14" s="1"/>
  <c r="D984" i="1" a="1"/>
  <c r="E5" i="14" s="1"/>
  <c r="D983" i="1" a="1"/>
  <c r="D982" i="1" a="1"/>
  <c r="D981" i="1" a="1"/>
  <c r="E4" i="14" s="1"/>
  <c r="D980" i="1" a="1"/>
  <c r="D979" i="1" a="1"/>
  <c r="E973" i="5" s="1"/>
  <c r="D978" i="1" a="1"/>
  <c r="E972" i="5" s="1"/>
  <c r="D977" i="1" a="1"/>
  <c r="E971" i="5" s="1"/>
  <c r="D976" i="1" a="1"/>
  <c r="E970" i="5" s="1"/>
  <c r="D975" i="1" a="1"/>
  <c r="E969" i="5" s="1"/>
  <c r="D974" i="1" a="1"/>
  <c r="E968" i="5" s="1"/>
  <c r="D973" i="1" a="1"/>
  <c r="E967" i="5" s="1"/>
  <c r="D972" i="1" a="1"/>
  <c r="E966" i="5" s="1"/>
  <c r="D971" i="1" a="1"/>
  <c r="E965" i="5" s="1"/>
  <c r="D970" i="1" a="1"/>
  <c r="E964" i="5" s="1"/>
  <c r="D969" i="1" a="1"/>
  <c r="E963" i="5" s="1"/>
  <c r="D968" i="1" a="1"/>
  <c r="E962" i="5" s="1"/>
  <c r="D967" i="1" a="1"/>
  <c r="E961" i="5" s="1"/>
  <c r="D966" i="1" a="1"/>
  <c r="E960" i="5" s="1"/>
  <c r="D965" i="1" a="1"/>
  <c r="E959" i="5" s="1"/>
  <c r="D964" i="1" a="1"/>
  <c r="E958" i="5" s="1"/>
  <c r="D963" i="1" a="1"/>
  <c r="E957" i="5" s="1"/>
  <c r="D962" i="1" a="1"/>
  <c r="E956" i="5" s="1"/>
  <c r="D961" i="1" a="1"/>
  <c r="E955" i="5" s="1"/>
  <c r="D960" i="1" a="1"/>
  <c r="D959" i="1" a="1"/>
  <c r="E953" i="5" s="1"/>
  <c r="D958" i="1" a="1"/>
  <c r="E952" i="5" s="1"/>
  <c r="D957" i="1" a="1"/>
  <c r="E951" i="5" s="1"/>
  <c r="D956" i="1" a="1"/>
  <c r="E950" i="5" s="1"/>
  <c r="D955" i="1" a="1"/>
  <c r="E949" i="5" s="1"/>
  <c r="D954" i="1" a="1"/>
  <c r="E948" i="5" s="1"/>
  <c r="D953" i="1" a="1"/>
  <c r="E947" i="5" s="1"/>
  <c r="D952" i="1" a="1"/>
  <c r="E946" i="5" s="1"/>
  <c r="D951" i="1" a="1"/>
  <c r="E945" i="5" s="1"/>
  <c r="D950" i="1" a="1"/>
  <c r="E944" i="5" s="1"/>
  <c r="D949" i="1" a="1"/>
  <c r="E942" i="5" s="1"/>
  <c r="D948" i="1" a="1"/>
  <c r="E941" i="5" s="1"/>
  <c r="D947" i="1" a="1"/>
  <c r="E940" i="5" s="1"/>
  <c r="D946" i="1" a="1"/>
  <c r="E939" i="5" s="1"/>
  <c r="D945" i="1" a="1"/>
  <c r="D944" i="1" a="1"/>
  <c r="E937" i="5" s="1"/>
  <c r="D943" i="1" a="1"/>
  <c r="D942" i="1" a="1"/>
  <c r="E935" i="5" s="1"/>
  <c r="D941" i="1" a="1"/>
  <c r="D940" i="1" a="1"/>
  <c r="E933" i="5" s="1"/>
  <c r="D939" i="1" a="1"/>
  <c r="E932" i="5" s="1"/>
  <c r="D938" i="1" a="1"/>
  <c r="D937" i="1" a="1"/>
  <c r="E930" i="5" s="1"/>
  <c r="D936" i="1" a="1"/>
  <c r="E929" i="5" s="1"/>
  <c r="D935" i="1" a="1"/>
  <c r="E928" i="5" s="1"/>
  <c r="D934" i="1" a="1"/>
  <c r="E927" i="5" s="1"/>
  <c r="D933" i="1" a="1"/>
  <c r="D932" i="1" a="1"/>
  <c r="D931" i="1" a="1"/>
  <c r="E923" i="5" s="1"/>
  <c r="D930" i="1" a="1"/>
  <c r="E922" i="5" s="1"/>
  <c r="D929" i="1" a="1"/>
  <c r="E921" i="5" s="1"/>
  <c r="D928" i="1" a="1"/>
  <c r="E920" i="5" s="1"/>
  <c r="D927" i="1" a="1"/>
  <c r="E919" i="5" s="1"/>
  <c r="D926" i="1" a="1"/>
  <c r="E918" i="5" s="1"/>
  <c r="D925" i="1" a="1"/>
  <c r="E917" i="5" s="1"/>
  <c r="D924" i="1" a="1"/>
  <c r="E916" i="5" s="1"/>
  <c r="D923" i="1" a="1"/>
  <c r="E915" i="5" s="1"/>
  <c r="D922" i="1" a="1"/>
  <c r="E914" i="5" s="1"/>
  <c r="D921" i="1" a="1"/>
  <c r="E913" i="5" s="1"/>
  <c r="D920" i="1" a="1"/>
  <c r="E912" i="5" s="1"/>
  <c r="D919" i="1" a="1"/>
  <c r="E911" i="5" s="1"/>
  <c r="D918" i="1" a="1"/>
  <c r="E910" i="5" s="1"/>
  <c r="D917" i="1" a="1"/>
  <c r="E909" i="5" s="1"/>
  <c r="D916" i="1" a="1"/>
  <c r="E908" i="5" s="1"/>
  <c r="D915" i="1" a="1"/>
  <c r="E907" i="5" s="1"/>
  <c r="D914" i="1" a="1"/>
  <c r="E906" i="5" s="1"/>
  <c r="D913" i="1" a="1"/>
  <c r="D912" i="1" a="1"/>
  <c r="D911" i="1" a="1"/>
  <c r="E902" i="5" s="1"/>
  <c r="D910" i="1" a="1"/>
  <c r="E901" i="5" s="1"/>
  <c r="D909" i="1" a="1"/>
  <c r="E900" i="5" s="1"/>
  <c r="D908" i="1" a="1"/>
  <c r="D907" i="1" a="1"/>
  <c r="E898" i="5" s="1"/>
  <c r="D906" i="1" a="1"/>
  <c r="E897" i="5" s="1"/>
  <c r="D905" i="1" a="1"/>
  <c r="E896" i="5" s="1"/>
  <c r="D904" i="1" a="1"/>
  <c r="E895" i="5" s="1"/>
  <c r="D903" i="1" a="1"/>
  <c r="E894" i="5" s="1"/>
  <c r="D902" i="1" a="1"/>
  <c r="E893" i="5" s="1"/>
  <c r="D901" i="1" a="1"/>
  <c r="D900" i="1" a="1"/>
  <c r="D899" i="1" a="1"/>
  <c r="E890" i="5" s="1"/>
  <c r="D898" i="1" a="1"/>
  <c r="E889" i="5" s="1"/>
  <c r="D897" i="1" a="1"/>
  <c r="E888" i="5" s="1"/>
  <c r="D896" i="1" a="1"/>
  <c r="E887" i="5" s="1"/>
  <c r="D895" i="1" a="1"/>
  <c r="E886" i="5" s="1"/>
  <c r="D894" i="1" a="1"/>
  <c r="E885" i="5" s="1"/>
  <c r="D893" i="1" a="1"/>
  <c r="E884" i="5" s="1"/>
  <c r="D892" i="1" a="1"/>
  <c r="E883" i="5" s="1"/>
  <c r="D891" i="1" a="1"/>
  <c r="E882" i="5" s="1"/>
  <c r="D890" i="1" a="1"/>
  <c r="E881" i="5" s="1"/>
  <c r="D889" i="1" a="1"/>
  <c r="E880" i="5" s="1"/>
  <c r="D888" i="1" a="1"/>
  <c r="E879" i="5" s="1"/>
  <c r="D887" i="1" a="1"/>
  <c r="E878" i="5" s="1"/>
  <c r="D886" i="1" a="1"/>
  <c r="E877" i="5" s="1"/>
  <c r="D885" i="1" a="1"/>
  <c r="E876" i="5" s="1"/>
  <c r="D884" i="1" a="1"/>
  <c r="D883" i="1" a="1"/>
  <c r="E874" i="5" s="1"/>
  <c r="D882" i="1" a="1"/>
  <c r="E873" i="5" s="1"/>
  <c r="D881" i="1" a="1"/>
  <c r="E872" i="5" s="1"/>
  <c r="D880" i="1" a="1"/>
  <c r="E871" i="5" s="1"/>
  <c r="D879" i="1" a="1"/>
  <c r="E870" i="5" s="1"/>
  <c r="D878" i="1" a="1"/>
  <c r="D877" i="1" a="1"/>
  <c r="E868" i="5" s="1"/>
  <c r="D876" i="1" a="1"/>
  <c r="E867" i="5" s="1"/>
  <c r="D875" i="1" a="1"/>
  <c r="E866" i="5" s="1"/>
  <c r="D874" i="1" a="1"/>
  <c r="E865" i="5" s="1"/>
  <c r="D873" i="1" a="1"/>
  <c r="E864" i="5" s="1"/>
  <c r="D872" i="1" a="1"/>
  <c r="E863" i="5" s="1"/>
  <c r="D871" i="1" a="1"/>
  <c r="E862" i="5" s="1"/>
  <c r="D870" i="1" a="1"/>
  <c r="E861" i="5" s="1"/>
  <c r="D869" i="1" a="1"/>
  <c r="D868" i="1" a="1"/>
  <c r="E859" i="5" s="1"/>
  <c r="D867" i="1" a="1"/>
  <c r="E858" i="5" s="1"/>
  <c r="D866" i="1" a="1"/>
  <c r="E857" i="5" s="1"/>
  <c r="D865" i="1" a="1"/>
  <c r="E856" i="5" s="1"/>
  <c r="D864" i="1" a="1"/>
  <c r="E855" i="5" s="1"/>
  <c r="D863" i="1" a="1"/>
  <c r="E854" i="5" s="1"/>
  <c r="D862" i="1" a="1"/>
  <c r="D861" i="1" a="1"/>
  <c r="E852" i="5" s="1"/>
  <c r="D860" i="1" a="1"/>
  <c r="E851" i="5" s="1"/>
  <c r="D859" i="1" a="1"/>
  <c r="E850" i="5" s="1"/>
  <c r="D858" i="1" a="1"/>
  <c r="E849" i="5" s="1"/>
  <c r="D857" i="1" a="1"/>
  <c r="E848" i="5" s="1"/>
  <c r="D856" i="1" a="1"/>
  <c r="E847" i="5" s="1"/>
  <c r="D855" i="1" a="1"/>
  <c r="E846" i="5" s="1"/>
  <c r="D854" i="1" a="1"/>
  <c r="E845" i="5" s="1"/>
  <c r="D853" i="1" a="1"/>
  <c r="D852" i="1" a="1"/>
  <c r="E843" i="5" s="1"/>
  <c r="D851" i="1" a="1"/>
  <c r="E842" i="5" s="1"/>
  <c r="D850" i="1" a="1"/>
  <c r="E841" i="5" s="1"/>
  <c r="D849" i="1" a="1"/>
  <c r="E840" i="5" s="1"/>
  <c r="D848" i="1" a="1"/>
  <c r="E839" i="5" s="1"/>
  <c r="D847" i="1" a="1"/>
  <c r="E838" i="5" s="1"/>
  <c r="D846" i="1" a="1"/>
  <c r="E837" i="5" s="1"/>
  <c r="D845" i="1" a="1"/>
  <c r="E836" i="5" s="1"/>
  <c r="D844" i="1" a="1"/>
  <c r="E835" i="5" s="1"/>
  <c r="D843" i="1" a="1"/>
  <c r="E834" i="5" s="1"/>
  <c r="D842" i="1" a="1"/>
  <c r="E833" i="5" s="1"/>
  <c r="D841" i="1" a="1"/>
  <c r="E832" i="5" s="1"/>
  <c r="D840" i="1" a="1"/>
  <c r="E831" i="5" s="1"/>
  <c r="D839" i="1" a="1"/>
  <c r="E830" i="5" s="1"/>
  <c r="D838" i="1" a="1"/>
  <c r="E829" i="5" s="1"/>
  <c r="D837" i="1" a="1"/>
  <c r="E828" i="5" s="1"/>
  <c r="D836" i="1" a="1"/>
  <c r="E827" i="5" s="1"/>
  <c r="D835" i="1" a="1"/>
  <c r="E826" i="5" s="1"/>
  <c r="D834" i="1" a="1"/>
  <c r="E825" i="5" s="1"/>
  <c r="D833" i="1" a="1"/>
  <c r="E824" i="5" s="1"/>
  <c r="D832" i="1" a="1"/>
  <c r="E823" i="5" s="1"/>
  <c r="D831" i="1" a="1"/>
  <c r="E822" i="5" s="1"/>
  <c r="D830" i="1" a="1"/>
  <c r="E821" i="5" s="1"/>
  <c r="D829" i="1" a="1"/>
  <c r="E820" i="5" s="1"/>
  <c r="D828" i="1" a="1"/>
  <c r="E819" i="5" s="1"/>
  <c r="D827" i="1" a="1"/>
  <c r="D826" i="1" a="1"/>
  <c r="D825" i="1" a="1"/>
  <c r="D824" i="1" a="1"/>
  <c r="E815" i="5" s="1"/>
  <c r="D823" i="1" a="1"/>
  <c r="E814" i="5" s="1"/>
  <c r="D822" i="1" a="1"/>
  <c r="E813" i="5" s="1"/>
  <c r="D821" i="1" a="1"/>
  <c r="E812" i="5" s="1"/>
  <c r="D820" i="1" a="1"/>
  <c r="E811" i="5" s="1"/>
  <c r="D819" i="1" a="1"/>
  <c r="E810" i="5" s="1"/>
  <c r="D818" i="1" a="1"/>
  <c r="E809" i="5" s="1"/>
  <c r="D817" i="1" a="1"/>
  <c r="E808" i="5" s="1"/>
  <c r="D816" i="1" a="1"/>
  <c r="E807" i="5" s="1"/>
  <c r="D815" i="1" a="1"/>
  <c r="E806" i="5" s="1"/>
  <c r="D814" i="1" a="1"/>
  <c r="E805" i="5" s="1"/>
  <c r="D813" i="1" a="1"/>
  <c r="D812" i="1" a="1"/>
  <c r="E803" i="5" s="1"/>
  <c r="D811" i="1" a="1"/>
  <c r="E802" i="5" s="1"/>
  <c r="D810" i="1" a="1"/>
  <c r="E801" i="5" s="1"/>
  <c r="D809" i="1" a="1"/>
  <c r="E800" i="5" s="1"/>
  <c r="D808" i="1" a="1"/>
  <c r="E799" i="5" s="1"/>
  <c r="D807" i="1" a="1"/>
  <c r="E798" i="5" s="1"/>
  <c r="D806" i="1" a="1"/>
  <c r="E797" i="5" s="1"/>
  <c r="D805" i="1" a="1"/>
  <c r="E796" i="5" s="1"/>
  <c r="D804" i="1" a="1"/>
  <c r="E795" i="5" s="1"/>
  <c r="D803" i="1" a="1"/>
  <c r="E794" i="5" s="1"/>
  <c r="D802" i="1" a="1"/>
  <c r="D801" i="1" a="1"/>
  <c r="E792" i="5" s="1"/>
  <c r="D800" i="1" a="1"/>
  <c r="E791" i="5" s="1"/>
  <c r="D799" i="1" a="1"/>
  <c r="E790" i="5" s="1"/>
  <c r="D798" i="1" a="1"/>
  <c r="E789" i="5" s="1"/>
  <c r="D797" i="1" a="1"/>
  <c r="D796" i="1" a="1"/>
  <c r="E787" i="5" s="1"/>
  <c r="D795" i="1" a="1"/>
  <c r="E786" i="5" s="1"/>
  <c r="D794" i="1" a="1"/>
  <c r="E785" i="5" s="1"/>
  <c r="D793" i="1" a="1"/>
  <c r="E784" i="5" s="1"/>
  <c r="D792" i="1" a="1"/>
  <c r="E783" i="5" s="1"/>
  <c r="D791" i="1" a="1"/>
  <c r="E782" i="5" s="1"/>
  <c r="D790" i="1" a="1"/>
  <c r="E781" i="5" s="1"/>
  <c r="D789" i="1" a="1"/>
  <c r="E780" i="5" s="1"/>
  <c r="D788" i="1" a="1"/>
  <c r="E779" i="5" s="1"/>
  <c r="D787" i="1" a="1"/>
  <c r="E778" i="5" s="1"/>
  <c r="D786" i="1" a="1"/>
  <c r="E777" i="5" s="1"/>
  <c r="D785" i="1" a="1"/>
  <c r="E776" i="5" s="1"/>
  <c r="D784" i="1" a="1"/>
  <c r="E775" i="5" s="1"/>
  <c r="D783" i="1" a="1"/>
  <c r="E774" i="5" s="1"/>
  <c r="D782" i="1" a="1"/>
  <c r="E772" i="5" s="1"/>
  <c r="D781" i="1" a="1"/>
  <c r="E771" i="5" s="1"/>
  <c r="D780" i="1" a="1"/>
  <c r="E770" i="5" s="1"/>
  <c r="D779" i="1" a="1"/>
  <c r="E769" i="5" s="1"/>
  <c r="D778" i="1" a="1"/>
  <c r="E768" i="5" s="1"/>
  <c r="D777" i="1" a="1"/>
  <c r="E767" i="5" s="1"/>
  <c r="D776" i="1" a="1"/>
  <c r="E766" i="5" s="1"/>
  <c r="D775" i="1" a="1"/>
  <c r="E765" i="5" s="1"/>
  <c r="D774" i="1" a="1"/>
  <c r="E764" i="5" s="1"/>
  <c r="D773" i="1" a="1"/>
  <c r="E763" i="5" s="1"/>
  <c r="D772" i="1" a="1"/>
  <c r="E762" i="5" s="1"/>
  <c r="D771" i="1" a="1"/>
  <c r="E761" i="5" s="1"/>
  <c r="D770" i="1" a="1"/>
  <c r="E760" i="5" s="1"/>
  <c r="D769" i="1" a="1"/>
  <c r="E759" i="5" s="1"/>
  <c r="D768" i="1" a="1"/>
  <c r="E758" i="5" s="1"/>
  <c r="D767" i="1" a="1"/>
  <c r="E757" i="5" s="1"/>
  <c r="D766" i="1" a="1"/>
  <c r="E756" i="5" s="1"/>
  <c r="D765" i="1" a="1"/>
  <c r="E755" i="5" s="1"/>
  <c r="D764" i="1" a="1"/>
  <c r="E754" i="5" s="1"/>
  <c r="D763" i="1" a="1"/>
  <c r="E753" i="5" s="1"/>
  <c r="D762" i="1" a="1"/>
  <c r="E752" i="5" s="1"/>
  <c r="D761" i="1" a="1"/>
  <c r="E751" i="5" s="1"/>
  <c r="D760" i="1" a="1"/>
  <c r="E750" i="5" s="1"/>
  <c r="D759" i="1" a="1"/>
  <c r="E749" i="5" s="1"/>
  <c r="D758" i="1" a="1"/>
  <c r="D757" i="1" a="1"/>
  <c r="E747" i="5" s="1"/>
  <c r="D756" i="1" a="1"/>
  <c r="E746" i="5" s="1"/>
  <c r="D755" i="1" a="1"/>
  <c r="E745" i="5" s="1"/>
  <c r="D754" i="1" a="1"/>
  <c r="E744" i="5" s="1"/>
  <c r="D753" i="1" a="1"/>
  <c r="E743" i="5" s="1"/>
  <c r="D752" i="1" a="1"/>
  <c r="E742" i="5" s="1"/>
  <c r="D751" i="1" a="1"/>
  <c r="E741" i="5" s="1"/>
  <c r="D750" i="1" a="1"/>
  <c r="E740" i="5" s="1"/>
  <c r="D749" i="1" a="1"/>
  <c r="E739" i="5" s="1"/>
  <c r="D748" i="1" a="1"/>
  <c r="E738" i="5" s="1"/>
  <c r="D747" i="1" a="1"/>
  <c r="E737" i="5" s="1"/>
  <c r="D746" i="1" a="1"/>
  <c r="E736" i="5" s="1"/>
  <c r="D745" i="1" a="1"/>
  <c r="D744" i="1" a="1"/>
  <c r="D743" i="1" a="1"/>
  <c r="E733" i="5" s="1"/>
  <c r="D742" i="1" a="1"/>
  <c r="E732" i="5" s="1"/>
  <c r="D741" i="1" a="1"/>
  <c r="E731" i="5" s="1"/>
  <c r="D740" i="1" a="1"/>
  <c r="E730" i="5" s="1"/>
  <c r="D739" i="1" a="1"/>
  <c r="E729" i="5" s="1"/>
  <c r="D738" i="1" a="1"/>
  <c r="E728" i="5" s="1"/>
  <c r="D737" i="1" a="1"/>
  <c r="E727" i="5" s="1"/>
  <c r="D736" i="1" a="1"/>
  <c r="E726" i="5" s="1"/>
  <c r="D735" i="1" a="1"/>
  <c r="E725" i="5" s="1"/>
  <c r="D734" i="1" a="1"/>
  <c r="E724" i="5" s="1"/>
  <c r="D733" i="1" a="1"/>
  <c r="E723" i="5" s="1"/>
  <c r="D732" i="1" a="1"/>
  <c r="E722" i="5" s="1"/>
  <c r="D731" i="1" a="1"/>
  <c r="E721" i="5" s="1"/>
  <c r="D730" i="1" a="1"/>
  <c r="E720" i="5" s="1"/>
  <c r="D729" i="1" a="1"/>
  <c r="E719" i="5" s="1"/>
  <c r="D728" i="1" a="1"/>
  <c r="E718" i="5" s="1"/>
  <c r="D727" i="1" a="1"/>
  <c r="E717" i="5" s="1"/>
  <c r="D726" i="1" a="1"/>
  <c r="E716" i="5" s="1"/>
  <c r="D725" i="1" a="1"/>
  <c r="E715" i="5" s="1"/>
  <c r="D724" i="1" a="1"/>
  <c r="E714" i="5" s="1"/>
  <c r="D723" i="1" a="1"/>
  <c r="E713" i="5" s="1"/>
  <c r="D722" i="1" a="1"/>
  <c r="E712" i="5" s="1"/>
  <c r="D721" i="1" a="1"/>
  <c r="E711" i="5" s="1"/>
  <c r="D720" i="1" a="1"/>
  <c r="E710" i="5" s="1"/>
  <c r="D719" i="1" a="1"/>
  <c r="E709" i="5" s="1"/>
  <c r="D718" i="1" a="1"/>
  <c r="E708" i="5" s="1"/>
  <c r="D717" i="1" a="1"/>
  <c r="E707" i="5" s="1"/>
  <c r="D716" i="1" a="1"/>
  <c r="E706" i="5" s="1"/>
  <c r="D715" i="1" a="1"/>
  <c r="E705" i="5" s="1"/>
  <c r="D714" i="1" a="1"/>
  <c r="E704" i="5" s="1"/>
  <c r="D713" i="1" a="1"/>
  <c r="E703" i="5" s="1"/>
  <c r="D712" i="1" a="1"/>
  <c r="E702" i="5" s="1"/>
  <c r="D711" i="1" a="1"/>
  <c r="E701" i="5" s="1"/>
  <c r="D710" i="1" a="1"/>
  <c r="E700" i="5" s="1"/>
  <c r="D709" i="1" a="1"/>
  <c r="E699" i="5" s="1"/>
  <c r="D708" i="1" a="1"/>
  <c r="E698" i="5" s="1"/>
  <c r="D707" i="1" a="1"/>
  <c r="E697" i="5" s="1"/>
  <c r="D706" i="1" a="1"/>
  <c r="E696" i="5" s="1"/>
  <c r="D705" i="1" a="1"/>
  <c r="E695" i="5" s="1"/>
  <c r="D704" i="1" a="1"/>
  <c r="E694" i="5" s="1"/>
  <c r="D703" i="1" a="1"/>
  <c r="E693" i="5" s="1"/>
  <c r="D702" i="1" a="1"/>
  <c r="E692" i="5" s="1"/>
  <c r="D701" i="1" a="1"/>
  <c r="E691" i="5" s="1"/>
  <c r="D700" i="1" a="1"/>
  <c r="E690" i="5" s="1"/>
  <c r="D699" i="1" a="1"/>
  <c r="E689" i="5" s="1"/>
  <c r="D698" i="1" a="1"/>
  <c r="E688" i="5" s="1"/>
  <c r="D697" i="1" a="1"/>
  <c r="E687" i="5" s="1"/>
  <c r="D696" i="1" a="1"/>
  <c r="E686" i="5" s="1"/>
  <c r="D695" i="1" a="1"/>
  <c r="E685" i="5" s="1"/>
  <c r="D694" i="1" a="1"/>
  <c r="E684" i="5" s="1"/>
  <c r="D693" i="1" a="1"/>
  <c r="E683" i="5" s="1"/>
  <c r="D692" i="1" a="1"/>
  <c r="E682" i="5" s="1"/>
  <c r="D691" i="1" a="1"/>
  <c r="E681" i="5" s="1"/>
  <c r="D690" i="1" a="1"/>
  <c r="E680" i="5" s="1"/>
  <c r="D689" i="1" a="1"/>
  <c r="E679" i="5" s="1"/>
  <c r="D688" i="1" a="1"/>
  <c r="E678" i="5" s="1"/>
  <c r="D687" i="1" a="1"/>
  <c r="E677" i="5" s="1"/>
  <c r="D686" i="1" a="1"/>
  <c r="E676" i="5" s="1"/>
  <c r="D685" i="1" a="1"/>
  <c r="E674" i="5" s="1"/>
  <c r="D684" i="1" a="1"/>
  <c r="E673" i="5" s="1"/>
  <c r="D683" i="1" a="1"/>
  <c r="E672" i="5" s="1"/>
  <c r="D682" i="1" a="1"/>
  <c r="E671" i="5" s="1"/>
  <c r="D681" i="1" a="1"/>
  <c r="E670" i="5" s="1"/>
  <c r="D680" i="1" a="1"/>
  <c r="E669" i="5" s="1"/>
  <c r="D679" i="1" a="1"/>
  <c r="D678" i="1" a="1"/>
  <c r="E667" i="5" s="1"/>
  <c r="D677" i="1" a="1"/>
  <c r="E666" i="5" s="1"/>
  <c r="D676" i="1" a="1"/>
  <c r="E665" i="5" s="1"/>
  <c r="D675" i="1" a="1"/>
  <c r="E664" i="5" s="1"/>
  <c r="D674" i="1" a="1"/>
  <c r="E663" i="5" s="1"/>
  <c r="D673" i="1" a="1"/>
  <c r="D672" i="1" a="1"/>
  <c r="E661" i="5" s="1"/>
  <c r="D671" i="1" a="1"/>
  <c r="E660" i="5" s="1"/>
  <c r="D670" i="1" a="1"/>
  <c r="E659" i="5" s="1"/>
  <c r="D669" i="1" a="1"/>
  <c r="E658" i="5" s="1"/>
  <c r="D668" i="1" a="1"/>
  <c r="E657" i="5" s="1"/>
  <c r="D667" i="1" a="1"/>
  <c r="E656" i="5" s="1"/>
  <c r="D666" i="1" a="1"/>
  <c r="E655" i="5" s="1"/>
  <c r="D665" i="1" a="1"/>
  <c r="D664" i="1" a="1"/>
  <c r="E653" i="5" s="1"/>
  <c r="D663" i="1" a="1"/>
  <c r="E652" i="5" s="1"/>
  <c r="D662" i="1" a="1"/>
  <c r="E651" i="5" s="1"/>
  <c r="D661" i="1" a="1"/>
  <c r="E650" i="5" s="1"/>
  <c r="D660" i="1" a="1"/>
  <c r="E649" i="5" s="1"/>
  <c r="D659" i="1" a="1"/>
  <c r="E648" i="5" s="1"/>
  <c r="D658" i="1" a="1"/>
  <c r="E647" i="5" s="1"/>
  <c r="D657" i="1" a="1"/>
  <c r="E646" i="5" s="1"/>
  <c r="D656" i="1" a="1"/>
  <c r="E645" i="5" s="1"/>
  <c r="D655" i="1" a="1"/>
  <c r="E644" i="5" s="1"/>
  <c r="D654" i="1" a="1"/>
  <c r="E643" i="5" s="1"/>
  <c r="D653" i="1" a="1"/>
  <c r="E642" i="5" s="1"/>
  <c r="D652" i="1" a="1"/>
  <c r="E641" i="5" s="1"/>
  <c r="D651" i="1" a="1"/>
  <c r="E640" i="5" s="1"/>
  <c r="D650" i="1" a="1"/>
  <c r="E639" i="5" s="1"/>
  <c r="D649" i="1" a="1"/>
  <c r="D648" i="1" a="1"/>
  <c r="E637" i="5" s="1"/>
  <c r="D647" i="1" a="1"/>
  <c r="E636" i="5" s="1"/>
  <c r="D646" i="1" a="1"/>
  <c r="E635" i="5" s="1"/>
  <c r="D645" i="1" a="1"/>
  <c r="E634" i="5" s="1"/>
  <c r="D644" i="1" a="1"/>
  <c r="E633" i="5" s="1"/>
  <c r="D643" i="1" a="1"/>
  <c r="E632" i="5" s="1"/>
  <c r="D642" i="1" a="1"/>
  <c r="E631" i="5" s="1"/>
  <c r="D641" i="1" a="1"/>
  <c r="E630" i="5" s="1"/>
  <c r="D640" i="1" a="1"/>
  <c r="E629" i="5" s="1"/>
  <c r="D639" i="1" a="1"/>
  <c r="E628" i="5" s="1"/>
  <c r="D638" i="1" a="1"/>
  <c r="E627" i="5" s="1"/>
  <c r="D637" i="1" a="1"/>
  <c r="E626" i="5" s="1"/>
  <c r="D636" i="1" a="1"/>
  <c r="E625" i="5" s="1"/>
  <c r="D635" i="1" a="1"/>
  <c r="D634" i="1" a="1"/>
  <c r="D633" i="1" a="1"/>
  <c r="E622" i="5" s="1"/>
  <c r="D632" i="1" a="1"/>
  <c r="D631" i="1" a="1"/>
  <c r="D630" i="1" a="1"/>
  <c r="E619" i="5" s="1"/>
  <c r="D629" i="1" a="1"/>
  <c r="E618" i="5" s="1"/>
  <c r="D628" i="1" a="1"/>
  <c r="E617" i="5" s="1"/>
  <c r="D627" i="1" a="1"/>
  <c r="E616" i="5" s="1"/>
  <c r="D626" i="1" a="1"/>
  <c r="E615" i="5" s="1"/>
  <c r="D625" i="1" a="1"/>
  <c r="D624" i="1" a="1"/>
  <c r="D623" i="1" a="1"/>
  <c r="E612" i="5" s="1"/>
  <c r="D622" i="1" a="1"/>
  <c r="E611" i="5" s="1"/>
  <c r="D621" i="1" a="1"/>
  <c r="E610" i="5" s="1"/>
  <c r="D620" i="1" a="1"/>
  <c r="E609" i="5" s="1"/>
  <c r="D619" i="1" a="1"/>
  <c r="E608" i="5" s="1"/>
  <c r="D618" i="1" a="1"/>
  <c r="E607" i="5" s="1"/>
  <c r="D617" i="1" a="1"/>
  <c r="D616" i="1" a="1"/>
  <c r="D615" i="1" a="1"/>
  <c r="E604" i="5" s="1"/>
  <c r="D614" i="1" a="1"/>
  <c r="E603" i="5" s="1"/>
  <c r="D613" i="1" a="1"/>
  <c r="E602" i="5" s="1"/>
  <c r="D612" i="1" a="1"/>
  <c r="E601" i="5" s="1"/>
  <c r="D611" i="1" a="1"/>
  <c r="E600" i="5" s="1"/>
  <c r="D610" i="1" a="1"/>
  <c r="E599" i="5" s="1"/>
  <c r="D609" i="1" a="1"/>
  <c r="E598" i="5" s="1"/>
  <c r="D608" i="1" a="1"/>
  <c r="E597" i="5" s="1"/>
  <c r="D607" i="1" a="1"/>
  <c r="E596" i="5" s="1"/>
  <c r="D606" i="1" a="1"/>
  <c r="E595" i="5" s="1"/>
  <c r="D605" i="1" a="1"/>
  <c r="E594" i="5" s="1"/>
  <c r="D604" i="1" a="1"/>
  <c r="E593" i="5" s="1"/>
  <c r="D603" i="1" a="1"/>
  <c r="E592" i="5" s="1"/>
  <c r="D602" i="1" a="1"/>
  <c r="E591" i="5" s="1"/>
  <c r="D601" i="1" a="1"/>
  <c r="E590" i="5" s="1"/>
  <c r="D600" i="1" a="1"/>
  <c r="E589" i="5" s="1"/>
  <c r="D599" i="1" a="1"/>
  <c r="E588" i="5" s="1"/>
  <c r="D598" i="1" a="1"/>
  <c r="E587" i="5" s="1"/>
  <c r="D597" i="1" a="1"/>
  <c r="E586" i="5" s="1"/>
  <c r="D596" i="1" a="1"/>
  <c r="E585" i="5" s="1"/>
  <c r="D595" i="1" a="1"/>
  <c r="E584" i="5" s="1"/>
  <c r="D594" i="1" a="1"/>
  <c r="E583" i="5" s="1"/>
  <c r="D593" i="1" a="1"/>
  <c r="E582" i="5" s="1"/>
  <c r="D592" i="1" a="1"/>
  <c r="E581" i="5" s="1"/>
  <c r="D591" i="1" a="1"/>
  <c r="E580" i="5" s="1"/>
  <c r="D590" i="1" a="1"/>
  <c r="E579" i="5" s="1"/>
  <c r="D589" i="1" a="1"/>
  <c r="D588" i="1" a="1"/>
  <c r="D587" i="1" a="1"/>
  <c r="E576" i="5" s="1"/>
  <c r="D586" i="1" a="1"/>
  <c r="E575" i="5" s="1"/>
  <c r="D585" i="1" a="1"/>
  <c r="E574" i="5" s="1"/>
  <c r="D584" i="1" a="1"/>
  <c r="E573" i="5" s="1"/>
  <c r="D583" i="1" a="1"/>
  <c r="E572" i="5" s="1"/>
  <c r="D582" i="1" a="1"/>
  <c r="E571" i="5" s="1"/>
  <c r="D581" i="1" a="1"/>
  <c r="E570" i="5" s="1"/>
  <c r="D580" i="1" a="1"/>
  <c r="E569" i="5" s="1"/>
  <c r="D579" i="1" a="1"/>
  <c r="E568" i="5" s="1"/>
  <c r="D578" i="1" a="1"/>
  <c r="E567" i="5" s="1"/>
  <c r="D577" i="1" a="1"/>
  <c r="E566" i="5" s="1"/>
  <c r="D576" i="1" a="1"/>
  <c r="E565" i="5" s="1"/>
  <c r="D575" i="1" a="1"/>
  <c r="E564" i="5" s="1"/>
  <c r="D574" i="1" a="1"/>
  <c r="E563" i="5" s="1"/>
  <c r="D573" i="1" a="1"/>
  <c r="E562" i="5" s="1"/>
  <c r="D572" i="1" a="1"/>
  <c r="E561" i="5" s="1"/>
  <c r="D571" i="1" a="1"/>
  <c r="E560" i="5" s="1"/>
  <c r="D570" i="1" a="1"/>
  <c r="E559" i="5" s="1"/>
  <c r="D569" i="1" a="1"/>
  <c r="E558" i="5" s="1"/>
  <c r="D568" i="1" a="1"/>
  <c r="E557" i="5" s="1"/>
  <c r="D567" i="1" a="1"/>
  <c r="E556" i="5" s="1"/>
  <c r="D566" i="1" a="1"/>
  <c r="E555" i="5" s="1"/>
  <c r="D565" i="1" a="1"/>
  <c r="E554" i="5" s="1"/>
  <c r="D564" i="1" a="1"/>
  <c r="E553" i="5" s="1"/>
  <c r="D563" i="1" a="1"/>
  <c r="E552" i="5" s="1"/>
  <c r="D562" i="1" a="1"/>
  <c r="E551" i="5" s="1"/>
  <c r="D561" i="1" a="1"/>
  <c r="E550" i="5" s="1"/>
  <c r="D560" i="1" a="1"/>
  <c r="E549" i="5" s="1"/>
  <c r="D559" i="1" a="1"/>
  <c r="E548" i="5" s="1"/>
  <c r="D558" i="1" a="1"/>
  <c r="E547" i="5" s="1"/>
  <c r="D557" i="1" a="1"/>
  <c r="E546" i="5" s="1"/>
  <c r="D556" i="1" a="1"/>
  <c r="E545" i="5" s="1"/>
  <c r="D555" i="1" a="1"/>
  <c r="E544" i="5" s="1"/>
  <c r="D554" i="1" a="1"/>
  <c r="E543" i="5" s="1"/>
  <c r="D553" i="1" a="1"/>
  <c r="E542" i="5" s="1"/>
  <c r="D552" i="1" a="1"/>
  <c r="E541" i="5" s="1"/>
  <c r="D551" i="1" a="1"/>
  <c r="E540" i="5" s="1"/>
  <c r="D550" i="1" a="1"/>
  <c r="E539" i="5" s="1"/>
  <c r="D549" i="1" a="1"/>
  <c r="E538" i="5" s="1"/>
  <c r="D548" i="1" a="1"/>
  <c r="E537" i="5" s="1"/>
  <c r="D547" i="1" a="1"/>
  <c r="E536" i="5" s="1"/>
  <c r="D546" i="1" a="1"/>
  <c r="E535" i="5" s="1"/>
  <c r="D545" i="1" a="1"/>
  <c r="E534" i="5" s="1"/>
  <c r="D544" i="1" a="1"/>
  <c r="E532" i="5" s="1"/>
  <c r="D543" i="1" a="1"/>
  <c r="D542" i="1" a="1"/>
  <c r="E530" i="5" s="1"/>
  <c r="D541" i="1" a="1"/>
  <c r="E529" i="5" s="1"/>
  <c r="D540" i="1" a="1"/>
  <c r="D539" i="1" a="1"/>
  <c r="E527" i="5" s="1"/>
  <c r="D538" i="1" a="1"/>
  <c r="E526" i="5" s="1"/>
  <c r="D537" i="1" a="1"/>
  <c r="E525" i="5" s="1"/>
  <c r="D536" i="1" a="1"/>
  <c r="E524" i="5" s="1"/>
  <c r="D535" i="1" a="1"/>
  <c r="E523" i="5" s="1"/>
  <c r="D534" i="1" a="1"/>
  <c r="E522" i="5" s="1"/>
  <c r="D533" i="1" a="1"/>
  <c r="E521" i="5" s="1"/>
  <c r="D532" i="1" a="1"/>
  <c r="E520" i="5" s="1"/>
  <c r="D531" i="1" a="1"/>
  <c r="E519" i="5" s="1"/>
  <c r="D530" i="1" a="1"/>
  <c r="E518" i="5" s="1"/>
  <c r="D529" i="1" a="1"/>
  <c r="E517" i="5" s="1"/>
  <c r="D528" i="1" a="1"/>
  <c r="E516" i="5" s="1"/>
  <c r="D527" i="1" a="1"/>
  <c r="E515" i="5" s="1"/>
  <c r="D526" i="1" a="1"/>
  <c r="E514" i="5" s="1"/>
  <c r="D525" i="1" a="1"/>
  <c r="E513" i="5" s="1"/>
  <c r="D524" i="1" a="1"/>
  <c r="E512" i="5" s="1"/>
  <c r="D523" i="1" a="1"/>
  <c r="E511" i="5" s="1"/>
  <c r="D522" i="1" a="1"/>
  <c r="E510" i="5" s="1"/>
  <c r="D521" i="1" a="1"/>
  <c r="E509" i="5" s="1"/>
  <c r="D520" i="1" a="1"/>
  <c r="E508" i="5" s="1"/>
  <c r="D519" i="1" a="1"/>
  <c r="E507" i="5" s="1"/>
  <c r="D518" i="1" a="1"/>
  <c r="E506" i="5" s="1"/>
  <c r="D517" i="1" a="1"/>
  <c r="E505" i="5" s="1"/>
  <c r="D516" i="1" a="1"/>
  <c r="E504" i="5" s="1"/>
  <c r="D515" i="1" a="1"/>
  <c r="E503" i="5" s="1"/>
  <c r="D514" i="1" a="1"/>
  <c r="E502" i="5" s="1"/>
  <c r="D513" i="1" a="1"/>
  <c r="E501" i="5" s="1"/>
  <c r="D512" i="1" a="1"/>
  <c r="E500" i="5" s="1"/>
  <c r="D511" i="1" a="1"/>
  <c r="E499" i="5" s="1"/>
  <c r="D510" i="1" a="1"/>
  <c r="E498" i="5" s="1"/>
  <c r="D509" i="1" a="1"/>
  <c r="E497" i="5" s="1"/>
  <c r="D508" i="1" a="1"/>
  <c r="E496" i="5" s="1"/>
  <c r="D507" i="1" a="1"/>
  <c r="E495" i="5" s="1"/>
  <c r="D506" i="1" a="1"/>
  <c r="E494" i="5" s="1"/>
  <c r="D505" i="1" a="1"/>
  <c r="E493" i="5" s="1"/>
  <c r="D504" i="1" a="1"/>
  <c r="E492" i="5" s="1"/>
  <c r="D503" i="1" a="1"/>
  <c r="E491" i="5" s="1"/>
  <c r="D502" i="1" a="1"/>
  <c r="E490" i="5" s="1"/>
  <c r="D501" i="1" a="1"/>
  <c r="E489" i="5" s="1"/>
  <c r="D500" i="1" a="1"/>
  <c r="E488" i="5" s="1"/>
  <c r="D499" i="1" a="1"/>
  <c r="E487" i="5" s="1"/>
  <c r="D498" i="1" a="1"/>
  <c r="E486" i="5" s="1"/>
  <c r="D497" i="1" a="1"/>
  <c r="E485" i="5" s="1"/>
  <c r="D496" i="1" a="1"/>
  <c r="E484" i="5" s="1"/>
  <c r="D495" i="1" a="1"/>
  <c r="E483" i="5" s="1"/>
  <c r="D494" i="1" a="1"/>
  <c r="E482" i="5" s="1"/>
  <c r="D493" i="1" a="1"/>
  <c r="E481" i="5" s="1"/>
  <c r="D492" i="1" a="1"/>
  <c r="E480" i="5" s="1"/>
  <c r="D491" i="1" a="1"/>
  <c r="E479" i="5" s="1"/>
  <c r="D490" i="1" a="1"/>
  <c r="E478" i="5" s="1"/>
  <c r="D489" i="1" a="1"/>
  <c r="E477" i="5" s="1"/>
  <c r="D488" i="1" a="1"/>
  <c r="E476" i="5" s="1"/>
  <c r="D487" i="1" a="1"/>
  <c r="D486" i="1" a="1"/>
  <c r="E474" i="5" s="1"/>
  <c r="D485" i="1" a="1"/>
  <c r="E473" i="5" s="1"/>
  <c r="D484" i="1" a="1"/>
  <c r="E472" i="5" s="1"/>
  <c r="D483" i="1" a="1"/>
  <c r="E471" i="5" s="1"/>
  <c r="D482" i="1" a="1"/>
  <c r="E470" i="5" s="1"/>
  <c r="D481" i="1" a="1"/>
  <c r="E469" i="5" s="1"/>
  <c r="D480" i="1" a="1"/>
  <c r="E468" i="5" s="1"/>
  <c r="D479" i="1" a="1"/>
  <c r="E467" i="5" s="1"/>
  <c r="D478" i="1" a="1"/>
  <c r="E466" i="5" s="1"/>
  <c r="D477" i="1" a="1"/>
  <c r="E465" i="5" s="1"/>
  <c r="D476" i="1" a="1"/>
  <c r="E464" i="5" s="1"/>
  <c r="D475" i="1" a="1"/>
  <c r="E463" i="5" s="1"/>
  <c r="D474" i="1" a="1"/>
  <c r="E462" i="5" s="1"/>
  <c r="D473" i="1" a="1"/>
  <c r="E461" i="5" s="1"/>
  <c r="D472" i="1" a="1"/>
  <c r="E460" i="5" s="1"/>
  <c r="D471" i="1" a="1"/>
  <c r="E459" i="5" s="1"/>
  <c r="D470" i="1" a="1"/>
  <c r="D469" i="1" a="1"/>
  <c r="E457" i="5" s="1"/>
  <c r="D468" i="1" a="1"/>
  <c r="E456" i="5" s="1"/>
  <c r="D467" i="1" a="1"/>
  <c r="E455" i="5" s="1"/>
  <c r="D466" i="1" a="1"/>
  <c r="D465" i="1" a="1"/>
  <c r="E453" i="5" s="1"/>
  <c r="D464" i="1" a="1"/>
  <c r="D463" i="1" a="1"/>
  <c r="E451" i="5" s="1"/>
  <c r="D462" i="1" a="1"/>
  <c r="E450" i="5" s="1"/>
  <c r="D461" i="1" a="1"/>
  <c r="E449" i="5" s="1"/>
  <c r="D460" i="1" a="1"/>
  <c r="E448" i="5" s="1"/>
  <c r="D459" i="1" a="1"/>
  <c r="E447" i="5" s="1"/>
  <c r="D458" i="1" a="1"/>
  <c r="E446" i="5" s="1"/>
  <c r="D457" i="1" a="1"/>
  <c r="E445" i="5" s="1"/>
  <c r="D456" i="1" a="1"/>
  <c r="E444" i="5" s="1"/>
  <c r="D455" i="1" a="1"/>
  <c r="E443" i="5" s="1"/>
  <c r="D454" i="1" a="1"/>
  <c r="E442" i="5" s="1"/>
  <c r="D453" i="1" a="1"/>
  <c r="E441" i="5" s="1"/>
  <c r="D452" i="1" a="1"/>
  <c r="D451" i="1" a="1"/>
  <c r="E439" i="5" s="1"/>
  <c r="D450" i="1" a="1"/>
  <c r="E438" i="5" s="1"/>
  <c r="D449" i="1" a="1"/>
  <c r="E437" i="5" s="1"/>
  <c r="D448" i="1" a="1"/>
  <c r="E436" i="5" s="1"/>
  <c r="D447" i="1" a="1"/>
  <c r="E435" i="5" s="1"/>
  <c r="D446" i="1" a="1"/>
  <c r="D445" i="1" a="1"/>
  <c r="D444" i="1" a="1"/>
  <c r="E432" i="5" s="1"/>
  <c r="D443" i="1" a="1"/>
  <c r="E431" i="5" s="1"/>
  <c r="D442" i="1" a="1"/>
  <c r="E430" i="5" s="1"/>
  <c r="D441" i="1" a="1"/>
  <c r="E429" i="5" s="1"/>
  <c r="D440" i="1" a="1"/>
  <c r="E428" i="5" s="1"/>
  <c r="D439" i="1" a="1"/>
  <c r="E427" i="5" s="1"/>
  <c r="D438" i="1" a="1"/>
  <c r="E426" i="5" s="1"/>
  <c r="D437" i="1" a="1"/>
  <c r="D436" i="1" a="1"/>
  <c r="E424" i="5" s="1"/>
  <c r="D435" i="1" a="1"/>
  <c r="E423" i="5" s="1"/>
  <c r="D434" i="1" a="1"/>
  <c r="E422" i="5" s="1"/>
  <c r="D433" i="1" a="1"/>
  <c r="E421" i="5" s="1"/>
  <c r="D432" i="1" a="1"/>
  <c r="E420" i="5" s="1"/>
  <c r="D431" i="1" a="1"/>
  <c r="E419" i="5" s="1"/>
  <c r="D430" i="1" a="1"/>
  <c r="E418" i="5" s="1"/>
  <c r="D429" i="1" a="1"/>
  <c r="E417" i="5" s="1"/>
  <c r="D428" i="1" a="1"/>
  <c r="E416" i="5" s="1"/>
  <c r="D427" i="1" a="1"/>
  <c r="E415" i="5" s="1"/>
  <c r="D426" i="1" a="1"/>
  <c r="E414" i="5" s="1"/>
  <c r="D425" i="1" a="1"/>
  <c r="E413" i="5" s="1"/>
  <c r="D424" i="1" a="1"/>
  <c r="E412" i="5" s="1"/>
  <c r="D423" i="1" a="1"/>
  <c r="E411" i="5" s="1"/>
  <c r="D422" i="1" a="1"/>
  <c r="E410" i="5" s="1"/>
  <c r="D421" i="1" a="1"/>
  <c r="E409" i="5" s="1"/>
  <c r="D420" i="1" a="1"/>
  <c r="E408" i="5" s="1"/>
  <c r="D419" i="1" a="1"/>
  <c r="E407" i="5" s="1"/>
  <c r="D418" i="1" a="1"/>
  <c r="E406" i="5" s="1"/>
  <c r="D417" i="1" a="1"/>
  <c r="E405" i="5" s="1"/>
  <c r="D416" i="1" a="1"/>
  <c r="E404" i="5" s="1"/>
  <c r="D415" i="1" a="1"/>
  <c r="E403" i="5" s="1"/>
  <c r="D414" i="1" a="1"/>
  <c r="E402" i="5" s="1"/>
  <c r="D413" i="1" a="1"/>
  <c r="E401" i="5" s="1"/>
  <c r="D412" i="1" a="1"/>
  <c r="E400" i="5" s="1"/>
  <c r="D411" i="1" a="1"/>
  <c r="E399" i="5" s="1"/>
  <c r="D410" i="1" a="1"/>
  <c r="E398" i="5" s="1"/>
  <c r="D409" i="1" a="1"/>
  <c r="E397" i="5" s="1"/>
  <c r="D408" i="1" a="1"/>
  <c r="E396" i="5" s="1"/>
  <c r="D407" i="1" a="1"/>
  <c r="E395" i="5" s="1"/>
  <c r="D406" i="1" a="1"/>
  <c r="E394" i="5" s="1"/>
  <c r="D405" i="1" a="1"/>
  <c r="E393" i="5" s="1"/>
  <c r="D404" i="1" a="1"/>
  <c r="E392" i="5" s="1"/>
  <c r="D403" i="1" a="1"/>
  <c r="E391" i="5" s="1"/>
  <c r="D402" i="1" a="1"/>
  <c r="E390" i="5" s="1"/>
  <c r="D401" i="1" a="1"/>
  <c r="E389" i="5" s="1"/>
  <c r="D400" i="1" a="1"/>
  <c r="E388" i="5" s="1"/>
  <c r="D399" i="1" a="1"/>
  <c r="E387" i="5" s="1"/>
  <c r="D398" i="1" a="1"/>
  <c r="E386" i="5" s="1"/>
  <c r="D397" i="1" a="1"/>
  <c r="E385" i="5" s="1"/>
  <c r="D396" i="1" a="1"/>
  <c r="E384" i="5" s="1"/>
  <c r="D395" i="1" a="1"/>
  <c r="E383" i="5" s="1"/>
  <c r="D394" i="1" a="1"/>
  <c r="E382" i="5" s="1"/>
  <c r="D393" i="1" a="1"/>
  <c r="D392" i="1" a="1"/>
  <c r="D391" i="1" a="1"/>
  <c r="E379" i="5" s="1"/>
  <c r="D390" i="1" a="1"/>
  <c r="E378" i="5" s="1"/>
  <c r="D389" i="1" a="1"/>
  <c r="E377" i="5" s="1"/>
  <c r="D388" i="1" a="1"/>
  <c r="E376" i="5" s="1"/>
  <c r="D387" i="1" a="1"/>
  <c r="E375" i="5" s="1"/>
  <c r="D386" i="1" a="1"/>
  <c r="E374" i="5" s="1"/>
  <c r="D385" i="1" a="1"/>
  <c r="D384" i="1" a="1"/>
  <c r="E372" i="5" s="1"/>
  <c r="D383" i="1" a="1"/>
  <c r="E371" i="5" s="1"/>
  <c r="D382" i="1" a="1"/>
  <c r="E370" i="5" s="1"/>
  <c r="D381" i="1" a="1"/>
  <c r="D380" i="1" a="1"/>
  <c r="E368" i="5" s="1"/>
  <c r="D379" i="1" a="1"/>
  <c r="D378" i="1" a="1"/>
  <c r="E366" i="5" s="1"/>
  <c r="D377" i="1" a="1"/>
  <c r="E365" i="5" s="1"/>
  <c r="D376" i="1" a="1"/>
  <c r="E364" i="5" s="1"/>
  <c r="D375" i="1" a="1"/>
  <c r="D374" i="1" a="1"/>
  <c r="E362" i="5" s="1"/>
  <c r="D373" i="1" a="1"/>
  <c r="D372" i="1" a="1"/>
  <c r="E360" i="5" s="1"/>
  <c r="D371" i="1" a="1"/>
  <c r="D370" i="1" a="1"/>
  <c r="D369" i="1" a="1"/>
  <c r="D368" i="1" a="1"/>
  <c r="E356" i="5" s="1"/>
  <c r="D367" i="1" a="1"/>
  <c r="E355" i="5" s="1"/>
  <c r="D366" i="1" a="1"/>
  <c r="D365" i="1" a="1"/>
  <c r="E353" i="5" s="1"/>
  <c r="D364" i="1" a="1"/>
  <c r="E352" i="5" s="1"/>
  <c r="D363" i="1" a="1"/>
  <c r="D362" i="1" a="1"/>
  <c r="E350" i="5" s="1"/>
  <c r="D361" i="1" a="1"/>
  <c r="E349" i="5" s="1"/>
  <c r="D360" i="1" a="1"/>
  <c r="D359" i="1" a="1"/>
  <c r="D358" i="1" a="1"/>
  <c r="E346" i="5" s="1"/>
  <c r="D357" i="1" a="1"/>
  <c r="E345" i="5" s="1"/>
  <c r="D356" i="1" a="1"/>
  <c r="E344" i="5" s="1"/>
  <c r="D355" i="1" a="1"/>
  <c r="D354" i="1" a="1"/>
  <c r="D353" i="1" a="1"/>
  <c r="D352" i="1" a="1"/>
  <c r="E340" i="5" s="1"/>
  <c r="D351" i="1" a="1"/>
  <c r="E339" i="5" s="1"/>
  <c r="D350" i="1" a="1"/>
  <c r="E338" i="5" s="1"/>
  <c r="D349" i="1" a="1"/>
  <c r="E337" i="5" s="1"/>
  <c r="D348" i="1" a="1"/>
  <c r="E336" i="5" s="1"/>
  <c r="D347" i="1" a="1"/>
  <c r="E335" i="5" s="1"/>
  <c r="D346" i="1" a="1"/>
  <c r="E334" i="5" s="1"/>
  <c r="D345" i="1" a="1"/>
  <c r="E333" i="5" s="1"/>
  <c r="D344" i="1" a="1"/>
  <c r="E332" i="5" s="1"/>
  <c r="D343" i="1" a="1"/>
  <c r="E331" i="5" s="1"/>
  <c r="D342" i="1" a="1"/>
  <c r="E330" i="5" s="1"/>
  <c r="D341" i="1" a="1"/>
  <c r="E329" i="5" s="1"/>
  <c r="D340" i="1" a="1"/>
  <c r="E328" i="5" s="1"/>
  <c r="D339" i="1" a="1"/>
  <c r="E327" i="5" s="1"/>
  <c r="D338" i="1" a="1"/>
  <c r="E326" i="5" s="1"/>
  <c r="D337" i="1" a="1"/>
  <c r="E325" i="5" s="1"/>
  <c r="D336" i="1" a="1"/>
  <c r="E324" i="5" s="1"/>
  <c r="D335" i="1" a="1"/>
  <c r="E323" i="5" s="1"/>
  <c r="D334" i="1" a="1"/>
  <c r="E322" i="5" s="1"/>
  <c r="D333" i="1" a="1"/>
  <c r="D332" i="1" a="1"/>
  <c r="E320" i="5" s="1"/>
  <c r="D331" i="1" a="1"/>
  <c r="E319" i="5" s="1"/>
  <c r="D330" i="1" a="1"/>
  <c r="E318" i="5" s="1"/>
  <c r="D329" i="1" a="1"/>
  <c r="E317" i="5" s="1"/>
  <c r="D328" i="1" a="1"/>
  <c r="E316" i="5" s="1"/>
  <c r="D327" i="1" a="1"/>
  <c r="E315" i="5" s="1"/>
  <c r="D326" i="1" a="1"/>
  <c r="D325" i="1" a="1"/>
  <c r="E313" i="5" s="1"/>
  <c r="D324" i="1" a="1"/>
  <c r="E312" i="5" s="1"/>
  <c r="D323" i="1" a="1"/>
  <c r="E311" i="5" s="1"/>
  <c r="D322" i="1" a="1"/>
  <c r="E310" i="5" s="1"/>
  <c r="D321" i="1" a="1"/>
  <c r="E309" i="5" s="1"/>
  <c r="D320" i="1" a="1"/>
  <c r="D319" i="1" a="1"/>
  <c r="E307" i="5" s="1"/>
  <c r="D318" i="1" a="1"/>
  <c r="E306" i="5" s="1"/>
  <c r="D317" i="1" a="1"/>
  <c r="D316" i="1" a="1"/>
  <c r="E304" i="5" s="1"/>
  <c r="D315" i="1" a="1"/>
  <c r="D314" i="1" a="1"/>
  <c r="E302" i="5" s="1"/>
  <c r="D313" i="1" a="1"/>
  <c r="E301" i="5" s="1"/>
  <c r="D312" i="1" a="1"/>
  <c r="E300" i="5" s="1"/>
  <c r="D311" i="1" a="1"/>
  <c r="E299" i="5" s="1"/>
  <c r="D310" i="1" a="1"/>
  <c r="E298" i="5" s="1"/>
  <c r="D309" i="1" a="1"/>
  <c r="E297" i="5" s="1"/>
  <c r="D308" i="1" a="1"/>
  <c r="E296" i="5" s="1"/>
  <c r="D307" i="1" a="1"/>
  <c r="E295" i="5" s="1"/>
  <c r="D306" i="1" a="1"/>
  <c r="E294" i="5" s="1"/>
  <c r="D305" i="1" a="1"/>
  <c r="E293" i="5" s="1"/>
  <c r="D304" i="1" a="1"/>
  <c r="E292" i="5" s="1"/>
  <c r="D303" i="1" a="1"/>
  <c r="E291" i="5" s="1"/>
  <c r="D302" i="1" a="1"/>
  <c r="E290" i="5" s="1"/>
  <c r="D301" i="1" a="1"/>
  <c r="E289" i="5" s="1"/>
  <c r="D300" i="1" a="1"/>
  <c r="E288" i="5" s="1"/>
  <c r="D299" i="1" a="1"/>
  <c r="D298" i="1" a="1"/>
  <c r="E286" i="5" s="1"/>
  <c r="D297" i="1" a="1"/>
  <c r="E285" i="5" s="1"/>
  <c r="D296" i="1" a="1"/>
  <c r="E284" i="5" s="1"/>
  <c r="D295" i="1" a="1"/>
  <c r="E283" i="5" s="1"/>
  <c r="D294" i="1" a="1"/>
  <c r="E282" i="5" s="1"/>
  <c r="D293" i="1" a="1"/>
  <c r="E281" i="5" s="1"/>
  <c r="D292" i="1" a="1"/>
  <c r="E280" i="5" s="1"/>
  <c r="D291" i="1" a="1"/>
  <c r="E279" i="5" s="1"/>
  <c r="D290" i="1" a="1"/>
  <c r="E278" i="5" s="1"/>
  <c r="D289" i="1" a="1"/>
  <c r="E277" i="5" s="1"/>
  <c r="D288" i="1" a="1"/>
  <c r="E276" i="5" s="1"/>
  <c r="D287" i="1" a="1"/>
  <c r="E275" i="5" s="1"/>
  <c r="D286" i="1" a="1"/>
  <c r="E274" i="5" s="1"/>
  <c r="D285" i="1" a="1"/>
  <c r="E273" i="5" s="1"/>
  <c r="D284" i="1" a="1"/>
  <c r="E272" i="5" s="1"/>
  <c r="D283" i="1" a="1"/>
  <c r="E271" i="5" s="1"/>
  <c r="D282" i="1" a="1"/>
  <c r="E270" i="5" s="1"/>
  <c r="D281" i="1" a="1"/>
  <c r="E269" i="5" s="1"/>
  <c r="D280" i="1" a="1"/>
  <c r="E268" i="5" s="1"/>
  <c r="D279" i="1" a="1"/>
  <c r="E267" i="5" s="1"/>
  <c r="D278" i="1" a="1"/>
  <c r="E266" i="5" s="1"/>
  <c r="D277" i="1" a="1"/>
  <c r="E265" i="5" s="1"/>
  <c r="D276" i="1" a="1"/>
  <c r="E264" i="5" s="1"/>
  <c r="D275" i="1" a="1"/>
  <c r="E263" i="5" s="1"/>
  <c r="D274" i="1" a="1"/>
  <c r="E262" i="5" s="1"/>
  <c r="D273" i="1" a="1"/>
  <c r="E261" i="5" s="1"/>
  <c r="D272" i="1" a="1"/>
  <c r="E260" i="5" s="1"/>
  <c r="D271" i="1" a="1"/>
  <c r="E259" i="5" s="1"/>
  <c r="D270" i="1" a="1"/>
  <c r="E258" i="5" s="1"/>
  <c r="D269" i="1" a="1"/>
  <c r="E257" i="5" s="1"/>
  <c r="D268" i="1" a="1"/>
  <c r="E256" i="5" s="1"/>
  <c r="D267" i="1" a="1"/>
  <c r="E255" i="5" s="1"/>
  <c r="D266" i="1" a="1"/>
  <c r="E254" i="5" s="1"/>
  <c r="D265" i="1" a="1"/>
  <c r="E253" i="5" s="1"/>
  <c r="D264" i="1" a="1"/>
  <c r="E252" i="5" s="1"/>
  <c r="D263" i="1" a="1"/>
  <c r="E251" i="5" s="1"/>
  <c r="D262" i="1" a="1"/>
  <c r="E250" i="5" s="1"/>
  <c r="D261" i="1" a="1"/>
  <c r="E249" i="5" s="1"/>
  <c r="D260" i="1" a="1"/>
  <c r="E248" i="5" s="1"/>
  <c r="D259" i="1" a="1"/>
  <c r="E247" i="5" s="1"/>
  <c r="D258" i="1" a="1"/>
  <c r="E246" i="5" s="1"/>
  <c r="D257" i="1" a="1"/>
  <c r="E245" i="5" s="1"/>
  <c r="D256" i="1" a="1"/>
  <c r="E244" i="5" s="1"/>
  <c r="D255" i="1" a="1"/>
  <c r="E243" i="5" s="1"/>
  <c r="D254" i="1" a="1"/>
  <c r="E242" i="5" s="1"/>
  <c r="D253" i="1" a="1"/>
  <c r="E241" i="5" s="1"/>
  <c r="D252" i="1" a="1"/>
  <c r="D251" i="1" a="1"/>
  <c r="E239" i="5" s="1"/>
  <c r="D250" i="1" a="1"/>
  <c r="E238" i="5" s="1"/>
  <c r="D249" i="1" a="1"/>
  <c r="E237" i="5" s="1"/>
  <c r="D248" i="1" a="1"/>
  <c r="E236" i="5" s="1"/>
  <c r="D247" i="1" a="1"/>
  <c r="E235" i="5" s="1"/>
  <c r="D246" i="1" a="1"/>
  <c r="E234" i="5" s="1"/>
  <c r="D245" i="1" a="1"/>
  <c r="E233" i="5" s="1"/>
  <c r="D244" i="1" a="1"/>
  <c r="E232" i="5" s="1"/>
  <c r="D243" i="1" a="1"/>
  <c r="E231" i="5" s="1"/>
  <c r="D242" i="1" a="1"/>
  <c r="E230" i="5" s="1"/>
  <c r="D241" i="1" a="1"/>
  <c r="D240" i="1" a="1"/>
  <c r="E228" i="5" s="1"/>
  <c r="D239" i="1" a="1"/>
  <c r="E227" i="5" s="1"/>
  <c r="D238" i="1" a="1"/>
  <c r="E226" i="5" s="1"/>
  <c r="D237" i="1" a="1"/>
  <c r="E225" i="5" s="1"/>
  <c r="D236" i="1" a="1"/>
  <c r="E224" i="5" s="1"/>
  <c r="D235" i="1" a="1"/>
  <c r="E223" i="5" s="1"/>
  <c r="D234" i="1" a="1"/>
  <c r="E222" i="5" s="1"/>
  <c r="D233" i="1" a="1"/>
  <c r="E221" i="5" s="1"/>
  <c r="D232" i="1" a="1"/>
  <c r="E220" i="5" s="1"/>
  <c r="D231" i="1" a="1"/>
  <c r="E219" i="5" s="1"/>
  <c r="D230" i="1" a="1"/>
  <c r="E218" i="5" s="1"/>
  <c r="D229" i="1" a="1"/>
  <c r="E217" i="5" s="1"/>
  <c r="D228" i="1" a="1"/>
  <c r="E216" i="5" s="1"/>
  <c r="D227" i="1" a="1"/>
  <c r="E215" i="5" s="1"/>
  <c r="D226" i="1" a="1"/>
  <c r="E214" i="5" s="1"/>
  <c r="D225" i="1" a="1"/>
  <c r="E213" i="5" s="1"/>
  <c r="D224" i="1" a="1"/>
  <c r="E212" i="5" s="1"/>
  <c r="D223" i="1" a="1"/>
  <c r="E211" i="5" s="1"/>
  <c r="D222" i="1" a="1"/>
  <c r="D221" i="1" a="1"/>
  <c r="E209" i="5" s="1"/>
  <c r="D220" i="1" a="1"/>
  <c r="E208" i="5" s="1"/>
  <c r="D219" i="1" a="1"/>
  <c r="E207" i="5" s="1"/>
  <c r="D218" i="1" a="1"/>
  <c r="E206" i="5" s="1"/>
  <c r="D217" i="1" a="1"/>
  <c r="E205" i="5" s="1"/>
  <c r="D216" i="1" a="1"/>
  <c r="E204" i="5" s="1"/>
  <c r="D215" i="1" a="1"/>
  <c r="E203" i="5" s="1"/>
  <c r="D214" i="1" a="1"/>
  <c r="E202" i="5" s="1"/>
  <c r="D213" i="1" a="1"/>
  <c r="E201" i="5" s="1"/>
  <c r="D212" i="1" a="1"/>
  <c r="E200" i="5" s="1"/>
  <c r="D211" i="1" a="1"/>
  <c r="E199" i="5" s="1"/>
  <c r="D210" i="1" a="1"/>
  <c r="E198" i="5" s="1"/>
  <c r="D209" i="1" a="1"/>
  <c r="E197" i="5" s="1"/>
  <c r="D208" i="1" a="1"/>
  <c r="E196" i="5" s="1"/>
  <c r="D207" i="1" a="1"/>
  <c r="E195" i="5" s="1"/>
  <c r="D206" i="1" a="1"/>
  <c r="E194" i="5" s="1"/>
  <c r="D205" i="1" a="1"/>
  <c r="E193" i="5" s="1"/>
  <c r="D204" i="1" a="1"/>
  <c r="E192" i="5" s="1"/>
  <c r="D203" i="1" a="1"/>
  <c r="E191" i="5" s="1"/>
  <c r="D202" i="1" a="1"/>
  <c r="E190" i="5" s="1"/>
  <c r="D201" i="1" a="1"/>
  <c r="E189" i="5" s="1"/>
  <c r="D200" i="1" a="1"/>
  <c r="E188" i="5" s="1"/>
  <c r="D199" i="1" a="1"/>
  <c r="E187" i="5" s="1"/>
  <c r="D198" i="1" a="1"/>
  <c r="E186" i="5" s="1"/>
  <c r="D197" i="1" a="1"/>
  <c r="E185" i="5" s="1"/>
  <c r="D196" i="1" a="1"/>
  <c r="E184" i="5" s="1"/>
  <c r="D195" i="1" a="1"/>
  <c r="E183" i="5" s="1"/>
  <c r="D194" i="1" a="1"/>
  <c r="E182" i="5" s="1"/>
  <c r="D193" i="1" a="1"/>
  <c r="E181" i="5" s="1"/>
  <c r="D192" i="1" a="1"/>
  <c r="E180" i="5" s="1"/>
  <c r="D191" i="1" a="1"/>
  <c r="E179" i="5" s="1"/>
  <c r="D190" i="1" a="1"/>
  <c r="E178" i="5" s="1"/>
  <c r="D189" i="1" a="1"/>
  <c r="D188" i="1" a="1"/>
  <c r="E176" i="5" s="1"/>
  <c r="D187" i="1" a="1"/>
  <c r="E175" i="5" s="1"/>
  <c r="D186" i="1" a="1"/>
  <c r="E174" i="5" s="1"/>
  <c r="D185" i="1" a="1"/>
  <c r="E173" i="5" s="1"/>
  <c r="D184" i="1" a="1"/>
  <c r="E172" i="5" s="1"/>
  <c r="D183" i="1" a="1"/>
  <c r="E171" i="5" s="1"/>
  <c r="D182" i="1" a="1"/>
  <c r="D181" i="1" a="1"/>
  <c r="E169" i="5" s="1"/>
  <c r="D180" i="1" a="1"/>
  <c r="E168" i="5" s="1"/>
  <c r="D179" i="1" a="1"/>
  <c r="D178" i="1" a="1"/>
  <c r="D177" i="1" a="1"/>
  <c r="D176" i="1" a="1"/>
  <c r="D175" i="1" a="1"/>
  <c r="E163" i="5" s="1"/>
  <c r="D174" i="1" a="1"/>
  <c r="E162" i="5" s="1"/>
  <c r="D173" i="1" a="1"/>
  <c r="D172" i="1" a="1"/>
  <c r="E160" i="5" s="1"/>
  <c r="D171" i="1" a="1"/>
  <c r="E159" i="5" s="1"/>
  <c r="D170" i="1" a="1"/>
  <c r="E158" i="5" s="1"/>
  <c r="D169" i="1" a="1"/>
  <c r="E157" i="5" s="1"/>
  <c r="D168" i="1" a="1"/>
  <c r="E156" i="5" s="1"/>
  <c r="D167" i="1" a="1"/>
  <c r="E155" i="5" s="1"/>
  <c r="D166" i="1" a="1"/>
  <c r="E154" i="5" s="1"/>
  <c r="D165" i="1" a="1"/>
  <c r="E153" i="5" s="1"/>
  <c r="D164" i="1" a="1"/>
  <c r="E152" i="5" s="1"/>
  <c r="D163" i="1" a="1"/>
  <c r="E151" i="5" s="1"/>
  <c r="D162" i="1" a="1"/>
  <c r="E150" i="5" s="1"/>
  <c r="D161" i="1" a="1"/>
  <c r="E149" i="5" s="1"/>
  <c r="D160" i="1" a="1"/>
  <c r="E148" i="5" s="1"/>
  <c r="D159" i="1" a="1"/>
  <c r="E147" i="5" s="1"/>
  <c r="D158" i="1" a="1"/>
  <c r="E146" i="5" s="1"/>
  <c r="D157" i="1" a="1"/>
  <c r="D156" i="1" a="1"/>
  <c r="E144" i="5" s="1"/>
  <c r="D155" i="1" a="1"/>
  <c r="D154" i="1" a="1"/>
  <c r="D153" i="1" a="1"/>
  <c r="E141" i="5" s="1"/>
  <c r="D152" i="1" a="1"/>
  <c r="E140" i="5" s="1"/>
  <c r="D151" i="1" a="1"/>
  <c r="E139" i="5" s="1"/>
  <c r="D150" i="1" a="1"/>
  <c r="E138" i="5" s="1"/>
  <c r="D149" i="1" a="1"/>
  <c r="E137" i="5" s="1"/>
  <c r="D148" i="1" a="1"/>
  <c r="E136" i="5" s="1"/>
  <c r="D147" i="1" a="1"/>
  <c r="E135" i="5" s="1"/>
  <c r="D146" i="1" a="1"/>
  <c r="E134" i="5" s="1"/>
  <c r="D145" i="1" a="1"/>
  <c r="E133" i="5" s="1"/>
  <c r="D144" i="1" a="1"/>
  <c r="E132" i="5" s="1"/>
  <c r="D143" i="1" a="1"/>
  <c r="E131" i="5" s="1"/>
  <c r="D142" i="1" a="1"/>
  <c r="E130" i="5" s="1"/>
  <c r="D141" i="1" a="1"/>
  <c r="E129" i="5" s="1"/>
  <c r="D140" i="1" a="1"/>
  <c r="E128" i="5" s="1"/>
  <c r="D139" i="1" a="1"/>
  <c r="E127" i="5" s="1"/>
  <c r="D138" i="1" a="1"/>
  <c r="E126" i="5" s="1"/>
  <c r="D137" i="1" a="1"/>
  <c r="E125" i="5" s="1"/>
  <c r="D136" i="1" a="1"/>
  <c r="E124" i="5" s="1"/>
  <c r="D135" i="1" a="1"/>
  <c r="E123" i="5" s="1"/>
  <c r="D134" i="1" a="1"/>
  <c r="E122" i="5" s="1"/>
  <c r="D133" i="1" a="1"/>
  <c r="E121" i="5" s="1"/>
  <c r="D132" i="1" a="1"/>
  <c r="E120" i="5" s="1"/>
  <c r="D131" i="1" a="1"/>
  <c r="E119" i="5" s="1"/>
  <c r="D130" i="1" a="1"/>
  <c r="E118" i="5" s="1"/>
  <c r="D129" i="1" a="1"/>
  <c r="E117" i="5" s="1"/>
  <c r="D128" i="1" a="1"/>
  <c r="E116" i="5" s="1"/>
  <c r="D127" i="1" a="1"/>
  <c r="E115" i="5" s="1"/>
  <c r="D126" i="1" a="1"/>
  <c r="E114" i="5" s="1"/>
  <c r="D125" i="1" a="1"/>
  <c r="E113" i="5" s="1"/>
  <c r="D124" i="1" a="1"/>
  <c r="E112" i="5" s="1"/>
  <c r="D123" i="1" a="1"/>
  <c r="E111" i="5" s="1"/>
  <c r="D122" i="1" a="1"/>
  <c r="E110" i="5" s="1"/>
  <c r="D121" i="1" a="1"/>
  <c r="E109" i="5" s="1"/>
  <c r="D120" i="1" a="1"/>
  <c r="E108" i="5" s="1"/>
  <c r="D119" i="1" a="1"/>
  <c r="E107" i="5" s="1"/>
  <c r="D118" i="1" a="1"/>
  <c r="E106" i="5" s="1"/>
  <c r="D117" i="1" a="1"/>
  <c r="E105" i="5" s="1"/>
  <c r="D116" i="1" a="1"/>
  <c r="E104" i="5" s="1"/>
  <c r="D115" i="1" a="1"/>
  <c r="E103" i="5" s="1"/>
  <c r="D114" i="1" a="1"/>
  <c r="E102" i="5" s="1"/>
  <c r="D113" i="1" a="1"/>
  <c r="E101" i="5" s="1"/>
  <c r="D112" i="1" a="1"/>
  <c r="E100" i="5" s="1"/>
  <c r="D111" i="1" a="1"/>
  <c r="E99" i="5" s="1"/>
  <c r="D110" i="1" a="1"/>
  <c r="E98" i="5" s="1"/>
  <c r="D109" i="1" a="1"/>
  <c r="E97" i="5" s="1"/>
  <c r="D108" i="1" a="1"/>
  <c r="E96" i="5" s="1"/>
  <c r="D107" i="1" a="1"/>
  <c r="E95" i="5" s="1"/>
  <c r="D106" i="1" a="1"/>
  <c r="E94" i="5" s="1"/>
  <c r="D105" i="1" a="1"/>
  <c r="E93" i="5" s="1"/>
  <c r="D104" i="1" a="1"/>
  <c r="E92" i="5" s="1"/>
  <c r="D103" i="1" a="1"/>
  <c r="E91" i="5" s="1"/>
  <c r="D102" i="1" a="1"/>
  <c r="E90" i="5" s="1"/>
  <c r="D101" i="1" a="1"/>
  <c r="E89" i="5" s="1"/>
  <c r="D100" i="1" a="1"/>
  <c r="E88" i="5" s="1"/>
  <c r="D99" i="1" a="1"/>
  <c r="E87" i="5" s="1"/>
  <c r="D98" i="1" a="1"/>
  <c r="E86" i="5" s="1"/>
  <c r="D97" i="1" a="1"/>
  <c r="E85" i="5" s="1"/>
  <c r="D96" i="1" a="1"/>
  <c r="E84" i="5" s="1"/>
  <c r="D95" i="1" a="1"/>
  <c r="E83" i="5" s="1"/>
  <c r="D94" i="1" a="1"/>
  <c r="E82" i="5" s="1"/>
  <c r="D93" i="1" a="1"/>
  <c r="E81" i="5" s="1"/>
  <c r="D92" i="1" a="1"/>
  <c r="E80" i="5" s="1"/>
  <c r="D91" i="1" a="1"/>
  <c r="E79" i="5" s="1"/>
  <c r="D90" i="1" a="1"/>
  <c r="E78" i="5" s="1"/>
  <c r="D89" i="1" a="1"/>
  <c r="E77" i="5" s="1"/>
  <c r="D88" i="1" a="1"/>
  <c r="E76" i="5" s="1"/>
  <c r="D87" i="1" a="1"/>
  <c r="E75" i="5" s="1"/>
  <c r="D86" i="1" a="1"/>
  <c r="E74" i="5" s="1"/>
  <c r="D85" i="1" a="1"/>
  <c r="E73" i="5" s="1"/>
  <c r="D84" i="1" a="1"/>
  <c r="E72" i="5" s="1"/>
  <c r="D83" i="1" a="1"/>
  <c r="E71" i="5" s="1"/>
  <c r="D82" i="1" a="1"/>
  <c r="E70" i="5" s="1"/>
  <c r="D81" i="1" a="1"/>
  <c r="D80" i="1" a="1"/>
  <c r="E68" i="5" s="1"/>
  <c r="D79" i="1" a="1"/>
  <c r="E67" i="5" s="1"/>
  <c r="D78" i="1" a="1"/>
  <c r="E66" i="5" s="1"/>
  <c r="D77" i="1" a="1"/>
  <c r="E65" i="5" s="1"/>
  <c r="D76" i="1" a="1"/>
  <c r="E64" i="5" s="1"/>
  <c r="D75" i="1" a="1"/>
  <c r="E63" i="5" s="1"/>
  <c r="D74" i="1" a="1"/>
  <c r="E62" i="5" s="1"/>
  <c r="D73" i="1" a="1"/>
  <c r="E61" i="5" s="1"/>
  <c r="D72" i="1" a="1"/>
  <c r="E60" i="5" s="1"/>
  <c r="D71" i="1" a="1"/>
  <c r="E59" i="5" s="1"/>
  <c r="D70" i="1" a="1"/>
  <c r="E58" i="5" s="1"/>
  <c r="D69" i="1" a="1"/>
  <c r="E57" i="5" s="1"/>
  <c r="D68" i="1" a="1"/>
  <c r="E56" i="5" s="1"/>
  <c r="D67" i="1" a="1"/>
  <c r="E55" i="5" s="1"/>
  <c r="D66" i="1" a="1"/>
  <c r="E54" i="5" s="1"/>
  <c r="D65" i="1" a="1"/>
  <c r="E53" i="5" s="1"/>
  <c r="D64" i="1" a="1"/>
  <c r="E52" i="5" s="1"/>
  <c r="D63" i="1" a="1"/>
  <c r="E51" i="5" s="1"/>
  <c r="D62" i="1" a="1"/>
  <c r="E50" i="5" s="1"/>
  <c r="D61" i="1" a="1"/>
  <c r="E49" i="5" s="1"/>
  <c r="D60" i="1" a="1"/>
  <c r="E48" i="5" s="1"/>
  <c r="D59" i="1" a="1"/>
  <c r="E47" i="5" s="1"/>
  <c r="D58" i="1" a="1"/>
  <c r="E46" i="5" s="1"/>
  <c r="D57" i="1" a="1"/>
  <c r="E45" i="5" s="1"/>
  <c r="D56" i="1" a="1"/>
  <c r="E44" i="5" s="1"/>
  <c r="D55" i="1" a="1"/>
  <c r="E43" i="5" s="1"/>
  <c r="D54" i="1" a="1"/>
  <c r="E42" i="5" s="1"/>
  <c r="D53" i="1" a="1"/>
  <c r="E41" i="5" s="1"/>
  <c r="D52" i="1" a="1"/>
  <c r="E40" i="5" s="1"/>
  <c r="D51" i="1" a="1"/>
  <c r="E39" i="5" s="1"/>
  <c r="D50" i="1" a="1"/>
  <c r="E38" i="5" s="1"/>
  <c r="D49" i="1" a="1"/>
  <c r="E37" i="5" s="1"/>
  <c r="D48" i="1" a="1"/>
  <c r="E36" i="5" s="1"/>
  <c r="D47" i="1" a="1"/>
  <c r="E35" i="5" s="1"/>
  <c r="D46" i="1" a="1"/>
  <c r="E34" i="5" s="1"/>
  <c r="D45" i="1" a="1"/>
  <c r="E33" i="5" s="1"/>
  <c r="D44" i="1" a="1"/>
  <c r="E32" i="5" s="1"/>
  <c r="D43" i="1" a="1"/>
  <c r="E31" i="5" s="1"/>
  <c r="D42" i="1" a="1"/>
  <c r="E30" i="5" s="1"/>
  <c r="D41" i="1" a="1"/>
  <c r="E29" i="5" s="1"/>
  <c r="D40" i="1" a="1"/>
  <c r="E28" i="5" s="1"/>
  <c r="D39" i="1" a="1"/>
  <c r="E27" i="5" s="1"/>
  <c r="D38" i="1" a="1"/>
  <c r="E26" i="5" s="1"/>
  <c r="D37" i="1" a="1"/>
  <c r="E25" i="5" s="1"/>
  <c r="D36" i="1" a="1"/>
  <c r="E24" i="5" s="1"/>
  <c r="D35" i="1" a="1"/>
  <c r="E23" i="5" s="1"/>
  <c r="D34" i="1" a="1"/>
  <c r="E22" i="5" s="1"/>
  <c r="D33" i="1" a="1"/>
  <c r="E21" i="5" s="1"/>
  <c r="D32" i="1" a="1"/>
  <c r="E20" i="5" s="1"/>
  <c r="D31" i="1" a="1"/>
  <c r="E19" i="5" s="1"/>
  <c r="D30" i="1" a="1"/>
  <c r="E18" i="5" s="1"/>
  <c r="D29" i="1" a="1"/>
  <c r="E17" i="5" s="1"/>
  <c r="D28" i="1" a="1"/>
  <c r="E16" i="5" s="1"/>
  <c r="D27" i="1" a="1"/>
  <c r="E15" i="5" s="1"/>
  <c r="D26" i="1" a="1"/>
  <c r="E14" i="5" s="1"/>
  <c r="D25" i="1" a="1"/>
  <c r="E13" i="5" s="1"/>
  <c r="D24" i="1" a="1"/>
  <c r="E12" i="5" s="1"/>
  <c r="D23" i="1" a="1"/>
  <c r="E11" i="5" s="1"/>
  <c r="D22" i="1" a="1"/>
  <c r="E15" i="10" s="1"/>
  <c r="D21" i="1" a="1"/>
  <c r="E14" i="10" s="1"/>
  <c r="D20" i="1" a="1"/>
  <c r="E13" i="10" s="1"/>
  <c r="D19" i="1" a="1"/>
  <c r="E12" i="10" s="1"/>
  <c r="D18" i="1" a="1"/>
  <c r="E11" i="10" s="1"/>
  <c r="D17" i="1" a="1"/>
  <c r="E10" i="10" s="1"/>
  <c r="D16" i="1" a="1"/>
  <c r="E9" i="10" s="1"/>
  <c r="D15" i="1" a="1"/>
  <c r="E8" i="10" s="1"/>
  <c r="D14" i="1" a="1"/>
  <c r="E7" i="10" s="1"/>
  <c r="D13" i="1" a="1"/>
  <c r="E6" i="10" s="1"/>
  <c r="D12" i="1" a="1"/>
  <c r="E10" i="5" s="1"/>
  <c r="D11" i="1" a="1"/>
  <c r="E9" i="5" s="1"/>
  <c r="D10" i="1" a="1"/>
  <c r="E8" i="5" s="1"/>
  <c r="D9" i="1" a="1"/>
  <c r="D8" i="1" a="1"/>
  <c r="E6" i="5" s="1"/>
  <c r="D7" i="1" a="1"/>
  <c r="E5" i="5" s="1"/>
  <c r="D6" i="1" a="1"/>
  <c r="D5" i="1" a="1"/>
  <c r="E5" i="10" s="1"/>
  <c r="D4" i="1" a="1"/>
  <c r="E624" i="5" l="1"/>
  <c r="E1181" i="5"/>
  <c r="E42" i="10"/>
  <c r="E259" i="14"/>
  <c r="E1143" i="5"/>
  <c r="E1180" i="5"/>
  <c r="E222" i="14"/>
  <c r="E1138" i="5"/>
  <c r="E170" i="14"/>
  <c r="E156" i="14"/>
  <c r="E164" i="14"/>
  <c r="E155" i="14"/>
  <c r="E154" i="14"/>
  <c r="E169" i="14"/>
  <c r="E146" i="14"/>
  <c r="E1102" i="5"/>
  <c r="E221" i="14"/>
  <c r="E1100" i="5"/>
  <c r="E1119" i="5"/>
  <c r="E1093" i="5"/>
  <c r="E1172" i="5"/>
  <c r="E211" i="14"/>
  <c r="E1092" i="5"/>
  <c r="E1118" i="5"/>
  <c r="E1087" i="5"/>
  <c r="E1088" i="5"/>
  <c r="E1130" i="5"/>
  <c r="E1135" i="5"/>
  <c r="E185" i="14"/>
  <c r="E1086" i="5"/>
  <c r="E1117" i="5"/>
  <c r="E1125" i="5"/>
  <c r="E1129" i="5"/>
  <c r="E1081" i="5"/>
  <c r="E1116" i="5"/>
  <c r="E1134" i="5"/>
  <c r="E1080" i="5"/>
  <c r="E1115" i="5"/>
  <c r="E1133" i="5"/>
  <c r="E1068" i="5"/>
  <c r="E1171" i="5"/>
  <c r="E122" i="14"/>
  <c r="E1139" i="5"/>
  <c r="E1056" i="5"/>
  <c r="E1168" i="5"/>
  <c r="E1054" i="5"/>
  <c r="E1166" i="5"/>
  <c r="E1053" i="5"/>
  <c r="E1165" i="5"/>
  <c r="E41" i="10"/>
  <c r="E1052" i="5"/>
  <c r="E1164" i="5"/>
  <c r="E115" i="14"/>
  <c r="E1051" i="5"/>
  <c r="E1163" i="5"/>
  <c r="E40" i="10"/>
  <c r="E1050" i="5"/>
  <c r="E1162" i="5"/>
  <c r="E39" i="10"/>
  <c r="E1049" i="5"/>
  <c r="E1161" i="5"/>
  <c r="E38" i="10"/>
  <c r="E111" i="14"/>
  <c r="E1048" i="5"/>
  <c r="E1160" i="5"/>
  <c r="E37" i="10"/>
  <c r="E981" i="5"/>
  <c r="E200" i="14"/>
  <c r="E50" i="14"/>
  <c r="E51" i="14"/>
  <c r="E37" i="14"/>
  <c r="E165" i="14"/>
  <c r="E179" i="14"/>
  <c r="E36" i="14"/>
  <c r="E978" i="5"/>
  <c r="E1159" i="5"/>
  <c r="E52" i="14"/>
  <c r="E19" i="14"/>
  <c r="E43" i="14"/>
  <c r="E18" i="14"/>
  <c r="E1142" i="5"/>
  <c r="E17" i="14"/>
  <c r="E16" i="14"/>
  <c r="E176" i="14"/>
  <c r="E15" i="14"/>
  <c r="E174" i="14"/>
  <c r="E1120" i="5"/>
  <c r="E14" i="14"/>
  <c r="E162" i="14"/>
  <c r="E1094" i="5"/>
  <c r="E1173" i="5"/>
  <c r="E13" i="14"/>
  <c r="E212" i="14"/>
  <c r="E1058" i="5"/>
  <c r="E1170" i="5"/>
  <c r="E12" i="14"/>
  <c r="E168" i="14"/>
  <c r="E1057" i="5"/>
  <c r="E1137" i="5"/>
  <c r="E1169" i="5"/>
  <c r="E11" i="14"/>
  <c r="E167" i="14"/>
  <c r="E1055" i="5"/>
  <c r="E1167" i="5"/>
  <c r="E10" i="14"/>
  <c r="E166" i="14"/>
  <c r="E976" i="5"/>
  <c r="E1113" i="5"/>
  <c r="E145" i="14"/>
  <c r="E975" i="5"/>
  <c r="E1101" i="5"/>
  <c r="E140" i="14"/>
  <c r="E103" i="14"/>
  <c r="E974" i="5"/>
  <c r="E1047" i="5"/>
  <c r="E954" i="5"/>
  <c r="E1046" i="5"/>
  <c r="E30" i="10"/>
  <c r="E938" i="5"/>
  <c r="E1158" i="5"/>
  <c r="E36" i="10"/>
  <c r="E936" i="5"/>
  <c r="E1045" i="5"/>
  <c r="E102" i="14"/>
  <c r="E934" i="5"/>
  <c r="E1044" i="5"/>
  <c r="E101" i="14"/>
  <c r="E931" i="5"/>
  <c r="E1043" i="5"/>
  <c r="E100" i="14"/>
  <c r="E926" i="5"/>
  <c r="E1042" i="5"/>
  <c r="E99" i="14"/>
  <c r="E925" i="5"/>
  <c r="E980" i="5"/>
  <c r="E905" i="5"/>
  <c r="E1157" i="5"/>
  <c r="E210" i="14"/>
  <c r="E904" i="5"/>
  <c r="E1156" i="5"/>
  <c r="E209" i="14"/>
  <c r="E899" i="5"/>
  <c r="E1041" i="5"/>
  <c r="E892" i="5"/>
  <c r="E1040" i="5"/>
  <c r="E891" i="5"/>
  <c r="E1039" i="5"/>
  <c r="E98" i="14"/>
  <c r="E875" i="5"/>
  <c r="E1038" i="5"/>
  <c r="E34" i="14"/>
  <c r="E869" i="5"/>
  <c r="E860" i="5"/>
  <c r="E1112" i="5"/>
  <c r="E144" i="14"/>
  <c r="E71" i="14"/>
  <c r="E853" i="5"/>
  <c r="E986" i="5"/>
  <c r="E1036" i="5"/>
  <c r="E1037" i="5"/>
  <c r="E97" i="14"/>
  <c r="E96" i="14"/>
  <c r="E844" i="5"/>
  <c r="E1035" i="5"/>
  <c r="E818" i="5"/>
  <c r="E1034" i="5"/>
  <c r="E817" i="5"/>
  <c r="E1033" i="5"/>
  <c r="E816" i="5"/>
  <c r="E1032" i="5"/>
  <c r="E804" i="5"/>
  <c r="E1179" i="5"/>
  <c r="E218" i="14"/>
  <c r="E793" i="5"/>
  <c r="E1031" i="5"/>
  <c r="E95" i="14"/>
  <c r="E788" i="5"/>
  <c r="E1030" i="5"/>
  <c r="E29" i="10"/>
  <c r="E94" i="14"/>
  <c r="E748" i="5"/>
  <c r="E1029" i="5"/>
  <c r="E735" i="5"/>
  <c r="E220" i="14"/>
  <c r="E734" i="5"/>
  <c r="E1155" i="5"/>
  <c r="E208" i="14"/>
  <c r="E668" i="5"/>
  <c r="E1028" i="5"/>
  <c r="E55" i="14"/>
  <c r="E662" i="5"/>
  <c r="E979" i="5"/>
  <c r="E654" i="5"/>
  <c r="E1178" i="5"/>
  <c r="E217" i="14"/>
  <c r="E638" i="5"/>
  <c r="E1027" i="5"/>
  <c r="E93" i="14"/>
  <c r="E623" i="5"/>
  <c r="E1026" i="5"/>
  <c r="E28" i="10"/>
  <c r="E621" i="5"/>
  <c r="E1024" i="5"/>
  <c r="E1025" i="5"/>
  <c r="E27" i="10"/>
  <c r="E92" i="14"/>
  <c r="E620" i="5"/>
  <c r="E1023" i="5"/>
  <c r="E26" i="10"/>
  <c r="E614" i="5"/>
  <c r="E1022" i="5"/>
  <c r="E25" i="10"/>
  <c r="E613" i="5"/>
  <c r="E1021" i="5"/>
  <c r="E91" i="14"/>
  <c r="E606" i="5"/>
  <c r="E1020" i="5"/>
  <c r="E90" i="14"/>
  <c r="E605" i="5"/>
  <c r="E1019" i="5"/>
  <c r="E24" i="10"/>
  <c r="E578" i="5"/>
  <c r="E1018" i="5"/>
  <c r="E89" i="14"/>
  <c r="E577" i="5"/>
  <c r="E1017" i="5"/>
  <c r="E1177" i="5"/>
  <c r="E216" i="14"/>
  <c r="E88" i="14"/>
  <c r="E531" i="5"/>
  <c r="E1176" i="5"/>
  <c r="E215" i="14"/>
  <c r="E528" i="5"/>
  <c r="E1016" i="5"/>
  <c r="E87" i="14"/>
  <c r="E475" i="5"/>
  <c r="E1114" i="5"/>
  <c r="E219" i="14"/>
  <c r="E458" i="5"/>
  <c r="E1111" i="5"/>
  <c r="E143" i="14"/>
  <c r="E454" i="5"/>
  <c r="E1015" i="5"/>
  <c r="E452" i="5"/>
  <c r="E1014" i="5"/>
  <c r="E86" i="14"/>
  <c r="E440" i="5"/>
  <c r="E1013" i="5"/>
  <c r="E23" i="10"/>
  <c r="E142" i="14"/>
  <c r="E434" i="5"/>
  <c r="E1110" i="5"/>
  <c r="E433" i="5"/>
  <c r="E1154" i="5"/>
  <c r="E35" i="10"/>
  <c r="E425" i="5"/>
  <c r="E1108" i="5"/>
  <c r="E381" i="5"/>
  <c r="E1012" i="5"/>
  <c r="E380" i="5"/>
  <c r="E1011" i="5"/>
  <c r="E373" i="5"/>
  <c r="E70" i="14"/>
  <c r="E985" i="5"/>
  <c r="E369" i="5"/>
  <c r="E1107" i="5"/>
  <c r="E367" i="5"/>
  <c r="E1010" i="5"/>
  <c r="E22" i="10"/>
  <c r="E363" i="5"/>
  <c r="E1009" i="5"/>
  <c r="E361" i="5"/>
  <c r="E1153" i="5"/>
  <c r="E207" i="14"/>
  <c r="E359" i="5"/>
  <c r="E1008" i="5"/>
  <c r="E85" i="14"/>
  <c r="E358" i="5"/>
  <c r="E84" i="14"/>
  <c r="E1007" i="5"/>
  <c r="E357" i="5"/>
  <c r="E1006" i="5"/>
  <c r="E21" i="10"/>
  <c r="E354" i="5"/>
  <c r="E1005" i="5"/>
  <c r="E20" i="10"/>
  <c r="E351" i="5"/>
  <c r="E977" i="5"/>
  <c r="E9" i="14"/>
  <c r="E348" i="5"/>
  <c r="E1152" i="5"/>
  <c r="E34" i="10"/>
  <c r="E347" i="5"/>
  <c r="E1151" i="5"/>
  <c r="E206" i="14"/>
  <c r="E343" i="5"/>
  <c r="E83" i="14"/>
  <c r="E1002" i="5"/>
  <c r="E1003" i="5"/>
  <c r="E1004" i="5"/>
  <c r="E19" i="10"/>
  <c r="E342" i="5"/>
  <c r="E1150" i="5"/>
  <c r="E205" i="14"/>
  <c r="E204" i="14"/>
  <c r="E341" i="5"/>
  <c r="E82" i="14"/>
  <c r="E984" i="5"/>
  <c r="E1001" i="5"/>
  <c r="E1149" i="5"/>
  <c r="E69" i="14"/>
  <c r="E321" i="5"/>
  <c r="E81" i="14"/>
  <c r="E1000" i="5"/>
  <c r="E314" i="5"/>
  <c r="E1109" i="5"/>
  <c r="E141" i="14"/>
  <c r="E308" i="5"/>
  <c r="E80" i="14"/>
  <c r="E999" i="5"/>
  <c r="E305" i="5"/>
  <c r="E79" i="14"/>
  <c r="E998" i="5"/>
  <c r="E303" i="5"/>
  <c r="E78" i="14"/>
  <c r="E997" i="5"/>
  <c r="E287" i="5"/>
  <c r="E77" i="14"/>
  <c r="E996" i="5"/>
  <c r="E240" i="5"/>
  <c r="E1148" i="5"/>
  <c r="E203" i="14"/>
  <c r="E229" i="5"/>
  <c r="E76" i="14"/>
  <c r="E995" i="5"/>
  <c r="E8" i="14"/>
  <c r="E210" i="5"/>
  <c r="E33" i="14"/>
  <c r="E177" i="5"/>
  <c r="E75" i="14"/>
  <c r="E994" i="5"/>
  <c r="E170" i="5"/>
  <c r="E1147" i="5"/>
  <c r="E33" i="10"/>
  <c r="E167" i="5"/>
  <c r="E993" i="5"/>
  <c r="E18" i="10"/>
  <c r="E166" i="5"/>
  <c r="E992" i="5"/>
  <c r="E17" i="10"/>
  <c r="E165" i="5"/>
  <c r="E991" i="5"/>
  <c r="E16" i="10"/>
  <c r="E164" i="5"/>
  <c r="E1146" i="5"/>
  <c r="E202" i="14"/>
  <c r="E161" i="5"/>
  <c r="E990" i="5"/>
  <c r="E145" i="5"/>
  <c r="E74" i="14"/>
  <c r="E989" i="5"/>
  <c r="E143" i="5"/>
  <c r="E988" i="5"/>
  <c r="E73" i="14"/>
  <c r="E142" i="5"/>
  <c r="E72" i="14"/>
  <c r="E987" i="5"/>
  <c r="E214" i="14"/>
  <c r="E69" i="5"/>
  <c r="E1175" i="5"/>
  <c r="E7" i="5"/>
  <c r="E1174" i="5"/>
  <c r="E213" i="14"/>
  <c r="E4" i="5"/>
  <c r="E35" i="14"/>
  <c r="E1059" i="5"/>
  <c r="E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99CAF1-4D25-4585-BA71-35629B413F27}" keepAlive="1" name="Query - Anbar miqdarlar" description="Connection to the 'Anbar miqdarlar' query in the workbook." type="5" refreshedVersion="0" background="1">
    <dbPr connection="Provider=Microsoft.Mashup.OleDb.1;Data Source=$Workbook$;Location=&quot;Anbar miqdarlar&quot;;Extended Properties=&quot;&quot;" command="SELECT * FROM [Anbar miqdarlar]"/>
  </connection>
  <connection id="2" xr16:uid="{B6F04910-C989-4117-872E-E0B08949BB0D}" keepAlive="1" name="Query - Append1" description="Connection to the 'Append1' query in the workbook." type="5" refreshedVersion="8" background="1" refreshOnLoad="1" saveData="1">
    <dbPr connection="Provider=Microsoft.Mashup.OleDb.1;Data Source=$Workbook$;Location=Append1;Extended Properties=&quot;&quot;" command="SELECT * FROM [Append1]"/>
  </connection>
  <connection id="3" xr16:uid="{8B4326B4-0BC7-4CE3-9AE6-F82E933D0D86}" keepAlive="1" name="Query - Append1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4" xr16:uid="{29862B22-3080-4A4A-83B2-8F05A39E8A11}" keepAlive="1" name="Query - Astara anbar" description="Connection to the 'Astara anbar' query in the workbook." type="5" refreshedVersion="0" background="1">
    <dbPr connection="Provider=Microsoft.Mashup.OleDb.1;Data Source=$Workbook$;Location=&quot;Astara anbar&quot;;Extended Properties=&quot;&quot;" command="SELECT * FROM [Astara anbar]"/>
  </connection>
  <connection id="5" xr16:uid="{91149020-023F-44BE-9547-B973BAAED0AF}" keepAlive="1" name="Query - Ələt anbar" description="Connection to the 'Ələt anbar' query in the workbook." type="5" refreshedVersion="0" background="1">
    <dbPr connection="Provider=Microsoft.Mashup.OleDb.1;Data Source=$Workbook$;Location=&quot;Ələt anbar&quot;;Extended Properties=&quot;&quot;" command="SELECT * FROM [Ələt anbar]"/>
  </connection>
  <connection id="6" xr16:uid="{80ED0CB7-90E2-48F4-90F4-C1AE05FD7FE0}" keepAlive="1" name="Query - Filterasiya" description="Connection to the 'Filterasiya' query in the workbook." type="5" refreshedVersion="0" background="1">
    <dbPr connection="Provider=Microsoft.Mashup.OleDb.1;Data Source=$Workbook$;Location=Filterasiya;Extended Properties=&quot;&quot;" command="SELECT * FROM [Filterasiya]"/>
  </connection>
  <connection id="7" xr16:uid="{4E52C7AA-1539-40AD-B63B-370A7565B2A5}" keepAlive="1" name="Query - Filterasiya (2)" description="Connection to the 'Filterasiya (2)' query in the workbook." type="5" refreshedVersion="8" background="1" refreshOnLoad="1" saveData="1">
    <dbPr connection="Provider=Microsoft.Mashup.OleDb.1;Data Source=$Workbook$;Location=&quot;Filterasiya (2)&quot;;Extended Properties=&quot;&quot;" command="SELECT * FROM [Filterasiya (2)]"/>
  </connection>
  <connection id="8" xr16:uid="{93233049-7CC2-44AE-BAD8-1C0C0B12D7AB}" keepAlive="1" name="Query - Yasamal (Qanlı göl) anbar" description="Connection to the 'Yasamal (Qanlı göl) anbar' query in the workbook." type="5" refreshedVersion="0" background="1">
    <dbPr connection="Provider=Microsoft.Mashup.OleDb.1;Data Source=$Workbook$;Location=&quot;Yasamal (Qanlı göl) anbar&quot;;Extended Properties=&quot;&quot;" command="SELECT * FROM [Yasamal (Qanlı göl) anbar]"/>
  </connection>
  <connection id="9" xr16:uid="{32198A4B-E0A4-4A29-836A-E36EB230FD9B}" keepAlive="1" name="Query - Xocahəsən anbar" description="Connection to the 'Xocahəsən anbar' query in the workbook." type="5" refreshedVersion="0" background="1">
    <dbPr connection="Provider=Microsoft.Mashup.OleDb.1;Data Source=$Workbook$;Location=&quot;Xocahəsən anbar&quot;;Extended Properties=&quot;&quot;" command="SELECT * FROM [Xocahəsən anbar]"/>
  </connection>
  <connection id="10" xr16:uid="{CF5B6FAE-45BC-48FC-85B2-F8A465221DF2}" keepAlive="1" name="Query - Ofis anbar" description="Connection to the 'Ofis anbar' query in the workbook." type="5" refreshedVersion="0" background="1">
    <dbPr connection="Provider=Microsoft.Mashup.OleDb.1;Data Source=$Workbook$;Location=&quot;Ofis anbar&quot;;Extended Properties=&quot;&quot;" command="SELECT * FROM [Ofis anbar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<sst xmlns="http://schemas.openxmlformats.org/spreadsheetml/2006/main" count="20854" uniqueCount="2639">
  <si>
    <t>№</t>
  </si>
  <si>
    <t>Malın adı</t>
  </si>
  <si>
    <t>Malın kodu</t>
  </si>
  <si>
    <t>Təkrarlanma</t>
  </si>
  <si>
    <t>Filtr/ yağ/ ZP3375 MG/ "FİL"/Türkiyə istehsalı</t>
  </si>
  <si>
    <t>Filtr/ yağ/ ZP520/ "FİL"/Türkiyə istehsalı</t>
  </si>
  <si>
    <t>Kabel qoruyucu gövdə / alüminium / kontaktor üçün</t>
  </si>
  <si>
    <t>Gərginlik sabitləşdiricisi / 1 faza / "ANDELİ" / SVC-200000VA</t>
  </si>
  <si>
    <t>Kabel qoruyucu gövdə / alüminium / kontaktor ilə</t>
  </si>
  <si>
    <t>Filtr/ yağ/ ZP540 A/ "FİL"/Türkiyə istehsalı</t>
  </si>
  <si>
    <t>Laboratoriya sınaq qabları / podnos tipli / paslanmaz metal</t>
  </si>
  <si>
    <t>Filtr/ yanacaq/ PL 270 / "SCT" / Turbomax</t>
  </si>
  <si>
    <t>Filtr/ yanacaq/ ZP3043 FMB/ "FİL"/Türkiyə istehsalı</t>
  </si>
  <si>
    <t>Filtr/ yağ/ ZP531/ "FİL"/Türkiyə istehsalı</t>
  </si>
  <si>
    <t>Filtr/ yanacaq/ ZP8048 FP/ "FİL"/Türkiyə istehsalı</t>
  </si>
  <si>
    <t>Filtr/ yanacaq/ ZP8003 FM/ "FİL"/Türkiyə istehsalı</t>
  </si>
  <si>
    <t>Filtr/ yağ/ ML1517/ "FİL"/Türkiyə istehsalı</t>
  </si>
  <si>
    <t>Filtr/ yanacaq/ MFE1593/ "FİL"/Türkiyə istehsalı</t>
  </si>
  <si>
    <t>Filtr/ yanacaq/ MFE1489/ "FİL"/Türkiyə istehsalı</t>
  </si>
  <si>
    <t>Filtr/ yağ/ ZP 24 C/ "FİL"/Türkiyə istehsalı</t>
  </si>
  <si>
    <t>Filtr/ yanacaq/ TF1480/ "FİL"/Türkiyə istehsalı</t>
  </si>
  <si>
    <t>Filtr/ hava/ MLE 1606/ "FİL"/Türkiyə istehsalı</t>
  </si>
  <si>
    <t>Filtr/ kabin/ HC 7265/ "FİL"/Türkiyə istehsalı</t>
  </si>
  <si>
    <t>Filtr/ yanacaq/ WK712\2/ "MANN"/ Almaniya istehsalı</t>
  </si>
  <si>
    <t>Filtr/ yağ/ W11102\35/ "MANN"/ Almaniya istehsalı</t>
  </si>
  <si>
    <t>Filtr/ yanacaq/ P917\2 X/ "MANN"/ Almaniya istehsalı</t>
  </si>
  <si>
    <t>Filtr/ yağ/ W610\3/ "MANN"/ Almaniya istehsalı</t>
  </si>
  <si>
    <t>Filtr/ yağ/ 61000070005H/ "WEICHAI"/ Çin istehsalı</t>
  </si>
  <si>
    <t>Filtr/ hava/ DR5122 B/ "Delsa"/Türkiyə istehsalı</t>
  </si>
  <si>
    <t>Filtr/ yağ/ DS1307/ "Delsa"/Türkiyə istehsalı</t>
  </si>
  <si>
    <t>Filtr/ yanacaq/ DS1430F/ "Delsa"/Türkiyə istehsalı</t>
  </si>
  <si>
    <t>Filtr/ yağ/ DS1068MG/ "Delsa"/Türkiyə istehsalı</t>
  </si>
  <si>
    <t>Filtr/ yağ/ CS1416/ "Sampion"/Türkiyə istehsalı</t>
  </si>
  <si>
    <t>Filtr/ yanacaq/ CS0169M/ "Sampion"/Türkiyə istehsalı</t>
  </si>
  <si>
    <t>Filtr/ yanacaq/ CS1439M/ "Sampion"/Türkiyə istehsalı</t>
  </si>
  <si>
    <t>Filtr/ yanacaq/ CS1589M/ "Sampion"/Türkiyə istehsalı</t>
  </si>
  <si>
    <t>Filtr/ yanacaq/ CE1366MEX L/ "Sampion"/Türkiyə istehsalı</t>
  </si>
  <si>
    <t>Filtr/ yanacaq/ CS1430MVL/ "Sampion"/Türkiyə istehsalı</t>
  </si>
  <si>
    <t>Filtr/ yağ/ CS1521/ "Sampion"/Türkiyə istehsalı</t>
  </si>
  <si>
    <t>Filtr/ yağ/ CS0038/ "Sampion"/Türkiyə istehsalı</t>
  </si>
  <si>
    <t>Filtr/ yağ/ CS1558/ "Sampion"/Türkiyə istehsalı</t>
  </si>
  <si>
    <t>Filtr/ yağ/ B7033/ "Baldwin"/ABŞ istehsalı</t>
  </si>
  <si>
    <t>Filtr/ yağ/ B7259/ "Baldwin"/ABŞ istehsalı</t>
  </si>
  <si>
    <t>Filtr/ yağ/ SP401/ "ASAS"/ Türkiyə istehsalı</t>
  </si>
  <si>
    <t>Filtr/ yanacaq/ F323045/ "Atom"/ Türkiyə istehsalı</t>
  </si>
  <si>
    <t>Filtr/ yanacaq/ F323072/ "Atom"/ Türkiyə istehsalı</t>
  </si>
  <si>
    <t>Filtr/ yağ/ ON1024C/ "ONFIL"/ Türkiyə istehsalı</t>
  </si>
  <si>
    <t>Filtr/ hidravlik/ H1129/ "Bavaria"/ Türkiyə istehsalı</t>
  </si>
  <si>
    <t>Filtr/ hidravlik/362-1163/ "CAT"/ ABŞ istehsalı</t>
  </si>
  <si>
    <t>Filtr/ hava/ C 15248/ SHF 500/ "TUC"/ Çin istehsalı</t>
  </si>
  <si>
    <t>Filtr/ hava/ HP 2527/ "FİL"/ Türkiyə istehsalı</t>
  </si>
  <si>
    <t>Filtr/ hava/ HP 2528/ "FİL"/ Türkiyə istehsalı</t>
  </si>
  <si>
    <t>Filtr/ hava/ P53-2474/ "Donaldson"/ İngiltərə istehsalı</t>
  </si>
  <si>
    <t>Filtr/ hava/ P53-2473/ "Donaldson"/ İngiltərə istehsalı</t>
  </si>
  <si>
    <t>Filtr/ hava/ 32/925682/ "JCB"/ Çexiya istehsalı</t>
  </si>
  <si>
    <t>Filtr/ hava/ SHF 5004/ 5005/ "Sure"/ ABŞ istehsalı</t>
  </si>
  <si>
    <t>Filtr/ hava/ L2579 P/ "GSP"/ Çin istehsalı</t>
  </si>
  <si>
    <t>Filtr/ hava/ F15190/ "Atom"/ Türkiyə istehsalı</t>
  </si>
  <si>
    <t>Filtr/ hava/ AF 1822/ "TUC"/ Çin istehsalı</t>
  </si>
  <si>
    <t>Filtr/ hava/ SHF 365/ "TUC"/ Çin istehsalı</t>
  </si>
  <si>
    <t>Filtr/ hava/ C13103/ "TUC"/ Çin istehsalı</t>
  </si>
  <si>
    <t>Filtr/ yanacaq/ 6754-71-6140/ "Komatsu"/ Yaponiya istehsalı</t>
  </si>
  <si>
    <t>Filtr/ yanacaq/ FC-1003/ "Sakura"/ İndoneziya istehsalı</t>
  </si>
  <si>
    <t>Filtr/ yağ/ P554403/ "Donaldson"/ Meksika istehsalı</t>
  </si>
  <si>
    <t>Filtr/ yağ/ SP450/ "Asas"/ Türkiyə istehsalı</t>
  </si>
  <si>
    <t>Filtr/ hidravlik/ P550148/ "Donaldson"/ İtaliya istehsalı</t>
  </si>
  <si>
    <t>Filtr/ yanacaq/ P551315/ "Donaldson"/ ABŞ istehsalı</t>
  </si>
  <si>
    <t>Filtr/ yağ/ P550008/ "Donaldson"/ ABŞ istehsalı</t>
  </si>
  <si>
    <t>Filtr/ yağ/ ZP 3375 MG/ "Fil"/ Türkiyə istehsalı</t>
  </si>
  <si>
    <t>Filtr/ yağ/ DS 1169/ "Delsa"/ Türkiyə istehsalı</t>
  </si>
  <si>
    <t>Filtr/ yağ/ BT 8417/ "Baldwin"/ ABŞ istehsalı</t>
  </si>
  <si>
    <t>Filtr/ hidravlik/ HF 6359/ "Fleetguard"/ ABŞ istehsalı</t>
  </si>
  <si>
    <t>Filtr/ hidravlik/ HF 35018/ "Fleetguard"/ ABŞ istehsalı</t>
  </si>
  <si>
    <t>Filtr/ su separatoru/ FS 1240/ "Fleetguard"/ Meksika istehsalı</t>
  </si>
  <si>
    <t>Filtr/ yanacaq/ FF167/ "Fleetguard"/ Türkiyə istehsalı</t>
  </si>
  <si>
    <t>Filtr/ yanacaq/ FF5089/ "Fleetguard"/ ABŞ istehsalı</t>
  </si>
  <si>
    <t>Filtr / hava / DR 5182 R / "Delsa" / Türkiyə istehsalı</t>
  </si>
  <si>
    <t>Filtr / hava / CR 0237 / 0238 / "Sampiyon" / Türkiyə istehsalı</t>
  </si>
  <si>
    <t>Filtr / hava / CR 0091 / 0092 / "Sampiyon" / Türkiyə istehsalı</t>
  </si>
  <si>
    <t>Filtr / hava / CR 0037 / 0038 / "Sampiyon" / Türkiyə istehsalı</t>
  </si>
  <si>
    <t>Filtr / hava / 321-4302/ "CAT" 315 üçün / "CAT" / ABŞ istehsalı /  1</t>
  </si>
  <si>
    <t>Termostat / 235-4960 X / "CAT" / ABŞ istehsalı</t>
  </si>
  <si>
    <t>Filtr / hava / əl kompakteri üçün / Çin istehsalı</t>
  </si>
  <si>
    <t>Filtr / yanacaq / CR 091 C 25 R / "OMT" / İtaliya istehsalı</t>
  </si>
  <si>
    <t>Filtr / yanacaq / FF 5381 / "Fleetguard" / İtaliya istehsalı</t>
  </si>
  <si>
    <t>Filtr / hava / 3466687 / "Turbomax" / Çin istehsalı</t>
  </si>
  <si>
    <t>Filtr / hava / 3466688 / "Turbomax" / Çin istehsalı</t>
  </si>
  <si>
    <t>Mufta / polietilen / elektrofizyon / d 63mm / 30V / "NTG" / Türkiyə istehsalı</t>
  </si>
  <si>
    <t>Mufta / polietilen / elektrofizyon / d 63mm / 30V / "Borfit" / Türkiyə istehsalı</t>
  </si>
  <si>
    <t>Mufta / polietilen / elektrofizyon / d 63mm / 40V / "Dokerler" / Türkiyə istehsalı</t>
  </si>
  <si>
    <t>Mufta / polietilen / elektrofizyon / d 50mm / 35V / "Borfit" / Türkiyə istehsalı</t>
  </si>
  <si>
    <t>Xamut / polietilen / elektrofizyon / d 63mm / "Georg Fisher" / İsveçrə istehsalı</t>
  </si>
  <si>
    <t>Keçid / polietilen / d 63-50mm</t>
  </si>
  <si>
    <t>Qapaq / polietilen / d 110mm / "Borfit"/ Türkiyə istehsalı</t>
  </si>
  <si>
    <t>Üçlük / polietilen / d 63-32mm / "Borfit"/ Türkiyə istehsalı</t>
  </si>
  <si>
    <t>Dirsək / polietilen / d 63mm</t>
  </si>
  <si>
    <t>Dirsək / polietilen / d 160mm / "Tega" / Türkiyə istehsalı</t>
  </si>
  <si>
    <t>Üçlük / PVC-UH / d 160mm / "Pimtaş" / Türkiyə istehsalı</t>
  </si>
  <si>
    <t>Birləşdirici / polietilen / çöl yivli / d 63mm / Türkiyə istehsalı</t>
  </si>
  <si>
    <t>Üçlük / PVC / d 110mm / "Hill FUN" / Türkiyə istehsalı</t>
  </si>
  <si>
    <t>Dirsək / polietilen / d 32mm / "Borfit" / Türkiyə istehsalı</t>
  </si>
  <si>
    <t>Üçlük / polietilen / d 32mm / "Borfit" / Türkiyə istehsalı</t>
  </si>
  <si>
    <t>Qapaq / polietilen / d 32mm / "Borfit" / Türkiyə istehsalı</t>
  </si>
  <si>
    <t>Qapaq / polipropilen / d 20 mm / Metal / Türkiyə</t>
  </si>
  <si>
    <t>İzolyasiya materialı / boru üçün / PE / "Qingdao"/ Çin istehsalı</t>
  </si>
  <si>
    <t>Elektrik soket /16 Amp / IP44 / Type 114 / "Botric"/ Türkiyə istehsalı</t>
  </si>
  <si>
    <t>Elektrik soket/ 16 Amp/ IP44/ Type 014/ "Botric"/ Türkiyə istehsalı</t>
  </si>
  <si>
    <t>Elektrik soket/ 63 Amp/ IP67/ Type 234/ "Botric"/ Türkiyə istehsalı</t>
  </si>
  <si>
    <t>Doldurma tapançası/ 600ml</t>
  </si>
  <si>
    <t>Cihaz / rütubət ölçən / 160°C / "Radwag" / MA 50.R / Polşa istehsalı</t>
  </si>
  <si>
    <t>Qum saatı</t>
  </si>
  <si>
    <t>İp / kapron / tikinti</t>
  </si>
  <si>
    <t>Qutu / plastik / su sayğacı üçün</t>
  </si>
  <si>
    <t>Monitor / kompüter üçün / 23,8 inch / "Dell" / SE2416H / Çin istehsalı</t>
  </si>
  <si>
    <t>Monitor / kompüter üçün / 21,45 inch / "HP" / V2265 / Çin istehsalı</t>
  </si>
  <si>
    <t>Monitor / kompüter üçün / 17 inch / "Sony" / SDM-HS74 / Çin istehsalı</t>
  </si>
  <si>
    <t>Monitor / 20 inch / "HP" / HP 2011X / Çin istehsalı</t>
  </si>
  <si>
    <t>Monitor / 18,5 inch / "PHILIPS" / 200V4L / Çin istehsalı</t>
  </si>
  <si>
    <t>TV / 23,6 inch / "LG" / 24MT47V-PZ / Koreya istehsalı</t>
  </si>
  <si>
    <t>Prosessor / T6 / "Zalman"</t>
  </si>
  <si>
    <t>Personal kompüter / Intel Core 2 Duo / "HP" / Compaq DX7400</t>
  </si>
  <si>
    <t>Klaviatura / "A4Tech"</t>
  </si>
  <si>
    <t>Mouse / "A4Tech"</t>
  </si>
  <si>
    <t>Alət / qazma / 1850 Wt / "REMS" / 180010 R220 / Almaniya istehsalı</t>
  </si>
  <si>
    <t>Maklovitsa fırçası</t>
  </si>
  <si>
    <t>Qızdırıcı fen / 2000 Wt / "Raf" / Çin istehsalı</t>
  </si>
  <si>
    <t>Gərginlik tənzimləyicisi (Stabilizator) / 20 kVt / "Andeli" / SVC-2000 VA / Çin istehsalı</t>
  </si>
  <si>
    <t>Printer / "HP" / MFP M181FW / Vyetnam istehsalı</t>
  </si>
  <si>
    <t>Elektrik mişar / 2350 Wt / d 235 mm / "Viktor" /  Çin istehsalı</t>
  </si>
  <si>
    <t>Perforator / "Bosch" / GBH 11 DE / Almaniya istehsalı</t>
  </si>
  <si>
    <t>Pika / 25 x 400 mm / pnevmatik çəkic üçün / Çin istehsalı</t>
  </si>
  <si>
    <t>Təkər / əl arabası üçün</t>
  </si>
  <si>
    <t>Manometr / 10 Bar / "Pakkens" / Türkiyə istehsalı</t>
  </si>
  <si>
    <t>Mişar başlığı dəsti</t>
  </si>
  <si>
    <t>Boya / sprey / mavi / 400 ml / "Grabond" / Çin istehsalı</t>
  </si>
  <si>
    <t>Boya / sprey / göy / 400 ml / "Grabond" / Çin istehsalı</t>
  </si>
  <si>
    <t>Boya / sprey / qırmızı / 400 ml / "Vakko" / Çin</t>
  </si>
  <si>
    <t>Yapışdırıcı / poliuretan / suya davamlı / 600 ml / "APEL" / PA300 / Türkiyə istehsalı</t>
  </si>
  <si>
    <t>Yapışdırıcı / 2 komponentli / 1 kq / "Rema" / Almaniya istehsalı</t>
  </si>
  <si>
    <t>Açar başlığı / 70 mm</t>
  </si>
  <si>
    <t>Açar başlığı / 50 mm</t>
  </si>
  <si>
    <t>Açar başlığı / 36 mm</t>
  </si>
  <si>
    <t>Açar başlığı / 32 mm</t>
  </si>
  <si>
    <t>Açar başlığı / 30 mm</t>
  </si>
  <si>
    <t>Açar başlığı / 15 mm</t>
  </si>
  <si>
    <t>Pompa / təzyiq sınağı / 60 Atm / mexaniki / "Candan" / CM-60 / Türkiyə istehsalı</t>
  </si>
  <si>
    <t>Su pompası / IP 44 / 0,37 kVt / Q=5-30 Litr / H=32metr / "M5" / Çin istehsalı</t>
  </si>
  <si>
    <t>Yanğınsöndürmə lövhəsi / şlanq ilə</t>
  </si>
  <si>
    <t>Filtr / hava / CR 0237 / "Sampiyon" / Türkiyə istehsalı</t>
  </si>
  <si>
    <t>Lazer nivelyatoru / "AGL" / Almaniya istehsalı</t>
  </si>
  <si>
    <t>Burğu / d 14 mm / perforator üçün</t>
  </si>
  <si>
    <t>Burğu / d 18 mm / perforator üçün</t>
  </si>
  <si>
    <t>Kəsər sapı / taxta</t>
  </si>
  <si>
    <t>Künc (gönyə) / 90° / 50sm / tərəzi ilə</t>
  </si>
  <si>
    <t>Printer /ağ-qara / "Xerox" / Phaser 3020BI / Çin istehsalı</t>
  </si>
  <si>
    <t>Printer / ağ-qara / skaner ilə / "Epson" / L3251 / Filippin istehsalı</t>
  </si>
  <si>
    <t>Printer / rəngli / "Epson" / L850 / İndoneziya istehsalı</t>
  </si>
  <si>
    <t>Printer / rəngli / "HP" / MFP M282 NW / Almaniya istehsalı</t>
  </si>
  <si>
    <t>Printer / ağ-qara / "HP" / P1005 / Vyetnam istehsalı</t>
  </si>
  <si>
    <t>Şlanq / d 50 mm / L 6 metr / beton vibratoru üçün</t>
  </si>
  <si>
    <t>Vibromühərrik / 2,2 kVt / 50 Hz / ZN-70P / Çin istehsalı</t>
  </si>
  <si>
    <t>Qaynaq aparatı / 20-315 mm / plastik muftalar üçün / "Hürner" / HST 300 Easy D / Almaniya istehsalı</t>
  </si>
  <si>
    <t>Filtr / yanacaq / CS 1606 / "Sampiyon" / Türkiyə istehsalı</t>
  </si>
  <si>
    <t>Filtr / yağ / CS 0151 / "Sampiyon" / Türkiyə istehsalı</t>
  </si>
  <si>
    <t>Elektrik yuvası / 16A / qapaqlı / "ENDA" / Türkiyə istehsalı</t>
  </si>
  <si>
    <t>Monitor / 23,8 in / "HP" / HP 24F / Çin istehsalı</t>
  </si>
  <si>
    <t>Yapışdırıcı / PVC-U üçün / 1 kq / "Lebond"</t>
  </si>
  <si>
    <t>Filtr / hava / P500940 / "Donaldson" / Çin istehsalı</t>
  </si>
  <si>
    <t>Texniki maye / AdBlue / EURO 6 / 20 kq / "M-Standart" / Belarus istehsalı</t>
  </si>
  <si>
    <t>Klapan / kəpənək / d 150 mm / "FAF" / Türkiyə istehsalı</t>
  </si>
  <si>
    <t>Klapan / kəpənək / d 40 mm / "FAF" / Türkiyə istehsalı</t>
  </si>
  <si>
    <t>Klapan / kəpənək / d 25 mm / "FAF" / Türkiyə istehsalı</t>
  </si>
  <si>
    <t>Pompa / təzyiq sınağı / elektrikli / 40 Atm / 6 Litr/dəq / 1,3 kVt / "Rothenberger" / RP PRO 3 / İspaniya istehsalı</t>
  </si>
  <si>
    <t>Nivelyator / optik / "Trade Tools" / Avstraliya istehsalı</t>
  </si>
  <si>
    <t>Nivelyator / optik / "Leica" / NA 730 / İsveçrə istehsalı</t>
  </si>
  <si>
    <t>Printer / ağ-qara / "HP" / MFP M127 FW /  Çin istehsalı</t>
  </si>
  <si>
    <t>Paltaryuyan / 5 kq / "Midea" / MFE50-S802S / Çin istehsalı</t>
  </si>
  <si>
    <t>Filtr / yağ / DE 224 E / "Delsa" / Türk istehsalı</t>
  </si>
  <si>
    <t>Filtr / yanacaq / WK 11046 / "Mann" / Almaniya istehsalı</t>
  </si>
  <si>
    <t>Filtr / yağ / CS 1557 / "Sampiyon" / Türkiyə istehsalı</t>
  </si>
  <si>
    <t>Filtr / yağ / MLE 1606 / "FİL" / Türkiyə istehsalı</t>
  </si>
  <si>
    <t>Filtr / yağ / CS 1558 / "Sampiyon" / Türk istehsalı</t>
  </si>
  <si>
    <t>Filtr / yanacaq / CS 1672 M / "Sampiyon" / Türk istehsalı</t>
  </si>
  <si>
    <t>Gərginlik tənzimləyicisi / 6-7,5 kVt / "Andeli" / SVC-7500 VA / Çin istehsalı</t>
  </si>
  <si>
    <t>Ölçü lenti / geodezik / 50m x 12,5mm / "Hongtu" / Çin istehsalı</t>
  </si>
  <si>
    <t>Kontaktor / 30 kVt-400V /  50-60 Hz / "Telemecanique" / LC1D6511M7 / Fransa istehsalı</t>
  </si>
  <si>
    <t>Printer / A3 / ağ-qara / "Konica Minolta" / bizhub164 / Çin istehsalı</t>
  </si>
  <si>
    <t>UPS/ 1550 Vt / "Mercury" / Maverick 1550/ Çin istehsalı</t>
  </si>
  <si>
    <t>UPS/ 3600 Vt / "Powercom" / Raptor RPT-600A / Çin istehsalı</t>
  </si>
  <si>
    <t>Fırça / 180 x 50 mm</t>
  </si>
  <si>
    <t>Spot / 16 Amp / LED</t>
  </si>
  <si>
    <t>Bra / plastik</t>
  </si>
  <si>
    <t>Disk / kəsən / d 350 mm / lagonda üçün</t>
  </si>
  <si>
    <t>Açar / qayka / 22 x 24</t>
  </si>
  <si>
    <t>Açar / qayka / bir tərəfi halqalı / 28</t>
  </si>
  <si>
    <t>Açar / qayka / 19 x 22</t>
  </si>
  <si>
    <t>Açar / qayka / bir tərəfi halqalı / 30</t>
  </si>
  <si>
    <t>Açar / qayka / bir tərəfi halqalı / 32</t>
  </si>
  <si>
    <t>Açar / qayka / iki tərəfi halqalı / 30 x 32</t>
  </si>
  <si>
    <t>Açar / qayka / iki tərəfi halqalı / 36 x 41</t>
  </si>
  <si>
    <t>Açar / qayka / halqalı / 36</t>
  </si>
  <si>
    <t>Açar / qayka / halqalı / 41</t>
  </si>
  <si>
    <t>Açar / qayka / halqalı / 27</t>
  </si>
  <si>
    <t>Kəlbətin / kəsən / dəmiriçi üçün</t>
  </si>
  <si>
    <t>Künc (gönyə) / 90° / 40 sm</t>
  </si>
  <si>
    <t>Qızdırıcı fen / 2000 Wt / "Sonifer" / Çin istehsalı</t>
  </si>
  <si>
    <t>Qaz brülörü / gorelka</t>
  </si>
  <si>
    <t>Burğu / 22 x 800 mm</t>
  </si>
  <si>
    <t>Burğu / 22 x 400 mm</t>
  </si>
  <si>
    <t>Burğu / 22 x 250 mm</t>
  </si>
  <si>
    <t>Burğu / 8 x 120 mm</t>
  </si>
  <si>
    <t>Burğu / 14 x 150 mm</t>
  </si>
  <si>
    <t>Burğu / 25 x 350 mm</t>
  </si>
  <si>
    <t>Mişar / əl</t>
  </si>
  <si>
    <t>Pika / 25 x 250 mm / pnevmatik çəkic üçün</t>
  </si>
  <si>
    <t>Pika / 10 x 200 mm / yastı / perforator üçün</t>
  </si>
  <si>
    <t>Açar / 6 künc / d 12 mm</t>
  </si>
  <si>
    <t>Şlanq / L 50 sm / S/Q üçün</t>
  </si>
  <si>
    <t>Şlanq / L 30 sm / S/Q üçün</t>
  </si>
  <si>
    <t>Şlanq / L 40 sm / S/Q üçün</t>
  </si>
  <si>
    <t>Dirsək / polad / d 57 mm</t>
  </si>
  <si>
    <t>Mişar / lobzik üçün / T244D</t>
  </si>
  <si>
    <t>Mufta / d 50 mm / polipropilen / "Metak"</t>
  </si>
  <si>
    <t>Üçlük / d 25 mm / polipropilen / "Metak"</t>
  </si>
  <si>
    <t>Üçlük / d 32x25 mm / polipropilen / "Metak"</t>
  </si>
  <si>
    <t>Mufta / d 25 mm / polipropilen / "Metak"</t>
  </si>
  <si>
    <t>Qapaq / d 25 mm / polipropilen / "Metak"</t>
  </si>
  <si>
    <t>Dirsək / d 20 mm / 45° / polipropilen / "Metak"</t>
  </si>
  <si>
    <t>Dirsək / d 25 mm / 45° / polipropilen / "Metak"</t>
  </si>
  <si>
    <t>Dirsək / d 25 mm / 90° / polipropilen / "Metak"</t>
  </si>
  <si>
    <t>Dirsək / d 50 mm / 90° / polipropilen / "Metak"</t>
  </si>
  <si>
    <t>Üçlük / d 50 mm / polipropilen / "Metak"</t>
  </si>
  <si>
    <t>Üçlük / d 40 mm / polipropilen / "Metak"</t>
  </si>
  <si>
    <t>Mufta / d 32 mm / polipropilen / bir tərəfi yivli / "Metak"</t>
  </si>
  <si>
    <t>Mufta / d 25 mm / polipropilen / bir tərəfi yivli / "Metak"</t>
  </si>
  <si>
    <t>Sınaq ələyi / ölçü: 10 / laboratoriya üçün / "Jeotest" türkiyə istehsalı</t>
  </si>
  <si>
    <t>Sınaq ələyi / ölçü: 13.2 / laboratoriya üçün / "Jeotest" türkiyə istehsalı</t>
  </si>
  <si>
    <t>Sınaq ələyi / ölçü: 6.3 / laboratoriya üçün / "Jeotest" türkiyə istehsalı</t>
  </si>
  <si>
    <t>Sınaq ələyi / ölçü: 8 / laboratoriya üçün / "Jeotest" türkiyə istehsalı</t>
  </si>
  <si>
    <t>Sınaq ələyi / ölçü: 16 / laboratoriya üçün / "Jeotest" türkiyə istehsalı</t>
  </si>
  <si>
    <t>Sınaq ələyi / ölçü: 25 / laboratoriya üçün / "Jeotest" türkiyə istehsalı</t>
  </si>
  <si>
    <t>Sınaq ələyi / ölçü: 12.5 / laboratoriya üçün / "Jeotest" türkiyə istehsalı</t>
  </si>
  <si>
    <t>Sınaq ələyi / ölçü: 425 / laboratoriya üçün / "Jeotest" türkiyə istehsalı</t>
  </si>
  <si>
    <t>Sınaq ələyi / ölçü: 31.5 / laboratoriya üçün / "Jeotest" türkiyə istehsalı</t>
  </si>
  <si>
    <t>Sınaq ələyi / ölçü: 50 / laboratoriya üçün / "Jeotest" türkiyə istehsalı</t>
  </si>
  <si>
    <t>Sınaq ələyi / ölçü: 4.75 / laboratoriya üçün / "Jeotest" türkiyə istehsalı</t>
  </si>
  <si>
    <t>Sınaq ələyi / ölçü: 1.18 / laboratoriya üçün / "Jeotest" türkiyə istehsalı</t>
  </si>
  <si>
    <t>Sınaq ələyi / ölçü: 500 / laboratoriya üçün / "Jeotest" türkiyə istehsalı</t>
  </si>
  <si>
    <t>Sınaq ələyi / ölçü: 4 / laboratoriya üçün / "Jeotest" türkiyə istehsalı</t>
  </si>
  <si>
    <t>Sınaq ələyi / ölçü: 14 / laboratoriya üçün / "Jeotest" türkiyə istehsalı</t>
  </si>
  <si>
    <t>Sınaq ələyi / ölçü: 22.4 / laboratoriya üçün / "Jeotest" türkiyə istehsalı</t>
  </si>
  <si>
    <t>Sınaq ələyi / ölçü: 600 / laboratoriya üçün / "Jeotest" türkiyə istehsalı</t>
  </si>
  <si>
    <t>Sınaq ələyi / ölçü: 37.5 / laboratoriya üçün / "Jeotest" türkiyə istehsalı</t>
  </si>
  <si>
    <t>Sınaq ələyi / ölçü: 19 / laboratoriya üçün / "Jeotest" türkiyə istehsalı</t>
  </si>
  <si>
    <t>Sınaq ələyi / ölçü: 11.2 / laboratoriya üçün / "Jeotest" türkiyə istehsalı</t>
  </si>
  <si>
    <t>Sınaq ələyi / ölçü: 75 / laboratoriya üçün / "Jeotest" türkiyə istehsalı</t>
  </si>
  <si>
    <t>Sınaq ələyi / ölçü: 300 / laboratoriya üçün / "Jeotest" türkiyə istehsalı</t>
  </si>
  <si>
    <t>Sınaq ələyi / ölçü: 250 / laboratoriya üçün / "Jeotest" türkiyə istehsalı</t>
  </si>
  <si>
    <t>Sınaq ələyi / ölçü: 9.5 / laboratoriya üçün / "Jeotest" türkiyə istehsalı</t>
  </si>
  <si>
    <t>Təbaşir / metal üçün</t>
  </si>
  <si>
    <t>Şüşə / qaynaqçı maskası üçün / qara</t>
  </si>
  <si>
    <t>Şüşə / qaynaqçı maskası üçün / şəffaf</t>
  </si>
  <si>
    <t>Patron / electric</t>
  </si>
  <si>
    <t>Kabel ucluğu / № 2.5</t>
  </si>
  <si>
    <t>Xamut / metal-rezin / d 32 mm / kabel və boru üçün</t>
  </si>
  <si>
    <t>Yol nişanı / sürət 10 km/s</t>
  </si>
  <si>
    <t>Çəkic / 3 LB</t>
  </si>
  <si>
    <t>Dolğu / kafel-metlax / 1 kq / fil dişi</t>
  </si>
  <si>
    <t>Spatel / rezin</t>
  </si>
  <si>
    <t>Videokamera / nəzarət / color / IR / "Hikvision"</t>
  </si>
  <si>
    <t>Videokamera / nəzarət / color / IR / "DAHUA"</t>
  </si>
  <si>
    <t>Videokamera / nəzarət / color / IR / 87GAHZ271</t>
  </si>
  <si>
    <t>Karot ucu / almaz / 160 x 420 mm / "DRT" / Türk istehsalı</t>
  </si>
  <si>
    <t>Karot ucu / almaz / 40 x 450 mm</t>
  </si>
  <si>
    <t>Ölçü qabı / metal /  laboratoriya üçün / 2 litr</t>
  </si>
  <si>
    <t>Ölçü qabı / metal /  laboratoriya üçün / 5 litr</t>
  </si>
  <si>
    <t>Sınaq qəlibi (Proktor) / laboratoriya üçün / d 150 mm / açılan</t>
  </si>
  <si>
    <t>Sınaq qəlibi (Proktor) / laboratoriya üçün / d 100 mm / açılan</t>
  </si>
  <si>
    <t>Elektrik lövhəsi / plastik / 300 x 400 x 165 mm</t>
  </si>
  <si>
    <t>Qurutma sobası / laboratoriya üçün / "Jeotest" / TT 107 / Türkiyə istehsalı</t>
  </si>
  <si>
    <t>Bel / metal</t>
  </si>
  <si>
    <t>Dabilgə / plastik / ağ</t>
  </si>
  <si>
    <t>Dabilgə / plastik / sarı</t>
  </si>
  <si>
    <t>Dabilgə / plastik / qırmızı</t>
  </si>
  <si>
    <t>Dabilgə / plastik / yaşıl</t>
  </si>
  <si>
    <t>Dabilgə / plastik / göy</t>
  </si>
  <si>
    <t>Kəmər / alpinist / 29</t>
  </si>
  <si>
    <t>Keçid / polietilen / xomut tipli / d 63 x 3/4 inch / 16 Atm / yivli / "Poelsan" / Türkiyə istehsalı</t>
  </si>
  <si>
    <t>Keçid / polietilen / xomut tipli / d 110 x 1 inch / 16 Atm / yivli / "Poelsan" / Türkiyə istehsalı</t>
  </si>
  <si>
    <t>Nivelyatorun dayağı / ştativ</t>
  </si>
  <si>
    <t>Geodezik ştativ / üçayaq</t>
  </si>
  <si>
    <t>Ox / geodezik ştativ üçün</t>
  </si>
  <si>
    <t>Xətkeş / nivelyator üçün / 1 metr</t>
  </si>
  <si>
    <t>Profil / mayak / metal / 3 metr</t>
  </si>
  <si>
    <t>Profil / H / alüminium / 3 metr</t>
  </si>
  <si>
    <t>Profil / qutu alüminium / 3 metr</t>
  </si>
  <si>
    <t>Su qızdırıcısı / 1.5 kW / 50 litr / "Thermex" / Rusiya istehsalı</t>
  </si>
  <si>
    <t>Ventilyator / yerüstü</t>
  </si>
  <si>
    <t>Trap / plastik / 1 metr / 2 əd. metal baqmaqlıqla / "MUFLE"</t>
  </si>
  <si>
    <t>Armatur fiksatoru / plastik / ulduzvari</t>
  </si>
  <si>
    <t>Sıxılmış hava balonu / 300 Bar / maska ilə</t>
  </si>
  <si>
    <t>Keys / plastik / alətlər üçün / boş</t>
  </si>
  <si>
    <t>Keys / metal / alətlər üçün / boş</t>
  </si>
  <si>
    <t>Elektrik soket / 63A / IP67 / Type 234 / "Botric" / Türkiyə istehsalı</t>
  </si>
  <si>
    <t>Elektrik soket / 63A / IP44 / "Bemiş" / Türkiyə istehsalı</t>
  </si>
  <si>
    <t>Elektrik soket / 63A / IP67 / "Bemiş" / Türkiyə istehsalı</t>
  </si>
  <si>
    <t>Elektrik soket / 32A / "STE" / suya davamlı</t>
  </si>
  <si>
    <t>Elektrik yuvası / 80 A</t>
  </si>
  <si>
    <t>Elektrik soket / 32A / IP44 / Type 024K / "Beyti" Türkiyə istehsalı</t>
  </si>
  <si>
    <t>Elektrik soket / 32A / Type D-024 / "CEE"</t>
  </si>
  <si>
    <t>Elektrik soket / 32A / Type ST 024 / "STE"</t>
  </si>
  <si>
    <t>Elektrik soket / 32A / Type CR025 / "CEE"</t>
  </si>
  <si>
    <t>Elektrik soket / 32A / Type CNQD-225 / "CNOD"</t>
  </si>
  <si>
    <t>Elektrik soket / 63A / IP67 / Type 034 / "Botric" / Türkiyə istehsalı</t>
  </si>
  <si>
    <t>Su filtri / d 25 mm / polipropilen</t>
  </si>
  <si>
    <t>Su filtri / d 20mm / polipropilen</t>
  </si>
  <si>
    <t>Perforator / "Bosch" / GBH 8-45 D</t>
  </si>
  <si>
    <t>Perforator / "Bosch" / GBH 5-40 D</t>
  </si>
  <si>
    <t>Su pompası / dalğıc</t>
  </si>
  <si>
    <t>Su pompası / dalğıc / 1.1 kvt / 1000 L/d / 9 metr / "Shimge" / QDX 40-7-1.1 K3F</t>
  </si>
  <si>
    <t>Lebyodka / 1000 kq / 1.7 kvt / "RZMA"</t>
  </si>
  <si>
    <t>Perforator / "SKOM" / SK-HD1600</t>
  </si>
  <si>
    <t>Nivelyator / "Leica" / NA 332</t>
  </si>
  <si>
    <t>Akkumulyator / 12V / 450A / 50AH / "KAINAR" / Qazaxıstan istehsalı</t>
  </si>
  <si>
    <t>Akkumulyator / 12V / 580A / 60AH / "Formula" / Ukrayna istehsalı</t>
  </si>
  <si>
    <t>Akkumulyator / 12V / 77AH / 640A / "Tungstone"</t>
  </si>
  <si>
    <t>Akkumulyator / 12V / 45AH / 390A / "Racing" / Ukrayna istehsalı</t>
  </si>
  <si>
    <t>Akkumulyator / 12V / 10AH / 800A / "WESTA" / Ukrayna istehsalı</t>
  </si>
  <si>
    <t>Su tərəzisi</t>
  </si>
  <si>
    <t>Mühərrik / elektrik / alüminium / 1.5 kvt / 1500 d/d / 220/380V / 50Hz / Çin istehsalı</t>
  </si>
  <si>
    <t>Bolt / M24 / L 80 mm</t>
  </si>
  <si>
    <t>Lagonda / 2000 vt / 6500 d/d / "Dingqi" / JB02401 / Çin istehsalı</t>
  </si>
  <si>
    <t>Lagonda / 2300 vt / 6500 d/d / "Dingqi" / Çin istehsalı</t>
  </si>
  <si>
    <t>Lagonda / "Bosch" / GWS 21</t>
  </si>
  <si>
    <t>Lobzik / 650 Vt / 3000 d/d / "Kad"</t>
  </si>
  <si>
    <t>Lobzik / "Hidroterm"</t>
  </si>
  <si>
    <t>Su pompası / hidrofor ilə / 0.37 kVt / H 32 metr / 2900 d/d / "M5"  / Çin istehsalı</t>
  </si>
  <si>
    <t>Qırıcı çəkic / pnevmatik</t>
  </si>
  <si>
    <t>Nivelyator / lazer / "Bosch" / GLL 3-80 P / Çin istehsalı</t>
  </si>
  <si>
    <t>Xomut / d 56-60 mm / şuruplu / metal</t>
  </si>
  <si>
    <t>Fırça / lagonda üçün / 5 inch</t>
  </si>
  <si>
    <t>Diyircəkli yastıq / 30206</t>
  </si>
  <si>
    <t>Kabel sarğısı / spiralvari / 8 mm</t>
  </si>
  <si>
    <t>Qayka açarı / əldəqayırma</t>
  </si>
  <si>
    <t>Tezlik çeviricisi / "ABB" ACS550 01-045A-4 / Finlandiya istehsalı</t>
  </si>
  <si>
    <t>Filtr / yağ / DW 962 / "Delsa" / Türkiyə istehsalı</t>
  </si>
  <si>
    <t>Filtr / yağ / DS 1329 / "Delsa" / Türkiyə istehsalı</t>
  </si>
  <si>
    <t>Filtr / yağ / DS 1430F / "Delsa" / Türkiyə istehsalı</t>
  </si>
  <si>
    <t>Bolt / M24 / L 70 mm</t>
  </si>
  <si>
    <t>Qayka / M24</t>
  </si>
  <si>
    <t>Su pompası / dalğıc / 750 Vt / 2860 d/d / 47 metr / "Dingi" Çin istehsalı</t>
  </si>
  <si>
    <t>Su pompası / dalğıc / 1500 Vt / 2860 d/d / 46 metr / "Dingi" Çin istehsalı</t>
  </si>
  <si>
    <t>Dəbilgə / ağ</t>
  </si>
  <si>
    <t>Beton vibratoru / şlanq ilə</t>
  </si>
  <si>
    <t>Mühərrik / beton vibratoru üçün</t>
  </si>
  <si>
    <t>Bolt / M24 / L 150 mm</t>
  </si>
  <si>
    <t>Əks klepan / d 80 mm / geri dönməyən</t>
  </si>
  <si>
    <t>Əks klepan / d 40 mm / geri dönməyən</t>
  </si>
  <si>
    <t>Əks klepan / d 150 mm / geri dönməyən</t>
  </si>
  <si>
    <t>Əks klepan / d 100 mm / geri dönməyən</t>
  </si>
  <si>
    <t>Əks klepan / d 65 mm / geri dönməyən</t>
  </si>
  <si>
    <t>Bolt-qayka / M28 / L 150 mm / şayba ilə</t>
  </si>
  <si>
    <t>Qapaq / d 25 mm / polietilen</t>
  </si>
  <si>
    <t>Mufta / d 40 mm / polietilen</t>
  </si>
  <si>
    <t>Keçid mufta / d 40 mm / çöl yiv / polipropilen</t>
  </si>
  <si>
    <t>Üçlük / 25 x 20 mm / polipropilen</t>
  </si>
  <si>
    <t>Keçid mufta / d 25 mm / polipropilen / iç yiv</t>
  </si>
  <si>
    <t>Keçid mufta / d 25 mm / polipropilen / çöl yiv</t>
  </si>
  <si>
    <t>Keçid mufta / d 32 x 40 mm / polipropilen</t>
  </si>
  <si>
    <t>Keçid mufta / d 25 x 32 mm / polipropilen</t>
  </si>
  <si>
    <t>Dirsək / d 25 mm / polipropilen / çöl yiv / 90</t>
  </si>
  <si>
    <t>Ventil / d 25 mm / polipropilen</t>
  </si>
  <si>
    <t>Üçlük / d 20 x 40 mm / polipropilen</t>
  </si>
  <si>
    <t>Üçlük / d 20 x 25 mm / polipropilen</t>
  </si>
  <si>
    <t>Mufta / d 25 mm / polipropilen / dolama</t>
  </si>
  <si>
    <t>Mufta / d 63 mm / polipropilen</t>
  </si>
  <si>
    <t>Dirsək / d 63 mm / polipropilen</t>
  </si>
  <si>
    <t>Keçid / d 50 x 75 mm / polipropilen</t>
  </si>
  <si>
    <t>Dirsək / d 25 mm / polipropilen / 45°</t>
  </si>
  <si>
    <t>Mufta / d 25 mm / polipropilen</t>
  </si>
  <si>
    <t>Dirsək / d 40 mm / polipropilen / 45°</t>
  </si>
  <si>
    <t>Keçid / d 25 x 50 mm / polipropilen</t>
  </si>
  <si>
    <t>Dirsək / d 32 mm / PVC U /  90°</t>
  </si>
  <si>
    <t>Üçlük / d 25 x 20 mm / polipropilen</t>
  </si>
  <si>
    <t>Üz qoruyucu sipər / şəffav plastik</t>
  </si>
  <si>
    <t>Suqızdırıcısı / spirallı / "Cemsan" / Türkiyə istehsalı</t>
  </si>
  <si>
    <t>Tıxac / şurup üçün / 6-lıq / plastik</t>
  </si>
  <si>
    <t>Tıxac / şurup üçün / 10-luq / plastik</t>
  </si>
  <si>
    <t>Tıxac / plastik / şurup ilə</t>
  </si>
  <si>
    <t>Diyircəkli yastıq / 32309</t>
  </si>
  <si>
    <t>Diyircəkli yastıq / 62309</t>
  </si>
  <si>
    <t>Fırça / laqononda üçün / 3 İnch</t>
  </si>
  <si>
    <t>Fiksator / plastik / armatur üçün / 30/8-24</t>
  </si>
  <si>
    <t>Yanğınsöndürən balon</t>
  </si>
  <si>
    <t>Armatur başlığı / plastik / qoruyucu</t>
  </si>
  <si>
    <t>Xomut / boru üçün / metal / 149 x 161 mm</t>
  </si>
  <si>
    <t>Əhəng / söndürülmüş / 20 kq / "Bertaş"</t>
  </si>
  <si>
    <t>Ştuser / d 150 mm / polad</t>
  </si>
  <si>
    <t>Geodezik prizma / d 62 mm / "Leica"</t>
  </si>
  <si>
    <t>Filtr / yanacaq / "Sampiyon" / CS 0169M</t>
  </si>
  <si>
    <t>Filtr / yanacaq / "Sampiyon" / CS 1606M</t>
  </si>
  <si>
    <t>Filtr / yanacaq / "Sampiyon" / CS 1430MVL</t>
  </si>
  <si>
    <t>Filtr / yağ / "Sampiyon" / CS 1428</t>
  </si>
  <si>
    <t>Filtr / yanacaq / "Delsa" / DE 1001F</t>
  </si>
  <si>
    <t>Yağ / transmissiya / 80 W 90 / API GL-5 / 20Litr / "ALPINE" Almaniya istehsalı</t>
  </si>
  <si>
    <t>Jilet / fosforlu</t>
  </si>
  <si>
    <t>Hidravlik pompa / "Boring"</t>
  </si>
  <si>
    <t>Silikon / 250 ml</t>
  </si>
  <si>
    <t>Starter / avto</t>
  </si>
  <si>
    <t>Vibrator / beton üçün / portativ</t>
  </si>
  <si>
    <t>Karot ucu / d 75 mm x 110 mm / almaz</t>
  </si>
  <si>
    <t>Karot ucu / d 75 mm x 125 mm / almaz</t>
  </si>
  <si>
    <t>Karot ucu / d 90 mm x L 110 mm / almaz</t>
  </si>
  <si>
    <t>Şlanq / hidravlik / 330 Bar / 3/8 inch / L 155 mm / "FORCESTREAM"</t>
  </si>
  <si>
    <t>Şlanq / Hidravlik / 330 Bar / L 100 mm / 3/8 inch / "FORCESTREAM"</t>
  </si>
  <si>
    <t>Qaynaqçı dəbilgəsi</t>
  </si>
  <si>
    <t>Sipər çərçivəsi / şüşəsiz</t>
  </si>
  <si>
    <t>Su pompası / dalğıc / "SHIMGE" / 417 L/d</t>
  </si>
  <si>
    <t>Su pompası / dalğıc / 2.2 kvt / 14.5 metr / 400 L/d</t>
  </si>
  <si>
    <t>Qarmaq / 3 tonn</t>
  </si>
  <si>
    <t>Xomut / metal / torpaqlama üçün</t>
  </si>
  <si>
    <t>Qaynaq Aparatı / plastik boru üçün / 15 kvt / d 160-400 mm / "TURAN MAKINA"</t>
  </si>
  <si>
    <t>Qaynaq aparatı / plastik boru üçün / 3 kvt / d 63-160 mm / "TURAN MAKINA"</t>
  </si>
  <si>
    <t>Tezlik və gərginlik çeviricisi / "Wacker Neuson" / 2/042/200W / Almaniya istehsalı</t>
  </si>
  <si>
    <t>Nivelyator oxu / 4 ədədli</t>
  </si>
  <si>
    <t>Aragatı / rezin</t>
  </si>
  <si>
    <t>Starter / 30107817231</t>
  </si>
  <si>
    <t>Starter / "Denso" / YM 119717-77010 / Yaponiya istehsalı</t>
  </si>
  <si>
    <t>Bolt / ikitərəfli qaykalı / M18 L 200 mm</t>
  </si>
  <si>
    <t>Respirator / 2 kartric ilə</t>
  </si>
  <si>
    <t>Pika / 14 x 250 mm / perforator üçün</t>
  </si>
  <si>
    <t>Köynək / cibli / qəlibçi üçün</t>
  </si>
  <si>
    <t>Şalvar / qaynaqçı üçün</t>
  </si>
  <si>
    <t>Bolt-qayka / M20 / L 200 mm</t>
  </si>
  <si>
    <t>Sırğa / 6 tonn</t>
  </si>
  <si>
    <t>Boya / alüminium / 350° dözümlü / 0.85 Litr</t>
  </si>
  <si>
    <t>Sürtkü yağı / kauçuklu / KG-3 / "Greson"</t>
  </si>
  <si>
    <t>Tiner</t>
  </si>
  <si>
    <t>Boya / fasad / akril / "Expert" / 15 litr</t>
  </si>
  <si>
    <t>Yapışdırıcı / divar kağızı üçün / 150 gr</t>
  </si>
  <si>
    <t>Çıkic / sapı ilə/ 500 gr</t>
  </si>
  <si>
    <t>Pika / L 250</t>
  </si>
  <si>
    <t>Dişli qayıs / 9.5 x 1150 mm</t>
  </si>
  <si>
    <t>Dişli qayış / 13A1200C / "Dayco"</t>
  </si>
  <si>
    <t>Qayış / A71 / "Dongil"</t>
  </si>
  <si>
    <t>Elektrik lövhəsi / 300 x 400 x 165 mm</t>
  </si>
  <si>
    <t>Elektrik lövhəsi / 400 x 500 x 170 mm</t>
  </si>
  <si>
    <t>Səviyyəölçən / ultrasəs / "ATEK" / Türkiyə istehsalı</t>
  </si>
  <si>
    <t>Dişli qayış / 12.5 x 950 mm</t>
  </si>
  <si>
    <t>Qayış / 9.5 x 750 mm</t>
  </si>
  <si>
    <t>Qayış / 17 x 1100 mm</t>
  </si>
  <si>
    <t>Dişli qayış / 9.5 x 1200 mm</t>
  </si>
  <si>
    <t>Dişli qayış / 154 x 25.4 mm</t>
  </si>
  <si>
    <t>Kondisioner / split / mühərriksiz / "AUX"</t>
  </si>
  <si>
    <t>Disk / kəsici / laqonda üçün / d 180 mm</t>
  </si>
  <si>
    <t>Diyircəkli yastıq / 4T-HM 89410 / "NTN" / Yaponiya istehsalı</t>
  </si>
  <si>
    <t>Qayka / M20</t>
  </si>
  <si>
    <t>Təzyiq klapanı / boyler üçün</t>
  </si>
  <si>
    <t>Keçid / d 15 x 25 mm / metal</t>
  </si>
  <si>
    <t>Aragatı / paronit / d 110 mm</t>
  </si>
  <si>
    <t>Aragatı / paronit / d 150 mm</t>
  </si>
  <si>
    <t>Aragatı / metal / d 150 mm</t>
  </si>
  <si>
    <t>Aragatı / paronit / d 50 mm</t>
  </si>
  <si>
    <t>Aragatı / paronit / d 80 mm</t>
  </si>
  <si>
    <t>Aragatı / paronit / d 500 mm</t>
  </si>
  <si>
    <t>Manometr / 60 atm</t>
  </si>
  <si>
    <t>Rels / metal / 1 metr / elektrik lövhəsi üçün</t>
  </si>
  <si>
    <t>Dişli qayış / "Bomag" / 06312023</t>
  </si>
  <si>
    <t>Dişli qayış / XBZPZ 1175 La</t>
  </si>
  <si>
    <t>Dişli qayış / XPZ 775 La</t>
  </si>
  <si>
    <t>Dişli qayış / 4PK 863</t>
  </si>
  <si>
    <t>Dişli qayış / 17 x 1500 mm</t>
  </si>
  <si>
    <t>Qayış / 17 x 847 mm</t>
  </si>
  <si>
    <t>Dişli qayış / 12.5 x 1175 mm</t>
  </si>
  <si>
    <t>Dişli qayış / 12.5 x 775 mm</t>
  </si>
  <si>
    <t>Dişli qayış / 8944791010</t>
  </si>
  <si>
    <t>Dişli qayış / 15 x 1100 mm</t>
  </si>
  <si>
    <t>Dişli qayış / 12.5 x 1050 mm</t>
  </si>
  <si>
    <t>Dişli qayış / 13 x 1200 mm</t>
  </si>
  <si>
    <t>Dişli qayış / 9.5 x 1175 mm</t>
  </si>
  <si>
    <t>Reduktor / 1000-lik makina üçün</t>
  </si>
  <si>
    <t>Ələk / №20 / laboratoriya üçün / “Jeotest” / Türkiyə istehsalı</t>
  </si>
  <si>
    <t>Metal qab (tava) / d 300 mm / laboratoriya üçün</t>
  </si>
  <si>
    <t>Kasaqrande cihazı / bürünc qabı ilə / laboratoriya üçün / “Jeotest” / Türkiyə istehsalı</t>
  </si>
  <si>
    <t>Metal qab / 4 künc / qulplu / 520x520 mm / laboratoriya üçün</t>
  </si>
  <si>
    <t>Metal qab / 4 künc / 590x470 mm / laboratoriya üçün</t>
  </si>
  <si>
    <t>Elektrik mişar / 1380 Vt / d 185 mm / 5300 dövr/dəq / “Makute” Çin istehsalı</t>
  </si>
  <si>
    <t>Freza dişi / xüsusi texnika üçün</t>
  </si>
  <si>
    <t>Ekstraktor - yiv açan</t>
  </si>
  <si>
    <t>Şlanq / oksiqen</t>
  </si>
  <si>
    <t>Lobzik / elektrik / 500 Vt / GST700</t>
  </si>
  <si>
    <t>Keçid / d 250 x 280 mm / polietilen / "NTG" / Türkiyə istehsalı</t>
  </si>
  <si>
    <t>Keçid / d 250 x 315 mm / polietilen / "NTG" / Türkiyə istehsalı</t>
  </si>
  <si>
    <t>Dirsək (Угол) / d 350 mm / polietilen / 45°</t>
  </si>
  <si>
    <t>Keçid / d 160 x 280 mm / polietilen</t>
  </si>
  <si>
    <t>Üçlük / d 200 x 280 mm / polietilen</t>
  </si>
  <si>
    <t>Üçlük / d 160 x 225 mm / polietilen</t>
  </si>
  <si>
    <t>Dirsək / d 180 mm / polietilen / 45° / "Borfit" / Türkiyə istehsalı</t>
  </si>
  <si>
    <t>Adaptor / d 110 mm / polietilen / "Borfit" / Türkiyə istehsalı</t>
  </si>
  <si>
    <t>Üçlük / d 160 x 710 mm / polietilen / "Borfit" / Türkiyə istehsalı</t>
  </si>
  <si>
    <t>Üçlük / d 110 x 160 mm / polietilen / "Borfit" / Türkiyə istehsalı</t>
  </si>
  <si>
    <t>Qapaq / d 280 mm / polietilen / "Borfit" / Türkiyə istehsalı</t>
  </si>
  <si>
    <t>Qapaq / d 160 mm / polietilen / "Borfit" / Türkiyə istehsalı</t>
  </si>
  <si>
    <t>Qapaq / d 355 mm / polietilen / "Borfit" / Türkiyə istehsalı</t>
  </si>
  <si>
    <t>Keçid / d 90 x 110 mm / polietilen</t>
  </si>
  <si>
    <t>Dirsək / d 355 mm / polietilen / 45°</t>
  </si>
  <si>
    <t>Üçlük / d 250 x 355 mm / polietilen / "Borfit" / Türkiyə istehsalı</t>
  </si>
  <si>
    <t>Keçid / d 225 x 250 mm / polietilen / "NTG" / Türkiyə istehsalı</t>
  </si>
  <si>
    <t>Adaptor / d 355 mm / polietilen / "Borfit" / Türkiyə istehsalı</t>
  </si>
  <si>
    <t>Adaptor / d 225 mm / polietilen</t>
  </si>
  <si>
    <t>Adaptor / d 180 mm / polietilen / "Borfit" / Türkiyə istehsalı</t>
  </si>
  <si>
    <t>Adaptor / d 315 mm / polietilen</t>
  </si>
  <si>
    <t>Dirsək / d 280 mm / polietilen / 45° / "Borfit" / Türkiyə istehsalı</t>
  </si>
  <si>
    <t>Dirsək / d 160 mm / polietilen / 90° / "Borfit" / Türkiyə istehsalı</t>
  </si>
  <si>
    <t>Dirsək / d 315 mm / polietilen / 90°</t>
  </si>
  <si>
    <t>Dirsək / d 400 mm / polietilen / 45°</t>
  </si>
  <si>
    <t>Siyirtmə sükanı (maxovik) / kiçik ölçülü</t>
  </si>
  <si>
    <t>Siyirtmə sükanı (maxovik) / orta ölçülü</t>
  </si>
  <si>
    <t>Siyirtmə sükanı (maxovik) / böyük ölçülü</t>
  </si>
  <si>
    <t>Siyirtmə qapağı</t>
  </si>
  <si>
    <t>Başlıq / yanğın şlanqı üçün / alüminium</t>
  </si>
  <si>
    <t>Dirsək / d 63 mm / polietilen / 90° / "Borfit" / Türkiyə istehsalı</t>
  </si>
  <si>
    <t>Mufta / elektrofizyon / d 90 mm / polietilen / "Borfit" / Türkiyə istehsalı</t>
  </si>
  <si>
    <t>Keçid / d 32 x 63 mm / polietilen / "Borfit" / Türkiyə istehsalı</t>
  </si>
  <si>
    <t>Adaptor / d 90 mm / polietilen / "Borfit" / Türkiyə istehsalı</t>
  </si>
  <si>
    <t>Qapaq / d 90 mm / polietilen / "NTG" / Türkiyə istehsalı</t>
  </si>
  <si>
    <t>Dirsək / d 50 mm / polietilen / 90° / "Borfit" / Türkiyə istehsalı</t>
  </si>
  <si>
    <t>Dirsək / d 25 mm / polietilen / 90° / "Borfit" / Türkiyə istehsalı</t>
  </si>
  <si>
    <t>Dirsək / d 25 mm / polietilen / 45° / "TEGA" / Türkiyə istehsalı</t>
  </si>
  <si>
    <t>Üçlük / d 25 mm / polietilen / "Borfit" / Türkiyə istehsalı</t>
  </si>
  <si>
    <t>Adaptor / d 110 mm / polipropilen</t>
  </si>
  <si>
    <t>Üçlük / d 50x63 mm / polipropilen</t>
  </si>
  <si>
    <t>Üçlük / d 90 mm / polipropilen</t>
  </si>
  <si>
    <t>Dirsək / d 110 mm / 90° / polipropilen</t>
  </si>
  <si>
    <t>Konteyner / 12 metr</t>
  </si>
  <si>
    <t>Elevator korpusu / mühərrikli</t>
  </si>
  <si>
    <t>Ana piston dəsti / press / d1000 mm</t>
  </si>
  <si>
    <t>Rels / ana piston üçün / d1000 mm</t>
  </si>
  <si>
    <t>Ana piston dəsti / press / d2000 mm</t>
  </si>
  <si>
    <t>Ana piston dəsti / press / d1400 mm</t>
  </si>
  <si>
    <t>Başlıq / uran / d2500 mm</t>
  </si>
  <si>
    <t>Başlıq / uran / d2200 mm</t>
  </si>
  <si>
    <t>Başlıq / uran / d1000 mm</t>
  </si>
  <si>
    <t>Başlıq / uran / d1000 mm / ön parçası</t>
  </si>
  <si>
    <t>Ara tampon / d1000 mm / eni 600 mm</t>
  </si>
  <si>
    <t>Ara tampon / d1000 mm / eni 1250 mm</t>
  </si>
  <si>
    <t>Ara tampon / d1000 mm / eni 1180 mm</t>
  </si>
  <si>
    <t>Ara tampon / d1400 mm / eni 1900 mm</t>
  </si>
  <si>
    <t>Ara tampon / d1400 mm / eni 2040 mm</t>
  </si>
  <si>
    <t>Ara tampon / d1400 mm / eni 1180 mm</t>
  </si>
  <si>
    <t>Ara tampon / d 2160 mm / eni 1250 mm</t>
  </si>
  <si>
    <t>Ara tampon / d 2400 mm / eni 1500 mm</t>
  </si>
  <si>
    <t>Diyircəkli yastıq / d 1300 mm</t>
  </si>
  <si>
    <t>Başlıq / d 1000 mm / metal</t>
  </si>
  <si>
    <t>Artırma qolu / 540x240mm / 2000mm ara pistonu üçün</t>
  </si>
  <si>
    <t>Şlanq / hidravlik / d 25mm / L 8metr / 380 atm</t>
  </si>
  <si>
    <t>Ventilyator / 2.2 kvt / 8100 m³/saat / 940 d/d / ilbiz tipli / "Vents"</t>
  </si>
  <si>
    <t>Qaynaq aparatı / ütü / d 315 mm / polietilen boru üçün</t>
  </si>
  <si>
    <t>Generator / "NSM" / T100 LA / İtaliya istehsalı</t>
  </si>
  <si>
    <t>Generator / "NSM" / WS220 TDC / İtaliya istehsalı</t>
  </si>
  <si>
    <t>Generator / 7.5 kVA / dizel / "Power Tech"</t>
  </si>
  <si>
    <t>Armatur kəsən / hidravlik / d 36 mm / 4 kvt / 1500 d/d / "AFACAN" / Türkiyə istehsalı</t>
  </si>
  <si>
    <t>Lebyodka / 2 ton / 60 metr / elektrik mühərrikli</t>
  </si>
  <si>
    <t>Rəndə dəzgahı / 1800 Vt / 300 mm / 9000 d/d / "ЗУБР" / РС-330</t>
  </si>
  <si>
    <t>Generator / benzin / 3.0 kvt / AVR automatic</t>
  </si>
  <si>
    <t>Hasar / plastik</t>
  </si>
  <si>
    <t>Qazma qurğusu / horizantal şnekli / d 720 mm / 80-150 metr / 100 ton / Lazer nişanlı / "МЕМПЭКС" / МНБШ-600 / Belarus istehsalı</t>
  </si>
  <si>
    <t>Beton kəsən / "PALME" / PD13B / Türkiyə istehsalı</t>
  </si>
  <si>
    <t>Generator / dizel / 4.5 kvt / 220V / 50 Hz / IP23 / "FIRMAN" / SDG5500CLE / Çin istehsalı / 1 əd</t>
  </si>
  <si>
    <t>Generator / "ITC POWER" / Çin istehsalı</t>
  </si>
  <si>
    <t>Qaynaq Aparatı / 650A / 3 faza / 380V / 50/60 Hz / IP23 / "Gekamac" / RKM650 / Türkiyə istehsalı</t>
  </si>
  <si>
    <t>Armatur kəsən / hidravlik / 3 kvt / 380V / "Yakar Kardeşler" / YK2609 / Türkiyə istehsalı</t>
  </si>
  <si>
    <t>Generator / 6.5 kVA / 220A / 50 Hz / IP23 / 230-400V / "Antor HW" / Türkiyə istehsalı</t>
  </si>
  <si>
    <t>Generator / 8.5 kVA / dizel / 220-240V / 1 faza / "Bison" / BS11000DCE / Çin istehsalı</t>
  </si>
  <si>
    <t>Generator / 6.5 kvt / 230V / benzin / "AKSA" / AAP8000E / Türkiyə istehsalı</t>
  </si>
  <si>
    <t>Generator / 7.5 kvt / benzin / 220-230V / "KEMAN" / Çin istehsalı</t>
  </si>
  <si>
    <t>Armatur əyən / 3 kvt / 11 d/d / 380V / 3 faza / "AFACAN" / B36 / Türkiyə istehsalı</t>
  </si>
  <si>
    <t>Pərçimləmə dəzgahı / press</t>
  </si>
  <si>
    <t>Kompressor / 2.4 Atm / "IR Ingersoll Rand" / 7/3IE / İngiltərə istehsalı</t>
  </si>
  <si>
    <t>Generator / dizel / 36 kVt/ 1500 d/d / "AKSA" / A3CRX32T / Türk istehsalı</t>
  </si>
  <si>
    <t>Qazma qurğusu / horizantal şnekli / relsli</t>
  </si>
  <si>
    <t>Generator / dizel / "TOPOR"</t>
  </si>
  <si>
    <t>Boru / d 25 mm x 4.2 mm / polipropilen / 4 metr / "Metak"</t>
  </si>
  <si>
    <t>Boru / d 32 mm x 5.4 mm / polipropilen / 4 metr / "Metak"</t>
  </si>
  <si>
    <t>Boru / d 110 mm / PVC / 5 metr</t>
  </si>
  <si>
    <t>Boru / d 63 x 2.3 mm / polietilen / 6 metr</t>
  </si>
  <si>
    <t>Boru / d 25 x 2.4 mm / polietilen / 5.8 metr</t>
  </si>
  <si>
    <t>Boru / d 32 x 2 mm / polietilen / 4 metr</t>
  </si>
  <si>
    <t>Şnek / d 450 mm</t>
  </si>
  <si>
    <t>Şnek / d 400 mm</t>
  </si>
  <si>
    <t>Şnek / d 700 mm</t>
  </si>
  <si>
    <t>Şnek / d 600 mm</t>
  </si>
  <si>
    <t>Şnek / d 300 mm</t>
  </si>
  <si>
    <t>Tunel qəlibi / giriş-çıxış quyuları üçün</t>
  </si>
  <si>
    <t>Beton boru / d 1400 mm</t>
  </si>
  <si>
    <t>Beton boru / d 1000 mm</t>
  </si>
  <si>
    <t>Hasar / metal / torlu</t>
  </si>
  <si>
    <t>Boru / d 40 mm / polietilen / 53 metr</t>
  </si>
  <si>
    <t>Su sayğacı / d 100 mm / polad / filtr ilə</t>
  </si>
  <si>
    <t>Siyirtmə / d 150 mm</t>
  </si>
  <si>
    <t>Siyirtmə / d 80 mm</t>
  </si>
  <si>
    <t>Flans / d 110 mm / polad</t>
  </si>
  <si>
    <t>Flans / d 60 mm / polad</t>
  </si>
  <si>
    <t>Kompressor / "Pighon"</t>
  </si>
  <si>
    <t>Boru / polietilen / d 32 mm x 2 mm / 100 metr</t>
  </si>
  <si>
    <t>Boru / polietilen / d 32 mm x 2 mm / 200 metr</t>
  </si>
  <si>
    <t>Boru / polietilen / d 25 mm x 2.4 mm / 50 metr</t>
  </si>
  <si>
    <t>Boru / polietilen / d 25 x 2 mm / 52 metr</t>
  </si>
  <si>
    <t>Boru / koruqe / d 300 mm / 6 metr</t>
  </si>
  <si>
    <t>Boru / polietilen / d 225 mm / 4,9 metr</t>
  </si>
  <si>
    <t>Boru / PVC-U / d 160 mm / 6 metr</t>
  </si>
  <si>
    <t>Boru / PVC-U / d 110 mm / 6 metr</t>
  </si>
  <si>
    <t>Boru / polietilen / d 140 mm / 6 metr</t>
  </si>
  <si>
    <t>Boru / polietilen / d 160 mm / 5,5 metr</t>
  </si>
  <si>
    <t>Subasıncı / d100mm / mühərriklə / ilbiz tipli</t>
  </si>
  <si>
    <t>Su çəni / 1 tonn / plastik</t>
  </si>
  <si>
    <t>Bucurqad (Lebyodka) / mühərrik ilə</t>
  </si>
  <si>
    <t>Şlanq / hidravlik / 3/4 inch / 350 atm</t>
  </si>
  <si>
    <t>Seyf / İNV0000000245</t>
  </si>
  <si>
    <t>Hidrant</t>
  </si>
  <si>
    <t>Qaynaq aparatı (ütü) / d150mm / plastik boru üçün</t>
  </si>
  <si>
    <t>Su pompası / mühərriksiz / "AK Misan"</t>
  </si>
  <si>
    <t>Qazma başlıqı / d 750mm</t>
  </si>
  <si>
    <t>Qazma başlıqı / d 560mm</t>
  </si>
  <si>
    <t>Dairə / metal / 1000x25mm</t>
  </si>
  <si>
    <t>Qapaq / flyanslı / metal / 500x30mm</t>
  </si>
  <si>
    <t>Qapaq / flyanslı / metal / 555x34mm</t>
  </si>
  <si>
    <t>Qapaq / flyanslı / metal / 605x20mm</t>
  </si>
  <si>
    <t>Servis birləşməsi / elektrofizyon / d 110 x 32 mm / "Borfit" / Türkiyə istehsalı</t>
  </si>
  <si>
    <t>Servis birləşməsi / elektrofizyon / d 110 x 40 mm / "Borfit" / Türkiyə istehsalı</t>
  </si>
  <si>
    <t>Servis birləşməsi / elektrofizyon / d 110 x 63 mm / "Borfit" / Türkiyə istehsalı</t>
  </si>
  <si>
    <t>Servis birləşməsi / elektrofizyon / d 63 x 280 mm / "Borfit" / Türkiyə istehsalı</t>
  </si>
  <si>
    <t>Servis birləşməsi / elektrofizyon / d 40 x 280 mm / "Borfit" / Türkiyə istehsalı</t>
  </si>
  <si>
    <t>Servis birləşməsi / elektrofizyon / d 32 x 90 mm / "Borfit" / Türkiyə istehsalı</t>
  </si>
  <si>
    <t>Servis birləşməsi / elektrofizyon / d 32 x 63 mm / "Borfit" / Türkiyə istehsalı</t>
  </si>
  <si>
    <t>Servis birləşməsi / elektrofizyon / d 40 x 63 mm / "Borfit" / Türkiyə istehsalı</t>
  </si>
  <si>
    <t>Servis birləşməsi / elektrofizyon / d 40 x 90 mm / "Borfit" / Türkiyə istehsalı</t>
  </si>
  <si>
    <t>Servis birləşməsi / elektrofizyon / d 32 x 40 mm / "TEGA" / Türkiyə istehsalı</t>
  </si>
  <si>
    <t>Dirsək / d 110 mm / polietilen / 90°</t>
  </si>
  <si>
    <t>Dirsək / d 180 mm / polietilen / 90°</t>
  </si>
  <si>
    <t>Dirsək / d 110 mm / polietilen / 45°</t>
  </si>
  <si>
    <t>Adaptor / d 160 mm / polietilen</t>
  </si>
  <si>
    <t>Üçlük / d 110 mm / polietilen / 5 əd / "Borfit" / Türkiyə istehsalı</t>
  </si>
  <si>
    <t>Adaptor / d 180 mm / polietilen / 1 əd / "Borfit" / Türkiyə istehsalı</t>
  </si>
  <si>
    <t>Adaptor / d 50 mm / polietilen / "Borfit" / Türkiyə istehsalı</t>
  </si>
  <si>
    <t>Adaptor / d 63 mm / polietilen / "Borfit" / Türkiyə istehsalı</t>
  </si>
  <si>
    <t>Dirsək / d 90 mm / polietilen / 90° / "Titz"</t>
  </si>
  <si>
    <t>Üçlük / d 63 x 110 mm / polietilen / "Borfit" / Türkiyə istehsalı</t>
  </si>
  <si>
    <t>Üçlük / d 75 x 110 mm / polietilen / "Borfit" / Türkiyə istehsalı</t>
  </si>
  <si>
    <t>Keçid / d 63 x 90 mm / polietilen / "Borfit" / Türkiyə istehsalı</t>
  </si>
  <si>
    <t>Keçid / d 50 x 90 mm / polietilen / "Borfit" / Türkiyə istehsalı</t>
  </si>
  <si>
    <t>Dirsək / d 63 mm / 90° / polietilen / 6 əd / "Borfit" / Türkiyə istehsalı</t>
  </si>
  <si>
    <t>Dirsək / d 63 mm / 45° / polietilen / "Tega" / Türkiyə istehsalı</t>
  </si>
  <si>
    <t>Qapaq / d 110 mm / polietilen / "Borfit" / Türkiyə istehsalı</t>
  </si>
  <si>
    <t>Üçlük / d 50 mm / polietilen / "Borfit" / Türkiyə istehsalı</t>
  </si>
  <si>
    <t>Keçid / d 255 x 310 mm / polad</t>
  </si>
  <si>
    <t>Keçid / d 125 x 155 mm / polad</t>
  </si>
  <si>
    <t>Keçid / d 100 x 155 mm / polad</t>
  </si>
  <si>
    <t>Keçid / d 75 x 95 mm / polad</t>
  </si>
  <si>
    <t>Keçid / d 90 x 150 mm / polad</t>
  </si>
  <si>
    <t>Qapaq / d 150 mm / polad</t>
  </si>
  <si>
    <t>Dirsək / d 260 mm / polad</t>
  </si>
  <si>
    <t>Dirsək / d 65 mm / polad / 90°</t>
  </si>
  <si>
    <t>Dirsək / d 160 mm / polad / 45°</t>
  </si>
  <si>
    <t>Dirsək / d 100 mm / polad / 45°</t>
  </si>
  <si>
    <t>Dirsək / d 310 mm / polad / 45°</t>
  </si>
  <si>
    <t>Dirsək / d 200 mm / polad / 45°</t>
  </si>
  <si>
    <t>Üçlük / d 150 mm / polad</t>
  </si>
  <si>
    <t>Üçlük / d 150 x 95 mm / polad</t>
  </si>
  <si>
    <t>Dirsək / d 205 mm / 90° / polad</t>
  </si>
  <si>
    <t>Dirsək / d 93 mm / 90° / polad</t>
  </si>
  <si>
    <t>Flyans / d 65 mm / polad</t>
  </si>
  <si>
    <t>Dirsək / d 90 mm / polad / 90° / flyanslı</t>
  </si>
  <si>
    <t>Dirsək / d 60 mm / polad / 90° / flyanslı</t>
  </si>
  <si>
    <t>Karot ucu / d 102 mm / L 420 mm</t>
  </si>
  <si>
    <t>Karot ucu / d 40 mm / L 420 mm</t>
  </si>
  <si>
    <t>Karot ucu / d 165 mm / L 400 mm</t>
  </si>
  <si>
    <t>Karot ucu / d 220 mm / L 400 mm</t>
  </si>
  <si>
    <t>Giloz açarı</t>
  </si>
  <si>
    <t>Kəsici / d 120 mm / almaz / perforator üçün</t>
  </si>
  <si>
    <t>Kəsici / d 50 mm / almaz / perforator üçün</t>
  </si>
  <si>
    <t>Burğu / taxta üçün / d 25 mm</t>
  </si>
  <si>
    <t>Qaz balonu / farsunka ilə</t>
  </si>
  <si>
    <t>Valik / 10-luq</t>
  </si>
  <si>
    <t>Yol nişanı "Hərəkət qadağandır"</t>
  </si>
  <si>
    <t>Yol nişanı "Yol ver"</t>
  </si>
  <si>
    <t>Yol nişanı "Sürət 40 km/s"</t>
  </si>
  <si>
    <t>Printer / A3 / color / "EPSON" / L15160  / İndoneziya istehsalı</t>
  </si>
  <si>
    <t>İzolyasiya materialı / boru üçün / 28/5/100</t>
  </si>
  <si>
    <t>Kanistr / plastik / 20 litr</t>
  </si>
  <si>
    <t>Profil / "U" / 50mm x 4metr / alçıpan üçün</t>
  </si>
  <si>
    <t>Su dispenseri / "Beko"</t>
  </si>
  <si>
    <t>Su dispenseri / "Silver"</t>
  </si>
  <si>
    <t>Soyuducu / 2 kameralı / "STINOL"</t>
  </si>
  <si>
    <t>Kondisioner mühərriki / "AUX"</t>
  </si>
  <si>
    <t>Su qızdırıcı "SHIVAKI"</t>
  </si>
  <si>
    <t>Vedrə plastik</t>
  </si>
  <si>
    <t>Təkər / lesə üçün</t>
  </si>
  <si>
    <t>Sıxıcı plastik</t>
  </si>
  <si>
    <t>Xomut d 180 x 315 mm / elektrofiziyon servis birləşməsi üçün</t>
  </si>
  <si>
    <t>Sututucu bant / 20sm x 2.5 metr</t>
  </si>
  <si>
    <t>Sututucu bant / 17sm x 5 met</t>
  </si>
  <si>
    <t>Araqatı / d 200 mm / boru üçün / qara</t>
  </si>
  <si>
    <t>Araqatı / d 1500 mm / boru üçün / qara</t>
  </si>
  <si>
    <t>Araqatı / d 300 mm / boru üçün / qara</t>
  </si>
  <si>
    <t>Araqatı / d 400 mm / boru üçün / qara</t>
  </si>
  <si>
    <t>Araqatı / d 250 mm / boru üçün / qara</t>
  </si>
  <si>
    <t>Araqatı / d 200 mm / boru üçün / ağ</t>
  </si>
  <si>
    <t>Araqatı / d 150 mm / boru üçün / qara</t>
  </si>
  <si>
    <t>Kabel / alüminium / 4 damarlı / 50metr</t>
  </si>
  <si>
    <t>Kabel / alüminium / 4 damarlı / 30metr</t>
  </si>
  <si>
    <t>Kabel / alüminium / 4 damarlı / 77metr</t>
  </si>
  <si>
    <t>Kabel / alüminium / 4 damarlı / 72metr</t>
  </si>
  <si>
    <t>Boru / d 32 mm / polietilen / 47.5 metr</t>
  </si>
  <si>
    <t>Şlanq / beton vibratoru üçün / metal başlıqlı</t>
  </si>
  <si>
    <t>Təkər / 315/80/22.5 R / "Pirelli" / FR25</t>
  </si>
  <si>
    <t>Kabel / 4x2.5 mm² / 300/500 / H05VV-F / "Astel" / Türkiyə istehsalı</t>
  </si>
  <si>
    <t>Elektrik mühərrik</t>
  </si>
  <si>
    <t>Qaynaq elektrodu / 4.0 x 350 mm / 5 kq / 578</t>
  </si>
  <si>
    <t>Perforator / "Bosch"</t>
  </si>
  <si>
    <t>Metal hissələr / ağır texnika üçün</t>
  </si>
  <si>
    <t>Boya / parlaq emal / 2.5 litr</t>
  </si>
  <si>
    <t>Kürək / saplı</t>
  </si>
  <si>
    <t>Ankerbolt / L şəkilli</t>
  </si>
  <si>
    <t>Tıxaç / şurup üçün / plastik</t>
  </si>
  <si>
    <t>Mufta / elektrofuzion / d 90 mm / polietilen / "Borfit" / Türkiyə istehsalı</t>
  </si>
  <si>
    <t>Mufta / elektrofuzion / d 40 mm / polietilen / "Borfit" / Türkiyə istehsalı</t>
  </si>
  <si>
    <t>Mufta / elektrofuzion / d 32 mm / polietilen / "Borfit" / Türkiyə istehsalı</t>
  </si>
  <si>
    <t>Nərdivan / metal / 7 pilləli</t>
  </si>
  <si>
    <t>Akkumulyator / 12V / 100AH / Ca-Ca / "Energy" / Türkiyə istehsalı</t>
  </si>
  <si>
    <t>Ankerbolt / M10 / L 130 mm</t>
  </si>
  <si>
    <t>Ankerbolt / M12 / L 130 mm</t>
  </si>
  <si>
    <t>Qayka / M14</t>
  </si>
  <si>
    <t>Qayka / M18</t>
  </si>
  <si>
    <t>Beton vibratorun mühərriki</t>
  </si>
  <si>
    <t>Bolt / M38 / L 750 mm</t>
  </si>
  <si>
    <t>Beton vibratoru / portativ</t>
  </si>
  <si>
    <t>Sınaq pompası / hidravlik / "Ekeryil"</t>
  </si>
  <si>
    <t>Elektrik qızdırıcı / spirallı / kərpicli</t>
  </si>
  <si>
    <t>Su qızdırıcısı / qazla işləyən / 20 litr</t>
  </si>
  <si>
    <t>Əqrəb / metal / alçıpan profili üçün</t>
  </si>
  <si>
    <t>Şlanq / kapron / 12 mm</t>
  </si>
  <si>
    <t>Xomut / flyanslı / metal / d 250 mm</t>
  </si>
  <si>
    <t>Pika / pnevmatik çəkic üçün</t>
  </si>
  <si>
    <t>Pika / Perforator üçün</t>
  </si>
  <si>
    <t>Burğu / 14-lük</t>
  </si>
  <si>
    <t>Flyans / d 235 mm / polad</t>
  </si>
  <si>
    <t>Flyans / d 220 mm / polad</t>
  </si>
  <si>
    <t>Flyans / d 130 mm / polad</t>
  </si>
  <si>
    <t>Flyans / d 125 mm / polad</t>
  </si>
  <si>
    <t>Flyans / d 110 / polad</t>
  </si>
  <si>
    <t>Elektrik qızdırıcı / yağ radiatoru / 2400 vt / "Saachi"</t>
  </si>
  <si>
    <t>Qaz plitəsi / 1 gözlü</t>
  </si>
  <si>
    <t>Klapan / d 125 mm / kəpənək tipli / "Duyar" / Türkiyə istehsalı</t>
  </si>
  <si>
    <t>Otbiçən / elektrik / "Denzel"</t>
  </si>
  <si>
    <t>Rels / elektrik lövhəsi üçün / 1 metr</t>
  </si>
  <si>
    <t>Boru / polad / d 20 mm / 2 metr</t>
  </si>
  <si>
    <t>Su pompası / dalğıc / 0.75 kvt / 250 L/d / 10 metr / "SNçlIMGE"</t>
  </si>
  <si>
    <t>Su pompası / "Seakoo"</t>
  </si>
  <si>
    <t>Bolt / M12 / L 80 mm</t>
  </si>
  <si>
    <t>Bolt / M16 / L 80 mm</t>
  </si>
  <si>
    <t>Bolt / M10 / L 100 mm</t>
  </si>
  <si>
    <t>Bolt / M20 / L 80 mm</t>
  </si>
  <si>
    <t>Ankerbolt / M16 / L 250 mm</t>
  </si>
  <si>
    <t>Ankerbolt / M16 / L 100 mm</t>
  </si>
  <si>
    <t>Ankerbolt / M16 / L 200 mm</t>
  </si>
  <si>
    <t>Mufta / elektrofizyon / d 40 mm / polietilen</t>
  </si>
  <si>
    <t>Mufta / elektrofizyon / d 90 mm / polietilen</t>
  </si>
  <si>
    <t>Mufta / PVC / d 110</t>
  </si>
  <si>
    <t>Dirsək / PVC / d 110 / 90°</t>
  </si>
  <si>
    <t>Keçid / PVC / d 50 x 75 mm</t>
  </si>
  <si>
    <t>Üçlük / PVC / d 50 mm</t>
  </si>
  <si>
    <t>Qapaq / PVC / d 110 mm</t>
  </si>
  <si>
    <t>Üçlük / PVC / d 50 x d 110 mm</t>
  </si>
  <si>
    <t>Üçlük / PVC / d 50 mm / 45°</t>
  </si>
  <si>
    <t>Dirsək / PVC / d 110 mm / 45° / unitaz üçün</t>
  </si>
  <si>
    <t>Üçlük / PVC / d 110 mm</t>
  </si>
  <si>
    <t>Xomut / metal / d 25 x 28 mm / 3/4 inch</t>
  </si>
  <si>
    <t>Hidrant açarı</t>
  </si>
  <si>
    <t>Flyans / d 175 mm / polad</t>
  </si>
  <si>
    <t>Flyans / d 100 mm / polad</t>
  </si>
  <si>
    <t>Flyans / d 160 mm / polad</t>
  </si>
  <si>
    <t>Su pompası / 250 Vt / 75 L/d / H 10m / "Shimge"</t>
  </si>
  <si>
    <t>Elektrik soket / 32A / İP 67 / "TP Elektric" / Türkiyə istehsalı"</t>
  </si>
  <si>
    <t>Elektrik soket / 63A / İP 44 / "Bemis" / Türkiyə istehsalı"</t>
  </si>
  <si>
    <t>Elektrik soket / 63A / İP 67 / "Bemis" / Türkiyə istehsalı"</t>
  </si>
  <si>
    <t>Elektrik soket / 32A / İP 44 / "Bemis" / Türkiyə istehsalı"</t>
  </si>
  <si>
    <t>Elektrik uzadıcı / 3 faza / 32A soket ilə</t>
  </si>
  <si>
    <t>Qayçı / armatur üçün / 42 inch</t>
  </si>
  <si>
    <t>Dirsək / polietilen / d 63mm / 90°</t>
  </si>
  <si>
    <t>Bolt / M30 / L 150 mm</t>
  </si>
  <si>
    <t>Bolt / ikitərəfli qaykalı / M28 / L 150 mm</t>
  </si>
  <si>
    <t>Qayka / M30</t>
  </si>
  <si>
    <t>Bolt-qayka / M18 / L 70 mm</t>
  </si>
  <si>
    <t>Bolt-qayka / M18 / L 100 mm</t>
  </si>
  <si>
    <t>Bolt-qayka / M16 / L 100 mm</t>
  </si>
  <si>
    <t>Şayba / M16</t>
  </si>
  <si>
    <t>Bolt / M18 / L90 mm</t>
  </si>
  <si>
    <t>Bolt / M26 / L150 mm</t>
  </si>
  <si>
    <t>Qayış / 17x2000 La</t>
  </si>
  <si>
    <t>Rezin kant / qırmızı / İsveçrə istehsalı</t>
  </si>
  <si>
    <t>Transportyor lenti / eni 300 mm</t>
  </si>
  <si>
    <t>Fırça / metal / 4 inch / laqonda üçün</t>
  </si>
  <si>
    <t>Tıxac / şurup üçün</t>
  </si>
  <si>
    <t>Şayba / d 22mm</t>
  </si>
  <si>
    <t>Su pompası / 0.37 kW / 5-33 L/d / H35 m / hidroforla / "SKOM"</t>
  </si>
  <si>
    <t>Dirsək / d 20 mm / polipropilen / 90°</t>
  </si>
  <si>
    <t>Keçid / d 20mm x 1/2 inch / polipropilen / iç yiv</t>
  </si>
  <si>
    <t>Keçid / d 20 mm / polipropilen / çöl yiv</t>
  </si>
  <si>
    <t>Başlıq / cilalayıcı kağız üçün / d 180 mm</t>
  </si>
  <si>
    <t>Pər / mühərrikli / havalandırma sistemi üçün</t>
  </si>
  <si>
    <t>Pnevmatik çəkic</t>
  </si>
  <si>
    <t>Xomut / PVC / d 75 mm</t>
  </si>
  <si>
    <t>Xomut / PVC / d 100 mm</t>
  </si>
  <si>
    <t>Keçid / elektrik kabel üçün / PG29 / IP68</t>
  </si>
  <si>
    <t>Dişli qayış / 9.5x1275 La (RPF) / “Bando”</t>
  </si>
  <si>
    <t>Dişli qayış / 9.5x1150 La (RPF) / “Bando”</t>
  </si>
  <si>
    <t>Xomut / metal / d 216 x 226 mm</t>
  </si>
  <si>
    <t>Siren / sənaye / 115 desibel / "Selay" Türkiyə istehsalı</t>
  </si>
  <si>
    <t>Filtr / hava / ДФВ 5806 / Rusiya istehsalı</t>
  </si>
  <si>
    <t>Su pompası / 2200 Vt / 1300 L/d / H 18.5 m / “Shimge”</t>
  </si>
  <si>
    <t>Su pompası / 5.5 kVt / 1400 L/d / “Grandfar”</t>
  </si>
  <si>
    <t>Dişli çarx / d 800 mm / flyanslı</t>
  </si>
  <si>
    <t>Kabel / başlıqlı</t>
  </si>
  <si>
    <t>Xomut / metal / d 158 x 170 mm / boru üçün</t>
  </si>
  <si>
    <t>Xomut / metal / d 109 x 119 mm / boru üçün</t>
  </si>
  <si>
    <t>Xomut / metal / d 60 x 66 mm / boru üçün</t>
  </si>
  <si>
    <t>Sırğa / 17 tonn</t>
  </si>
  <si>
    <t>Su pompası / MMF15AM</t>
  </si>
  <si>
    <t>Kabel / 24 x 1.5</t>
  </si>
  <si>
    <t>Disk / kəsici / almaz / d 350 mm</t>
  </si>
  <si>
    <t>Elektrik lövhəsi / 600 x 795 mm / avtomat və kontaktor ilə</t>
  </si>
  <si>
    <t>Masa / 695x119mm / ağ</t>
  </si>
  <si>
    <t>Mətbəx çanağı (moyka) / paslanmayan metl / ikili</t>
  </si>
  <si>
    <t>Ləğən (taz) / alüminium / 620mm / mətbəx üçün</t>
  </si>
  <si>
    <t>Ətçəkən / elektrik</t>
  </si>
  <si>
    <t>Ventilyator / dayaqlı</t>
  </si>
  <si>
    <t>Qazan / alüminium / 495mm</t>
  </si>
  <si>
    <t>Tava / 410mm / mətbəx üçün</t>
  </si>
  <si>
    <t>Qazan / alüminium / 730mm</t>
  </si>
  <si>
    <t>Ləğən (taz) / emallı / mətbəx üçün</t>
  </si>
  <si>
    <t>Samovar / elektrik / mətbəx üçün</t>
  </si>
  <si>
    <t>Soba / mikrodalğalı / "Quicks"</t>
  </si>
  <si>
    <t>Aspitaror / mətbəx üçün</t>
  </si>
  <si>
    <t>Qaz plitəsi / masaüstü / 1 gözlü</t>
  </si>
  <si>
    <t>Qaz plitəsi / masaüstü / 2 gözlü</t>
  </si>
  <si>
    <t>Qaz plitəsi / masaüstü / 4 gözlü</t>
  </si>
  <si>
    <t>Aşsüzən / 450mm / metal</t>
  </si>
  <si>
    <t>Qazan / alüminium / 400mm</t>
  </si>
  <si>
    <t>Qazan / alüminium / 440mm</t>
  </si>
  <si>
    <t>Çaydan / alüminium / 4-5 litr</t>
  </si>
  <si>
    <t>Yataq / açilıb bağlanan /</t>
  </si>
  <si>
    <t>Kreslo / parça</t>
  </si>
  <si>
    <t>Paltaryuyan maşın / "Midea"</t>
  </si>
  <si>
    <t>Masa / 700x1400mm</t>
  </si>
  <si>
    <t>Elektrik lövhəsi / 300x400mm</t>
  </si>
  <si>
    <t>Oturacaq</t>
  </si>
  <si>
    <t>Masa / 500x950 mm</t>
  </si>
  <si>
    <t>Masa / 500x700 mm</t>
  </si>
  <si>
    <t>Sənəd dolabı / 700x1320mm</t>
  </si>
  <si>
    <t>Su qızdırıcı / elektrik / 80litr</t>
  </si>
  <si>
    <t>Nivelyator dayağı / üçayaq</t>
  </si>
  <si>
    <t>Nivelyator oxu</t>
  </si>
  <si>
    <t>Qaynaq aparatı (ütü) / plastik boru üçün</t>
  </si>
  <si>
    <t>Reduktor / oksiqen balonu üçün</t>
  </si>
  <si>
    <t>Kabel / 50x0.5</t>
  </si>
  <si>
    <t>Ətçəkən / elektrik / "Hausberg"</t>
  </si>
  <si>
    <t>Soyuducu / 800x480mm / vertikal / 1 kameralı / "Arçelik"</t>
  </si>
  <si>
    <t>Masa / metal / 3050x760mm</t>
  </si>
  <si>
    <t>Masa / ofis / 1420x700mm</t>
  </si>
  <si>
    <t>Dolab / sənəd / 500x910mm</t>
  </si>
  <si>
    <t>Soyuducu / horizontal / 630x1000mm</t>
  </si>
  <si>
    <t>Masa / plastik / 790x1290mm</t>
  </si>
  <si>
    <t>Yazı lövhəsi / 1000x1400mm</t>
  </si>
  <si>
    <t>Oturacaq / plastik</t>
  </si>
  <si>
    <t>Oturacaq / parça</t>
  </si>
  <si>
    <t>Termos</t>
  </si>
  <si>
    <t>Su qızdırıcı / elektrik / 250 litr</t>
  </si>
  <si>
    <t>Soyuducu / vertikal / 2 kameralı / "İndesit"</t>
  </si>
  <si>
    <t>Soba dolabı / qaz / 3 plitəli</t>
  </si>
  <si>
    <t>Soyuducu / vertikal / "Dixell"</t>
  </si>
  <si>
    <t>Qazan / d 400mm / alüminium</t>
  </si>
  <si>
    <t>Qazan / d 340mm / alüminium</t>
  </si>
  <si>
    <t>Dolab / 2 qapılı/ 690x680mm</t>
  </si>
  <si>
    <t>Masa / metal / 165x59mm</t>
  </si>
  <si>
    <t>Masa / metal / 740x980mm</t>
  </si>
  <si>
    <t>Mətbəx çanağı (moyka) / emallı / 800x800mm</t>
  </si>
  <si>
    <t>Rəf / 940x430mm / 3 pilləli</t>
  </si>
  <si>
    <t>Masa / ofis / 690x1330mm</t>
  </si>
  <si>
    <t>Dolab / sənəd / 800x1800mm</t>
  </si>
  <si>
    <t>VÖEN</t>
  </si>
  <si>
    <t>Kontragentin adı</t>
  </si>
  <si>
    <t>Müqavilə nömrəsi</t>
  </si>
  <si>
    <t>Anbar qalığı</t>
  </si>
  <si>
    <t>Malın miqdarı</t>
  </si>
  <si>
    <t>Vahidin qiyməti</t>
  </si>
  <si>
    <t>Ümumi məbləğ</t>
  </si>
  <si>
    <t>Alınma üsulu</t>
  </si>
  <si>
    <t>Müqavilə tarixi</t>
  </si>
  <si>
    <t>Əvvələ qalıq</t>
  </si>
  <si>
    <t>"Sabiroğlu" MMC</t>
  </si>
  <si>
    <t>LG-150/26</t>
  </si>
  <si>
    <t>Tarix</t>
  </si>
  <si>
    <t>Ələt anbar</t>
  </si>
  <si>
    <t>Xocahəsən anbar</t>
  </si>
  <si>
    <t>Astara anbar</t>
  </si>
  <si>
    <t>Kontragentin / Layihənin adı</t>
  </si>
  <si>
    <t>0000617</t>
  </si>
  <si>
    <t>Növü</t>
  </si>
  <si>
    <t>Anbar / Şirkət</t>
  </si>
  <si>
    <t>Kommersiya şirkəti</t>
  </si>
  <si>
    <t>Sahə üzrə məsul şəxs</t>
  </si>
  <si>
    <t>Giriş miqdarı</t>
  </si>
  <si>
    <t>Çıxış miqdarı</t>
  </si>
  <si>
    <t>Ələt</t>
  </si>
  <si>
    <t>Astara</t>
  </si>
  <si>
    <t xml:space="preserve">Giriş miqdarı </t>
  </si>
  <si>
    <t xml:space="preserve">Çıxış miqdarı </t>
  </si>
  <si>
    <t xml:space="preserve">Anbar qalığı </t>
  </si>
  <si>
    <t>Ölçü vahidi</t>
  </si>
  <si>
    <t>ədəd</t>
  </si>
  <si>
    <t>dəst</t>
  </si>
  <si>
    <t>paçka</t>
  </si>
  <si>
    <t>rulon</t>
  </si>
  <si>
    <t>cüt</t>
  </si>
  <si>
    <t>metr</t>
  </si>
  <si>
    <t>kisə</t>
  </si>
  <si>
    <t>kq</t>
  </si>
  <si>
    <t>qab</t>
  </si>
  <si>
    <t>top</t>
  </si>
  <si>
    <t>0000001</t>
  </si>
  <si>
    <t>0000002</t>
  </si>
  <si>
    <t>0000003</t>
  </si>
  <si>
    <t>0000004</t>
  </si>
  <si>
    <t>0000005</t>
  </si>
  <si>
    <t>0000006</t>
  </si>
  <si>
    <t>0000007</t>
  </si>
  <si>
    <t>0000008</t>
  </si>
  <si>
    <t>0000009</t>
  </si>
  <si>
    <t>0000010</t>
  </si>
  <si>
    <t>0000011</t>
  </si>
  <si>
    <t>0000012</t>
  </si>
  <si>
    <t>0000013</t>
  </si>
  <si>
    <t>0000014</t>
  </si>
  <si>
    <t>0000015</t>
  </si>
  <si>
    <t>0000016</t>
  </si>
  <si>
    <t>0000017</t>
  </si>
  <si>
    <t>0000018</t>
  </si>
  <si>
    <t>0000019</t>
  </si>
  <si>
    <t>0000020</t>
  </si>
  <si>
    <t>0000021</t>
  </si>
  <si>
    <t>0000022</t>
  </si>
  <si>
    <t>0000023</t>
  </si>
  <si>
    <t>0000024</t>
  </si>
  <si>
    <t>0000025</t>
  </si>
  <si>
    <t>0000026</t>
  </si>
  <si>
    <t>0000027</t>
  </si>
  <si>
    <t>0000028</t>
  </si>
  <si>
    <t>0000029</t>
  </si>
  <si>
    <t>0000030</t>
  </si>
  <si>
    <t>0000031</t>
  </si>
  <si>
    <t>0000032</t>
  </si>
  <si>
    <t>0000033</t>
  </si>
  <si>
    <t>0000034</t>
  </si>
  <si>
    <t>0000035</t>
  </si>
  <si>
    <t>0000036</t>
  </si>
  <si>
    <t>0000037</t>
  </si>
  <si>
    <t>0000038</t>
  </si>
  <si>
    <t>0000039</t>
  </si>
  <si>
    <t>0000040</t>
  </si>
  <si>
    <t>0000041</t>
  </si>
  <si>
    <t>0000042</t>
  </si>
  <si>
    <t>0000043</t>
  </si>
  <si>
    <t>0000044</t>
  </si>
  <si>
    <t>0000045</t>
  </si>
  <si>
    <t>0000046</t>
  </si>
  <si>
    <t>0000047</t>
  </si>
  <si>
    <t>0000048</t>
  </si>
  <si>
    <t>0000049</t>
  </si>
  <si>
    <t>0000050</t>
  </si>
  <si>
    <t>0000051</t>
  </si>
  <si>
    <t>0000052</t>
  </si>
  <si>
    <t>0000053</t>
  </si>
  <si>
    <t>0000054</t>
  </si>
  <si>
    <t>0000055</t>
  </si>
  <si>
    <t>0000056</t>
  </si>
  <si>
    <t>0000057</t>
  </si>
  <si>
    <t>0000058</t>
  </si>
  <si>
    <t>0000059</t>
  </si>
  <si>
    <t>0000060</t>
  </si>
  <si>
    <t>0000061</t>
  </si>
  <si>
    <t>0000062</t>
  </si>
  <si>
    <t>0000063</t>
  </si>
  <si>
    <t>0000064</t>
  </si>
  <si>
    <t>0000065</t>
  </si>
  <si>
    <t>0000066</t>
  </si>
  <si>
    <t>0000067</t>
  </si>
  <si>
    <t>0000068</t>
  </si>
  <si>
    <t>0000069</t>
  </si>
  <si>
    <t>0000070</t>
  </si>
  <si>
    <t>0000071</t>
  </si>
  <si>
    <t>0000072</t>
  </si>
  <si>
    <t>0000073</t>
  </si>
  <si>
    <t>0000074</t>
  </si>
  <si>
    <t>0000075</t>
  </si>
  <si>
    <t>0000076</t>
  </si>
  <si>
    <t>0000077</t>
  </si>
  <si>
    <t>0000078</t>
  </si>
  <si>
    <t>0000079</t>
  </si>
  <si>
    <t>0000080</t>
  </si>
  <si>
    <t>0000081</t>
  </si>
  <si>
    <t>0000082</t>
  </si>
  <si>
    <t>0000083</t>
  </si>
  <si>
    <t>0000084</t>
  </si>
  <si>
    <t>0000085</t>
  </si>
  <si>
    <t>0000086</t>
  </si>
  <si>
    <t>0000087</t>
  </si>
  <si>
    <t>0000088</t>
  </si>
  <si>
    <t>0000089</t>
  </si>
  <si>
    <t>0000090</t>
  </si>
  <si>
    <t>0000091</t>
  </si>
  <si>
    <t>0000092</t>
  </si>
  <si>
    <t>0000093</t>
  </si>
  <si>
    <t>0000094</t>
  </si>
  <si>
    <t>0000095</t>
  </si>
  <si>
    <t>0000096</t>
  </si>
  <si>
    <t>0000097</t>
  </si>
  <si>
    <t>0000098</t>
  </si>
  <si>
    <t>0000099</t>
  </si>
  <si>
    <t>0000100</t>
  </si>
  <si>
    <t>0000101</t>
  </si>
  <si>
    <t>0000102</t>
  </si>
  <si>
    <t>0000103</t>
  </si>
  <si>
    <t>0000104</t>
  </si>
  <si>
    <t>0000105</t>
  </si>
  <si>
    <t>0000106</t>
  </si>
  <si>
    <t>0000107</t>
  </si>
  <si>
    <t>0000108</t>
  </si>
  <si>
    <t>0000109</t>
  </si>
  <si>
    <t>0000110</t>
  </si>
  <si>
    <t>0000111</t>
  </si>
  <si>
    <t>0000112</t>
  </si>
  <si>
    <t>0000113</t>
  </si>
  <si>
    <t>0000114</t>
  </si>
  <si>
    <t>0000115</t>
  </si>
  <si>
    <t>0000116</t>
  </si>
  <si>
    <t>0000117</t>
  </si>
  <si>
    <t>0000118</t>
  </si>
  <si>
    <t>0000119</t>
  </si>
  <si>
    <t>0000120</t>
  </si>
  <si>
    <t>0000121</t>
  </si>
  <si>
    <t>0000122</t>
  </si>
  <si>
    <t>0000123</t>
  </si>
  <si>
    <t>0000124</t>
  </si>
  <si>
    <t>0000125</t>
  </si>
  <si>
    <t>0000126</t>
  </si>
  <si>
    <t>0000127</t>
  </si>
  <si>
    <t>0000128</t>
  </si>
  <si>
    <t>0000129</t>
  </si>
  <si>
    <t>0000130</t>
  </si>
  <si>
    <t>0000131</t>
  </si>
  <si>
    <t>0000132</t>
  </si>
  <si>
    <t>0000133</t>
  </si>
  <si>
    <t>0000134</t>
  </si>
  <si>
    <t>0000135</t>
  </si>
  <si>
    <t>0000136</t>
  </si>
  <si>
    <t>0000137</t>
  </si>
  <si>
    <t>0000138</t>
  </si>
  <si>
    <t>0000139</t>
  </si>
  <si>
    <t>0000140</t>
  </si>
  <si>
    <t>0000141</t>
  </si>
  <si>
    <t>0000142</t>
  </si>
  <si>
    <t>0000143</t>
  </si>
  <si>
    <t>0000144</t>
  </si>
  <si>
    <t>0000145</t>
  </si>
  <si>
    <t>0000146</t>
  </si>
  <si>
    <t>0000147</t>
  </si>
  <si>
    <t>0000148</t>
  </si>
  <si>
    <t>0000149</t>
  </si>
  <si>
    <t>0000150</t>
  </si>
  <si>
    <t>0000151</t>
  </si>
  <si>
    <t>0000152</t>
  </si>
  <si>
    <t>0000153</t>
  </si>
  <si>
    <t>0000154</t>
  </si>
  <si>
    <t>0000155</t>
  </si>
  <si>
    <t>0000156</t>
  </si>
  <si>
    <t>0000157</t>
  </si>
  <si>
    <t>0000158</t>
  </si>
  <si>
    <t>0000159</t>
  </si>
  <si>
    <t>0000160</t>
  </si>
  <si>
    <t>0000161</t>
  </si>
  <si>
    <t>0000162</t>
  </si>
  <si>
    <t>0000163</t>
  </si>
  <si>
    <t>0000164</t>
  </si>
  <si>
    <t>0000165</t>
  </si>
  <si>
    <t>0000166</t>
  </si>
  <si>
    <t>0000167</t>
  </si>
  <si>
    <t>0000168</t>
  </si>
  <si>
    <t>0000169</t>
  </si>
  <si>
    <t>0000170</t>
  </si>
  <si>
    <t>0000171</t>
  </si>
  <si>
    <t>0000172</t>
  </si>
  <si>
    <t>0000173</t>
  </si>
  <si>
    <t>0000174</t>
  </si>
  <si>
    <t>0000175</t>
  </si>
  <si>
    <t>0000176</t>
  </si>
  <si>
    <t>0000177</t>
  </si>
  <si>
    <t>0000178</t>
  </si>
  <si>
    <t>0000179</t>
  </si>
  <si>
    <t>0000180</t>
  </si>
  <si>
    <t>0000181</t>
  </si>
  <si>
    <t>0000182</t>
  </si>
  <si>
    <t>0000183</t>
  </si>
  <si>
    <t>0000184</t>
  </si>
  <si>
    <t>0000185</t>
  </si>
  <si>
    <t>0000186</t>
  </si>
  <si>
    <t>0000187</t>
  </si>
  <si>
    <t>0000188</t>
  </si>
  <si>
    <t>0000189</t>
  </si>
  <si>
    <t>0000190</t>
  </si>
  <si>
    <t>0000191</t>
  </si>
  <si>
    <t>0000192</t>
  </si>
  <si>
    <t>0000193</t>
  </si>
  <si>
    <t>0000194</t>
  </si>
  <si>
    <t>0000195</t>
  </si>
  <si>
    <t>0000196</t>
  </si>
  <si>
    <t>0000197</t>
  </si>
  <si>
    <t>0000198</t>
  </si>
  <si>
    <t>0000199</t>
  </si>
  <si>
    <t>0000200</t>
  </si>
  <si>
    <t>0000201</t>
  </si>
  <si>
    <t>0000202</t>
  </si>
  <si>
    <t>0000203</t>
  </si>
  <si>
    <t>0000204</t>
  </si>
  <si>
    <t>0000205</t>
  </si>
  <si>
    <t>0000206</t>
  </si>
  <si>
    <t>0000207</t>
  </si>
  <si>
    <t>0000208</t>
  </si>
  <si>
    <t>0000209</t>
  </si>
  <si>
    <t>0000210</t>
  </si>
  <si>
    <t>0000211</t>
  </si>
  <si>
    <t>0000212</t>
  </si>
  <si>
    <t>0000213</t>
  </si>
  <si>
    <t>0000214</t>
  </si>
  <si>
    <t>0000215</t>
  </si>
  <si>
    <t>0000216</t>
  </si>
  <si>
    <t>0000217</t>
  </si>
  <si>
    <t>0000218</t>
  </si>
  <si>
    <t>0000219</t>
  </si>
  <si>
    <t>0000220</t>
  </si>
  <si>
    <t>0000221</t>
  </si>
  <si>
    <t>0000222</t>
  </si>
  <si>
    <t>0000223</t>
  </si>
  <si>
    <t>0000224</t>
  </si>
  <si>
    <t>0000225</t>
  </si>
  <si>
    <t>0000226</t>
  </si>
  <si>
    <t>0000227</t>
  </si>
  <si>
    <t>0000228</t>
  </si>
  <si>
    <t>0000229</t>
  </si>
  <si>
    <t>0000230</t>
  </si>
  <si>
    <t>0000231</t>
  </si>
  <si>
    <t>0000232</t>
  </si>
  <si>
    <t>0000233</t>
  </si>
  <si>
    <t>0000234</t>
  </si>
  <si>
    <t>0000235</t>
  </si>
  <si>
    <t>0000236</t>
  </si>
  <si>
    <t>0000237</t>
  </si>
  <si>
    <t>0000238</t>
  </si>
  <si>
    <t>0000239</t>
  </si>
  <si>
    <t>0000240</t>
  </si>
  <si>
    <t>0000241</t>
  </si>
  <si>
    <t>0000242</t>
  </si>
  <si>
    <t>0000243</t>
  </si>
  <si>
    <t>0000244</t>
  </si>
  <si>
    <t>0000245</t>
  </si>
  <si>
    <t>0000246</t>
  </si>
  <si>
    <t>0000247</t>
  </si>
  <si>
    <t>0000248</t>
  </si>
  <si>
    <t>0000249</t>
  </si>
  <si>
    <t>0000250</t>
  </si>
  <si>
    <t>0000251</t>
  </si>
  <si>
    <t>0000252</t>
  </si>
  <si>
    <t>0000253</t>
  </si>
  <si>
    <t>0000254</t>
  </si>
  <si>
    <t>0000255</t>
  </si>
  <si>
    <t>0000256</t>
  </si>
  <si>
    <t>0000257</t>
  </si>
  <si>
    <t>0000258</t>
  </si>
  <si>
    <t>0000259</t>
  </si>
  <si>
    <t>0000260</t>
  </si>
  <si>
    <t>0000261</t>
  </si>
  <si>
    <t>0000262</t>
  </si>
  <si>
    <t>0000263</t>
  </si>
  <si>
    <t>0000264</t>
  </si>
  <si>
    <t>0000265</t>
  </si>
  <si>
    <t>0000266</t>
  </si>
  <si>
    <t>0000267</t>
  </si>
  <si>
    <t>0000268</t>
  </si>
  <si>
    <t>0000269</t>
  </si>
  <si>
    <t>0000270</t>
  </si>
  <si>
    <t>0000271</t>
  </si>
  <si>
    <t>0000272</t>
  </si>
  <si>
    <t>0000273</t>
  </si>
  <si>
    <t>0000274</t>
  </si>
  <si>
    <t>0000275</t>
  </si>
  <si>
    <t>0000276</t>
  </si>
  <si>
    <t>0000277</t>
  </si>
  <si>
    <t>0000278</t>
  </si>
  <si>
    <t>0000279</t>
  </si>
  <si>
    <t>0000280</t>
  </si>
  <si>
    <t>0000281</t>
  </si>
  <si>
    <t>0000282</t>
  </si>
  <si>
    <t>0000283</t>
  </si>
  <si>
    <t>0000284</t>
  </si>
  <si>
    <t>0000285</t>
  </si>
  <si>
    <t>0000286</t>
  </si>
  <si>
    <t>0000287</t>
  </si>
  <si>
    <t>0000288</t>
  </si>
  <si>
    <t>0000289</t>
  </si>
  <si>
    <t>0000290</t>
  </si>
  <si>
    <t>0000291</t>
  </si>
  <si>
    <t>0000292</t>
  </si>
  <si>
    <t>0000293</t>
  </si>
  <si>
    <t>0000294</t>
  </si>
  <si>
    <t>0000295</t>
  </si>
  <si>
    <t>0000296</t>
  </si>
  <si>
    <t>0000297</t>
  </si>
  <si>
    <t>0000298</t>
  </si>
  <si>
    <t>0000299</t>
  </si>
  <si>
    <t>0000300</t>
  </si>
  <si>
    <t>0000301</t>
  </si>
  <si>
    <t>0000302</t>
  </si>
  <si>
    <t>0000303</t>
  </si>
  <si>
    <t>0000304</t>
  </si>
  <si>
    <t>0000305</t>
  </si>
  <si>
    <t>0000306</t>
  </si>
  <si>
    <t>0000307</t>
  </si>
  <si>
    <t>0000308</t>
  </si>
  <si>
    <t>0000309</t>
  </si>
  <si>
    <t>0000310</t>
  </si>
  <si>
    <t>0000311</t>
  </si>
  <si>
    <t>0000312</t>
  </si>
  <si>
    <t>0000313</t>
  </si>
  <si>
    <t>0000314</t>
  </si>
  <si>
    <t>0000315</t>
  </si>
  <si>
    <t>0000316</t>
  </si>
  <si>
    <t>0000317</t>
  </si>
  <si>
    <t>0000318</t>
  </si>
  <si>
    <t>0000319</t>
  </si>
  <si>
    <t>0000320</t>
  </si>
  <si>
    <t>0000321</t>
  </si>
  <si>
    <t>0000322</t>
  </si>
  <si>
    <t>0000323</t>
  </si>
  <si>
    <t>0000324</t>
  </si>
  <si>
    <t>0000325</t>
  </si>
  <si>
    <t>0000326</t>
  </si>
  <si>
    <t>0000327</t>
  </si>
  <si>
    <t>0000328</t>
  </si>
  <si>
    <t>0000329</t>
  </si>
  <si>
    <t>0000330</t>
  </si>
  <si>
    <t>0000331</t>
  </si>
  <si>
    <t>0000332</t>
  </si>
  <si>
    <t>0000333</t>
  </si>
  <si>
    <t>0000334</t>
  </si>
  <si>
    <t>0000335</t>
  </si>
  <si>
    <t>0000336</t>
  </si>
  <si>
    <t>0000337</t>
  </si>
  <si>
    <t>0000338</t>
  </si>
  <si>
    <t>0000339</t>
  </si>
  <si>
    <t>0000340</t>
  </si>
  <si>
    <t>0000341</t>
  </si>
  <si>
    <t>0000342</t>
  </si>
  <si>
    <t>0000343</t>
  </si>
  <si>
    <t>0000344</t>
  </si>
  <si>
    <t>0000345</t>
  </si>
  <si>
    <t>0000346</t>
  </si>
  <si>
    <t>0000347</t>
  </si>
  <si>
    <t>0000348</t>
  </si>
  <si>
    <t>0000349</t>
  </si>
  <si>
    <t>0000350</t>
  </si>
  <si>
    <t>0000351</t>
  </si>
  <si>
    <t>0000352</t>
  </si>
  <si>
    <t>0000353</t>
  </si>
  <si>
    <t>0000354</t>
  </si>
  <si>
    <t>0000355</t>
  </si>
  <si>
    <t>0000356</t>
  </si>
  <si>
    <t>0000357</t>
  </si>
  <si>
    <t>0000358</t>
  </si>
  <si>
    <t>0000359</t>
  </si>
  <si>
    <t>0000360</t>
  </si>
  <si>
    <t>0000361</t>
  </si>
  <si>
    <t>0000362</t>
  </si>
  <si>
    <t>0000363</t>
  </si>
  <si>
    <t>0000364</t>
  </si>
  <si>
    <t>0000365</t>
  </si>
  <si>
    <t>0000366</t>
  </si>
  <si>
    <t>0000367</t>
  </si>
  <si>
    <t>0000368</t>
  </si>
  <si>
    <t>0000369</t>
  </si>
  <si>
    <t>0000370</t>
  </si>
  <si>
    <t>0000371</t>
  </si>
  <si>
    <t>0000372</t>
  </si>
  <si>
    <t>0000373</t>
  </si>
  <si>
    <t>0000374</t>
  </si>
  <si>
    <t>0000375</t>
  </si>
  <si>
    <t>0000376</t>
  </si>
  <si>
    <t>0000377</t>
  </si>
  <si>
    <t>0000378</t>
  </si>
  <si>
    <t>0000379</t>
  </si>
  <si>
    <t>0000380</t>
  </si>
  <si>
    <t>0000381</t>
  </si>
  <si>
    <t>0000382</t>
  </si>
  <si>
    <t>0000383</t>
  </si>
  <si>
    <t>0000384</t>
  </si>
  <si>
    <t>0000385</t>
  </si>
  <si>
    <t>0000386</t>
  </si>
  <si>
    <t>0000387</t>
  </si>
  <si>
    <t>0000388</t>
  </si>
  <si>
    <t>0000389</t>
  </si>
  <si>
    <t>0000390</t>
  </si>
  <si>
    <t>0000391</t>
  </si>
  <si>
    <t>0000392</t>
  </si>
  <si>
    <t>0000393</t>
  </si>
  <si>
    <t>0000394</t>
  </si>
  <si>
    <t>0000395</t>
  </si>
  <si>
    <t>0000396</t>
  </si>
  <si>
    <t>0000397</t>
  </si>
  <si>
    <t>0000398</t>
  </si>
  <si>
    <t>0000399</t>
  </si>
  <si>
    <t>0000400</t>
  </si>
  <si>
    <t>0000401</t>
  </si>
  <si>
    <t>0000402</t>
  </si>
  <si>
    <t>0000403</t>
  </si>
  <si>
    <t>0000404</t>
  </si>
  <si>
    <t>0000405</t>
  </si>
  <si>
    <t>0000406</t>
  </si>
  <si>
    <t>0000407</t>
  </si>
  <si>
    <t>0000408</t>
  </si>
  <si>
    <t>0000409</t>
  </si>
  <si>
    <t>0000410</t>
  </si>
  <si>
    <t>0000411</t>
  </si>
  <si>
    <t>0000412</t>
  </si>
  <si>
    <t>0000413</t>
  </si>
  <si>
    <t>0000414</t>
  </si>
  <si>
    <t>0000415</t>
  </si>
  <si>
    <t>0000416</t>
  </si>
  <si>
    <t>0000417</t>
  </si>
  <si>
    <t>0000418</t>
  </si>
  <si>
    <t>0000419</t>
  </si>
  <si>
    <t>0000420</t>
  </si>
  <si>
    <t>0000421</t>
  </si>
  <si>
    <t>0000422</t>
  </si>
  <si>
    <t>0000423</t>
  </si>
  <si>
    <t>0000424</t>
  </si>
  <si>
    <t>0000425</t>
  </si>
  <si>
    <t>0000426</t>
  </si>
  <si>
    <t>0000427</t>
  </si>
  <si>
    <t>0000428</t>
  </si>
  <si>
    <t>0000429</t>
  </si>
  <si>
    <t>0000430</t>
  </si>
  <si>
    <t>0000431</t>
  </si>
  <si>
    <t>0000432</t>
  </si>
  <si>
    <t>0000433</t>
  </si>
  <si>
    <t>0000434</t>
  </si>
  <si>
    <t>0000435</t>
  </si>
  <si>
    <t>0000436</t>
  </si>
  <si>
    <t>0000437</t>
  </si>
  <si>
    <t>0000438</t>
  </si>
  <si>
    <t>0000439</t>
  </si>
  <si>
    <t>0000440</t>
  </si>
  <si>
    <t>0000441</t>
  </si>
  <si>
    <t>0000442</t>
  </si>
  <si>
    <t>0000443</t>
  </si>
  <si>
    <t>0000444</t>
  </si>
  <si>
    <t>0000445</t>
  </si>
  <si>
    <t>0000446</t>
  </si>
  <si>
    <t>0000447</t>
  </si>
  <si>
    <t>0000448</t>
  </si>
  <si>
    <t>0000449</t>
  </si>
  <si>
    <t>0000450</t>
  </si>
  <si>
    <t>0000451</t>
  </si>
  <si>
    <t>0000452</t>
  </si>
  <si>
    <t>0000453</t>
  </si>
  <si>
    <t>0000454</t>
  </si>
  <si>
    <t>0000455</t>
  </si>
  <si>
    <t>0000456</t>
  </si>
  <si>
    <t>0000457</t>
  </si>
  <si>
    <t>0000458</t>
  </si>
  <si>
    <t>0000459</t>
  </si>
  <si>
    <t>0000460</t>
  </si>
  <si>
    <t>0000461</t>
  </si>
  <si>
    <t>0000462</t>
  </si>
  <si>
    <t>0000463</t>
  </si>
  <si>
    <t>0000464</t>
  </si>
  <si>
    <t>0000465</t>
  </si>
  <si>
    <t>0000466</t>
  </si>
  <si>
    <t>0000467</t>
  </si>
  <si>
    <t>0000468</t>
  </si>
  <si>
    <t>0000469</t>
  </si>
  <si>
    <t>0000470</t>
  </si>
  <si>
    <t>0000471</t>
  </si>
  <si>
    <t>0000472</t>
  </si>
  <si>
    <t>0000473</t>
  </si>
  <si>
    <t>0000474</t>
  </si>
  <si>
    <t>0000475</t>
  </si>
  <si>
    <t>0000476</t>
  </si>
  <si>
    <t>0000477</t>
  </si>
  <si>
    <t>0000478</t>
  </si>
  <si>
    <t>0000479</t>
  </si>
  <si>
    <t>0000480</t>
  </si>
  <si>
    <t>0000481</t>
  </si>
  <si>
    <t>0000482</t>
  </si>
  <si>
    <t>0000483</t>
  </si>
  <si>
    <t>0000484</t>
  </si>
  <si>
    <t>0000485</t>
  </si>
  <si>
    <t>0000486</t>
  </si>
  <si>
    <t>0000487</t>
  </si>
  <si>
    <t>0000488</t>
  </si>
  <si>
    <t>0000489</t>
  </si>
  <si>
    <t>0000490</t>
  </si>
  <si>
    <t>0000491</t>
  </si>
  <si>
    <t>0000492</t>
  </si>
  <si>
    <t>0000493</t>
  </si>
  <si>
    <t>0000494</t>
  </si>
  <si>
    <t>0000495</t>
  </si>
  <si>
    <t>0000496</t>
  </si>
  <si>
    <t>0000497</t>
  </si>
  <si>
    <t>0000498</t>
  </si>
  <si>
    <t>0000499</t>
  </si>
  <si>
    <t>0000500</t>
  </si>
  <si>
    <t>0000501</t>
  </si>
  <si>
    <t>0000502</t>
  </si>
  <si>
    <t>0000503</t>
  </si>
  <si>
    <t>0000504</t>
  </si>
  <si>
    <t>0000505</t>
  </si>
  <si>
    <t>0000506</t>
  </si>
  <si>
    <t>0000507</t>
  </si>
  <si>
    <t>0000508</t>
  </si>
  <si>
    <t>0000509</t>
  </si>
  <si>
    <t>0000510</t>
  </si>
  <si>
    <t>0000511</t>
  </si>
  <si>
    <t>0000512</t>
  </si>
  <si>
    <t>0000513</t>
  </si>
  <si>
    <t>0000514</t>
  </si>
  <si>
    <t>0000515</t>
  </si>
  <si>
    <t>0000516</t>
  </si>
  <si>
    <t>0000517</t>
  </si>
  <si>
    <t>0000518</t>
  </si>
  <si>
    <t>0000519</t>
  </si>
  <si>
    <t>0000520</t>
  </si>
  <si>
    <t>0000521</t>
  </si>
  <si>
    <t>0000522</t>
  </si>
  <si>
    <t>0000523</t>
  </si>
  <si>
    <t>0000524</t>
  </si>
  <si>
    <t>0000525</t>
  </si>
  <si>
    <t>0000526</t>
  </si>
  <si>
    <t>0000527</t>
  </si>
  <si>
    <t>0000528</t>
  </si>
  <si>
    <t>0000529</t>
  </si>
  <si>
    <t>0000530</t>
  </si>
  <si>
    <t>0000531</t>
  </si>
  <si>
    <t>0000532</t>
  </si>
  <si>
    <t>0000533</t>
  </si>
  <si>
    <t>0000534</t>
  </si>
  <si>
    <t>0000535</t>
  </si>
  <si>
    <t>0000536</t>
  </si>
  <si>
    <t>0000537</t>
  </si>
  <si>
    <t>0000538</t>
  </si>
  <si>
    <t>0000539</t>
  </si>
  <si>
    <t>0000540</t>
  </si>
  <si>
    <t>0000541</t>
  </si>
  <si>
    <t>0000542</t>
  </si>
  <si>
    <t>0000543</t>
  </si>
  <si>
    <t>0000544</t>
  </si>
  <si>
    <t>0000545</t>
  </si>
  <si>
    <t>0000546</t>
  </si>
  <si>
    <t>0000547</t>
  </si>
  <si>
    <t>0000548</t>
  </si>
  <si>
    <t>0000549</t>
  </si>
  <si>
    <t>0000550</t>
  </si>
  <si>
    <t>0000551</t>
  </si>
  <si>
    <t>0000552</t>
  </si>
  <si>
    <t>0000553</t>
  </si>
  <si>
    <t>0000554</t>
  </si>
  <si>
    <t>0000555</t>
  </si>
  <si>
    <t>0000556</t>
  </si>
  <si>
    <t>0000557</t>
  </si>
  <si>
    <t>0000558</t>
  </si>
  <si>
    <t>0000559</t>
  </si>
  <si>
    <t>0000560</t>
  </si>
  <si>
    <t>0000561</t>
  </si>
  <si>
    <t>0000562</t>
  </si>
  <si>
    <t>0000563</t>
  </si>
  <si>
    <t>0000564</t>
  </si>
  <si>
    <t>0000565</t>
  </si>
  <si>
    <t>0000566</t>
  </si>
  <si>
    <t>0000567</t>
  </si>
  <si>
    <t>0000568</t>
  </si>
  <si>
    <t>0000569</t>
  </si>
  <si>
    <t>0000570</t>
  </si>
  <si>
    <t>0000571</t>
  </si>
  <si>
    <t>0000572</t>
  </si>
  <si>
    <t>0000573</t>
  </si>
  <si>
    <t>0000574</t>
  </si>
  <si>
    <t>0000575</t>
  </si>
  <si>
    <t>0000576</t>
  </si>
  <si>
    <t>0000577</t>
  </si>
  <si>
    <t>0000578</t>
  </si>
  <si>
    <t>0000579</t>
  </si>
  <si>
    <t>0000580</t>
  </si>
  <si>
    <t>0000581</t>
  </si>
  <si>
    <t>0000582</t>
  </si>
  <si>
    <t>0000583</t>
  </si>
  <si>
    <t>0000584</t>
  </si>
  <si>
    <t>0000585</t>
  </si>
  <si>
    <t>0000586</t>
  </si>
  <si>
    <t>0000587</t>
  </si>
  <si>
    <t>0000588</t>
  </si>
  <si>
    <t>0000589</t>
  </si>
  <si>
    <t>0000590</t>
  </si>
  <si>
    <t>0000591</t>
  </si>
  <si>
    <t>0000592</t>
  </si>
  <si>
    <t>0000593</t>
  </si>
  <si>
    <t>0000594</t>
  </si>
  <si>
    <t>0000595</t>
  </si>
  <si>
    <t>0000596</t>
  </si>
  <si>
    <t>0000597</t>
  </si>
  <si>
    <t>0000598</t>
  </si>
  <si>
    <t>0000599</t>
  </si>
  <si>
    <t>0000600</t>
  </si>
  <si>
    <t>0000601</t>
  </si>
  <si>
    <t>0000602</t>
  </si>
  <si>
    <t>0000603</t>
  </si>
  <si>
    <t>0000604</t>
  </si>
  <si>
    <t>0000605</t>
  </si>
  <si>
    <t>0000606</t>
  </si>
  <si>
    <t>0000607</t>
  </si>
  <si>
    <t>0000608</t>
  </si>
  <si>
    <t>0000609</t>
  </si>
  <si>
    <t>0000610</t>
  </si>
  <si>
    <t>0000611</t>
  </si>
  <si>
    <t>0000612</t>
  </si>
  <si>
    <t>0000613</t>
  </si>
  <si>
    <t>0000614</t>
  </si>
  <si>
    <t>0000615</t>
  </si>
  <si>
    <t>0000616</t>
  </si>
  <si>
    <t>0000618</t>
  </si>
  <si>
    <t>0000619</t>
  </si>
  <si>
    <t>0000620</t>
  </si>
  <si>
    <t>0000621</t>
  </si>
  <si>
    <t>0000622</t>
  </si>
  <si>
    <t>0000623</t>
  </si>
  <si>
    <t>0000624</t>
  </si>
  <si>
    <t>0000625</t>
  </si>
  <si>
    <t>0000626</t>
  </si>
  <si>
    <t>0000627</t>
  </si>
  <si>
    <t>0000628</t>
  </si>
  <si>
    <t>0000629</t>
  </si>
  <si>
    <t>0000630</t>
  </si>
  <si>
    <t>0000631</t>
  </si>
  <si>
    <t>0000632</t>
  </si>
  <si>
    <t>0000633</t>
  </si>
  <si>
    <t>0000634</t>
  </si>
  <si>
    <t>0000635</t>
  </si>
  <si>
    <t>0000636</t>
  </si>
  <si>
    <t>0000637</t>
  </si>
  <si>
    <t>0000638</t>
  </si>
  <si>
    <t>0000639</t>
  </si>
  <si>
    <t>0000640</t>
  </si>
  <si>
    <t>0000641</t>
  </si>
  <si>
    <t>0000642</t>
  </si>
  <si>
    <t>0000643</t>
  </si>
  <si>
    <t>0000644</t>
  </si>
  <si>
    <t>0000645</t>
  </si>
  <si>
    <t>0000646</t>
  </si>
  <si>
    <t>0000647</t>
  </si>
  <si>
    <t>0000648</t>
  </si>
  <si>
    <t>0000649</t>
  </si>
  <si>
    <t>0000650</t>
  </si>
  <si>
    <t>0000651</t>
  </si>
  <si>
    <t>0000652</t>
  </si>
  <si>
    <t>0000653</t>
  </si>
  <si>
    <t>0000654</t>
  </si>
  <si>
    <t>0000655</t>
  </si>
  <si>
    <t>0000656</t>
  </si>
  <si>
    <t>0000657</t>
  </si>
  <si>
    <t>0000658</t>
  </si>
  <si>
    <t>0000659</t>
  </si>
  <si>
    <t>0000660</t>
  </si>
  <si>
    <t>0000661</t>
  </si>
  <si>
    <t>0000662</t>
  </si>
  <si>
    <t>0000663</t>
  </si>
  <si>
    <t>0000664</t>
  </si>
  <si>
    <t>0000665</t>
  </si>
  <si>
    <t>0000666</t>
  </si>
  <si>
    <t>0000667</t>
  </si>
  <si>
    <t>0000668</t>
  </si>
  <si>
    <t>0000669</t>
  </si>
  <si>
    <t>0000670</t>
  </si>
  <si>
    <t>0000671</t>
  </si>
  <si>
    <t>0000672</t>
  </si>
  <si>
    <t>0000673</t>
  </si>
  <si>
    <t>0000674</t>
  </si>
  <si>
    <t>0000675</t>
  </si>
  <si>
    <t>0000676</t>
  </si>
  <si>
    <t>0000677</t>
  </si>
  <si>
    <t>0000678</t>
  </si>
  <si>
    <t>0000679</t>
  </si>
  <si>
    <t>0000680</t>
  </si>
  <si>
    <t>0000681</t>
  </si>
  <si>
    <t>0000682</t>
  </si>
  <si>
    <t>0000683</t>
  </si>
  <si>
    <t>0000684</t>
  </si>
  <si>
    <t>0000685</t>
  </si>
  <si>
    <t>0000686</t>
  </si>
  <si>
    <t>0000687</t>
  </si>
  <si>
    <t>0000688</t>
  </si>
  <si>
    <t>0000689</t>
  </si>
  <si>
    <t>0000690</t>
  </si>
  <si>
    <t>0000691</t>
  </si>
  <si>
    <t>0000692</t>
  </si>
  <si>
    <t>0000693</t>
  </si>
  <si>
    <t>0000694</t>
  </si>
  <si>
    <t>0000695</t>
  </si>
  <si>
    <t>0000696</t>
  </si>
  <si>
    <t>0000697</t>
  </si>
  <si>
    <t>0000698</t>
  </si>
  <si>
    <t>0000699</t>
  </si>
  <si>
    <t>0000700</t>
  </si>
  <si>
    <t>0000701</t>
  </si>
  <si>
    <t>0000702</t>
  </si>
  <si>
    <t>0000703</t>
  </si>
  <si>
    <t>0000704</t>
  </si>
  <si>
    <t>0000705</t>
  </si>
  <si>
    <t>0000706</t>
  </si>
  <si>
    <t>0000707</t>
  </si>
  <si>
    <t>0000708</t>
  </si>
  <si>
    <t>0000709</t>
  </si>
  <si>
    <t>0000710</t>
  </si>
  <si>
    <t>0000711</t>
  </si>
  <si>
    <t>0000712</t>
  </si>
  <si>
    <t>0000713</t>
  </si>
  <si>
    <t>0000714</t>
  </si>
  <si>
    <t>0000715</t>
  </si>
  <si>
    <t>0000716</t>
  </si>
  <si>
    <t>0000717</t>
  </si>
  <si>
    <t>0000718</t>
  </si>
  <si>
    <t>0000719</t>
  </si>
  <si>
    <t>0000720</t>
  </si>
  <si>
    <t>0000721</t>
  </si>
  <si>
    <t>0000722</t>
  </si>
  <si>
    <t>0000723</t>
  </si>
  <si>
    <t>0000724</t>
  </si>
  <si>
    <t>0000725</t>
  </si>
  <si>
    <t>0000726</t>
  </si>
  <si>
    <t>0000727</t>
  </si>
  <si>
    <t>0000728</t>
  </si>
  <si>
    <t>0000729</t>
  </si>
  <si>
    <t>0000730</t>
  </si>
  <si>
    <t>0000731</t>
  </si>
  <si>
    <t>0000732</t>
  </si>
  <si>
    <t>0000733</t>
  </si>
  <si>
    <t>0000734</t>
  </si>
  <si>
    <t>0000735</t>
  </si>
  <si>
    <t>0000736</t>
  </si>
  <si>
    <t>0000737</t>
  </si>
  <si>
    <t>0000738</t>
  </si>
  <si>
    <t>0000739</t>
  </si>
  <si>
    <t>0000740</t>
  </si>
  <si>
    <t>0000741</t>
  </si>
  <si>
    <t>0000742</t>
  </si>
  <si>
    <t>0000743</t>
  </si>
  <si>
    <t>0000744</t>
  </si>
  <si>
    <t>0000745</t>
  </si>
  <si>
    <t>0000746</t>
  </si>
  <si>
    <t>0000747</t>
  </si>
  <si>
    <t>0000748</t>
  </si>
  <si>
    <t>0000749</t>
  </si>
  <si>
    <t>0000750</t>
  </si>
  <si>
    <t>0000751</t>
  </si>
  <si>
    <t>0000752</t>
  </si>
  <si>
    <t>0000753</t>
  </si>
  <si>
    <t>0000754</t>
  </si>
  <si>
    <t>0000755</t>
  </si>
  <si>
    <t>0000756</t>
  </si>
  <si>
    <t>0000757</t>
  </si>
  <si>
    <t>0000758</t>
  </si>
  <si>
    <t>0000759</t>
  </si>
  <si>
    <t>0000760</t>
  </si>
  <si>
    <t>0000761</t>
  </si>
  <si>
    <t>0000762</t>
  </si>
  <si>
    <t>0000763</t>
  </si>
  <si>
    <t>0000764</t>
  </si>
  <si>
    <t>0000765</t>
  </si>
  <si>
    <t>0000766</t>
  </si>
  <si>
    <t>0000767</t>
  </si>
  <si>
    <t>0000768</t>
  </si>
  <si>
    <t>0000769</t>
  </si>
  <si>
    <t>0000770</t>
  </si>
  <si>
    <t>0000771</t>
  </si>
  <si>
    <t>0000772</t>
  </si>
  <si>
    <t>0000773</t>
  </si>
  <si>
    <t>0000774</t>
  </si>
  <si>
    <t>0000775</t>
  </si>
  <si>
    <t>0000776</t>
  </si>
  <si>
    <t>0000777</t>
  </si>
  <si>
    <t>0000778</t>
  </si>
  <si>
    <t>0000779</t>
  </si>
  <si>
    <t>0000780</t>
  </si>
  <si>
    <t>0000781</t>
  </si>
  <si>
    <t>0000782</t>
  </si>
  <si>
    <t>0000783</t>
  </si>
  <si>
    <t>0000784</t>
  </si>
  <si>
    <t>0000785</t>
  </si>
  <si>
    <t>0000786</t>
  </si>
  <si>
    <t>0000787</t>
  </si>
  <si>
    <t>0000788</t>
  </si>
  <si>
    <t>0000789</t>
  </si>
  <si>
    <t>0000790</t>
  </si>
  <si>
    <t>0000791</t>
  </si>
  <si>
    <t>0000792</t>
  </si>
  <si>
    <t>0000793</t>
  </si>
  <si>
    <t>0000794</t>
  </si>
  <si>
    <t>0000795</t>
  </si>
  <si>
    <t>0000796</t>
  </si>
  <si>
    <t>0000797</t>
  </si>
  <si>
    <t>0000798</t>
  </si>
  <si>
    <t>0000799</t>
  </si>
  <si>
    <t>0000800</t>
  </si>
  <si>
    <t>0000801</t>
  </si>
  <si>
    <t>0000802</t>
  </si>
  <si>
    <t>0000803</t>
  </si>
  <si>
    <t>0000804</t>
  </si>
  <si>
    <t>0000805</t>
  </si>
  <si>
    <t>0000806</t>
  </si>
  <si>
    <t>0000807</t>
  </si>
  <si>
    <t>0000808</t>
  </si>
  <si>
    <t>0000809</t>
  </si>
  <si>
    <t>0000810</t>
  </si>
  <si>
    <t>0000811</t>
  </si>
  <si>
    <t>0000812</t>
  </si>
  <si>
    <t>0000813</t>
  </si>
  <si>
    <t>0000814</t>
  </si>
  <si>
    <t>0000815</t>
  </si>
  <si>
    <t>0000816</t>
  </si>
  <si>
    <t>0000817</t>
  </si>
  <si>
    <t>0000818</t>
  </si>
  <si>
    <t>0000819</t>
  </si>
  <si>
    <t>0000820</t>
  </si>
  <si>
    <t>0000821</t>
  </si>
  <si>
    <t>0000822</t>
  </si>
  <si>
    <t>0000823</t>
  </si>
  <si>
    <t>0000824</t>
  </si>
  <si>
    <t>0000825</t>
  </si>
  <si>
    <t>0000826</t>
  </si>
  <si>
    <t>0000827</t>
  </si>
  <si>
    <t>0000828</t>
  </si>
  <si>
    <t>0000829</t>
  </si>
  <si>
    <t>0000830</t>
  </si>
  <si>
    <t>0000831</t>
  </si>
  <si>
    <t>0000832</t>
  </si>
  <si>
    <t>0000833</t>
  </si>
  <si>
    <t>0000834</t>
  </si>
  <si>
    <t>0000835</t>
  </si>
  <si>
    <t>0000836</t>
  </si>
  <si>
    <t>0000837</t>
  </si>
  <si>
    <t>0000838</t>
  </si>
  <si>
    <t>0000839</t>
  </si>
  <si>
    <t>0000840</t>
  </si>
  <si>
    <t>0000841</t>
  </si>
  <si>
    <t>0000842</t>
  </si>
  <si>
    <t>0000843</t>
  </si>
  <si>
    <t>0000844</t>
  </si>
  <si>
    <t>0000845</t>
  </si>
  <si>
    <t>0000846</t>
  </si>
  <si>
    <t>0000847</t>
  </si>
  <si>
    <t>0000848</t>
  </si>
  <si>
    <t>0000849</t>
  </si>
  <si>
    <t>0000850</t>
  </si>
  <si>
    <t>0000851</t>
  </si>
  <si>
    <t>0000852</t>
  </si>
  <si>
    <t>0000853</t>
  </si>
  <si>
    <t>0000854</t>
  </si>
  <si>
    <t>0000855</t>
  </si>
  <si>
    <t>0000856</t>
  </si>
  <si>
    <t>0000857</t>
  </si>
  <si>
    <t>0000858</t>
  </si>
  <si>
    <t>0000859</t>
  </si>
  <si>
    <t>0000860</t>
  </si>
  <si>
    <t>0000861</t>
  </si>
  <si>
    <t>0000862</t>
  </si>
  <si>
    <t>0000863</t>
  </si>
  <si>
    <t>0000864</t>
  </si>
  <si>
    <t>0000865</t>
  </si>
  <si>
    <t>0000866</t>
  </si>
  <si>
    <t>0000867</t>
  </si>
  <si>
    <t>0000868</t>
  </si>
  <si>
    <t>0000869</t>
  </si>
  <si>
    <t>0000870</t>
  </si>
  <si>
    <t>0000871</t>
  </si>
  <si>
    <t>0000872</t>
  </si>
  <si>
    <t>0000873</t>
  </si>
  <si>
    <t>0000874</t>
  </si>
  <si>
    <t>0000875</t>
  </si>
  <si>
    <t>0000876</t>
  </si>
  <si>
    <t>0000877</t>
  </si>
  <si>
    <t>0000878</t>
  </si>
  <si>
    <t>0000879</t>
  </si>
  <si>
    <t>0000880</t>
  </si>
  <si>
    <t>0000881</t>
  </si>
  <si>
    <t>0000882</t>
  </si>
  <si>
    <t>0000883</t>
  </si>
  <si>
    <t>0000884</t>
  </si>
  <si>
    <t>0000885</t>
  </si>
  <si>
    <t>0000886</t>
  </si>
  <si>
    <t>0000887</t>
  </si>
  <si>
    <t>0000888</t>
  </si>
  <si>
    <t>0000889</t>
  </si>
  <si>
    <t>0000890</t>
  </si>
  <si>
    <t>0000891</t>
  </si>
  <si>
    <t>0000892</t>
  </si>
  <si>
    <t>0000893</t>
  </si>
  <si>
    <t>0000894</t>
  </si>
  <si>
    <t>0000895</t>
  </si>
  <si>
    <t>0000896</t>
  </si>
  <si>
    <t>0000897</t>
  </si>
  <si>
    <t>0000898</t>
  </si>
  <si>
    <t>0000899</t>
  </si>
  <si>
    <t>0000900</t>
  </si>
  <si>
    <t>0000901</t>
  </si>
  <si>
    <t>0000902</t>
  </si>
  <si>
    <t>0000903</t>
  </si>
  <si>
    <t>0000904</t>
  </si>
  <si>
    <t>0000905</t>
  </si>
  <si>
    <t>0000906</t>
  </si>
  <si>
    <t>0000907</t>
  </si>
  <si>
    <t>0000908</t>
  </si>
  <si>
    <t>0000909</t>
  </si>
  <si>
    <t>0000910</t>
  </si>
  <si>
    <t>0000911</t>
  </si>
  <si>
    <t>0000912</t>
  </si>
  <si>
    <t>0000913</t>
  </si>
  <si>
    <t>0000914</t>
  </si>
  <si>
    <t>0000915</t>
  </si>
  <si>
    <t>0000916</t>
  </si>
  <si>
    <t>0000917</t>
  </si>
  <si>
    <t>0000918</t>
  </si>
  <si>
    <t>0000919</t>
  </si>
  <si>
    <t>0000920</t>
  </si>
  <si>
    <t>0000921</t>
  </si>
  <si>
    <t>0000922</t>
  </si>
  <si>
    <t>0000923</t>
  </si>
  <si>
    <t>0000924</t>
  </si>
  <si>
    <t>0000925</t>
  </si>
  <si>
    <t>0000926</t>
  </si>
  <si>
    <t>0000927</t>
  </si>
  <si>
    <t>0000928</t>
  </si>
  <si>
    <t>0000929</t>
  </si>
  <si>
    <t>0000930</t>
  </si>
  <si>
    <t>0000931</t>
  </si>
  <si>
    <t>0000932</t>
  </si>
  <si>
    <t>0000933</t>
  </si>
  <si>
    <t>0000934</t>
  </si>
  <si>
    <t>0000935</t>
  </si>
  <si>
    <t>0000936</t>
  </si>
  <si>
    <t>0000937</t>
  </si>
  <si>
    <t>0000938</t>
  </si>
  <si>
    <t>0000939</t>
  </si>
  <si>
    <t>0000940</t>
  </si>
  <si>
    <t>0000941</t>
  </si>
  <si>
    <t>0000942</t>
  </si>
  <si>
    <t>0000943</t>
  </si>
  <si>
    <t>0000944</t>
  </si>
  <si>
    <t>0000945</t>
  </si>
  <si>
    <t>0000946</t>
  </si>
  <si>
    <t>0000947</t>
  </si>
  <si>
    <t>0000948</t>
  </si>
  <si>
    <t>0000949</t>
  </si>
  <si>
    <t>0000950</t>
  </si>
  <si>
    <t>0000951</t>
  </si>
  <si>
    <t>0000952</t>
  </si>
  <si>
    <t>0000953</t>
  </si>
  <si>
    <t>0000954</t>
  </si>
  <si>
    <t>0000955</t>
  </si>
  <si>
    <t>0000956</t>
  </si>
  <si>
    <t>0000957</t>
  </si>
  <si>
    <t>0000958</t>
  </si>
  <si>
    <t>0000959</t>
  </si>
  <si>
    <t>0000960</t>
  </si>
  <si>
    <t>0000961</t>
  </si>
  <si>
    <t>0000962</t>
  </si>
  <si>
    <t>0000963</t>
  </si>
  <si>
    <t>0000964</t>
  </si>
  <si>
    <t>Bloknot / 40 vərəq / Türkiyə</t>
  </si>
  <si>
    <t>"Oyal" MMC</t>
  </si>
  <si>
    <t>OY-215/37</t>
  </si>
  <si>
    <t>Sum of Ümumi məbləğ</t>
  </si>
  <si>
    <t>Nağd alış</t>
  </si>
  <si>
    <t>Sum of Malın miqdarı</t>
  </si>
  <si>
    <t>Mal adları</t>
  </si>
  <si>
    <t xml:space="preserve">Fərq </t>
  </si>
  <si>
    <t>Yerdəyişmə</t>
  </si>
  <si>
    <t>Notebook / 16GB / 512GB / SSD 6GB / "HP" VİCTUS 15-FA2082 WM i5-1342OH</t>
  </si>
  <si>
    <t>Mouse-Keyboard / wireless / "DELL" KM3322W</t>
  </si>
  <si>
    <t>Çanta / notebook üçün / "HP" Prelude 15.6" TOP LOAD</t>
  </si>
  <si>
    <t>Köçürmə</t>
  </si>
  <si>
    <t>"PROCOMP" MMC</t>
  </si>
  <si>
    <t>№050626-1</t>
  </si>
  <si>
    <t>0000967</t>
  </si>
  <si>
    <t>Satınalma</t>
  </si>
  <si>
    <t>0000966</t>
  </si>
  <si>
    <t>0000968</t>
  </si>
  <si>
    <t>0000969</t>
  </si>
  <si>
    <t>Sayğac / Elektrik / 3*100A LUN23 /LUNA</t>
  </si>
  <si>
    <t>Nağd</t>
  </si>
  <si>
    <t>Row Labels</t>
  </si>
  <si>
    <t>Grand Total</t>
  </si>
  <si>
    <t>Anbar adı</t>
  </si>
  <si>
    <t>Əvvələ anbar qalığı</t>
  </si>
  <si>
    <t>Xocahəsən</t>
  </si>
  <si>
    <t xml:space="preserve">Giriş </t>
  </si>
  <si>
    <t xml:space="preserve">Çıxış </t>
  </si>
  <si>
    <t>Miqdar</t>
  </si>
  <si>
    <t>Silinmə</t>
  </si>
  <si>
    <t>Laqonda / 180/230/2000Vt / "Dingoi" / JB02401</t>
  </si>
  <si>
    <t>Laqonda / 125/1220V / "Dingoi" / 101090</t>
  </si>
  <si>
    <t>Disk / kəsici / d 230 mm / 3.2 / laqonda üçün / "Grassland"</t>
  </si>
  <si>
    <t>Disk / kəsici / d 125 mm / 2.5 / laqonda üçün / "Grassland"</t>
  </si>
  <si>
    <t>Araba / qaynaqlı BM</t>
  </si>
  <si>
    <t>Vedrə / plastik / 14L / BM</t>
  </si>
  <si>
    <t>Çəkmə / qısa boğaz / 40 / "YDS"</t>
  </si>
  <si>
    <t>Çəkmə / qısa boğaz / 44 / "YDS"</t>
  </si>
  <si>
    <t>Çəkmə / qısa boğaz / 42 / "YDS"</t>
  </si>
  <si>
    <t>Çəkmə / qısa boğaz / 43 / "YDS"</t>
  </si>
  <si>
    <t>Ayaqqabı / qısa boğaz / 41 / "Dingoi" 90050141</t>
  </si>
  <si>
    <t>Ayaqqabı / qısa boğaz / 42 / "Dingoi" 90050142</t>
  </si>
  <si>
    <t>Ayaqqabı / 40 / "Dingoi" 95240</t>
  </si>
  <si>
    <t>Eynək / qara / 3M358</t>
  </si>
  <si>
    <t>Jilet / sarı-göy / sepli / mühəndis üçün / XL / "EMİRHAN"</t>
  </si>
  <si>
    <t>Jilet / sarı-narıncı / briqadir üçün</t>
  </si>
  <si>
    <t>Jilet / sepli</t>
  </si>
  <si>
    <t>Projektor / panel ilə / 120 Vt / AB-T8120</t>
  </si>
  <si>
    <t>Vintaçan / 7 pcs / 68602</t>
  </si>
  <si>
    <t>0000970</t>
  </si>
  <si>
    <t>0000971</t>
  </si>
  <si>
    <t>0000972</t>
  </si>
  <si>
    <t>0000973</t>
  </si>
  <si>
    <t>0000974</t>
  </si>
  <si>
    <t>0000975</t>
  </si>
  <si>
    <t>0000976</t>
  </si>
  <si>
    <t>0000977</t>
  </si>
  <si>
    <t>0000978</t>
  </si>
  <si>
    <t>0000979</t>
  </si>
  <si>
    <t>0000980</t>
  </si>
  <si>
    <t>0000981</t>
  </si>
  <si>
    <t>0000982</t>
  </si>
  <si>
    <t>0000983</t>
  </si>
  <si>
    <t>0000984</t>
  </si>
  <si>
    <t>0000985</t>
  </si>
  <si>
    <t>0000986</t>
  </si>
  <si>
    <t>0000987</t>
  </si>
  <si>
    <t>0000988</t>
  </si>
  <si>
    <t>0000989</t>
  </si>
  <si>
    <t>Külüng sapı</t>
  </si>
  <si>
    <t>Boya / sprey / qərmızı</t>
  </si>
  <si>
    <t>Valik / 25-lik "YAP"</t>
  </si>
  <si>
    <t>Valik / 20-lik "Defne"</t>
  </si>
  <si>
    <t>Skoç / kağız</t>
  </si>
  <si>
    <t>Skoç / kağız / 31</t>
  </si>
  <si>
    <t>Fırça / N143 (şotka pas qara)</t>
  </si>
  <si>
    <t>Yiyə / üçkünc / böyük</t>
  </si>
  <si>
    <t>Yiyə / yastı / böyük</t>
  </si>
  <si>
    <t>Fırça / 2-lik / (kist)</t>
  </si>
  <si>
    <t>Fırça / 4-lik / (kist)</t>
  </si>
  <si>
    <t>Əlcək / qaynaqçı</t>
  </si>
  <si>
    <t>Elektrik uzadıcı / 5 metr</t>
  </si>
  <si>
    <t>0000990</t>
  </si>
  <si>
    <t>0000991</t>
  </si>
  <si>
    <t>0000992</t>
  </si>
  <si>
    <t>0000993</t>
  </si>
  <si>
    <t>0000994</t>
  </si>
  <si>
    <t>0000995</t>
  </si>
  <si>
    <t>0000996</t>
  </si>
  <si>
    <t>0000997</t>
  </si>
  <si>
    <t>0000998</t>
  </si>
  <si>
    <t>0000999</t>
  </si>
  <si>
    <t>0001000</t>
  </si>
  <si>
    <t>0001001</t>
  </si>
  <si>
    <t>0001002</t>
  </si>
  <si>
    <t>0001003</t>
  </si>
  <si>
    <t>"Amper Elektrik"</t>
  </si>
  <si>
    <t>"Eldost İnşaat"</t>
  </si>
  <si>
    <t>"Neq MMC"</t>
  </si>
  <si>
    <t>Boya / sintetik / parlaq / boz / 2.5 kq / "FAB"</t>
  </si>
  <si>
    <t>Boya / sintetik / parlaq / qırmızı / 2.5 kq / "FAB"</t>
  </si>
  <si>
    <t>Boya / sintetik / antipas / boz / 23.5 kq / "FAB"</t>
  </si>
  <si>
    <t>Boya / sintetik / parlaq / ağ / 2.5 kq / "FAB"</t>
  </si>
  <si>
    <t>Yapışdırıcı / fabkim standart / 25 kq</t>
  </si>
  <si>
    <t>Strec / 300 P/6</t>
  </si>
  <si>
    <t>Tiner / 2.5 L / "FAB"</t>
  </si>
  <si>
    <t>Boya / sintetik / parlaq / sarı / 17 kq / "FAB"</t>
  </si>
  <si>
    <t>0001004</t>
  </si>
  <si>
    <t>0001005</t>
  </si>
  <si>
    <t>0001006</t>
  </si>
  <si>
    <t>0001007</t>
  </si>
  <si>
    <t>0001008</t>
  </si>
  <si>
    <t>0001009</t>
  </si>
  <si>
    <t>0001010</t>
  </si>
  <si>
    <t>0001011</t>
  </si>
  <si>
    <t>"OMİD"</t>
  </si>
  <si>
    <t>D18-T20260617-181-S173624</t>
  </si>
  <si>
    <t>Metçik açarı / 10</t>
  </si>
  <si>
    <t>Metçik açarı / 12</t>
  </si>
  <si>
    <t>Metçik açarı / 14</t>
  </si>
  <si>
    <t>0001012</t>
  </si>
  <si>
    <t>0001013</t>
  </si>
  <si>
    <t>0001014</t>
  </si>
  <si>
    <t>0001015</t>
  </si>
  <si>
    <t>Qaimə №</t>
  </si>
  <si>
    <t>Bazar</t>
  </si>
  <si>
    <t>Generator / dizel / 50 kvA / "Genpower"</t>
  </si>
  <si>
    <t>0001016</t>
  </si>
  <si>
    <t>Profil / 4x4 / metal</t>
  </si>
  <si>
    <t>Profil / 2x4 / metal</t>
  </si>
  <si>
    <t>Profil / 2x2 / metal</t>
  </si>
  <si>
    <t>Valik / 10sm</t>
  </si>
  <si>
    <t>Cəftə / metal / qapı üçün</t>
  </si>
  <si>
    <t>Qapı qulpu / metal</t>
  </si>
  <si>
    <t>Qapı üzlüyü / iç</t>
  </si>
  <si>
    <t>Şurup / samorez</t>
  </si>
  <si>
    <t>Tiner / 2.5 kq</t>
  </si>
  <si>
    <t>Tutqaç / elektrod üçün</t>
  </si>
  <si>
    <t>Fırça / 2 / boya</t>
  </si>
  <si>
    <t>Fırça / 3 / boya</t>
  </si>
  <si>
    <t>Metrə / 5m</t>
  </si>
  <si>
    <t>Boya / antipas / boz / 2.5 kq</t>
  </si>
  <si>
    <t>Valik / 20sm</t>
  </si>
  <si>
    <t>Valik başlığı</t>
  </si>
  <si>
    <t>0001017</t>
  </si>
  <si>
    <t>0001018</t>
  </si>
  <si>
    <t>0001019</t>
  </si>
  <si>
    <t>0001020</t>
  </si>
  <si>
    <t>0001021</t>
  </si>
  <si>
    <t>0001022</t>
  </si>
  <si>
    <t>0001023</t>
  </si>
  <si>
    <t>0001024</t>
  </si>
  <si>
    <t>0001025</t>
  </si>
  <si>
    <t>0001026</t>
  </si>
  <si>
    <t>0001027</t>
  </si>
  <si>
    <t>0001028</t>
  </si>
  <si>
    <t>0001029</t>
  </si>
  <si>
    <t>0001030</t>
  </si>
  <si>
    <t>0001031</t>
  </si>
  <si>
    <t>0001032</t>
  </si>
  <si>
    <t>0001033</t>
  </si>
  <si>
    <t>0001034</t>
  </si>
  <si>
    <t>0001035</t>
  </si>
  <si>
    <t>Bide başlığı</t>
  </si>
  <si>
    <t>0001036</t>
  </si>
  <si>
    <t>0001037</t>
  </si>
  <si>
    <t>№06/2026</t>
  </si>
  <si>
    <t>№72/2026</t>
  </si>
  <si>
    <t>№198AMP/2026.</t>
  </si>
  <si>
    <t>29.04.2026</t>
  </si>
  <si>
    <t>17.06.2026</t>
  </si>
  <si>
    <t>18.06.2026</t>
  </si>
  <si>
    <t>Qaimə nömrəsi</t>
  </si>
  <si>
    <t>№ 24-060</t>
  </si>
  <si>
    <t>Fırça / 1 / boya</t>
  </si>
  <si>
    <t>0001038</t>
  </si>
  <si>
    <t>Bıçaq / oboy / N115</t>
  </si>
  <si>
    <t>Qıfıl / VAZ</t>
  </si>
  <si>
    <t>Qıfıl / Extra 70</t>
  </si>
  <si>
    <t>Projektor / led / 200 Vt</t>
  </si>
  <si>
    <t>Lampa / 12 Vt / ağ / kürəvi</t>
  </si>
  <si>
    <t>Əlcək / göy</t>
  </si>
  <si>
    <t>Metrə / 10m / "Fisko" / N88</t>
  </si>
  <si>
    <t>Kömür / laqonda üçün / "Conan"</t>
  </si>
  <si>
    <t>0001039</t>
  </si>
  <si>
    <t>0001040</t>
  </si>
  <si>
    <t>0001041</t>
  </si>
  <si>
    <t>0001042</t>
  </si>
  <si>
    <t>0001043</t>
  </si>
  <si>
    <t>0001044</t>
  </si>
  <si>
    <t>0001045</t>
  </si>
  <si>
    <t>0001046</t>
  </si>
  <si>
    <t>Taxeometr / geodeziya cihazı</t>
  </si>
  <si>
    <t>0001047</t>
  </si>
  <si>
    <t>Bolt-qayka / M 20 / L 70 mm</t>
  </si>
  <si>
    <t>Bolt / M 10 /L 25 / altıkünc</t>
  </si>
  <si>
    <t>0001048</t>
  </si>
  <si>
    <t>0001049</t>
  </si>
  <si>
    <t>Pauk / diyircəkli yastıq üçün</t>
  </si>
  <si>
    <t>0001050</t>
  </si>
  <si>
    <t>Kağız / A4 / 80qr / 500 vərəq / "Assis"</t>
  </si>
  <si>
    <t>0001051</t>
  </si>
  <si>
    <t>0001052</t>
  </si>
  <si>
    <t>Sim / stepler üçün / 58mm / 24/6 / (1000 əd)</t>
  </si>
  <si>
    <t>Jalyuz / parça</t>
  </si>
  <si>
    <t>0001053</t>
  </si>
  <si>
    <t>kvm</t>
  </si>
  <si>
    <t>Potric uzatma prizi / 5x32A / 225</t>
  </si>
  <si>
    <t>MİQRİK XCK-J108 POTRİC</t>
  </si>
  <si>
    <t>Kabel / 2x2.5 / NEXANS H07VV-F 0,6/1 KV</t>
  </si>
  <si>
    <t>Kabel / 2x4 / NEXANS H07VV-F 0,6/1 KV</t>
  </si>
  <si>
    <t>TAYRAP / 5x250 / QARA</t>
  </si>
  <si>
    <t>Ucluq / mis / DT95</t>
  </si>
  <si>
    <t>Press 120</t>
  </si>
  <si>
    <t>Projektor / led / 100 Vt / mini</t>
  </si>
  <si>
    <t>Potric / 5x32A / FİŞ 025</t>
  </si>
  <si>
    <t>0001054</t>
  </si>
  <si>
    <t>0001055</t>
  </si>
  <si>
    <t>0001056</t>
  </si>
  <si>
    <t>0001057</t>
  </si>
  <si>
    <t>0001058</t>
  </si>
  <si>
    <t>0001059</t>
  </si>
  <si>
    <t>0001060</t>
  </si>
  <si>
    <t>0001061</t>
  </si>
  <si>
    <t>0001062</t>
  </si>
  <si>
    <t>Çay / 450qr / "Azərçay"</t>
  </si>
  <si>
    <t>Qələm / qara / "Assis"</t>
  </si>
  <si>
    <t>Qələm / qırmızı / "Assis"</t>
  </si>
  <si>
    <t>Qələm / göy / "Assis"</t>
  </si>
  <si>
    <t>Qələm / qırmızı / i-9095"Assis"</t>
  </si>
  <si>
    <t>Batareya / AAA4 / "Varta" / Superlife</t>
  </si>
  <si>
    <t>Marker / mavi / "Oyal"</t>
  </si>
  <si>
    <t>Təmizlik bezi / 20 pic. / "Merry"</t>
  </si>
  <si>
    <t>Zərf / 110x220mm / "İnci"</t>
  </si>
  <si>
    <t>0001063</t>
  </si>
  <si>
    <t>0001064</t>
  </si>
  <si>
    <t>0001065</t>
  </si>
  <si>
    <t>0001066</t>
  </si>
  <si>
    <t>0001067</t>
  </si>
  <si>
    <t>0001068</t>
  </si>
  <si>
    <t>0001069</t>
  </si>
  <si>
    <t>0001070</t>
  </si>
  <si>
    <t>0001071</t>
  </si>
  <si>
    <t>0001072</t>
  </si>
  <si>
    <t>0001073</t>
  </si>
  <si>
    <t>0001074</t>
  </si>
  <si>
    <t>Paket / polietilen / extra</t>
  </si>
  <si>
    <t>Pəstah / rezin</t>
  </si>
  <si>
    <t>Planşet / taxeometr üçün</t>
  </si>
  <si>
    <t>0001075</t>
  </si>
  <si>
    <t>Nivelyator dayağı / üçayaq / metal</t>
  </si>
  <si>
    <t>"HEMAT TRADE" MMC</t>
  </si>
  <si>
    <t>0001076</t>
  </si>
  <si>
    <t>№ 26-052</t>
  </si>
  <si>
    <t>Metal lövhə / 20 mm / 1500x6000 / Cт3сп</t>
  </si>
  <si>
    <t>Boya / qara</t>
  </si>
  <si>
    <t>Boya / 1 L</t>
  </si>
  <si>
    <t>Disc / kəsici / d 230mm</t>
  </si>
  <si>
    <t>0001077</t>
  </si>
  <si>
    <t>0001078</t>
  </si>
  <si>
    <t>0001079</t>
  </si>
  <si>
    <t>Boya / antipas / 17kq</t>
  </si>
  <si>
    <t>0001084</t>
  </si>
  <si>
    <t>0001080</t>
  </si>
  <si>
    <t>Disc / kəsici / d 115mm</t>
  </si>
  <si>
    <t>Disk / cilalayıcı / d 115 mm / lagonda üçün</t>
  </si>
  <si>
    <t>WD 40</t>
  </si>
  <si>
    <t>0001081</t>
  </si>
  <si>
    <t>0001082</t>
  </si>
  <si>
    <t>0001083</t>
  </si>
  <si>
    <t>"Əli inşaat"</t>
  </si>
  <si>
    <t>Bitum / Azmas</t>
  </si>
  <si>
    <t>Stepler / 14</t>
  </si>
  <si>
    <t>Stepler simi / 14</t>
  </si>
  <si>
    <t>Silikon</t>
  </si>
  <si>
    <t>Yapışdırıcı / kontakt</t>
  </si>
  <si>
    <t>Metrə / 3m</t>
  </si>
  <si>
    <t>Təbaşir</t>
  </si>
  <si>
    <t>Silikon tapancası</t>
  </si>
  <si>
    <t>0001085</t>
  </si>
  <si>
    <t>0001086</t>
  </si>
  <si>
    <t>0001087</t>
  </si>
  <si>
    <t>0001088</t>
  </si>
  <si>
    <t>0001089</t>
  </si>
  <si>
    <t>0001090</t>
  </si>
  <si>
    <t>0001091</t>
  </si>
  <si>
    <t>Arxiv qovluğu / ensiz / göy</t>
  </si>
  <si>
    <t>Sənəd rəfi / 3-lü / DG 2001 HF J2</t>
  </si>
  <si>
    <t>Texmarker / A178 / narıncı</t>
  </si>
  <si>
    <t>Texmarker / A178 / mavi</t>
  </si>
  <si>
    <t>Texmarker / A178 / yaşıl</t>
  </si>
  <si>
    <t>Texmarker / A178 / sarı</t>
  </si>
  <si>
    <t>Delgec / kağızdeşən / A101</t>
  </si>
  <si>
    <t>Dosya qovluğu / telli / mavi</t>
  </si>
  <si>
    <t>Qısqac / A182</t>
  </si>
  <si>
    <t>0001092</t>
  </si>
  <si>
    <t>0001093</t>
  </si>
  <si>
    <t>0001094</t>
  </si>
  <si>
    <t>0001095</t>
  </si>
  <si>
    <t>0001096</t>
  </si>
  <si>
    <t>0001097</t>
  </si>
  <si>
    <t>0001098</t>
  </si>
  <si>
    <t>0001099</t>
  </si>
  <si>
    <t>0001100</t>
  </si>
  <si>
    <t>0001101</t>
  </si>
  <si>
    <t>Burğu / 22</t>
  </si>
  <si>
    <t>Burğu / 24</t>
  </si>
  <si>
    <t>0001102</t>
  </si>
  <si>
    <t>Bitum / Rus</t>
  </si>
  <si>
    <t>0001103</t>
  </si>
  <si>
    <t>Bolt / altıkünc / qara / kiçik</t>
  </si>
  <si>
    <t>0001104</t>
  </si>
  <si>
    <t>Sement / M400 / Norm</t>
  </si>
  <si>
    <t>0001105</t>
  </si>
  <si>
    <t>Məməcik / yağlama</t>
  </si>
  <si>
    <t>0001106</t>
  </si>
  <si>
    <t>Yağ / 15w40 / 1L / Lubex Primus EC</t>
  </si>
  <si>
    <t>0001107</t>
  </si>
  <si>
    <t>Kömür / laqonda üçün / "Bosch"</t>
  </si>
  <si>
    <t>0001108</t>
  </si>
  <si>
    <t>N1790</t>
  </si>
  <si>
    <t>Kəndir / alpenist</t>
  </si>
  <si>
    <t>İzolent</t>
  </si>
  <si>
    <t>İp / göy</t>
  </si>
  <si>
    <t>Çəllək (Boçka) / 200 L</t>
  </si>
  <si>
    <t>0001109</t>
  </si>
  <si>
    <t>0001110</t>
  </si>
  <si>
    <t>0001111</t>
  </si>
  <si>
    <t>0001112</t>
  </si>
  <si>
    <t>0001113</t>
  </si>
  <si>
    <t>0001114</t>
  </si>
  <si>
    <t>Su pompası / dalğıc / d 76 mm / 1500 Vt / 2860 d/d / 6 metr / "Dingoi" Çin istehsalı</t>
  </si>
  <si>
    <t>Qayka açar dəsti</t>
  </si>
  <si>
    <t>0001115</t>
  </si>
  <si>
    <t>Qayka açarı / 10</t>
  </si>
  <si>
    <t>Qayka açarı / 13</t>
  </si>
  <si>
    <t>0001116</t>
  </si>
  <si>
    <t>0001117</t>
  </si>
  <si>
    <t>Qapı petlyası</t>
  </si>
  <si>
    <t>Cəftə</t>
  </si>
  <si>
    <t>0001118</t>
  </si>
  <si>
    <t>0001119</t>
  </si>
  <si>
    <t>Bolt</t>
  </si>
  <si>
    <t>0001120</t>
  </si>
  <si>
    <t>Kəlpətin / kəsən</t>
  </si>
  <si>
    <t>0001121</t>
  </si>
  <si>
    <t>Boya</t>
  </si>
  <si>
    <t>0001122</t>
  </si>
  <si>
    <t>Elektrik üçlük (kalot)</t>
  </si>
  <si>
    <t>0001123</t>
  </si>
  <si>
    <t>Bitum</t>
  </si>
  <si>
    <t>Yanğınsöndürmə şlanqı / d 76mm</t>
  </si>
  <si>
    <t>Xomut / plastik / 76x9,2 mm / türk</t>
  </si>
  <si>
    <t>0001125</t>
  </si>
  <si>
    <t>0001126</t>
  </si>
  <si>
    <t>0001127</t>
  </si>
  <si>
    <t>Disk / cilalayıcı / d 230 mm / lagonda üçün</t>
  </si>
  <si>
    <t>0001128</t>
  </si>
  <si>
    <t>Bel / çalov</t>
  </si>
  <si>
    <t>Bel / düz</t>
  </si>
  <si>
    <t>Bel sapı</t>
  </si>
  <si>
    <t>Çəkic / 1 kq</t>
  </si>
  <si>
    <t>Jilet / fəhlə</t>
  </si>
  <si>
    <t>0001129</t>
  </si>
  <si>
    <t>0001130</t>
  </si>
  <si>
    <t>0001131</t>
  </si>
  <si>
    <t>0001132</t>
  </si>
  <si>
    <t>0001133</t>
  </si>
  <si>
    <t>Projektor / led / 100 Vt</t>
  </si>
  <si>
    <t>Projektor / led / 50 Vt</t>
  </si>
  <si>
    <t>Elektrik üçlük (kalot) / 3 gözlü</t>
  </si>
  <si>
    <t>İzolent / qara</t>
  </si>
  <si>
    <t>Vintaçan dəsti / 4 pcs / N56</t>
  </si>
  <si>
    <t>0001134</t>
  </si>
  <si>
    <t>0001135</t>
  </si>
  <si>
    <t>0001136</t>
  </si>
  <si>
    <t>0001137</t>
  </si>
  <si>
    <t>0001138</t>
  </si>
  <si>
    <t>Elektrik vilka / 702</t>
  </si>
  <si>
    <t>0001139</t>
  </si>
  <si>
    <t>Solidol</t>
  </si>
  <si>
    <t>0001140</t>
  </si>
  <si>
    <t>"MAGNA"</t>
  </si>
  <si>
    <t>"Taleh"</t>
  </si>
  <si>
    <t>"Ağa İnşat"</t>
  </si>
  <si>
    <t>Disk / kəsici / d 230x1,9 mm / "Klingspor"</t>
  </si>
  <si>
    <t>0001141</t>
  </si>
  <si>
    <t>"TURQUOİSE" MMC</t>
  </si>
  <si>
    <t>№21</t>
  </si>
  <si>
    <t>Sututucu bant / AK 20/2</t>
  </si>
  <si>
    <t>0001142</t>
  </si>
  <si>
    <t>Tesar/Victaulic bağlantı</t>
  </si>
  <si>
    <t>0001143</t>
  </si>
  <si>
    <t>0001144</t>
  </si>
  <si>
    <t>"Sontech Groupe"</t>
  </si>
  <si>
    <t>Qəbz 22600</t>
  </si>
  <si>
    <t>Kaska / qaynaqçı</t>
  </si>
  <si>
    <t>Çəkic / 2 kq</t>
  </si>
  <si>
    <t>Qoruyucu şüşə / qaynaqçi kaskası üçün</t>
  </si>
  <si>
    <t>0001145</t>
  </si>
  <si>
    <t>0001146</t>
  </si>
  <si>
    <t>0001147</t>
  </si>
  <si>
    <t>0001148</t>
  </si>
  <si>
    <t>0001149</t>
  </si>
  <si>
    <t>Kabel / 3*25+1*16 / "NEXANS" H07VV-F / 0.6/1KV</t>
  </si>
  <si>
    <t>Ucluq / mis / DT25</t>
  </si>
  <si>
    <t>Reduktor / oksiqen / "Yıldız" 5401SR</t>
  </si>
  <si>
    <t>Reduktor / propan / "Yıldız" 5120</t>
  </si>
  <si>
    <t>Odla kəsici (Rezak) / "Yıldız" 4512-460</t>
  </si>
  <si>
    <t>Əks klapan / oksiqen / "Yıldız" 1030</t>
  </si>
  <si>
    <t>Əks klapan / propan / "Yıldız" 1130</t>
  </si>
  <si>
    <t>Kıapan / LPG / "Yıldız" 1118</t>
  </si>
  <si>
    <t>Kıapan / oksiqen / "Yıldız" 1128</t>
  </si>
  <si>
    <t>Kabel / 1*35 KQ / H07RR-F /450/750V</t>
  </si>
  <si>
    <t>Maska / sadə / şüşəli</t>
  </si>
  <si>
    <t>Tutucu (Derjatel) / model : 600A</t>
  </si>
  <si>
    <t>Qaynaq razyomu / 35-50mm</t>
  </si>
  <si>
    <t>0001150</t>
  </si>
  <si>
    <t>0001151</t>
  </si>
  <si>
    <t>0001152</t>
  </si>
  <si>
    <t>0001153</t>
  </si>
  <si>
    <t>0001154</t>
  </si>
  <si>
    <t>0001155</t>
  </si>
  <si>
    <t>0001156</t>
  </si>
  <si>
    <t>0001157</t>
  </si>
  <si>
    <t>0001158</t>
  </si>
  <si>
    <t>0001159</t>
  </si>
  <si>
    <t>0001160</t>
  </si>
  <si>
    <t>0001161</t>
  </si>
  <si>
    <t>0001162</t>
  </si>
  <si>
    <t>Boya / antipas / 1 kq</t>
  </si>
  <si>
    <t>0001163</t>
  </si>
  <si>
    <t>Qaynaq çubuğu (elektrod) / 4</t>
  </si>
  <si>
    <t>0001164</t>
  </si>
  <si>
    <t>0001124</t>
  </si>
  <si>
    <t>Sahəyə</t>
  </si>
  <si>
    <t>Anbar adı - Anqar</t>
  </si>
  <si>
    <t>Anbar adı - Göy kont.</t>
  </si>
  <si>
    <t>Anbar adı - Sarı kont.</t>
  </si>
  <si>
    <t>Anbar adı - Ağ kont.</t>
  </si>
  <si>
    <t>Anbar adı - Mətbəx</t>
  </si>
  <si>
    <t>Mufta / d 32 mm / polietilen / elektrofizyon / A</t>
  </si>
  <si>
    <t>Mufta / d 32 mm / polietilen / elektrofizyon / B</t>
  </si>
  <si>
    <t>Mufta / d 32 mm / polietilen / elektrofizyon / C</t>
  </si>
  <si>
    <t>Su filtri / d 20 mm / polipropilen / A</t>
  </si>
  <si>
    <t>Su filtri / d 20 mm / polipropilen / B</t>
  </si>
  <si>
    <t>Mufta / d 20 mm / polipropilen / A</t>
  </si>
  <si>
    <t>Mufta / d 20 mm / polipropilen / B</t>
  </si>
  <si>
    <t>Videokamera / nəzarət / "Multistar" / A</t>
  </si>
  <si>
    <t>Videokamera / nəzarət / "Multistar" / B</t>
  </si>
  <si>
    <t>Üçlük / d 32 mm / polietilen / A</t>
  </si>
  <si>
    <t>Üçlük / d 32 mm / polietilen / B</t>
  </si>
  <si>
    <t>Xətkeş / nivelyator üçün / A</t>
  </si>
  <si>
    <t>Xətkeş / nivelyator üçün / B</t>
  </si>
  <si>
    <t>3403</t>
  </si>
  <si>
    <t>22429</t>
  </si>
  <si>
    <t>4466</t>
  </si>
  <si>
    <t>0001175</t>
  </si>
  <si>
    <t>0001184</t>
  </si>
  <si>
    <t>4478</t>
  </si>
  <si>
    <t>0001185</t>
  </si>
  <si>
    <t>0001186</t>
  </si>
  <si>
    <t>0001187</t>
  </si>
  <si>
    <t>0001188</t>
  </si>
  <si>
    <t>0001189</t>
  </si>
  <si>
    <t>0001190</t>
  </si>
  <si>
    <t>0001191</t>
  </si>
  <si>
    <t>0001192</t>
  </si>
  <si>
    <t>0001194</t>
  </si>
  <si>
    <t>0001195</t>
  </si>
  <si>
    <t>0001196</t>
  </si>
  <si>
    <t>0001197</t>
  </si>
  <si>
    <t>0001199</t>
  </si>
  <si>
    <t>4555</t>
  </si>
  <si>
    <t>4550</t>
  </si>
  <si>
    <t>28472</t>
  </si>
  <si>
    <t>016280</t>
  </si>
  <si>
    <t>0001170</t>
  </si>
  <si>
    <t>0001171</t>
  </si>
  <si>
    <t>0001172</t>
  </si>
  <si>
    <t>0001173</t>
  </si>
  <si>
    <t>0001174</t>
  </si>
  <si>
    <t>0001177</t>
  </si>
  <si>
    <t>0001178</t>
  </si>
  <si>
    <t>0001179</t>
  </si>
  <si>
    <t>0001180</t>
  </si>
  <si>
    <t>0001181</t>
  </si>
  <si>
    <t>0001182</t>
  </si>
  <si>
    <t>0001183</t>
  </si>
  <si>
    <t>87380</t>
  </si>
  <si>
    <t>202899</t>
  </si>
  <si>
    <t>41239</t>
  </si>
  <si>
    <t>79423</t>
  </si>
  <si>
    <t>4775</t>
  </si>
  <si>
    <t>41234</t>
  </si>
  <si>
    <t>41238</t>
  </si>
  <si>
    <t>20106</t>
  </si>
  <si>
    <t>71072</t>
  </si>
  <si>
    <t>140</t>
  </si>
  <si>
    <t>90471</t>
  </si>
  <si>
    <t>83951</t>
  </si>
  <si>
    <t>83954</t>
  </si>
  <si>
    <t>83952</t>
  </si>
  <si>
    <t>83955</t>
  </si>
  <si>
    <t>83956</t>
  </si>
  <si>
    <t>83958</t>
  </si>
  <si>
    <t>83957</t>
  </si>
  <si>
    <t>83959</t>
  </si>
  <si>
    <t>2297</t>
  </si>
  <si>
    <t>83960</t>
  </si>
  <si>
    <t>83961</t>
  </si>
  <si>
    <t>83962</t>
  </si>
  <si>
    <t>84785</t>
  </si>
  <si>
    <t>84786</t>
  </si>
  <si>
    <t>84787</t>
  </si>
  <si>
    <t>84788</t>
  </si>
  <si>
    <t>84789</t>
  </si>
  <si>
    <t>84790</t>
  </si>
  <si>
    <t>84791</t>
  </si>
  <si>
    <t>84792</t>
  </si>
  <si>
    <t>83963</t>
  </si>
  <si>
    <t>271451</t>
  </si>
  <si>
    <t>83964</t>
  </si>
  <si>
    <t>16387</t>
  </si>
  <si>
    <t>5567</t>
  </si>
  <si>
    <t>10804</t>
  </si>
  <si>
    <t>83965</t>
  </si>
  <si>
    <t>47423</t>
  </si>
  <si>
    <t>47428</t>
  </si>
  <si>
    <t>34464</t>
  </si>
  <si>
    <t>34462</t>
  </si>
  <si>
    <t>"İronavto"</t>
  </si>
  <si>
    <t>5350</t>
  </si>
  <si>
    <t>0001200</t>
  </si>
  <si>
    <t>83966</t>
  </si>
  <si>
    <t>83967</t>
  </si>
  <si>
    <t>"Həmidov Kamran"</t>
  </si>
  <si>
    <t>0050608</t>
  </si>
  <si>
    <t>0001165</t>
  </si>
  <si>
    <t>0001166</t>
  </si>
  <si>
    <t>0001167</t>
  </si>
  <si>
    <t>0001168</t>
  </si>
  <si>
    <t>0001169</t>
  </si>
  <si>
    <t>0146059</t>
  </si>
  <si>
    <t>0001202</t>
  </si>
  <si>
    <t>56447</t>
  </si>
  <si>
    <t>0001204</t>
  </si>
  <si>
    <t>0033234</t>
  </si>
  <si>
    <t>0001205</t>
  </si>
  <si>
    <t>0001206</t>
  </si>
  <si>
    <t>0001207</t>
  </si>
  <si>
    <t>0001208</t>
  </si>
  <si>
    <t>0057225</t>
  </si>
  <si>
    <t>0001209</t>
  </si>
  <si>
    <t>0001210</t>
  </si>
  <si>
    <t>0001211</t>
  </si>
  <si>
    <t>0001212</t>
  </si>
  <si>
    <t>0001213</t>
  </si>
  <si>
    <t>0001214</t>
  </si>
  <si>
    <t>0001215</t>
  </si>
  <si>
    <t>0001203</t>
  </si>
  <si>
    <t>Elektrik lövhə / 550x800mm / metal</t>
  </si>
  <si>
    <t>Laboratoriya sınaq qabları / kolba / plastik</t>
  </si>
  <si>
    <t>Filtr/ hava/ 252-5002/ "CAT"/ ABŞ istehsalı</t>
  </si>
  <si>
    <t>Birləşdirici / polietilen / çöl yivli / d 32mm / "Borfit" / Türkiyə istehsalı</t>
  </si>
  <si>
    <t>Tıxac/ vint üçün/ 10 mm/ plastik/ "Metak"</t>
  </si>
  <si>
    <t>Tıxac/ vint üçün/ 8 mm/ plastik/ "Metak"</t>
  </si>
  <si>
    <t>Printer / rəngli / "Epson" / L1300 / İndoneziya istehsalı</t>
  </si>
  <si>
    <t>Siqnal lenti / SU</t>
  </si>
  <si>
    <t>Elektrik lövhəsi / 2ədəd kontaktor ilə</t>
  </si>
  <si>
    <t>Dirsək / d 50 mm / polad / flyanslı</t>
  </si>
  <si>
    <t>Sayğac / elektrik / 3 faza / 4 telli / 10-60 A / "Makel" / Türk istehsalı</t>
  </si>
  <si>
    <t>Karot ucu / almaz / 168 x 450 mm</t>
  </si>
  <si>
    <t>Karkas / plastik</t>
  </si>
  <si>
    <t>Karot ucu / almaz / 250 x 450 mm</t>
  </si>
  <si>
    <t>Perforator / "Dingqi" / HAMMER</t>
  </si>
  <si>
    <t>Qızdırıcı / elektrik / 1200 Vt / 3 spirallı</t>
  </si>
  <si>
    <t>Dizlik</t>
  </si>
  <si>
    <t>Kabel / 4 x 0.22 / internet</t>
  </si>
  <si>
    <t>Yanğınsöndürmə şlanqı / 6 İnch (150 mm) x 20 metr</t>
  </si>
  <si>
    <t>Lobzik / 3000 d/d / "Kad" / W650</t>
  </si>
  <si>
    <t>Yönləndirmə mühərriki (ümitə) / 1400-lük makina üçün</t>
  </si>
  <si>
    <t>Su basıncı (ilbizvari)/ 1400-lük makina üçün</t>
  </si>
  <si>
    <t>Yönləndirmə mühərriki (ümitə) / 1000-lik makina üçün</t>
  </si>
  <si>
    <t>Konus / flyanslı / d 250 mm / laboratoriya üçün</t>
  </si>
  <si>
    <t>Anbar adı - Çöl anbar</t>
  </si>
  <si>
    <t>Dirsək / d 50 mm / polietilen / 90°</t>
  </si>
  <si>
    <t>Konteyner / 6 metr</t>
  </si>
  <si>
    <t>Kompakter / əl katoku / dizel</t>
  </si>
  <si>
    <t>Boru / polietilen / d 32 mm</t>
  </si>
  <si>
    <t>Vaqonet (badya) /</t>
  </si>
  <si>
    <t>Adaptor / d 110 mm / polietilen</t>
  </si>
  <si>
    <t>Adaptor / d 90 mm / polietilen</t>
  </si>
  <si>
    <t>Kəsici / d 100 mm / almaz / perforator üçün</t>
  </si>
  <si>
    <t>Podnos / paslanmayan metal / 5 seksiyalı / mətbəx üçün</t>
  </si>
  <si>
    <t>Vanna / paslanmayan metal / mətbəx üçün</t>
  </si>
  <si>
    <t>Kabel / alüminium / 4 damarlı / 44metr</t>
  </si>
  <si>
    <t>Kabel / alüminium / 4 damarlı / 24metr</t>
  </si>
  <si>
    <t>Su pompası / dalğıc / 1100 vt / "Shimge"</t>
  </si>
  <si>
    <t>Dirsək / PVC / d 50 mm</t>
  </si>
  <si>
    <t>Kəsici alət / elektrik / beton üçün / "Hoteche" / P805111</t>
  </si>
  <si>
    <t>Qayçı / armatur üçün</t>
  </si>
  <si>
    <t>Armatur əyən alət</t>
  </si>
  <si>
    <t>Ştuser / hava / d=10 mm</t>
  </si>
  <si>
    <t>Ventil / metal / 2 inch</t>
  </si>
  <si>
    <t>Üçlük / metal / ştuser tipli / d10mm / hava</t>
  </si>
  <si>
    <t>Odla kəsici / qaz</t>
  </si>
  <si>
    <t>Oturacaq / ağ</t>
  </si>
  <si>
    <t>Döşək</t>
  </si>
  <si>
    <t>Yataq / metal karkas</t>
  </si>
  <si>
    <t>Masa / 700x1700mm / 3 siyirtməli</t>
  </si>
  <si>
    <t>Dispenser / su / "Orvica"</t>
  </si>
  <si>
    <t>Soyuducu / 157x600mm / vertikal / 2 kameralı</t>
  </si>
  <si>
    <t>Masa / 700x2700mm</t>
  </si>
  <si>
    <t>Ləğən (taz) / d 500mm / alüminium</t>
  </si>
  <si>
    <t>Ləğən (taz) / d 520mm / alüminium</t>
  </si>
  <si>
    <t>Doğrayıcı / qida / mexaniki</t>
  </si>
  <si>
    <t>Samovar / mətbəx üçün</t>
  </si>
  <si>
    <t>Jilet / sarı/ sadə</t>
  </si>
  <si>
    <t>Qaynaq çubuğu (elektrod) / 3 / "Azkaynak"</t>
  </si>
  <si>
    <t>Əlcək / sarı</t>
  </si>
  <si>
    <t>Metçik açarı</t>
  </si>
  <si>
    <t>Laqonda / d 115 mm</t>
  </si>
  <si>
    <t>Araba təkəri</t>
  </si>
  <si>
    <t>Qənd / "Azərşəkər"</t>
  </si>
  <si>
    <t>Paket / polietilen</t>
  </si>
  <si>
    <t>Elektrik plitəsi / 2 gözlü</t>
  </si>
  <si>
    <t>Başlıq (nasadka) / cilalayıcı kağız üçün</t>
  </si>
  <si>
    <t>Disk / kəsici / d 230x1,9 mm</t>
  </si>
  <si>
    <t>Qaynaq çubuğu (elektrod) / 3 / sabit / "Azkaynak"</t>
  </si>
  <si>
    <t>Siyirtmə /d 110mm / kürəvi</t>
  </si>
  <si>
    <t>Disk / kəsən / d 230mm</t>
  </si>
  <si>
    <t>Disk / cilalayıcı / d 230mm</t>
  </si>
  <si>
    <t>Köpük / montaj</t>
  </si>
  <si>
    <t>Boya / antipas / ağ</t>
  </si>
  <si>
    <t>Boya / antipas / boz</t>
  </si>
  <si>
    <t>Kəndir</t>
  </si>
  <si>
    <t>Şveller / 80</t>
  </si>
  <si>
    <t>Kran / arko / d 15mm / latun</t>
  </si>
  <si>
    <t>Suqarışdırıcı (smesitel) / duş CA 5</t>
  </si>
  <si>
    <t>Duş sepi / 120 fora</t>
  </si>
  <si>
    <t>Şlanq / moyka 60 / ziko</t>
  </si>
  <si>
    <t>Bolt / D-232</t>
  </si>
  <si>
    <t>Disk / d 230mm / nerj nazik</t>
  </si>
  <si>
    <t>Fırça / metal / 4 inch / laqonda üçün / saçaq</t>
  </si>
  <si>
    <t>Fırça / metal / 2.5 inch / laqonda üçün / saçaq</t>
  </si>
  <si>
    <t>Fırça / metal / 4 inch / laqonda üçün / cod</t>
  </si>
  <si>
    <t>Suqarışdırıcı (smesitel) / aftaxa Z62B</t>
  </si>
  <si>
    <t>EL-Bİ Üst 1R</t>
  </si>
  <si>
    <t>Lampa / spot tənzimlənən / 3D 24 Vt / ağ / kvadrat</t>
  </si>
  <si>
    <t>Əl-üz yüyan (Umıvalnik) / orta</t>
  </si>
  <si>
    <t>Elektrik çəngəli (vilka) / qulplu 258</t>
  </si>
  <si>
    <t>İzolyasiya lenti / 25m / qara</t>
  </si>
  <si>
    <t>Yanmış məftil</t>
  </si>
  <si>
    <t>Kəlbətin / N7</t>
  </si>
  <si>
    <t>Kəsər / sadə / çin</t>
  </si>
  <si>
    <t>Kəsər sapı / laklı / çin</t>
  </si>
  <si>
    <t>Lom / 28 (böyük)</t>
  </si>
  <si>
    <t>Disk / d 180  / ataka / "Makita"</t>
  </si>
  <si>
    <t>Bel / 750 qr / çalov</t>
  </si>
  <si>
    <t>Bel / 750 qr / düz</t>
  </si>
  <si>
    <t>Metrə / 5m / rezin N89</t>
  </si>
  <si>
    <t>Metrə / 10m / rezin N142</t>
  </si>
  <si>
    <t>Metrə / 30m / ruletka N69</t>
  </si>
  <si>
    <t>Fənər / 013</t>
  </si>
  <si>
    <t>Qoruyucu şüşə / qara / kaska üçün</t>
  </si>
  <si>
    <t>Burğu / 8 x 210 mm</t>
  </si>
  <si>
    <t>Lent / təhlükəsizlik / 200m</t>
  </si>
  <si>
    <t>Diş / orta / JCB mini ekskavator üçün</t>
  </si>
  <si>
    <t>Bolt-qayka / JCB üçün</t>
  </si>
  <si>
    <t>Açar / krokodil tipli</t>
  </si>
  <si>
    <t>Açar / qayka / 50 x 55</t>
  </si>
  <si>
    <t>Keçid (perexod)</t>
  </si>
  <si>
    <t>Ştuser / 32</t>
  </si>
  <si>
    <t>Künclük (uqolnik)</t>
  </si>
  <si>
    <t>Ştuser / 19</t>
  </si>
  <si>
    <t>R15-12 3609M</t>
  </si>
  <si>
    <t>R15-12 2009M</t>
  </si>
  <si>
    <t>R15-12 1159M</t>
  </si>
  <si>
    <t>Boru / d 25 mm</t>
  </si>
  <si>
    <t>S25 mma</t>
  </si>
  <si>
    <t>Qayka / S25</t>
  </si>
  <si>
    <t>L12</t>
  </si>
  <si>
    <t>R15-12 1159M / 2-ci</t>
  </si>
  <si>
    <t>1803674831</t>
  </si>
  <si>
    <t>1803106631</t>
  </si>
  <si>
    <t>1700767721</t>
  </si>
  <si>
    <t>6000261802</t>
  </si>
  <si>
    <t>№M08077/26</t>
  </si>
  <si>
    <t>08.06.2026</t>
  </si>
  <si>
    <t>2101064132</t>
  </si>
  <si>
    <t>"Məhərrəmov Calal"</t>
  </si>
  <si>
    <t>TSN/XH/SA/07-26/006</t>
  </si>
  <si>
    <t>20.07.2026</t>
  </si>
  <si>
    <t>1404208661</t>
  </si>
  <si>
    <t>1504919047</t>
  </si>
  <si>
    <t>3333333333</t>
  </si>
  <si>
    <t>1506423331</t>
  </si>
  <si>
    <t>2222222222</t>
  </si>
  <si>
    <t>1101146872</t>
  </si>
  <si>
    <t>2000250161</t>
  </si>
  <si>
    <t>2026</t>
  </si>
  <si>
    <t>1111111111</t>
  </si>
  <si>
    <t>Xəta</t>
  </si>
  <si>
    <t>(blank)</t>
  </si>
  <si>
    <t>0001176</t>
  </si>
  <si>
    <t>0001193</t>
  </si>
  <si>
    <t>0001198</t>
  </si>
  <si>
    <t>0001201</t>
  </si>
  <si>
    <t>Yağ / hidravlik / HLP68</t>
  </si>
  <si>
    <t>0001216</t>
  </si>
  <si>
    <t>litr</t>
  </si>
  <si>
    <t>Klema başlığı / T038</t>
  </si>
  <si>
    <t>Əks klapan / hidravlik</t>
  </si>
  <si>
    <t>Filtr / hidravlik</t>
  </si>
  <si>
    <t>Pəstah / kauçuk</t>
  </si>
  <si>
    <t>Araqatı (salnik)</t>
  </si>
  <si>
    <t>Profil / metal / 2x4mm</t>
  </si>
  <si>
    <t>0001217</t>
  </si>
  <si>
    <t>0001218</t>
  </si>
  <si>
    <t>0001219</t>
  </si>
  <si>
    <t>0001220</t>
  </si>
  <si>
    <t>0001221</t>
  </si>
  <si>
    <t>0001222</t>
  </si>
  <si>
    <t>Armatur / F10, L-12, A500</t>
  </si>
  <si>
    <t>Armatur / F14, L-12, A500</t>
  </si>
  <si>
    <t>Armatur / F16, L-12, A500</t>
  </si>
  <si>
    <t>Armatur / F20, L-12, A500</t>
  </si>
  <si>
    <t>0001223</t>
  </si>
  <si>
    <t>0001224</t>
  </si>
  <si>
    <t>0001225</t>
  </si>
  <si>
    <t>0001226</t>
  </si>
  <si>
    <t>ton</t>
  </si>
  <si>
    <t>"Almet-Stp" MMC</t>
  </si>
  <si>
    <t>MT2606 №10705313</t>
  </si>
  <si>
    <t>Metrik / TE-O.B</t>
  </si>
  <si>
    <t>Metrik / BSP</t>
  </si>
  <si>
    <t>0001227</t>
  </si>
  <si>
    <t>0001228</t>
  </si>
  <si>
    <t>Generator / 205 kVA / "Genpower"</t>
  </si>
  <si>
    <t>0001229</t>
  </si>
  <si>
    <t>Karot ucu / perforator üçün / 40mm</t>
  </si>
  <si>
    <t>Su pompası / d 76mm / 6.6 kVt / H 28metr / "Grindex" / 0940147</t>
  </si>
  <si>
    <t>0001230</t>
  </si>
  <si>
    <t>0001231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</si>
</sst>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86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8"/>
      <name val="Aptos Narrow"/>
      <family val="2"/>
      <charset val="186"/>
      <scheme val="minor"/>
    </font>
    <font>
      <sz val="12"/>
      <color theme="0" tint="-0.34998626667073579"/>
      <name val="Arial"/>
      <family val="2"/>
      <charset val="204"/>
    </font>
    <font>
      <sz val="12"/>
      <color theme="1"/>
      <name val="Arial"/>
      <charset val="204"/>
    </font>
    <font>
      <b/>
      <sz val="12"/>
      <color theme="1"/>
      <name val="Arial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4" xfId="0" pivotButton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indent="1"/>
    </xf>
    <xf numFmtId="0" fontId="6" fillId="0" borderId="0" xfId="0" pivotButton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pivotButton="1" applyFont="1" applyBorder="1" applyAlignment="1">
      <alignment horizontal="center" vertical="center"/>
    </xf>
    <xf numFmtId="0" fontId="5" fillId="0" borderId="1" xfId="0" pivotButton="1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/>
    <xf numFmtId="0" fontId="5" fillId="0" borderId="5" xfId="0" applyFont="1" applyBorder="1"/>
    <xf numFmtId="0" fontId="5" fillId="0" borderId="11" xfId="0" applyFont="1" applyBorder="1"/>
    <xf numFmtId="0" fontId="5" fillId="0" borderId="13" xfId="0" applyFont="1" applyBorder="1"/>
    <xf numFmtId="0" fontId="5" fillId="0" borderId="6" xfId="0" applyFont="1" applyBorder="1"/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NumberFormat="1"/>
    <xf numFmtId="0" fontId="5" fillId="0" borderId="0" xfId="0" applyNumberFormat="1" applyFont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5" fillId="0" borderId="1" xfId="0" applyNumberFormat="1" applyFont="1" applyBorder="1"/>
    <xf numFmtId="0" fontId="5" fillId="0" borderId="2" xfId="0" applyNumberFormat="1" applyFont="1" applyBorder="1"/>
    <xf numFmtId="0" fontId="5" fillId="0" borderId="3" xfId="0" applyNumberFormat="1" applyFont="1" applyBorder="1"/>
    <xf numFmtId="0" fontId="5" fillId="0" borderId="11" xfId="0" applyNumberFormat="1" applyFont="1" applyBorder="1"/>
    <xf numFmtId="0" fontId="5" fillId="0" borderId="12" xfId="0" applyNumberFormat="1" applyFont="1" applyBorder="1"/>
    <xf numFmtId="0" fontId="5" fillId="0" borderId="6" xfId="0" applyNumberFormat="1" applyFont="1" applyBorder="1"/>
    <xf numFmtId="0" fontId="5" fillId="0" borderId="7" xfId="0" applyNumberFormat="1" applyFont="1" applyBorder="1"/>
    <xf numFmtId="0" fontId="5" fillId="0" borderId="8" xfId="0" applyNumberFormat="1" applyFont="1" applyBorder="1"/>
  </cellXfs>
  <cellStyles count="1">
    <cellStyle name="Normal" xfId="0" builtinId="0"/>
  </cellStyles>
  <dxfs count="184">
    <dxf>
      <alignment horizontal="center"/>
    </dxf>
    <dxf>
      <alignment horizont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sz val="12"/>
      </font>
    </dxf>
    <dxf>
      <font>
        <sz val="12"/>
      </font>
    </dxf>
    <dxf>
      <alignment horizontal="right"/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000000"/>
      </font>
    </dxf>
    <dxf>
      <font>
        <color rgb="FFFF0000"/>
      </font>
    </dxf>
    <dxf>
      <font>
        <color rgb="FF00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sz val="12"/>
      </font>
    </dxf>
    <dxf>
      <font>
        <sz val="12"/>
      </font>
    </dxf>
    <dxf>
      <font>
        <name val="Arial"/>
        <charset val="204"/>
        <scheme val="none"/>
      </font>
    </dxf>
    <dxf>
      <font>
        <name val="Arial"/>
        <charset val="204"/>
        <scheme val="none"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1.590183796296" createdVersion="8" refreshedVersion="8" minRefreshableVersion="3" recordCount="1275" xr:uid="{7881FF59-F6AA-42D7-A8E2-1885678C45DF}">
  <cacheSource type="worksheet">
    <worksheetSource name="Table4"/>
  </cacheSource>
  <cacheFields count="12">
    <cacheField name="№" numFmtId="0">
      <sharedItems containsSemiMixedTypes="0" containsString="0" containsNumber="1" containsInteger="1" minValue="1" maxValue="1275"/>
    </cacheField>
    <cacheField name="Tarix" numFmtId="14">
      <sharedItems containsSemiMixedTypes="0" containsNonDate="0" containsDate="1" containsString="0" minDate="2026-05-06T00:00:00" maxDate="2026-07-24T00:00:00"/>
    </cacheField>
    <cacheField name="Malın adı" numFmtId="0">
      <sharedItems count="1325">
        <s v="Fırça / N143 (şotka pas qara)"/>
        <s v="Bıçaq / oboy / N115"/>
        <s v="Qıfıl / VAZ"/>
        <s v="Qıfıl / Extra 70"/>
        <s v="Projektor / led / 200 Vt"/>
        <s v="Lampa / 12 Vt / ağ / kürəvi"/>
        <s v="Əlcək / göy"/>
        <s v="Metrə / 10m / &quot;Fisko&quot; / N88"/>
        <s v="Araba təkəri"/>
        <s v="Kömür / laqonda üçün / &quot;Conan&quot;"/>
        <s v="Potric uzatma prizi / 5x32A / 225"/>
        <s v="MİQRİK XCK-J108 POTRİC"/>
        <s v="Kabel / 2x2.5 / NEXANS H07VV-F 0,6/1 KV"/>
        <s v="Kabel / 2x4 / NEXANS H07VV-F 0,6/1 KV"/>
        <s v="TAYRAP / 5x250 / QARA"/>
        <s v="Ucluq / mis / DT95"/>
        <s v="Press 120"/>
        <s v="Projektor / led / 100 Vt / mini"/>
        <s v="Potric / 5x32A / FİŞ 025"/>
        <s v="Filtr/ yağ/ ZP3375 MG/ &quot;FİL&quot;/Türkiyə istehsalı"/>
        <s v="Filtr/ yağ/ ZP520/ &quot;FİL&quot;/Türkiyə istehsalı"/>
        <s v="Kabel qoruyucu gövdə / alüminium / kontaktor üçün"/>
        <s v="Gərginlik sabitləşdiricisi / 1 faza / &quot;ANDELİ&quot; / SVC-200000VA"/>
        <s v="Elektrik lövhə / 550x800mm / metal"/>
        <s v="Kabel qoruyucu gövdə / alüminium / kontaktor ilə"/>
        <s v="Filtr/ yağ/ ZP540 A/ &quot;FİL&quot;/Türkiyə istehsalı"/>
        <s v="Laboratoriya sınaq qabları / podnos tipli / paslanmaz metal"/>
        <s v="Laboratoriya sınaq qabları / kolba / plastik"/>
        <s v="Filtr/ yanacaq/ PL 270 / &quot;SCT&quot; / Turbomax"/>
        <s v="Filtr/ yanacaq/ ZP3043 FMB/ &quot;FİL&quot;/Türkiyə istehsalı"/>
        <s v="Filtr/ yağ/ ZP531/ &quot;FİL&quot;/Türkiyə istehsalı"/>
        <s v="Filtr/ yanacaq/ ZP8048 FP/ &quot;FİL&quot;/Türkiyə istehsalı"/>
        <s v="Filtr/ yanacaq/ ZP8003 FM/ &quot;FİL&quot;/Türkiyə istehsalı"/>
        <s v="Filtr/ yağ/ ML1517/ &quot;FİL&quot;/Türkiyə istehsalı"/>
        <s v="Filtr/ yanacaq/ MFE1593/ &quot;FİL&quot;/Türkiyə istehsalı"/>
        <s v="Filtr/ yanacaq/ MFE1489/ &quot;FİL&quot;/Türkiyə istehsalı"/>
        <s v="Filtr/ yağ/ ZP 24 C/ &quot;FİL&quot;/Türkiyə istehsalı"/>
        <s v="Filtr/ yanacaq/ TF1480/ &quot;FİL&quot;/Türkiyə istehsalı"/>
        <s v="Filtr/ hava/ MLE 1606/ &quot;FİL&quot;/Türkiyə istehsalı"/>
        <s v="Filtr/ kabin/ HC 7265/ &quot;FİL&quot;/Türkiyə istehsalı"/>
        <s v="Filtr/ yanacaq/ WK712\2/ &quot;MANN&quot;/ Almaniya istehsalı"/>
        <s v="Filtr/ yağ/ W11102\35/ &quot;MANN&quot;/ Almaniya istehsalı"/>
        <s v="Filtr/ yanacaq/ P917\2 X/ &quot;MANN&quot;/ Almaniya istehsalı"/>
        <s v="Filtr/ yağ/ W610\3/ &quot;MANN&quot;/ Almaniya istehsalı"/>
        <s v="Filtr/ yağ/ 61000070005H/ &quot;WEICHAI&quot;/ Çin istehsalı"/>
        <s v="Filtr/ hava/ DR5122 B/ &quot;Delsa&quot;/Türkiyə istehsalı"/>
        <s v="Filtr/ yağ/ DS1307/ &quot;Delsa&quot;/Türkiyə istehsalı"/>
        <s v="Filtr/ yanacaq/ DS1430F/ &quot;Delsa&quot;/Türkiyə istehsalı"/>
        <s v="Filtr/ yağ/ DS1068MG/ &quot;Delsa&quot;/Türkiyə istehsalı"/>
        <s v="Filtr/ yağ/ CS1416/ &quot;Sampion&quot;/Türkiyə istehsalı"/>
        <s v="Filtr/ yanacaq/ CS0169M/ &quot;Sampion&quot;/Türkiyə istehsalı"/>
        <s v="Filtr/ yanacaq/ CS1439M/ &quot;Sampion&quot;/Türkiyə istehsalı"/>
        <s v="Filtr/ yanacaq/ CS1589M/ &quot;Sampion&quot;/Türkiyə istehsalı"/>
        <s v="Filtr/ yanacaq/ CE1366MEX L/ &quot;Sampion&quot;/Türkiyə istehsalı"/>
        <s v="Filtr/ yanacaq/ CS1430MVL/ &quot;Sampion&quot;/Türkiyə istehsalı"/>
        <s v="Filtr/ yağ/ CS1521/ &quot;Sampion&quot;/Türkiyə istehsalı"/>
        <s v="Filtr/ yağ/ CS0038/ &quot;Sampion&quot;/Türkiyə istehsalı"/>
        <s v="Filtr/ yağ/ CS1558/ &quot;Sampion&quot;/Türkiyə istehsalı"/>
        <s v="Filtr/ yağ/ B7033/ &quot;Baldwin&quot;/ABŞ istehsalı"/>
        <s v="Filtr/ yağ/ B7259/ &quot;Baldwin&quot;/ABŞ istehsalı"/>
        <s v="Filtr/ yağ/ SP401/ &quot;ASAS&quot;/ Türkiyə istehsalı"/>
        <s v="Filtr/ yanacaq/ F323045/ &quot;Atom&quot;/ Türkiyə istehsalı"/>
        <s v="Filtr/ yanacaq/ F323072/ &quot;Atom&quot;/ Türkiyə istehsalı"/>
        <s v="Filtr/ yağ/ ON1024C/ &quot;ONFIL&quot;/ Türkiyə istehsalı"/>
        <s v="Filtr/ hidravlik/ H1129/ &quot;Bavaria&quot;/ Türkiyə istehsalı"/>
        <s v="Filtr/ hidravlik/362-1163/ &quot;CAT&quot;/ ABŞ istehsalı"/>
        <s v="Filtr/ hava/ 252-5002/ &quot;CAT&quot;/ ABŞ istehsalı"/>
        <s v="Filtr/ hava/ C 15248/ SHF 500/ &quot;TUC&quot;/ Çin istehsalı"/>
        <s v="Filtr/ hava/ HP 2527/ &quot;FİL&quot;/ Türkiyə istehsalı"/>
        <s v="Filtr/ hava/ HP 2528/ &quot;FİL&quot;/ Türkiyə istehsalı"/>
        <s v="Filtr/ hava/ P53-2474/ &quot;Donaldson&quot;/ İngiltərə istehsalı"/>
        <s v="Filtr/ hava/ P53-2473/ &quot;Donaldson&quot;/ İngiltərə istehsalı"/>
        <s v="Filtr/ hava/ 32/925682/ &quot;JCB&quot;/ Çexiya istehsalı"/>
        <s v="Filtr/ hava/ SHF 5004/ 5005/ &quot;Sure&quot;/ ABŞ istehsalı"/>
        <s v="Filtr/ hava/ L2579 P/ &quot;GSP&quot;/ Çin istehsalı"/>
        <s v="Filtr/ hava/ F15190/ &quot;Atom&quot;/ Türkiyə istehsalı"/>
        <s v="Filtr/ hava/ AF 1822/ &quot;TUC&quot;/ Çin istehsalı"/>
        <s v="Filtr/ hava/ SHF 365/ &quot;TUC&quot;/ Çin istehsalı"/>
        <s v="Filtr/ hava/ C13103/ &quot;TUC&quot;/ Çin istehsalı"/>
        <s v="Filtr/ yanacaq/ 6754-71-6140/ &quot;Komatsu&quot;/ Yaponiya istehsalı"/>
        <s v="Filtr/ yanacaq/ FC-1003/ &quot;Sakura&quot;/ İndoneziya istehsalı"/>
        <s v="Filtr/ yağ/ P554403/ &quot;Donaldson&quot;/ Meksika istehsalı"/>
        <s v="Filtr/ yağ/ SP450/ &quot;Asas&quot;/ Türkiyə istehsalı"/>
        <s v="Filtr/ hidravlik/ P550148/ &quot;Donaldson&quot;/ İtaliya istehsalı"/>
        <s v="Filtr/ yanacaq/ P551315/ &quot;Donaldson&quot;/ ABŞ istehsalı"/>
        <s v="Filtr/ yağ/ P550008/ &quot;Donaldson&quot;/ ABŞ istehsalı"/>
        <s v="Filtr/ yağ/ ZP 3375 MG/ &quot;Fil&quot;/ Türkiyə istehsalı"/>
        <s v="Filtr/ yağ/ DS 1169/ &quot;Delsa&quot;/ Türkiyə istehsalı"/>
        <s v="Filtr/ yağ/ BT 8417/ &quot;Baldwin&quot;/ ABŞ istehsalı"/>
        <s v="Filtr/ hidravlik/ HF 6359/ &quot;Fleetguard&quot;/ ABŞ istehsalı"/>
        <s v="Filtr/ hidravlik/ HF 35018/ &quot;Fleetguard&quot;/ ABŞ istehsalı"/>
        <s v="Filtr/ su separatoru/ FS 1240/ &quot;Fleetguard&quot;/ Meksika istehsalı"/>
        <s v="Filtr/ yanacaq/ FF167/ &quot;Fleetguard&quot;/ Türkiyə istehsalı"/>
        <s v="Filtr/ yanacaq/ FF5089/ &quot;Fleetguard&quot;/ ABŞ istehsalı"/>
        <s v="Filtr / hava / DR 5182 R / &quot;Delsa&quot; / Türkiyə istehsalı"/>
        <s v="Filtr / hava / CR 0237 / 0238 / &quot;Sampiyon&quot; / Türkiyə istehsalı"/>
        <s v="Filtr / hava / CR 0091 / 0092 / &quot;Sampiyon&quot; / Türkiyə istehsalı"/>
        <s v="Filtr / hava / CR 0037 / 0038 / &quot;Sampiyon&quot; / Türkiyə istehsalı"/>
        <s v="Filtr / hava / 321-4302/ &quot;CAT&quot; 315 üçün / &quot;CAT&quot; / ABŞ istehsalı /  1"/>
        <s v="Termostat / 235-4960 X / &quot;CAT&quot; / ABŞ istehsalı"/>
        <s v="Filtr / hava / əl kompakteri üçün / Çin istehsalı"/>
        <s v="Filtr / yanacaq / CR 091 C 25 R / &quot;OMT&quot; / İtaliya istehsalı"/>
        <s v="Filtr / yanacaq / FF 5381 / &quot;Fleetguard&quot; / İtaliya istehsalı"/>
        <s v="Filtr / hava / 3466687 / &quot;Turbomax&quot; / Çin istehsalı"/>
        <s v="Filtr / hava / 3466688 / &quot;Turbomax&quot; / Çin istehsalı"/>
        <s v="Mufta / polietilen / elektrofizyon / d 63mm / 30V / &quot;NTG&quot; / Türkiyə istehsalı"/>
        <s v="Mufta / polietilen / elektrofizyon / d 63mm / 30V / &quot;Borfit&quot; / Türkiyə istehsalı"/>
        <s v="Mufta / polietilen / elektrofizyon / d 63mm / 40V / &quot;Dokerler&quot; / Türkiyə istehsalı"/>
        <s v="Mufta / polietilen / elektrofizyon / d 50mm / 35V / &quot;Borfit&quot; / Türkiyə istehsalı"/>
        <s v="Xamut / polietilen / elektrofizyon / d 63mm / &quot;Georg Fisher&quot; / İsveçrə istehsalı"/>
        <s v="Keçid / polietilen / d 63-50mm"/>
        <s v="Qapaq / polietilen / d 110mm / &quot;Borfit&quot;/ Türkiyə istehsalı"/>
        <s v="Üçlük / polietilen / d 63-32mm / &quot;Borfit&quot;/ Türkiyə istehsalı"/>
        <s v="Dirsək / polietilen / d 63mm"/>
        <s v="Dirsək / polietilen / d 160mm / &quot;Tega&quot; / Türkiyə istehsalı"/>
        <s v="Üçlük / PVC-UH / d 160mm / &quot;Pimtaş&quot; / Türkiyə istehsalı"/>
        <s v="Birləşdirici / polietilen / çöl yivli / d 63mm / Türkiyə istehsalı"/>
        <s v="Üçlük / PVC / d 110mm / &quot;Hill FUN&quot; / Türkiyə istehsalı"/>
        <s v="Dirsək / polietilen / d 32mm / &quot;Borfit&quot; / Türkiyə istehsalı"/>
        <s v="Üçlük / polietilen / d 32mm / &quot;Borfit&quot; / Türkiyə istehsalı"/>
        <s v="Birləşdirici / polietilen / çöl yivli / d 32mm / &quot;Borfit&quot; / Türkiyə istehsalı"/>
        <s v="Qapaq / polietilen / d 32mm / &quot;Borfit&quot; / Türkiyə istehsalı"/>
        <s v="Su filtri / d 20 mm / polipropilen / A"/>
        <s v="Qapaq / polipropilen / d 20 mm / Metal / Türkiyə"/>
        <s v="Mufta / d 20 mm / polipropilen / A"/>
        <s v="Tıxac/ vint üçün/ 10 mm/ plastik/ &quot;Metak&quot;"/>
        <s v="Tıxac/ vint üçün/ 8 mm/ plastik/ &quot;Metak&quot;"/>
        <s v="İzolyasiya materialı / boru üçün / PE / &quot;Qingdao&quot;/ Çin istehsalı"/>
        <s v="Elektrik soket /16 Amp / IP44 / Type 114 / &quot;Botric&quot;/ Türkiyə istehsalı"/>
        <s v="Elektrik soket/ 16 Amp/ IP44/ Type 014/ &quot;Botric&quot;/ Türkiyə istehsalı"/>
        <s v="Elektrik soket/ 63 Amp/ IP67/ Type 234/ &quot;Botric&quot;/ Türkiyə istehsalı"/>
        <s v="Doldurma tapançası/ 600ml"/>
        <s v="Cihaz / rütubət ölçən / 160°C / &quot;Radwag&quot; / MA 50.R / Polşa istehsalı"/>
        <s v="Qum saatı"/>
        <s v="İp / kapron / tikinti"/>
        <s v="Qutu / plastik / su sayğacı üçün"/>
        <s v="Monitor / kompüter üçün / 23,8 inch / &quot;Dell&quot; / SE2416H / Çin istehsalı"/>
        <s v="Monitor / kompüter üçün / 21,45 inch / &quot;HP&quot; / V2265 / Çin istehsalı"/>
        <s v="Monitor / kompüter üçün / 17 inch / &quot;Sony&quot; / SDM-HS74 / Çin istehsalı"/>
        <s v="Monitor / 20 inch / &quot;HP&quot; / HP 2011X / Çin istehsalı"/>
        <s v="Monitor / 18,5 inch / &quot;PHILIPS&quot; / 200V4L / Çin istehsalı"/>
        <s v="TV / 23,6 inch / &quot;LG&quot; / 24MT47V-PZ / Koreya istehsalı"/>
        <s v="Prosessor / T6 / &quot;Zalman&quot;"/>
        <s v="Personal kompüter / Intel Core 2 Duo / &quot;HP&quot; / Compaq DX7400"/>
        <s v="Klaviatura / &quot;A4Tech&quot;"/>
        <s v="Mouse / &quot;A4Tech&quot;"/>
        <s v="Alət / qazma / 1850 Wt / &quot;REMS&quot; / 180010 R220 / Almaniya istehsalı"/>
        <s v="Maklovitsa fırçası"/>
        <s v="Qızdırıcı fen / 2000 Wt / &quot;Raf&quot; / Çin istehsalı"/>
        <s v="Gərginlik tənzimləyicisi (Stabilizator) / 20 kVt / &quot;Andeli&quot; / SVC-2000 VA / Çin istehsalı"/>
        <s v="Printer / &quot;HP&quot; / MFP M181FW / Vyetnam istehsalı"/>
        <s v="Elektrik mişar / 2350 Wt / d 235 mm / &quot;Viktor&quot; /  Çin istehsalı"/>
        <s v="Perforator / &quot;Bosch&quot; / GBH 11 DE / Almaniya istehsalı"/>
        <s v="Pika / 25 x 400 mm / pnevmatik çəkic üçün / Çin istehsalı"/>
        <s v="Təkər / əl arabası üçün"/>
        <s v="Manometr / 10 Bar / &quot;Pakkens&quot; / Türkiyə istehsalı"/>
        <s v="Mişar başlığı dəsti"/>
        <s v="Boya / sprey / mavi / 400 ml / &quot;Grabond&quot; / Çin istehsalı"/>
        <s v="Boya / sprey / göy / 400 ml / &quot;Grabond&quot; / Çin istehsalı"/>
        <s v="Boya / sprey / qırmızı / 400 ml / &quot;Vakko&quot; / Çin"/>
        <s v="Yapışdırıcı / poliuretan / suya davamlı / 600 ml / &quot;APEL&quot; / PA300 / Türkiyə istehsalı"/>
        <s v="Yapışdırıcı / 2 komponentli / 1 kq / &quot;Rema&quot; / Almaniya istehsalı"/>
        <s v="Açar başlığı / 70 mm"/>
        <s v="Açar başlığı / 50 mm"/>
        <s v="Açar başlığı / 36 mm"/>
        <s v="Açar başlığı / 32 mm"/>
        <s v="Açar başlığı / 30 mm"/>
        <s v="Açar başlığı / 15 mm"/>
        <s v="Pompa / təzyiq sınağı / 60 Atm / mexaniki / &quot;Candan&quot; / CM-60 / Türkiyə istehsalı"/>
        <s v="Su pompası / IP 44 / 0,37 kVt / Q=5-30 Litr / H=32metr / &quot;M5&quot; / Çin istehsalı"/>
        <s v="Yanğınsöndürmə lövhəsi / şlanq ilə"/>
        <s v="Filtr / hava / CR 0237 / &quot;Sampiyon&quot; / Türkiyə istehsalı"/>
        <s v="Lazer nivelyatoru / &quot;AGL&quot; / Almaniya istehsalı"/>
        <s v="Burğu / d 14 mm / perforator üçün"/>
        <s v="Burğu / d 18 mm / perforator üçün"/>
        <s v="Kəsər sapı / taxta"/>
        <s v="Künc (gönyə) / 90° / 50sm / tərəzi ilə"/>
        <s v="Printer /ağ-qara / &quot;Xerox&quot; / Phaser 3020BI / Çin istehsalı"/>
        <s v="Printer / ağ-qara / skaner ilə / &quot;Epson&quot; / L3251 / Filippin istehsalı"/>
        <s v="Printer / rəngli / &quot;Epson&quot; / L1300 / İndoneziya istehsalı"/>
        <s v="Printer / rəngli / &quot;Epson&quot; / L850 / İndoneziya istehsalı"/>
        <s v="Printer / rəngli / &quot;HP&quot; / MFP M282 NW / Almaniya istehsalı"/>
        <s v="Printer / ağ-qara / &quot;HP&quot; / P1005 / Vyetnam istehsalı"/>
        <s v="Şlanq / d 50 mm / L 6 metr / beton vibratoru üçün"/>
        <s v="Vibromühərrik / 2,2 kVt / 50 Hz / ZN-70P / Çin istehsalı"/>
        <s v="Qaynaq aparatı / 20-315 mm / plastik muftalar üçün / &quot;Hürner&quot; / HST 300 Easy D / Almaniya istehsalı"/>
        <s v="Filtr / yanacaq / CS 1606 / &quot;Sampiyon&quot; / Türkiyə istehsalı"/>
        <s v="Filtr / yağ / CS 0151 / &quot;Sampiyon&quot; / Türkiyə istehsalı"/>
        <s v="Elektrik yuvası / 16A / qapaqlı / &quot;ENDA&quot; / Türkiyə istehsalı"/>
        <s v="Monitor / 23,8 in / &quot;HP&quot; / HP 24F / Çin istehsalı"/>
        <s v="Yapışdırıcı / PVC-U üçün / 1 kq / &quot;Lebond&quot;"/>
        <s v="Filtr / hava / P500940 / &quot;Donaldson&quot; / Çin istehsalı"/>
        <s v="Texniki maye / AdBlue / EURO 6 / 20 kq / &quot;M-Standart&quot; / Belarus istehsalı"/>
        <s v="Siqnal lenti / SU"/>
        <s v="Klapan / kəpənək / d 150 mm / &quot;FAF&quot; / Türkiyə istehsalı"/>
        <s v="Klapan / kəpənək / d 40 mm / &quot;FAF&quot; / Türkiyə istehsalı"/>
        <s v="Klapan / kəpənək / d 25 mm / &quot;FAF&quot; / Türkiyə istehsalı"/>
        <s v="Elektrik lövhəsi / 2ədəd kontaktor ilə"/>
        <s v="Pompa / təzyiq sınağı / elektrikli / 40 Atm / 6 Litr/dəq / 1,3 kVt / &quot;Rothenberger&quot; / RP PRO 3 / İspaniya istehsalı"/>
        <s v="Nivelyator / optik / &quot;Trade Tools&quot; / Avstraliya istehsalı"/>
        <s v="Nivelyator / optik / &quot;Leica&quot; / NA 730 / İsveçrə istehsalı"/>
        <s v="Printer / ağ-qara / &quot;HP&quot; / MFP M127 FW /  Çin istehsalı"/>
        <s v="Paltaryuyan / 5 kq / &quot;Midea&quot; / MFE50-S802S / Çin istehsalı"/>
        <s v="Filtr / yağ / DE 224 E / &quot;Delsa&quot; / Türk istehsalı"/>
        <s v="Filtr / yanacaq / WK 11046 / &quot;Mann&quot; / Almaniya istehsalı"/>
        <s v="Filtr / yağ / CS 1557 / &quot;Sampiyon&quot; / Türkiyə istehsalı"/>
        <s v="Filtr / yağ / MLE 1606 / &quot;FİL&quot; / Türkiyə istehsalı"/>
        <s v="Filtr / yağ / CS 1558 / &quot;Sampiyon&quot; / Türk istehsalı"/>
        <s v="Filtr / yanacaq / CS 1672 M / &quot;Sampiyon&quot; / Türk istehsalı"/>
        <s v="Gərginlik tənzimləyicisi / 6-7,5 kVt / &quot;Andeli&quot; / SVC-7500 VA / Çin istehsalı"/>
        <s v="Ölçü lenti / geodezik / 50m x 12,5mm / &quot;Hongtu&quot; / Çin istehsalı"/>
        <s v="Kontaktor / 30 kVt-400V /  50-60 Hz / &quot;Telemecanique&quot; / LC1D6511M7 / Fransa istehsalı"/>
        <s v="Printer / A3 / ağ-qara / &quot;Konica Minolta&quot; / bizhub164 / Çin istehsalı"/>
        <s v="UPS/ 1550 Vt / &quot;Mercury&quot; / Maverick 1550/ Çin istehsalı"/>
        <s v="UPS/ 3600 Vt / &quot;Powercom&quot; / Raptor RPT-600A / Çin istehsalı"/>
        <s v="Fırça / 180 x 50 mm"/>
        <s v="Spot / 16 Amp / LED"/>
        <s v="Bra / plastik"/>
        <s v="Disk / cilalayıcı / d 115 mm / lagonda üçün"/>
        <s v="Disk / kəsən / d 350 mm / lagonda üçün"/>
        <s v="Açar / qayka / 22 x 24"/>
        <s v="Açar / qayka / bir tərəfi halqalı / 28"/>
        <s v="Açar / qayka / 19 x 22"/>
        <s v="Açar / qayka / bir tərəfi halqalı / 30"/>
        <s v="Açar / qayka / bir tərəfi halqalı / 32"/>
        <s v="Açar / qayka / iki tərəfi halqalı / 30 x 32"/>
        <s v="Açar / qayka / iki tərəfi halqalı / 36 x 41"/>
        <s v="Açar / qayka / halqalı / 36"/>
        <s v="Açar / qayka / halqalı / 41"/>
        <s v="Açar / qayka / halqalı / 27"/>
        <s v="Kəlbətin / kəsən / dəmiriçi üçün"/>
        <s v="Künc (gönyə) / 90° / 40 sm"/>
        <s v="Qızdırıcı fen / 2000 Wt / &quot;Sonifer&quot; / Çin istehsalı"/>
        <s v="Qaz brülörü / gorelka"/>
        <s v="Burğu / 22 x 800 mm"/>
        <s v="Burğu / 22 x 400 mm"/>
        <s v="Burğu / 22 x 250 mm"/>
        <s v="Burğu / 8 x 120 mm"/>
        <s v="Burğu / 14 x 150 mm"/>
        <s v="Burğu / 25 x 350 mm"/>
        <s v="Mişar / əl"/>
        <s v="Pika / 25 x 250 mm / pnevmatik çəkic üçün"/>
        <s v="Pika / 10 x 200 mm / yastı / perforator üçün"/>
        <s v="Açar / 6 künc / d 12 mm"/>
        <s v="Şlanq / L 50 sm / S/Q üçün"/>
        <s v="Şlanq / L 30 sm / S/Q üçün"/>
        <s v="Şlanq / L 40 sm / S/Q üçün"/>
        <s v="Dirsək / polad / d 57 mm"/>
        <s v="Mişar / lobzik üçün / T244D"/>
        <s v="Dirsək / d 50 mm / polad / flyanslı"/>
        <s v="Mufta / d 50 mm / polipropilen / &quot;Metak&quot;"/>
        <s v="Üçlük / d 25 mm / polipropilen / &quot;Metak&quot;"/>
        <s v="Üçlük / d 32x25 mm / polipropilen / &quot;Metak&quot;"/>
        <s v="Mufta / d 25 mm / polipropilen / &quot;Metak&quot;"/>
        <s v="Qapaq / d 25 mm / polipropilen / &quot;Metak&quot;"/>
        <s v="Dirsək / d 20 mm / 45° / polipropilen / &quot;Metak&quot;"/>
        <s v="Dirsək / d 25 mm / 45° / polipropilen / &quot;Metak&quot;"/>
        <s v="Dirsək / d 25 mm / 90° / polipropilen / &quot;Metak&quot;"/>
        <s v="Dirsək / d 50 mm / 90° / polipropilen / &quot;Metak&quot;"/>
        <s v="Üçlük / d 50 mm / polipropilen / &quot;Metak&quot;"/>
        <s v="Üçlük / d 40 mm / polipropilen / &quot;Metak&quot;"/>
        <s v="Mufta / d 32 mm / polipropilen / bir tərəfi yivli / &quot;Metak&quot;"/>
        <s v="Mufta / d 25 mm / polipropilen / bir tərəfi yivli / &quot;Metak&quot;"/>
        <s v="Sınaq ələyi / ölçü: 10 / laboratoriya üçün / &quot;Jeotest&quot; türkiyə istehsalı"/>
        <s v="Sınaq ələyi / ölçü: 13.2 / laboratoriya üçün / &quot;Jeotest&quot; türkiyə istehsalı"/>
        <s v="Sınaq ələyi / ölçü: 6.3 / laboratoriya üçün / &quot;Jeotest&quot; türkiyə istehsalı"/>
        <s v="Sınaq ələyi / ölçü: 8 / laboratoriya üçün / &quot;Jeotest&quot; türkiyə istehsalı"/>
        <s v="Sınaq ələyi / ölçü: 16 / laboratoriya üçün / &quot;Jeotest&quot; türkiyə istehsalı"/>
        <s v="Sınaq ələyi / ölçü: 25 / laboratoriya üçün / &quot;Jeotest&quot; türkiyə istehsalı"/>
        <s v="Sınaq ələyi / ölçü: 12.5 / laboratoriya üçün / &quot;Jeotest&quot; türkiyə istehsalı"/>
        <s v="Sınaq ələyi / ölçü: 425 / laboratoriya üçün / &quot;Jeotest&quot; türkiyə istehsalı"/>
        <s v="Sınaq ələyi / ölçü: 31.5 / laboratoriya üçün / &quot;Jeotest&quot; türkiyə istehsalı"/>
        <s v="Sınaq ələyi / ölçü: 50 / laboratoriya üçün / &quot;Jeotest&quot; türkiyə istehsalı"/>
        <s v="Sınaq ələyi / ölçü: 4.75 / laboratoriya üçün / &quot;Jeotest&quot; türkiyə istehsalı"/>
        <s v="Sınaq ələyi / ölçü: 1.18 / laboratoriya üçün / &quot;Jeotest&quot; türkiyə istehsalı"/>
        <s v="Sınaq ələyi / ölçü: 500 / laboratoriya üçün / &quot;Jeotest&quot; türkiyə istehsalı"/>
        <s v="Sınaq ələyi / ölçü: 4 / laboratoriya üçün / &quot;Jeotest&quot; türkiyə istehsalı"/>
        <s v="Sınaq ələyi / ölçü: 14 / laboratoriya üçün / &quot;Jeotest&quot; türkiyə istehsalı"/>
        <s v="Sınaq ələyi / ölçü: 22.4 / laboratoriya üçün / &quot;Jeotest&quot; türkiyə istehsalı"/>
        <s v="Sınaq ələyi / ölçü: 600 / laboratoriya üçün / &quot;Jeotest&quot; türkiyə istehsalı"/>
        <s v="Sınaq ələyi / ölçü: 37.5 / laboratoriya üçün / &quot;Jeotest&quot; türkiyə istehsalı"/>
        <s v="Sınaq ələyi / ölçü: 19 / laboratoriya üçün / &quot;Jeotest&quot; türkiyə istehsalı"/>
        <s v="Sınaq ələyi / ölçü: 11.2 / laboratoriya üçün / &quot;Jeotest&quot; türkiyə istehsalı"/>
        <s v="Sınaq ələyi / ölçü: 75 / laboratoriya üçün / &quot;Jeotest&quot; türkiyə istehsalı"/>
        <s v="Sınaq ələyi / ölçü: 300 / laboratoriya üçün / &quot;Jeotest&quot; türkiyə istehsalı"/>
        <s v="Sınaq ələyi / ölçü: 250 / laboratoriya üçün / &quot;Jeotest&quot; türkiyə istehsalı"/>
        <s v="Sınaq ələyi / ölçü: 9.5 / laboratoriya üçün / &quot;Jeotest&quot; türkiyə istehsalı"/>
        <s v="Təbaşir / metal üçün"/>
        <s v="Şüşə / qaynaqçı maskası üçün / qara"/>
        <s v="Şüşə / qaynaqçı maskası üçün / şəffaf"/>
        <s v="Patron / electric"/>
        <s v="Kabel ucluğu / № 2.5"/>
        <s v="Sayğac / elektrik / 3 faza / 4 telli / 10-60 A / &quot;Makel&quot; / Türk istehsalı"/>
        <s v="Xamut / metal-rezin / d 32 mm / kabel və boru üçün"/>
        <s v="Yol nişanı / sürət 10 km/s"/>
        <s v="Çəkic / 3 LB"/>
        <s v="Dolğu / kafel-metlax / 1 kq / fil dişi"/>
        <s v="Spatel / rezin"/>
        <s v="Videokamera / nəzarət / &quot;Multistar&quot; / A"/>
        <s v="Videokamera / nəzarət / color / IR / &quot;Hikvision&quot;"/>
        <s v="Videokamera / nəzarət / color / IR / &quot;DAHUA&quot;"/>
        <s v="Videokamera / nəzarət / color / IR / 87GAHZ271"/>
        <s v="Karot ucu / almaz / 168 x 450 mm"/>
        <s v="Karot ucu / almaz / 160 x 420 mm / &quot;DRT&quot; / Türk istehsalı"/>
        <s v="Karot ucu / almaz / 40 x 450 mm"/>
        <s v="Ölçü qabı / metal /  laboratoriya üçün / 2 litr"/>
        <s v="Ölçü qabı / metal /  laboratoriya üçün / 5 litr"/>
        <s v="Sınaq qəlibi (Proktor) / laboratoriya üçün / d 150 mm / açılan"/>
        <s v="Sınaq qəlibi (Proktor) / laboratoriya üçün / d 100 mm / açılan"/>
        <s v="Elektrik lövhəsi / plastik / 300 x 400 x 165 mm"/>
        <s v="Qurutma sobası / laboratoriya üçün / &quot;Jeotest&quot; / TT 107 / Türkiyə istehsalı"/>
        <s v="Bel / metal"/>
        <s v="Dabilgə / plastik / ağ"/>
        <s v="Dabilgə / plastik / sarı"/>
        <s v="Dabilgə / plastik / qırmızı"/>
        <s v="Dabilgə / plastik / yaşıl"/>
        <s v="Dabilgə / plastik / göy"/>
        <s v="Kəmər / alpinist / 29"/>
        <s v="Keçid / polietilen / xomut tipli / d 63 x 3/4 inch / 16 Atm / yivli / &quot;Poelsan&quot; / Türkiyə istehsalı"/>
        <s v="Keçid / polietilen / xomut tipli / d 110 x 1 inch / 16 Atm / yivli / &quot;Poelsan&quot; / Türkiyə istehsalı"/>
        <s v="Nivelyatorun dayağı / ştativ"/>
        <s v="Geodezik ştativ / üçayaq"/>
        <s v="Ox / geodezik ştativ üçün"/>
        <s v="Xətkeş / nivelyator üçün / 1 metr"/>
        <s v="Karkas / plastik"/>
        <s v="Profil / mayak / metal / 3 metr"/>
        <s v="Profil / H / alüminium / 3 metr"/>
        <s v="Profil / qutu alüminium / 3 metr"/>
        <s v="Su qızdırıcısı / 1.5 kW / 50 litr / &quot;Thermex&quot; / Rusiya istehsalı"/>
        <s v="Ventilyator / yerüstü"/>
        <s v="Trap / plastik / 1 metr / 2 əd. metal baqmaqlıqla / &quot;MUFLE&quot;"/>
        <s v="Armatur fiksatoru / plastik / ulduzvari"/>
        <s v="Karot ucu / almaz / 250 x 450 mm"/>
        <s v="Sıxılmış hava balonu / 300 Bar / maska ilə"/>
        <s v="Keys / plastik / alətlər üçün / boş"/>
        <s v="Keys / metal / alətlər üçün / boş"/>
        <s v="Elektrik soket / 63A / IP67 / Type 234 / &quot;Botric&quot; / Türkiyə istehsalı"/>
        <s v="Elektrik soket / 63A / IP44 / &quot;Bemiş&quot; / Türkiyə istehsalı"/>
        <s v="Elektrik soket / 63A / IP67 / &quot;Bemiş&quot; / Türkiyə istehsalı"/>
        <s v="Elektrik soket / 32A / &quot;STE&quot; / suya davamlı"/>
        <s v="Elektrik yuvası / 80 A"/>
        <s v="Elektrik soket / 32A / IP44 / Type 024K / &quot;Beyti&quot; Türkiyə istehsalı"/>
        <s v="Elektrik soket / 32A / Type D-024 / &quot;CEE&quot;"/>
        <s v="Elektrik soket / 32A / Type ST 024 / &quot;STE&quot;"/>
        <s v="Elektrik soket / 32A / Type CR025 / &quot;CEE&quot;"/>
        <s v="Elektrik soket / 32A / Type CNQD-225 / &quot;CNOD&quot;"/>
        <s v="Elektrik soket / 63A / IP67 / Type 034 / &quot;Botric&quot; / Türkiyə istehsalı"/>
        <s v="Su filtri / d 25 mm / polipropilen"/>
        <s v="Su filtri / d 20mm / polipropilen"/>
        <s v="Perforator / &quot;Bosch&quot; / GBH 8-45 D"/>
        <s v="Perforator / &quot;Bosch&quot; / GBH 5-40 D"/>
        <s v="Su pompası / dalğıc"/>
        <s v="Su pompası / dalğıc / 1.1 kvt / 1000 L/d / 9 metr / &quot;Shimge&quot; / QDX 40-7-1.1 K3F"/>
        <s v="Lebyodka / 1000 kq / 1.7 kvt / &quot;RZMA&quot;"/>
        <s v="Perforator / &quot;Dingqi&quot; / HAMMER"/>
        <s v="Perforator / &quot;SKOM&quot; / SK-HD1600"/>
        <s v="Nivelyator / &quot;Leica&quot; / NA 332"/>
        <s v="Akkumulyator / 12V / 450A / 50AH / &quot;KAINAR&quot; / Qazaxıstan istehsalı"/>
        <s v="Akkumulyator / 12V / 580A / 60AH / &quot;Formula&quot; / Ukrayna istehsalı"/>
        <s v="Akkumulyator / 12V / 77AH / 640A / &quot;Tungstone&quot;"/>
        <s v="Akkumulyator / 12V / 45AH / 390A / &quot;Racing&quot; / Ukrayna istehsalı"/>
        <s v="Akkumulyator / 12V / 10AH / 800A / &quot;WESTA&quot; / Ukrayna istehsalı"/>
        <s v="Su tərəzisi"/>
        <s v="Mühərrik / elektrik / alüminium / 1.5 kvt / 1500 d/d / 220/380V / 50Hz / Çin istehsalı"/>
        <s v="Bolt / M24 / L 80 mm"/>
        <s v="Lagonda / 2000 vt / 6500 d/d / &quot;Dingqi&quot; / JB02401 / Çin istehsalı"/>
        <s v="Lagonda / 2300 vt / 6500 d/d / &quot;Dingqi&quot; / Çin istehsalı"/>
        <s v="Lagonda / &quot;Bosch&quot; / GWS 21"/>
        <s v="Lobzik / 650 Vt / 3000 d/d / &quot;Kad&quot;"/>
        <s v="Lobzik / &quot;Hidroterm&quot;"/>
        <s v="Qızdırıcı / elektrik / 1200 Vt / 3 spirallı"/>
        <s v="Su pompası / hidrofor ilə / 0.37 kVt / H 32 metr / 2900 d/d / &quot;M5&quot;  / Çin istehsalı"/>
        <s v="Qırıcı çəkic / pnevmatik"/>
        <s v="Nivelyator / lazer / &quot;Bosch&quot; / GLL 3-80 P / Çin istehsalı"/>
        <s v="Videokamera / nəzarət / &quot;Multistar&quot; / B"/>
        <s v="Dizlik"/>
        <s v="Xomut / d 56-60 mm / şuruplu / metal"/>
        <s v="Fırça / lagonda üçün / 5 inch"/>
        <s v="Diyircəkli yastıq / 30206"/>
        <s v="Kabel sarğısı / spiralvari / 8 mm"/>
        <s v="Qayka açarı / əldəqayırma"/>
        <s v="Nivelyator dayağı / üçayaq / metal"/>
        <s v="Tezlik çeviricisi / &quot;ABB&quot; ACS550 01-045A-4 / Finlandiya istehsalı"/>
        <s v="Filtr / yağ / DW 962 / &quot;Delsa&quot; / Türkiyə istehsalı"/>
        <s v="Filtr / yağ / DS 1329 / &quot;Delsa&quot; / Türkiyə istehsalı"/>
        <s v="Filtr / yağ / DS 1430F / &quot;Delsa&quot; / Türkiyə istehsalı"/>
        <s v="Bolt / M24 / L 70 mm"/>
        <s v="Qayka / M24"/>
        <s v="Su pompası / dalğıc / 750 Vt / 2860 d/d / 47 metr / &quot;Dingi&quot; Çin istehsalı"/>
        <s v="Su pompası / dalğıc / 1500 Vt / 2860 d/d / 46 metr / &quot;Dingi&quot; Çin istehsalı"/>
        <s v="Dəbilgə / ağ"/>
        <s v="Beton vibratoru / şlanq ilə"/>
        <s v="Mühərrik / beton vibratoru üçün"/>
        <s v="Bolt / M24 / L 150 mm"/>
        <s v="Əks klepan / d 80 mm / geri dönməyən"/>
        <s v="Əks klepan / d 40 mm / geri dönməyən"/>
        <s v="Əks klepan / d 150 mm / geri dönməyən"/>
        <s v="Əks klepan / d 100 mm / geri dönməyən"/>
        <s v="Əks klepan / d 65 mm / geri dönməyən"/>
        <s v="Bolt-qayka / M28 / L 150 mm / şayba ilə"/>
        <s v="Su filtri / d 20 mm / polipropilen / B"/>
        <s v="Qapaq / d 25 mm / polietilen"/>
        <s v="Mufta / d 40 mm / polietilen"/>
        <s v="Keçid mufta / d 40 mm / çöl yiv / polipropilen"/>
        <s v="Üçlük / 25 x 20 mm / polipropilen"/>
        <s v="Keçid mufta / d 25 mm / polipropilen / iç yiv"/>
        <s v="Keçid mufta / d 25 mm / polipropilen / çöl yiv"/>
        <s v="Keçid mufta / d 32 x 40 mm / polipropilen"/>
        <s v="Keçid mufta / d 25 x 32 mm / polipropilen"/>
        <s v="Dirsək / d 25 mm / polipropilen / çöl yiv / 90"/>
        <s v="Ventil / d 25 mm / polipropilen"/>
        <s v="Üçlük / d 20 x 40 mm / polipropilen"/>
        <s v="Üçlük / d 20 x 25 mm / polipropilen"/>
        <s v="Mufta / d 25 mm / polipropilen / dolama"/>
        <s v="Mufta / d 63 mm / polipropilen"/>
        <s v="Dirsək / d 63 mm / polipropilen"/>
        <s v="Keçid / d 50 x 75 mm / polipropilen"/>
        <s v="Dirsək / d 25 mm / polipropilen / 45°"/>
        <s v="Mufta / d 25 mm / polipropilen"/>
        <s v="Dirsək / d 40 mm / polipropilen / 45°"/>
        <s v="Keçid / d 25 x 50 mm / polipropilen"/>
        <s v="Mufta / d 32 mm / polietilen / elektrofizyon / A"/>
        <s v="Dirsək / d 32 mm / PVC U /  90°"/>
        <s v="Üçlük / d 25 x 20 mm / polipropilen"/>
        <s v="Kabel / 4 x 0.22 / internet"/>
        <s v="Üz qoruyucu sipər / şəffav plastik"/>
        <s v="Suqızdırıcısı / spirallı / &quot;Cemsan&quot; / Türkiyə istehsalı"/>
        <s v="Tıxac / şurup üçün / 6-lıq / plastik"/>
        <s v="Tıxac / şurup üçün / 10-luq / plastik"/>
        <s v="Üçlük / d 32 mm / polietilen / A"/>
        <s v="Tıxac / plastik / şurup ilə"/>
        <s v="Diyircəkli yastıq / 32309"/>
        <s v="Diyircəkli yastıq / 62309"/>
        <s v="Fırça / laqononda üçün / 3 İnch"/>
        <s v="Fiksator / plastik / armatur üçün / 30/8-24"/>
        <s v="Yanğınsöndürən balon"/>
        <s v="Armatur başlığı / plastik / qoruyucu"/>
        <s v="Yanğınsöndürmə şlanqı / 6 İnch (150 mm) x 20 metr"/>
        <s v="Xomut / boru üçün / metal / 149 x 161 mm"/>
        <s v="Əhəng / söndürülmüş / 20 kq / &quot;Bertaş&quot;"/>
        <s v="Ştuser / d 150 mm / polad"/>
        <s v="Xətkeş / nivelyator üçün / A"/>
        <s v="Geodezik prizma / d 62 mm / &quot;Leica&quot;"/>
        <s v="Filtr / yanacaq / &quot;Sampiyon&quot; / CS 0169M"/>
        <s v="Filtr / yanacaq / &quot;Sampiyon&quot; / CS 1606M"/>
        <s v="Filtr / yanacaq / &quot;Sampiyon&quot; / CS 1430MVL"/>
        <s v="Filtr / yağ / &quot;Sampiyon&quot; / CS 1428"/>
        <s v="Filtr / yanacaq / &quot;Delsa&quot; / DE 1001F"/>
        <s v="Yağ / transmissiya / 80 W 90 / API GL-5 / 20Litr / &quot;ALPINE&quot; Almaniya istehsalı"/>
        <s v="Jilet / fosforlu"/>
        <s v="Lobzik / 3000 d/d / &quot;Kad&quot; / W650"/>
        <s v="Hidravlik pompa / &quot;Boring&quot;"/>
        <s v="Silikon / 250 ml"/>
        <s v="Starter / avto"/>
        <s v="Vibrator / beton üçün / portativ"/>
        <s v="Karot ucu / d 75 mm x 110 mm / almaz"/>
        <s v="Karot ucu / d 75 mm x 125 mm / almaz"/>
        <s v="Karot ucu / d 90 mm x L 110 mm / almaz"/>
        <s v="Şlanq / hidravlik / 330 Bar / 3/8 inch / L 155 mm / &quot;FORCESTREAM&quot;"/>
        <s v="Şlanq / Hidravlik / 330 Bar / L 100 mm / 3/8 inch / &quot;FORCESTREAM&quot;"/>
        <s v="Qaynaqçı dəbilgəsi"/>
        <s v="Sipər çərçivəsi / şüşəsiz"/>
        <s v="Su pompası / dalğıc / &quot;SHIMGE&quot; / 417 L/d"/>
        <s v="Su pompası / dalğıc / 2.2 kvt / 14.5 metr / 400 L/d"/>
        <s v="Qarmaq / 3 tonn"/>
        <s v="Xomut / metal / torpaqlama üçün"/>
        <s v="Pəstah / rezin"/>
        <s v="Qaynaq Aparatı / plastik boru üçün / 15 kvt / d 160-400 mm / &quot;TURAN MAKINA&quot;"/>
        <s v="Qaynaq aparatı / plastik boru üçün / 3 kvt / d 63-160 mm / &quot;TURAN MAKINA&quot;"/>
        <s v="Tezlik və gərginlik çeviricisi / &quot;Wacker Neuson&quot; / 2/042/200W / Almaniya istehsalı"/>
        <s v="Nivelyator oxu / 4 ədədli"/>
        <s v="Aragatı / rezin"/>
        <s v="Starter / 30107817231"/>
        <s v="Starter / &quot;Denso&quot; / YM 119717-77010 / Yaponiya istehsalı"/>
        <s v="Bolt / ikitərəfli qaykalı / M18 L 200 mm"/>
        <s v="Respirator / 2 kartric ilə"/>
        <s v="Pika / 14 x 250 mm / perforator üçün"/>
        <s v="Köynək / cibli / qəlibçi üçün"/>
        <s v="Şalvar / qaynaqçı üçün"/>
        <s v="Bolt-qayka / M20 / L 200 mm"/>
        <s v="Sırğa / 6 tonn"/>
        <s v="Boya / alüminium / 350° dözümlü / 0.85 Litr"/>
        <s v="Sürtkü yağı / kauçuklu / KG-3 / &quot;Greson&quot;"/>
        <s v="Tiner"/>
        <s v="Boya / fasad / akril / &quot;Expert&quot; / 15 litr"/>
        <s v="Yapışdırıcı / divar kağızı üçün / 150 gr"/>
        <s v="Çıkic / sapı ilə/ 500 gr"/>
        <s v="Pika / L 250"/>
        <s v="Dişli qayıs / 9.5 x 1150 mm"/>
        <s v="Dişli qayış / 13A1200C / &quot;Dayco&quot;"/>
        <s v="Qayış / A71 / &quot;Dongil&quot;"/>
        <s v="Elektrik lövhəsi / 300 x 400 x 165 mm"/>
        <s v="Elektrik lövhəsi / 400 x 500 x 170 mm"/>
        <s v="Səviyyəölçən / ultrasəs / &quot;ATEK&quot; / Türkiyə istehsalı"/>
        <s v="Dişli qayış / 12.5 x 950 mm"/>
        <s v="Qayış / 9.5 x 750 mm"/>
        <s v="Qayış / 17 x 1100 mm"/>
        <s v="Dişli qayış / 9.5 x 1200 mm"/>
        <s v="Dişli qayış / 154 x 25.4 mm"/>
        <s v="Kondisioner / split / mühərriksiz / &quot;AUX&quot;"/>
        <s v="Disk / kəsici / laqonda üçün / d 180 mm"/>
        <s v="Diyircəkli yastıq / 4T-HM 89410 / &quot;NTN&quot; / Yaponiya istehsalı"/>
        <s v="Qayka / M20"/>
        <s v="Təzyiq klapanı / boyler üçün"/>
        <s v="Keçid / d 15 x 25 mm / metal"/>
        <s v="Aragatı / paronit / d 110 mm"/>
        <s v="Aragatı / paronit / d 150 mm"/>
        <s v="Aragatı / metal / d 150 mm"/>
        <s v="Aragatı / paronit / d 50 mm"/>
        <s v="Aragatı / paronit / d 80 mm"/>
        <s v="Aragatı / paronit / d 500 mm"/>
        <s v="Manometr / 60 atm"/>
        <s v="Rels / metal / 1 metr / elektrik lövhəsi üçün"/>
        <s v="Dişli qayış / &quot;Bomag&quot; / 06312023"/>
        <s v="Dişli qayış / XBZPZ 1175 La"/>
        <s v="Dişli qayış / XPZ 775 La"/>
        <s v="Dişli qayış / 4PK 863"/>
        <s v="Dişli qayış / 17 x 1500 mm"/>
        <s v="Qayış / 17 x 847 mm"/>
        <s v="Dişli qayış / 12.5 x 1175 mm"/>
        <s v="Dişli qayış / 12.5 x 775 mm"/>
        <s v="Dişli qayış / 8944791010"/>
        <s v="Dişli qayış / 15 x 1100 mm"/>
        <s v="Dişli qayış / 12.5 x 1050 mm"/>
        <s v="Dişli qayış / 13 x 1200 mm"/>
        <s v="Dişli qayış / 9.5 x 1175 mm"/>
        <s v="Reduktor / 1000-lik makina üçün"/>
        <s v="Yönləndirmə mühərriki (ümitə) / 1400-lük makina üçün"/>
        <s v="Su basıncı (ilbizvari)/ 1400-lük makina üçün"/>
        <s v="Yönləndirmə mühərriki (ümitə) / 1000-lik makina üçün"/>
        <s v="Konus / flyanslı / d 250 mm / laboratoriya üçün"/>
        <s v="Ələk / №20 / laboratoriya üçün / “Jeotest” / Türkiyə istehsalı"/>
        <s v="Metal qab (tava) / d 300 mm / laboratoriya üçün"/>
        <s v="Kasaqrande cihazı / bürünc qabı ilə / laboratoriya üçün / “Jeotest” / Türkiyə istehsalı"/>
        <s v="Metal qab / 4 künc / qulplu / 520x520 mm / laboratoriya üçün"/>
        <s v="Metal qab / 4 künc / 590x470 mm / laboratoriya üçün"/>
        <s v="Elektrik mişar / 1380 Vt / d 185 mm / 5300 dövr/dəq / “Makute” Çin istehsalı"/>
        <s v="Freza dişi / xüsusi texnika üçün"/>
        <s v="Ekstraktor - yiv açan"/>
        <s v="Şlanq / oksiqen"/>
        <s v="Lobzik / elektrik / 500 Vt / GST700"/>
        <s v="Keçid / d 250 x 280 mm / polietilen / &quot;NTG&quot; / Türkiyə istehsalı"/>
        <s v="Keçid / d 250 x 315 mm / polietilen / &quot;NTG&quot; / Türkiyə istehsalı"/>
        <s v="Dirsək (Угол) / d 350 mm / polietilen / 45°"/>
        <s v="Keçid / d 160 x 280 mm / polietilen"/>
        <s v="Üçlük / d 200 x 280 mm / polietilen"/>
        <s v="Üçlük / d 160 x 225 mm / polietilen"/>
        <s v="Dirsək / d 180 mm / polietilen / 45° / &quot;Borfit&quot; / Türkiyə istehsalı"/>
        <s v="Adaptor / d 110 mm / polietilen / &quot;Borfit&quot; / Türkiyə istehsalı"/>
        <s v="Üçlük / d 160 x 710 mm / polietilen / &quot;Borfit&quot; / Türkiyə istehsalı"/>
        <s v="Üçlük / d 110 x 160 mm / polietilen / &quot;Borfit&quot; / Türkiyə istehsalı"/>
        <s v="Qapaq / d 280 mm / polietilen / &quot;Borfit&quot; / Türkiyə istehsalı"/>
        <s v="Qapaq / d 160 mm / polietilen / &quot;Borfit&quot; / Türkiyə istehsalı"/>
        <s v="Qapaq / d 355 mm / polietilen / &quot;Borfit&quot; / Türkiyə istehsalı"/>
        <s v="Keçid / d 90 x 110 mm / polietilen"/>
        <s v="Dirsək / d 355 mm / polietilen / 45°"/>
        <s v="Üçlük / d 250 x 355 mm / polietilen / &quot;Borfit&quot; / Türkiyə istehsalı"/>
        <s v="Keçid / d 225 x 250 mm / polietilen / &quot;NTG&quot; / Türkiyə istehsalı"/>
        <s v="Adaptor / d 355 mm / polietilen / &quot;Borfit&quot; / Türkiyə istehsalı"/>
        <s v="Adaptor / d 225 mm / polietilen"/>
        <s v="Adaptor / d 180 mm / polietilen / &quot;Borfit&quot; / Türkiyə istehsalı"/>
        <s v="Adaptor / d 315 mm / polietilen"/>
        <s v="Dirsək / d 280 mm / polietilen / 45° / &quot;Borfit&quot; / Türkiyə istehsalı"/>
        <s v="Dirsək / d 160 mm / polietilen / 90° / &quot;Borfit&quot; / Türkiyə istehsalı"/>
        <s v="Dirsək / d 315 mm / polietilen / 90°"/>
        <s v="Dirsək / d 400 mm / polietilen / 45°"/>
        <s v="Siyirtmə sükanı (maxovik) / kiçik ölçülü"/>
        <s v="Siyirtmə sükanı (maxovik) / orta ölçülü"/>
        <s v="Siyirtmə sükanı (maxovik) / böyük ölçülü"/>
        <s v="Siyirtmə qapağı"/>
        <s v="Başlıq / yanğın şlanqı üçün / alüminium"/>
        <s v="Dirsək / d 63 mm / polietilen / 90° / &quot;Borfit&quot; / Türkiyə istehsalı"/>
        <s v="Mufta / elektrofizyon / d 90 mm / polietilen / &quot;Borfit&quot; / Türkiyə istehsalı"/>
        <s v="Keçid / d 32 x 63 mm / polietilen / &quot;Borfit&quot; / Türkiyə istehsalı"/>
        <s v="Adaptor / d 90 mm / polietilen / &quot;Borfit&quot; / Türkiyə istehsalı"/>
        <s v="Qapaq / d 90 mm / polietilen / &quot;NTG&quot; / Türkiyə istehsalı"/>
        <s v="Dirsək / d 50 mm / polietilen / 90°"/>
        <s v="Dirsək / d 25 mm / polietilen / 90° / &quot;Borfit&quot; / Türkiyə istehsalı"/>
        <s v="Dirsək / d 25 mm / polietilen / 45° / &quot;TEGA&quot; / Türkiyə istehsalı"/>
        <s v="Üçlük / d 25 mm / polietilen / &quot;Borfit&quot; / Türkiyə istehsalı"/>
        <s v="Adaptor / d 110 mm / polipropilen"/>
        <s v="Üçlük / d 50x63 mm / polipropilen"/>
        <s v="Üçlük / d 90 mm / polipropilen"/>
        <s v="Dirsək / d 110 mm / 90° / polipropilen"/>
        <s v="Konteyner / 6 metr"/>
        <s v="Konteyner / 12 metr"/>
        <s v="Elevator korpusu / mühərrikli"/>
        <s v="Ana piston dəsti / press / d1000 mm"/>
        <s v="Rels / ana piston üçün / d1000 mm"/>
        <s v="Ana piston dəsti / press / d2000 mm"/>
        <s v="Ana piston dəsti / press / d1400 mm"/>
        <s v="Başlıq / uran / d2500 mm"/>
        <s v="Başlıq / uran / d2200 mm"/>
        <s v="Başlıq / uran / d1000 mm"/>
        <s v="Başlıq / uran / d1000 mm / ön parçası"/>
        <s v="Ara tampon / d1000 mm / eni 600 mm"/>
        <s v="Ara tampon / d1000 mm / eni 1250 mm"/>
        <s v="Ara tampon / d1000 mm / eni 1180 mm"/>
        <s v="Ara tampon / d1400 mm / eni 1900 mm"/>
        <s v="Ara tampon / d1400 mm / eni 2040 mm"/>
        <s v="Ara tampon / d1400 mm / eni 1180 mm"/>
        <s v="Ara tampon / d 2160 mm / eni 1250 mm"/>
        <s v="Ara tampon / d 2400 mm / eni 1500 mm"/>
        <s v="Diyircəkli yastıq / d 1300 mm"/>
        <s v="Başlıq / d 1000 mm / metal"/>
        <s v="Artırma qolu / 540x240mm / 2000mm ara pistonu üçün"/>
        <s v="Şlanq / hidravlik / d 25mm / L 8metr / 380 atm"/>
        <s v="Kompakter / əl katoku / dizel"/>
        <s v="Ventilyator / 2.2 kvt / 8100 m³/saat / 940 d/d / ilbiz tipli / &quot;Vents&quot;"/>
        <s v="Qaynaq aparatı / ütü / d 315 mm / polietilen boru üçün"/>
        <s v="Generator / &quot;NSM&quot; / T100 LA / İtaliya istehsalı"/>
        <s v="Generator / &quot;NSM&quot; / WS220 TDC / İtaliya istehsalı"/>
        <s v="Generator / 7.5 kVA / dizel / &quot;Power Tech&quot;"/>
        <s v="Armatur kəsən / hidravlik / d 36 mm / 4 kvt / 1500 d/d / &quot;AFACAN&quot; / Türkiyə istehsalı"/>
        <s v="Lebyodka / 2 ton / 60 metr / elektrik mühərrikli"/>
        <s v="Rəndə dəzgahı / 1800 Vt / 300 mm / 9000 d/d / &quot;ЗУБР&quot; / РС-330"/>
        <s v="Generator / benzin / 3.0 kvt / AVR automatic"/>
        <s v="Hasar / plastik"/>
        <s v="Qazma qurğusu / horizantal şnekli / d 720 mm / 80-150 metr / 100 ton / Lazer nişanlı / &quot;МЕМПЭКС&quot; / МНБШ-600 / Belarus istehsalı"/>
        <s v="Beton kəsən / &quot;PALME&quot; / PD13B / Türkiyə istehsalı"/>
        <s v="Generator / dizel / 4.5 kvt / 220V / 50 Hz / IP23 / &quot;FIRMAN&quot; / SDG5500CLE / Çin istehsalı / 1 əd"/>
        <s v="Generator / &quot;ITC POWER&quot; / Çin istehsalı"/>
        <s v="Qaynaq Aparatı / 650A / 3 faza / 380V / 50/60 Hz / IP23 / &quot;Gekamac&quot; / RKM650 / Türkiyə istehsalı"/>
        <s v="Armatur kəsən / hidravlik / 3 kvt / 380V / &quot;Yakar Kardeşler&quot; / YK2609 / Türkiyə istehsalı"/>
        <s v="Generator / 6.5 kVA / 220A / 50 Hz / IP23 / 230-400V / &quot;Antor HW&quot; / Türkiyə istehsalı"/>
        <s v="Generator / 8.5 kVA / dizel / 220-240V / 1 faza / &quot;Bison&quot; / BS11000DCE / Çin istehsalı"/>
        <s v="Generator / 6.5 kvt / 230V / benzin / &quot;AKSA&quot; / AAP8000E / Türkiyə istehsalı"/>
        <s v="Generator / 7.5 kvt / benzin / 220-230V / &quot;KEMAN&quot; / Çin istehsalı"/>
        <s v="Armatur əyən / 3 kvt / 11 d/d / 380V / 3 faza / &quot;AFACAN&quot; / B36 / Türkiyə istehsalı"/>
        <s v="Pərçimləmə dəzgahı / press"/>
        <s v="Kompressor / 2.4 Atm / &quot;IR Ingersoll Rand&quot; / 7/3IE / İngiltərə istehsalı"/>
        <s v="Generator / dizel / 36 kVt/ 1500 d/d / &quot;AKSA&quot; / A3CRX32T / Türk istehsalı"/>
        <s v="Qazma qurğusu / horizantal şnekli / relsli"/>
        <s v="Generator / dizel / &quot;TOPOR&quot;"/>
        <s v="Boru / d 25 mm x 4.2 mm / polipropilen / 4 metr / &quot;Metak&quot;"/>
        <s v="Boru / d 32 mm x 5.4 mm / polipropilen / 4 metr / &quot;Metak&quot;"/>
        <s v="Boru / d 110 mm / PVC / 5 metr"/>
        <s v="Boru / d 63 x 2.3 mm / polietilen / 6 metr"/>
        <s v="Boru / d 25 x 2.4 mm / polietilen / 5.8 metr"/>
        <s v="Boru / d 32 x 2 mm / polietilen / 4 metr"/>
        <s v="Şnek / d 450 mm"/>
        <s v="Şnek / d 400 mm"/>
        <s v="Şnek / d 700 mm"/>
        <s v="Şnek / d 600 mm"/>
        <s v="Şnek / d 300 mm"/>
        <s v="Tunel qəlibi / giriş-çıxış quyuları üçün"/>
        <s v="Beton boru / d 1400 mm"/>
        <s v="Beton boru / d 1000 mm"/>
        <s v="Hasar / metal / torlu"/>
        <s v="Boru / d 40 mm / polietilen / 53 metr"/>
        <s v="Su sayğacı / d 100 mm / polad / filtr ilə"/>
        <s v="Siyirtmə / d 150 mm"/>
        <s v="Siyirtmə / d 80 mm"/>
        <s v="Flans / d 110 mm / polad"/>
        <s v="Flans / d 60 mm / polad"/>
        <s v="Kompressor / &quot;Pighon&quot;"/>
        <s v="Boru / polietilen / d 32 mm x 2 mm / 100 metr"/>
        <s v="Boru / polietilen / d 32 mm x 2 mm / 200 metr"/>
        <s v="Boru / polietilen / d 25 mm x 2.4 mm / 50 metr"/>
        <s v="Boru / polietilen / d 25 x 2 mm / 52 metr"/>
        <s v="Boru / polietilen / d 32 mm"/>
        <s v="Boru / koruqe / d 300 mm / 6 metr"/>
        <s v="Boru / polietilen / d 225 mm / 4,9 metr"/>
        <s v="Boru / PVC-U / d 160 mm / 6 metr"/>
        <s v="Boru / PVC-U / d 110 mm / 6 metr"/>
        <s v="Boru / polietilen / d 140 mm / 6 metr"/>
        <s v="Boru / polietilen / d 160 mm / 5,5 metr"/>
        <s v="Subasıncı / d100mm / mühərriklə / ilbiz tipli"/>
        <s v="Su çəni / 1 tonn / plastik"/>
        <s v="Vaqonet (badya) /"/>
        <s v="Bucurqad (Lebyodka) / mühərrik ilə"/>
        <s v="Şlanq / hidravlik / 3/4 inch / 350 atm"/>
        <s v="Seyf / İNV0000000245"/>
        <s v="Hidrant"/>
        <s v="Qaynaq aparatı (ütü) / d150mm / plastik boru üçün"/>
        <s v="Su pompası / mühərriksiz / &quot;AK Misan&quot;"/>
        <s v="Qazma başlıqı / d 750mm"/>
        <s v="Qazma başlıqı / d 560mm"/>
        <s v="Dairə / metal / 1000x25mm"/>
        <s v="Qapaq / flyanslı / metal / 500x30mm"/>
        <s v="Qapaq / flyanslı / metal / 555x34mm"/>
        <s v="Qapaq / flyanslı / metal / 605x20mm"/>
        <s v="Servis birləşməsi / elektrofizyon / d 110 x 32 mm / &quot;Borfit&quot; / Türkiyə istehsalı"/>
        <s v="Servis birləşməsi / elektrofizyon / d 110 x 40 mm / &quot;Borfit&quot; / Türkiyə istehsalı"/>
        <s v="Servis birləşməsi / elektrofizyon / d 110 x 63 mm / &quot;Borfit&quot; / Türkiyə istehsalı"/>
        <s v="Servis birləşməsi / elektrofizyon / d 63 x 280 mm / &quot;Borfit&quot; / Türkiyə istehsalı"/>
        <s v="Servis birləşməsi / elektrofizyon / d 40 x 280 mm / &quot;Borfit&quot; / Türkiyə istehsalı"/>
        <s v="Servis birləşməsi / elektrofizyon / d 32 x 90 mm / &quot;Borfit&quot; / Türkiyə istehsalı"/>
        <s v="Servis birləşməsi / elektrofizyon / d 32 x 63 mm / &quot;Borfit&quot; / Türkiyə istehsalı"/>
        <s v="Servis birləşməsi / elektrofizyon / d 40 x 63 mm / &quot;Borfit&quot; / Türkiyə istehsalı"/>
        <s v="Servis birləşməsi / elektrofizyon / d 40 x 90 mm / &quot;Borfit&quot; / Türkiyə istehsalı"/>
        <s v="Servis birləşməsi / elektrofizyon / d 32 x 40 mm / &quot;TEGA&quot; / Türkiyə istehsalı"/>
        <s v="Dirsək / d 110 mm / polietilen / 90°"/>
        <s v="Dirsək / d 180 mm / polietilen / 90°"/>
        <s v="Dirsək / d 110 mm / polietilen / 45°"/>
        <s v="Adaptor / d 110 mm / polietilen"/>
        <s v="Adaptor / d 90 mm / polietilen"/>
        <s v="Adaptor / d 160 mm / polietilen"/>
        <s v="Üçlük / d 110 mm / polietilen / 5 əd / &quot;Borfit&quot; / Türkiyə istehsalı"/>
        <s v="Adaptor / d 180 mm / polietilen / 1 əd / &quot;Borfit&quot; / Türkiyə istehsalı"/>
        <s v="Adaptor / d 50 mm / polietilen / &quot;Borfit&quot; / Türkiyə istehsalı"/>
        <s v="Adaptor / d 63 mm / polietilen / &quot;Borfit&quot; / Türkiyə istehsalı"/>
        <s v="Dirsək / d 90 mm / polietilen / 90° / &quot;Titz&quot;"/>
        <s v="Üçlük / d 63 x 110 mm / polietilen / &quot;Borfit&quot; / Türkiyə istehsalı"/>
        <s v="Üçlük / d 75 x 110 mm / polietilen / &quot;Borfit&quot; / Türkiyə istehsalı"/>
        <s v="Keçid / d 63 x 90 mm / polietilen / &quot;Borfit&quot; / Türkiyə istehsalı"/>
        <s v="Keçid / d 50 x 90 mm / polietilen / &quot;Borfit&quot; / Türkiyə istehsalı"/>
        <s v="Dirsək / d 63 mm / 90° / polietilen / 6 əd / &quot;Borfit&quot; / Türkiyə istehsalı"/>
        <s v="Dirsək / d 63 mm / 45° / polietilen / &quot;Tega&quot; / Türkiyə istehsalı"/>
        <s v="Qapaq / d 110 mm / polietilen / &quot;Borfit&quot; / Türkiyə istehsalı"/>
        <s v="Dirsək / d 50 mm / polietilen / 90° / &quot;Borfit&quot; / Türkiyə istehsalı"/>
        <s v="Üçlük / d 50 mm / polietilen / &quot;Borfit&quot; / Türkiyə istehsalı"/>
        <s v="Keçid / d 255 x 310 mm / polad"/>
        <s v="Keçid / d 125 x 155 mm / polad"/>
        <s v="Keçid / d 100 x 155 mm / polad"/>
        <s v="Keçid / d 75 x 95 mm / polad"/>
        <s v="Keçid / d 90 x 150 mm / polad"/>
        <s v="Qapaq / d 150 mm / polad"/>
        <s v="Dirsək / d 260 mm / polad"/>
        <s v="Dirsək / d 65 mm / polad / 90°"/>
        <s v="Dirsək / d 160 mm / polad / 45°"/>
        <s v="Dirsək / d 100 mm / polad / 45°"/>
        <s v="Dirsək / d 310 mm / polad / 45°"/>
        <s v="Dirsək / d 200 mm / polad / 45°"/>
        <s v="Üçlük / d 150 mm / polad"/>
        <s v="Üçlük / d 150 x 95 mm / polad"/>
        <s v="Dirsək / d 205 mm / 90° / polad"/>
        <s v="Dirsək / d 93 mm / 90° / polad"/>
        <s v="Flyans / d 65 mm / polad"/>
        <s v="Dirsək / d 90 mm / polad / 90° / flyanslı"/>
        <s v="Dirsək / d 60 mm / polad / 90° / flyanslı"/>
        <s v="Karot ucu / d 102 mm / L 420 mm"/>
        <s v="Karot ucu / d 40 mm / L 420 mm"/>
        <s v="Karot ucu / d 165 mm / L 400 mm"/>
        <s v="Karot ucu / d 220 mm / L 400 mm"/>
        <s v="Giloz açarı"/>
        <s v="Kəsici / d 100 mm / almaz / perforator üçün"/>
        <s v="Kəsici / d 120 mm / almaz / perforator üçün"/>
        <s v="Kəsici / d 50 mm / almaz / perforator üçün"/>
        <s v="Burğu / taxta üçün / d 25 mm"/>
        <s v="Qaz balonu / farsunka ilə"/>
        <s v="Valik / 10-luq"/>
        <s v="Mufta / d 32 mm / polietilen / elektrofizyon / B"/>
        <s v="Yol nişanı &quot;Hərəkət qadağandır&quot;"/>
        <s v="Yol nişanı &quot;Yol ver&quot;"/>
        <s v="Yol nişanı &quot;Sürət 40 km/s&quot;"/>
        <s v="Printer / A3 / color / &quot;EPSON&quot; / L15160  / İndoneziya istehsalı"/>
        <s v="Xətkeş / nivelyator üçün / B"/>
        <s v="İzolyasiya materialı / boru üçün / 28/5/100"/>
        <s v="Kanistr / plastik / 20 litr"/>
        <s v="Profil / &quot;U&quot; / 50mm x 4metr / alçıpan üçün"/>
        <s v="Su dispenseri / &quot;Beko&quot;"/>
        <s v="Su dispenseri / &quot;Silver&quot;"/>
        <s v="Soyuducu / 2 kameralı / &quot;STINOL&quot;"/>
        <s v="Kondisioner mühərriki / &quot;AUX&quot;"/>
        <s v="Su qızdırıcı &quot;SHIVAKI&quot;"/>
        <s v="Vedrə plastik"/>
        <s v="Təkər / lesə üçün"/>
        <s v="Sıxıcı plastik"/>
        <s v="Xomut d 180 x 315 mm / elektrofiziyon servis birləşməsi üçün"/>
        <s v="Sututucu bant / 20sm x 2.5 metr"/>
        <s v="Sututucu bant / 17sm x 5 met"/>
        <s v="Araqatı / d 200 mm / boru üçün / qara"/>
        <s v="Araqatı / d 1500 mm / boru üçün / qara"/>
        <s v="Araqatı / d 300 mm / boru üçün / qara"/>
        <s v="Araqatı / d 400 mm / boru üçün / qara"/>
        <s v="Araqatı / d 250 mm / boru üçün / qara"/>
        <s v="Araqatı / d 200 mm / boru üçün / ağ"/>
        <s v="Araqatı / d 150 mm / boru üçün / qara"/>
        <s v="Podnos / paslanmayan metal / 5 seksiyalı / mətbəx üçün"/>
        <s v="Vanna / paslanmayan metal / mətbəx üçün"/>
        <s v="Kabel / alüminium / 4 damarlı / 44metr"/>
        <s v="Kabel / alüminium / 4 damarlı / 50metr"/>
        <s v="Kabel / alüminium / 4 damarlı / 30metr"/>
        <s v="Kabel / alüminium / 4 damarlı / 77metr"/>
        <s v="Kabel / alüminium / 4 damarlı / 72metr"/>
        <s v="Kabel / alüminium / 4 damarlı / 24metr"/>
        <s v="Boru / d 32 mm / polietilen / 47.5 metr"/>
        <s v="Şlanq / beton vibratoru üçün / metal başlıqlı"/>
        <s v="Təkər / 315/80/22.5 R / &quot;Pirelli&quot; / FR25"/>
        <s v="Kabel / 4x2.5 mm² / 300/500 / H05VV-F / &quot;Astel&quot; / Türkiyə istehsalı"/>
        <s v="Elektrik mühərrik"/>
        <s v="Qaynaq elektrodu / 4.0 x 350 mm / 5 kq / 578"/>
        <s v="Perforator / &quot;Bosch&quot;"/>
        <s v="Metal hissələr / ağır texnika üçün"/>
        <s v="Boya / parlaq emal / 2.5 litr"/>
        <s v="Kürək / saplı"/>
        <s v="Ankerbolt / L şəkilli"/>
        <s v="Tıxaç / şurup üçün / plastik"/>
        <s v="Mufta / elektrofuzion / d 90 mm / polietilen / &quot;Borfit&quot; / Türkiyə istehsalı"/>
        <s v="Mufta / elektrofuzion / d 40 mm / polietilen / &quot;Borfit&quot; / Türkiyə istehsalı"/>
        <s v="Mufta / elektrofuzion / d 32 mm / polietilen / &quot;Borfit&quot; / Türkiyə istehsalı"/>
        <s v="Nərdivan / metal / 7 pilləli"/>
        <s v="Akkumulyator / 12V / 100AH / Ca-Ca / &quot;Energy&quot; / Türkiyə istehsalı"/>
        <s v="Ankerbolt / M10 / L 130 mm"/>
        <s v="Ankerbolt / M12 / L 130 mm"/>
        <s v="Qayka / M14"/>
        <s v="Qayka / M18"/>
        <s v="Beton vibratorun mühərriki"/>
        <s v="Bolt / M38 / L 750 mm"/>
        <s v="Beton vibratoru / portativ"/>
        <s v="Sınaq pompası / hidravlik / &quot;Ekeryil&quot;"/>
        <s v="Elektrik qızdırıcı / spirallı / kərpicli"/>
        <s v="Su qızdırıcısı / qazla işləyən / 20 litr"/>
        <s v="Əqrəb / metal / alçıpan profili üçün"/>
        <s v="Şlanq / kapron / 12 mm"/>
        <s v="Xomut / flyanslı / metal / d 250 mm"/>
        <s v="Pika / pnevmatik çəkic üçün"/>
        <s v="Pika / Perforator üçün"/>
        <s v="Burğu / 14-lük"/>
        <s v="Flyans / d 235 mm / polad"/>
        <s v="Flyans / d 220 mm / polad"/>
        <s v="Flyans / d 130 mm / polad"/>
        <s v="Flyans / d 125 mm / polad"/>
        <s v="Flyans / d 110 / polad"/>
        <s v="Elektrik qızdırıcı / yağ radiatoru / 2400 vt / &quot;Saachi&quot;"/>
        <s v="Qaz plitəsi / 1 gözlü"/>
        <s v="Klapan / d 125 mm / kəpənək tipli / &quot;Duyar&quot; / Türkiyə istehsalı"/>
        <s v="Otbiçən / elektrik / &quot;Denzel&quot;"/>
        <s v="Rels / elektrik lövhəsi üçün / 1 metr"/>
        <s v="Boru / polad / d 20 mm / 2 metr"/>
        <s v="Su pompası / dalğıc / 0.75 kvt / 250 L/d / 10 metr / &quot;SNçlIMGE&quot;"/>
        <s v="Su pompası / &quot;Seakoo&quot;"/>
        <s v="Su pompası / dalğıc / 1100 vt / &quot;Shimge&quot;"/>
        <s v="Bolt / M12 / L 80 mm"/>
        <s v="Bolt / M16 / L 80 mm"/>
        <s v="Bolt / M10 / L 100 mm"/>
        <s v="Bolt / M20 / L 80 mm"/>
        <s v="Ankerbolt / M16 / L 250 mm"/>
        <s v="Ankerbolt / M16 / L 100 mm"/>
        <s v="Ankerbolt / M16 / L 200 mm"/>
        <s v="Mufta / d 32 mm / polietilen / elektrofizyon / C"/>
        <s v="Mufta / elektrofizyon / d 40 mm / polietilen"/>
        <s v="Mufta / elektrofizyon / d 90 mm / polietilen"/>
        <s v="Mufta / PVC / d 110"/>
        <s v="Dirsək / PVC / d 110 / 90°"/>
        <s v="Keçid / PVC / d 50 x 75 mm"/>
        <s v="Üçlük / PVC / d 50 mm"/>
        <s v="Qapaq / PVC / d 110 mm"/>
        <s v="Dirsək / PVC / d 50 mm"/>
        <s v="Üçlük / PVC / d 50 x d 110 mm"/>
        <s v="Üçlük / PVC / d 50 mm / 45°"/>
        <s v="Dirsək / PVC / d 110 mm / 45° / unitaz üçün"/>
        <s v="Üçlük / PVC / d 110 mm"/>
        <s v="Xomut / metal / d 25 x 28 mm / 3/4 inch"/>
        <s v="Hidrant açarı"/>
        <s v="Flyans / d 175 mm / polad"/>
        <s v="Flyans / d 100 mm / polad"/>
        <s v="Flyans / d 160 mm / polad"/>
        <s v="Su pompası / 250 Vt / 75 L/d / H 10m / &quot;Shimge&quot;"/>
        <s v="Elektrik soket / 32A / İP 67 / &quot;TP Elektric&quot; / Türkiyə istehsalı&quot;"/>
        <s v="Elektrik soket / 63A / İP 44 / &quot;Bemis&quot; / Türkiyə istehsalı&quot;"/>
        <s v="Elektrik soket / 63A / İP 67 / &quot;Bemis&quot; / Türkiyə istehsalı&quot;"/>
        <s v="Elektrik soket / 32A / İP 44 / &quot;Bemis&quot; / Türkiyə istehsalı&quot;"/>
        <s v="Kəsici alət / elektrik / beton üçün / &quot;Hoteche&quot; / P805111"/>
        <s v="Elektrik uzadıcı / 3 faza / 32A soket ilə"/>
        <s v="Qayçı / armatur üçün / 42 inch"/>
        <s v="Qayçı / armatur üçün"/>
        <s v="Armatur əyən alət"/>
        <s v="Dirsək / polietilen / d 63mm / 90°"/>
        <s v="Bolt / M30 / L 150 mm"/>
        <s v="Bolt / ikitərəfli qaykalı / M28 / L 150 mm"/>
        <s v="Qayka / M30"/>
        <s v="Bolt-qayka / M18 / L 70 mm"/>
        <s v="Bolt-qayka / M18 / L 100 mm"/>
        <s v="Bolt-qayka / M16 / L 100 mm"/>
        <s v="Şayba / M16"/>
        <s v="Bolt / M18 / L90 mm"/>
        <s v="Bolt / M26 / L150 mm"/>
        <s v="Qayış / 17x2000 La"/>
        <s v="Rezin kant / qırmızı / İsveçrə istehsalı"/>
        <s v="Transportyor lenti / eni 300 mm"/>
        <s v="Ştuser / hava / d=10 mm"/>
        <s v="Üçlük / d 32 mm / polietilen / B"/>
        <s v="Fırça / metal / 4 inch / laqonda üçün"/>
        <s v="Ventil / metal / 2 inch"/>
        <s v="Tıxac / şurup üçün"/>
        <s v="Üçlük / metal / ştuser tipli / d10mm / hava"/>
        <s v="Mufta / d 20 mm / polipropilen / B"/>
        <s v="Şayba / d 22mm"/>
        <s v="Su pompası / 0.37 kW / 5-33 L/d / H35 m / hidroforla / &quot;SKOM&quot;"/>
        <s v="Dirsək / d 20 mm / polipropilen / 90°"/>
        <s v="Keçid / d 20mm x 1/2 inch / polipropilen / iç yiv"/>
        <s v="Keçid / d 20 mm / polipropilen / çöl yiv"/>
        <s v="Başlıq / cilalayıcı kağız üçün / d 180 mm"/>
        <s v="Pər / mühərrikli / havalandırma sistemi üçün"/>
        <s v="Pnevmatik çəkic"/>
        <s v="Xomut / PVC / d 75 mm"/>
        <s v="Xomut / PVC / d 100 mm"/>
        <s v="Keçid / elektrik kabel üçün / PG29 / IP68"/>
        <s v="Odla kəsici / qaz"/>
        <s v="Dişli qayış / 9.5x1275 La (RPF) / “Bando”"/>
        <s v="Dişli qayış / 9.5x1150 La (RPF) / “Bando”"/>
        <s v="Xomut / metal / d 216 x 226 mm"/>
        <s v="Siren / sənaye / 115 desibel / &quot;Selay&quot; Türkiyə istehsalı"/>
        <s v="Filtr / hava / ДФВ 5806 / Rusiya istehsalı"/>
        <s v="Su pompası / 2200 Vt / 1300 L/d / H 18.5 m / “Shimge”"/>
        <s v="Su pompası / 5.5 kVt / 1400 L/d / “Grandfar”"/>
        <s v="Dişli çarx / d 800 mm / flyanslı"/>
        <s v="Kabel / başlıqlı"/>
        <s v="Xomut / metal / d 158 x 170 mm / boru üçün"/>
        <s v="Xomut / metal / d 109 x 119 mm / boru üçün"/>
        <s v="Xomut / metal / d 60 x 66 mm / boru üçün"/>
        <s v="Sırğa / 17 tonn"/>
        <s v="Su pompası / MMF15AM"/>
        <s v="Kabel / 24 x 1.5"/>
        <s v="Disk / kəsici / almaz / d 350 mm"/>
        <s v="Elektrik lövhəsi / 600 x 795 mm / avtomat və kontaktor ilə"/>
        <s v="Masa / 695x119mm / ağ"/>
        <s v="Oturacaq / ağ"/>
        <s v="Mətbəx çanağı (moyka) / paslanmayan metl / ikili"/>
        <s v="Ləğən (taz) / alüminium / 620mm / mətbəx üçün"/>
        <s v="Ətçəkən / elektrik"/>
        <s v="Ventilyator / dayaqlı"/>
        <s v="Qazan / alüminium / 495mm"/>
        <s v="Tava / 410mm / mətbəx üçün"/>
        <s v="Qazan / alüminium / 730mm"/>
        <s v="Ləğən (taz) / emallı / mətbəx üçün"/>
        <s v="Samovar / elektrik / mətbəx üçün"/>
        <s v="Soba / mikrodalğalı / &quot;Quicks&quot;"/>
        <s v="Aspitaror / mətbəx üçün"/>
        <s v="Qaz plitəsi / masaüstü / 1 gözlü"/>
        <s v="Qaz plitəsi / masaüstü / 2 gözlü"/>
        <s v="Qaz plitəsi / masaüstü / 4 gözlü"/>
        <s v="Aşsüzən / 450mm / metal"/>
        <s v="Qazan / alüminium / 400mm"/>
        <s v="Qazan / alüminium / 440mm"/>
        <s v="Çaydan / alüminium / 4-5 litr"/>
        <s v="Döşək"/>
        <s v="Yataq / açilıb bağlanan /"/>
        <s v="Kreslo / parça"/>
        <s v="Paltaryuyan maşın / &quot;Midea&quot;"/>
        <s v="Yataq / metal karkas"/>
        <s v="Masa / 700x1400mm"/>
        <s v="Elektrik lövhəsi / 300x400mm"/>
        <s v="Masa / 700x1700mm / 3 siyirtməli"/>
        <s v="Oturacaq"/>
        <s v="Masa / 500x950 mm"/>
        <s v="Masa / 500x700 mm"/>
        <s v="Sənəd dolabı / 700x1320mm"/>
        <s v="Su qızdırıcı / elektrik / 80litr"/>
        <s v="Nivelyator dayağı / üçayaq"/>
        <s v="Nivelyator oxu"/>
        <s v="Qaynaq aparatı (ütü) / plastik boru üçün"/>
        <s v="Reduktor / oksiqen balonu üçün"/>
        <s v="Kabel / 50x0.5"/>
        <s v="Ətçəkən / elektrik / &quot;Hausberg&quot;"/>
        <s v="Soyuducu / 800x480mm / vertikal / 1 kameralı / &quot;Arçelik&quot;"/>
        <s v="Masa / metal / 3050x760mm"/>
        <s v="Masa / ofis / 1420x700mm"/>
        <s v="Dolab / sənəd / 500x910mm"/>
        <s v="Dispenser / su / &quot;Orvica&quot;"/>
        <s v="Soyuducu / horizontal / 630x1000mm"/>
        <s v="Masa / plastik / 790x1290mm"/>
        <s v="Yazı lövhəsi / 1000x1400mm"/>
        <s v="Oturacaq / plastik"/>
        <s v="Oturacaq / parça"/>
        <s v="Termos"/>
        <s v="Soyuducu / 157x600mm / vertikal / 2 kameralı"/>
        <s v="Su qızdırıcı / elektrik / 250 litr"/>
        <s v="Soyuducu / vertikal / 2 kameralı / &quot;İndesit&quot;"/>
        <s v="Soba dolabı / qaz / 3 plitəli"/>
        <s v="Soyuducu / vertikal / &quot;Dixell&quot;"/>
        <s v="Masa / 700x2700mm"/>
        <s v="Qazan / d 400mm / alüminium"/>
        <s v="Qazan / d 340mm / alüminium"/>
        <s v="Ləğən (taz) / d 500mm / alüminium"/>
        <s v="Ləğən (taz) / d 520mm / alüminium"/>
        <s v="Doğrayıcı / qida / mexaniki"/>
        <s v="Dolab / 2 qapılı/ 690x680mm"/>
        <s v="Masa / metal / 165x59mm"/>
        <s v="Masa / metal / 740x980mm"/>
        <s v="Mətbəx çanağı (moyka) / emallı / 800x800mm"/>
        <s v="Rəf / 940x430mm / 3 pilləli"/>
        <s v="Masa / ofis / 690x1330mm"/>
        <s v="Samovar / mətbəx üçün"/>
        <s v="Dolab / sənəd / 800x1800mm"/>
        <s v="Generator / dizel / 50 kvA / &quot;Genpower&quot;"/>
        <s v="Taxeometr / geodeziya cihazı"/>
        <s v="Planşet / taxeometr üçün"/>
        <s v="Mouse-Keyboard / wireless / &quot;DELL&quot; KM3322W"/>
        <s v="Notebook / 16GB / 512GB / SSD 6GB / &quot;HP&quot; VİCTUS 15-FA2082 WM i5-1342OH"/>
        <s v="Çanta / notebook üçün / &quot;HP&quot; Prelude 15.6&quot; TOP LOAD"/>
        <s v="Valik / 20-lik &quot;Defne&quot;"/>
        <s v="Qaynaq çubuğu (elektrod) / 3 / &quot;Azkaynak&quot;"/>
        <s v="Əlcək / sarı"/>
        <s v="Metrə / 5m"/>
        <s v="Metrə / 3m"/>
        <s v="Bel sapı"/>
        <s v="Jilet / fəhlə"/>
        <s v="Çəkic / 2 kq"/>
        <s v="Disk / d 230mm / nerj nazik"/>
        <s v="İzolyasiya lenti / 25m / qara"/>
        <s v="Yanmış məftil"/>
        <s v="Kəlbətin / N7"/>
        <s v="Kəsər / sadə / çin"/>
        <s v="Kəsər sapı / laklı / çin"/>
        <s v="Lom / 28 (böyük)"/>
        <s v="Disk / d 180  / ataka / &quot;Makita&quot;"/>
        <s v="Bel / 750 qr / çalov"/>
        <s v="Bel / 750 qr / düz"/>
        <s v="Metrə / 10m / rezin N142"/>
        <s v="Metrə / 30m / ruletka N69"/>
        <s v="Fənər / 013"/>
        <s v="Qoruyucu şüşə / qara / kaska üçün"/>
        <s v="Lent / təhlükəsizlik / 200m"/>
        <s v="Sayğac / Elektrik / 3*100A LUN23 /LUNA"/>
        <s v="Elektrik üçlük (kalot) / 3 gözlü"/>
        <s v="Sututucu bant / AK 20/2"/>
        <s v="Kran / arko / d 15mm / latun"/>
        <s v="Suqarışdırıcı (smesitel) / duş CA 5"/>
        <s v="Duş sepi / 120 fora"/>
        <s v="Şlanq / moyka 60 / ziko"/>
        <s v="Bolt / D-232"/>
        <s v="Fırça / metal / 2.5 inch / laqonda üçün / saçaq"/>
        <s v="Fırça / metal / 4 inch / laqonda üçün / cod"/>
        <s v="Suqarışdırıcı (smesitel) / aftaxa Z62B"/>
        <s v="EL-Bİ Üst 1R"/>
        <s v="Lampa / spot tənzimlənən / 3D 24 Vt / ağ / kvadrat"/>
        <s v="Əl-üz yüyan (Umıvalnik) / orta"/>
        <s v="Elektrik çəngəli (vilka) / qulplu 258"/>
        <s v="Kağız / A4 / 80qr / 500 vərəq / &quot;Assis&quot;"/>
        <s v="Sim / stepler üçün / 58mm / 24/6 / (1000 əd)"/>
        <s v="Çay / 450qr / &quot;Azərçay&quot;"/>
        <s v="Qənd / &quot;Azərşəkər&quot;"/>
        <s v="Qələm / qara / &quot;Assis&quot;"/>
        <s v="Qələm / qırmızı / &quot;Assis&quot;"/>
        <s v="Qələm / göy / &quot;Assis&quot;"/>
        <s v="Qələm / qırmızı / i-9095&quot;Assis&quot;"/>
        <s v="Batareya / AAA4 / &quot;Varta&quot; / Superlife"/>
        <s v="Marker / mavi / &quot;Oyal&quot;"/>
        <s v="Paket / polietilen / extra"/>
        <s v="Təmizlik bezi / 20 pic. / &quot;Merry&quot;"/>
        <s v="Zərf / 110x220mm / &quot;İnci&quot;"/>
        <s v="Paket / polietilen"/>
        <s v="Jalyuz / parça"/>
        <s v="Bolt-qayka / M 20 / L 70 mm"/>
        <s v="Bolt / M 10 /L 25 / altıkünc"/>
        <s v="Pauk / diyircəkli yastıq üçün"/>
        <s v="Laqonda / 180/230/2000Vt / &quot;Dingoi&quot; / JB02401"/>
        <s v="Laqonda / 125/1220V / &quot;Dingoi&quot; / 101090"/>
        <s v="Disk / kəsici / d 230 mm / 3.2 / laqonda üçün / &quot;Grassland&quot;"/>
        <s v="Disk / kəsici / d 125 mm / 2.5 / laqonda üçün / &quot;Grassland&quot;"/>
        <s v="Araba / qaynaqlı BM"/>
        <s v="Vedrə / plastik / 14L / BM"/>
        <s v="Jilet / sarı/ sadə"/>
        <s v="Çəkmə / qısa boğaz / 40 / &quot;YDS&quot;"/>
        <s v="Çəkmə / qısa boğaz / 44 / &quot;YDS&quot;"/>
        <s v="Çəkmə / qısa boğaz / 42 / &quot;YDS&quot;"/>
        <s v="Çəkmə / qısa boğaz / 43 / &quot;YDS&quot;"/>
        <s v="Ayaqqabı / qısa boğaz / 41 / &quot;Dingoi&quot; 90050141"/>
        <s v="Ayaqqabı / qısa boğaz / 42 / &quot;Dingoi&quot; 90050142"/>
        <s v="Ayaqqabı / 40 / &quot;Dingoi&quot; 95240"/>
        <s v="Eynək / qara / 3M358"/>
        <s v="Jilet / sarı-göy / sepli / mühəndis üçün / XL / &quot;EMİRHAN&quot;"/>
        <s v="Jilet / sarı-narıncı / briqadir üçün"/>
        <s v="Jilet / sepli"/>
        <s v="Projektor / panel ilə / 120 Vt / AB-T8120"/>
        <s v="Vintaçan / 7 pcs / 68602"/>
        <s v="Külüng sapı"/>
        <s v="Boya / sprey / qərmızı"/>
        <s v="Valik / 25-lik &quot;YAP&quot;"/>
        <s v="Skoç / kağız / 31"/>
        <s v="Yiyə / üçkünc / böyük"/>
        <s v="Yiyə / yastı / böyük"/>
        <s v="Fırça / 2-lik / (kist)"/>
        <s v="Fırça / 4-lik / (kist)"/>
        <s v="Əlcək / qaynaqçı"/>
        <s v="Elektrik uzadıcı / 5 metr"/>
        <s v="Boya / sintetik / parlaq / boz / 2.5 kq / &quot;FAB&quot;"/>
        <s v="Boya / sintetik / parlaq / qırmızı / 2.5 kq / &quot;FAB&quot;"/>
        <s v="Boya / sintetik / antipas / boz / 23.5 kq / &quot;FAB&quot;"/>
        <s v="Boya / sintetik / parlaq / ağ / 2.5 kq / &quot;FAB&quot;"/>
        <s v="Yapışdırıcı / fabkim standart / 25 kq"/>
        <s v="Strec / 300 P/6"/>
        <s v="Tiner / 2.5 L / &quot;FAB&quot;"/>
        <s v="Boya / sintetik / parlaq / sarı / 17 kq / &quot;FAB&quot;"/>
        <s v="Metçik açarı / 10"/>
        <s v="Metçik açarı / 14"/>
        <s v="Metçik açarı / 12"/>
        <s v="Metçik açarı"/>
        <s v="Bolt / altıkünc / qara / kiçik"/>
        <s v="Sement / M400 / Norm"/>
        <s v="Məməcik / yağlama"/>
        <s v="Yağ / 15w40 / 1L / Lubex Primus EC"/>
        <s v="Bitum / Rus"/>
        <s v="Arxiv qovluğu / ensiz / göy"/>
        <s v="Sənəd rəfi / 3-lü / DG 2001 HF J2"/>
        <s v="Texmarker / A178 / narıncı"/>
        <s v="Texmarker / A178 / mavi"/>
        <s v="Texmarker / A178 / yaşıl"/>
        <s v="Texmarker / A178 / sarı"/>
        <s v="Delgec / kağızdeşən / A101"/>
        <s v="Dosya qovluğu / telli / mavi"/>
        <s v="Qısqac / A182"/>
        <s v="Burğu / 22"/>
        <s v="Burğu / 24"/>
        <s v="Profil / 4x4 / metal"/>
        <s v="Profil / 2x4 / metal"/>
        <s v="Profil / 2x2 / metal"/>
        <s v="Valik başlığı"/>
        <s v="Valik / 10sm"/>
        <s v="Cəftə / metal / qapı üçün"/>
        <s v="Qapı qulpu / metal"/>
        <s v="Qapı üzlüyü / iç"/>
        <s v="Şurup / samorez"/>
        <s v="Boya / antipas / 17kq"/>
        <s v="Tiner / 2.5 kq"/>
        <s v="Tutqaç / elektrod üçün"/>
        <s v="Fırça / 2 / boya"/>
        <s v="Fırça / 3 / boya"/>
        <s v="Skoç / kağız"/>
        <s v="Laqonda / d 115 mm"/>
        <s v="Boya / antipas / boz / 2.5 kq"/>
        <s v="Valik / 20sm"/>
        <s v="Bide başlığı"/>
        <s v="Fırça / 1 / boya"/>
        <s v="Boya / qara"/>
        <s v="Boya / 1 L"/>
        <s v="Kömür / laqonda üçün / &quot;Bosch&quot;"/>
        <s v="Disc / kəsici / d 230mm"/>
        <s v="Disc / kəsici / d 115mm"/>
        <s v="Elektrik plitəsi / 2 gözlü"/>
        <s v="Başlıq (nasadka) / cilalayıcı kağız üçün"/>
        <s v="WD 40"/>
        <s v="Disk / kəsici / d 230x1,9 mm"/>
        <s v="Kəndir / alpenist"/>
        <s v="İzolent"/>
        <s v="İp / göy"/>
        <s v="Çəllək (Boçka) / 200 L"/>
        <s v="Su pompası / dalğıc / d 76 mm / 1500 Vt / 2860 d/d / 6 metr / &quot;Dingoi&quot; Çin istehsalı"/>
        <s v="Yanğınsöndürmə şlanqı / d 76mm"/>
        <s v="Xomut / plastik / 76x9,2 mm / türk"/>
        <s v="Qayka açar dəsti"/>
        <s v="Qayka açarı / 10"/>
        <s v="Qayka açarı / 13"/>
        <s v="Kəlpətin / kəsən"/>
        <s v="Qapı petlyası"/>
        <s v="Cəftə"/>
        <s v="Bolt"/>
        <s v="Metal lövhə / 20 mm / 1500x6000 / Cт3сп"/>
        <s v="Bitum / Azmas"/>
        <s v="Stepler / 14"/>
        <s v="Stepler simi / 14"/>
        <s v="Silikon"/>
        <s v="Silikon tapancası"/>
        <s v="Yapışdırıcı / kontakt"/>
        <s v="Təbaşir"/>
        <s v="Boya"/>
        <s v="Elektrik üçlük (kalot)"/>
        <s v="Solidol"/>
        <s v="Qaynaq çubuğu (elektrod) / 3 / sabit / &quot;Azkaynak&quot;"/>
        <s v="Disk / cilalayıcı / d 230 mm / lagonda üçün"/>
        <s v="Bel / çalov"/>
        <s v="Bel / düz"/>
        <s v="Çəkic / 1 kq"/>
        <s v="Projektor / led / 100 Vt"/>
        <s v="Projektor / led / 50 Vt"/>
        <s v="İzolent / qara"/>
        <s v="Vintaçan dəsti / 4 pcs / N56"/>
        <s v="Elektrik vilka / 702"/>
        <s v="Disk / kəsici / d 230x1,9 mm / &quot;Klingspor&quot;"/>
        <s v="Bitum"/>
        <s v="Disk / kəsən / d 230mm"/>
        <s v="Disk / cilalayıcı / d 230mm"/>
        <s v="Qaynaq çubuğu (elektrod) / 4"/>
        <s v="Siyirtmə /d 110mm / kürəvi"/>
        <s v="Tesar/Victaulic bağlantı"/>
        <s v="Kabel / 3*25+1*16 / &quot;NEXANS&quot; H07VV-F / 0.6/1KV"/>
        <s v="Ucluq / mis / DT25"/>
        <s v="Reduktor / oksiqen / &quot;Yıldız&quot; 5401SR"/>
        <s v="Reduktor / propan / &quot;Yıldız&quot; 5120"/>
        <s v="Odla kəsici (Rezak) / &quot;Yıldız&quot; 4512-460"/>
        <s v="Əks klapan / oksiqen / &quot;Yıldız&quot; 1030"/>
        <s v="Əks klapan / propan / &quot;Yıldız&quot; 1130"/>
        <s v="Kıapan / LPG / &quot;Yıldız&quot; 1118"/>
        <s v="Kıapan / oksiqen / &quot;Yıldız&quot; 1128"/>
        <s v="Kabel / 1*35 KQ / H07RR-F /450/750V"/>
        <s v="Maska / sadə / şüşəli"/>
        <s v="Tutucu (Derjatel) / model : 600A"/>
        <s v="Qaynaq razyomu / 35-50mm"/>
        <s v="Boya / antipas / 1 kq"/>
        <s v="Diş / orta / JCB mini ekskavator üçün"/>
        <s v="Kaska / qaynaqçı"/>
        <s v="Qoruyucu şüşə / qaynaqçi kaskası üçün"/>
        <s v="Köpük / montaj"/>
        <s v="Boya / antipas / ağ"/>
        <s v="Boya / antipas / boz"/>
        <s v="Kəndir"/>
        <s v="Şveller / 80"/>
        <s v="Açar / krokodil tipli"/>
        <s v="Keçid (perexod)"/>
        <s v="Ştuser / 32"/>
        <s v="Künclük (uqolnik)"/>
        <s v="Ştuser / 19"/>
        <s v="R15-12 3609M"/>
        <s v="R15-12 2009M"/>
        <s v="R15-12 1159M"/>
        <s v="Boru / d 25 mm"/>
        <s v="S25 mma"/>
        <s v="Qayka / S25"/>
        <s v="L12"/>
        <s v="R15-12 1159M / 2-ci"/>
        <s v="Açar / qayka / 50 x 55"/>
        <s v="Fırça / metal / 4 inch / laqonda üçün / saçaq"/>
        <s v="Metrə / 5m / rezin N89"/>
        <s v="Burğu / 8 x 210 mm"/>
        <s v="Bolt-qayka / JCB üçün"/>
        <s v="Yağ / hidravlik / HLP68"/>
        <s v="Klema başlığı / T038"/>
        <s v="Əks klapan / hidravlik"/>
        <s v="Filtr / hidravlik"/>
        <s v="Pəstah / kauçuk"/>
        <s v="Araqatı (salnik)"/>
        <s v="Profil / metal / 2x4mm"/>
        <s v="Armatur / F10, L-12, A500"/>
        <s v="Armatur / F14, L-12, A500"/>
        <s v="Armatur / F16, L-12, A500"/>
        <s v="Armatur / F20, L-12, A500"/>
        <s v="Metrik / TE-O.B"/>
        <s v="Metrik / BSP"/>
        <s v="Generator / 205 kVA / &quot;Genpower&quot;"/>
        <s v="Karot ucu / perforator üçün / 40mm"/>
        <s v="Su pompası / d 76mm / 6.6 kVt / H 28metr / &quot;Grindex&quot; / 0940147"/>
        <s v="Elektrik lövhə / 550x800mm / metal " u="1"/>
        <s v="Laboratoriya sınaq qabları / kolba / plastik " u="1"/>
        <s v="Filtr/ hava/ 252-5002/ &quot;CAT&quot;/ ABŞ istehsalı " u="1"/>
        <s v="Birləşdirici / polietilen / çöl yivli / d 32mm / &quot;Borfit&quot; / Türkiyə istehsalı " u="1"/>
        <s v="Tıxac/ vint üçün/ 10 mm/ plastik/ &quot;Metak&quot; " u="1"/>
        <s v="Tıxac/ vint üçün/ 8 mm/ plastik/ &quot;Metak&quot; " u="1"/>
        <s v="Printer / rəngli / &quot;Epson&quot; / L1300 / İndoneziya istehsalı " u="1"/>
        <s v="Siqnal lenti / SU " u="1"/>
        <s v="Elektrik lövhəsi / 2ədəd kontaktor ilə " u="1"/>
        <s v="Dirsək / d 50 mm / polad / flyanslı " u="1"/>
        <s v="Sayğac / elektrik / 3 faza / 4 telli / 10-60 A / &quot;Makel&quot; / Türk istehsalı " u="1"/>
        <s v="Karot ucu / almaz / 168 x 450 mm " u="1"/>
        <s v="Karkas / plastik " u="1"/>
        <s v="Karot ucu / almaz / 250 x 450 mm " u="1"/>
        <s v="Perforator / &quot;Dingqi&quot; / HAMMER " u="1"/>
        <s v="Qızdırıcı / elektrik / 1200 Vt / 3 spirallı  " u="1"/>
        <s v="Dizlik " u="1"/>
        <s v="Kabel / 4 x 0.22 / internet " u="1"/>
        <s v="Yanğınsöndürmə şlanqı / 6 İnch (150 mm) x 20 metr " u="1"/>
        <s v="Lobzik / 3000 d/d / &quot;Kad&quot; / W650 " u="1"/>
        <s v="Yönləndirmə mühərriki (ümitə) / 1400-lük makina üçün " u="1"/>
        <s v="Su basıncı (ilbizvari)/ 1400-lük makina üçün " u="1"/>
        <s v="Yönləndirmə mühərriki (ümitə) / 1000-lik makina üçün " u="1"/>
        <s v="Konus / flyanslı / d 250 mm / laboratoriya üçün " u="1"/>
        <s v="Anbar adı - Çöl anbar " u="1"/>
        <s v="Dirsək / d 50 mm / polietilen / 90° " u="1"/>
        <s v="Konteyner / 6 metr " u="1"/>
        <s v="Kompakter / əl katoku / dizel " u="1"/>
        <s v="Boru / polietilen / d 32 mm " u="1"/>
        <s v="Vaqonet (badya) / " u="1"/>
        <s v="Anbar adı - Anqar" u="1"/>
        <s v="Adaptor / d 110 mm / polietilen " u="1"/>
        <s v="Adaptor / d 90 mm / polietilen " u="1"/>
        <s v="Kəsici / d 100 mm / almaz / perforator üçün " u="1"/>
        <s v="Podnos / paslanmayan metal / 5 seksiyalı / mətbəx üçün " u="1"/>
        <s v="Vanna / paslanmayan metal / mətbəx üçün " u="1"/>
        <s v="Kabel / alüminium / 4 damarlı / 44metr " u="1"/>
        <s v="Kabel / alüminium / 4 damarlı / 24metr " u="1"/>
        <s v="Anbar adı - Göy kont." u="1"/>
        <s v="Su pompası / dalğıc / 1100 vt / &quot;Shimge&quot; " u="1"/>
        <s v="Dirsək / PVC / d 50 mm " u="1"/>
        <s v="Kəsici alət / elektrik / beton üçün / &quot;Hoteche&quot; / P805111 " u="1"/>
        <s v="Qayçı / armatur üçün " u="1"/>
        <s v="Armatur əyən alət " u="1"/>
        <s v="Ştuser / hava / d=10 mm " u="1"/>
        <s v="Ventil / metal / 2 inch " u="1"/>
        <s v="Üçlük / metal / ştuser tipli / d10mm / hava " u="1"/>
        <s v="Odla kəsici / qaz " u="1"/>
        <s v="Anbar adı - Sarı kont." u="1"/>
        <s v="Oturacaq / ağ " u="1"/>
        <s v="Anbar adı - Ağ kont." u="1"/>
        <s v="Döşək " u="1"/>
        <s v="Yataq / metal karkas " u="1"/>
        <s v="Masa / 700x1700mm / 3 siyirtməli " u="1"/>
        <s v="Anbar adı - Mətbəx" u="1"/>
        <s v="Dispenser / su / &quot;Orvica&quot; " u="1"/>
        <s v="Soyuducu / 157x600mm / vertikal / 2 kameralı " u="1"/>
        <s v="Masa / 700x2700mm " u="1"/>
        <s v="Ləğən (taz) / d 500mm / alüminium " u="1"/>
        <s v="Ləğən (taz) / d 520mm / alüminium " u="1"/>
        <s v="Doğrayıcı / qida / mexaniki " u="1"/>
        <s v="Samovar / mətbəx üçün " u="1"/>
        <s v="Jilet / sarı/ sadə " u="1"/>
        <s v="Qaynaq çubuğu (elektrod) / 3 / &quot;Azkaynak&quot; " u="1"/>
        <s v="Əlcək / sarı " u="1"/>
        <s v="Metçik açarı " u="1"/>
        <s v="Laqonda / d 115 mm " u="1"/>
        <s v="Araba təkəri " u="1"/>
        <s v="Qənd / &quot;Azərşəkər&quot; " u="1"/>
        <s v="Paket / polietilen " u="1"/>
        <s v="Elektrik plitəsi / 2 gözlü " u="1"/>
        <s v="Başlıq (nasadka) / cilalayıcı kağız üçün " u="1"/>
        <s v="Disk / kəsici / d 230x1,9 mm " u="1"/>
        <s v="Qaynaq çubuğu (elektrod) / 3 / sabit / &quot;Azkaynak&quot; " u="1"/>
        <s v="Siyirtmə /d 110mm / kürəvi " u="1"/>
        <s v="Disk / kəsən / d 230mm " u="1"/>
        <s v="Disk / cilalayıcı / d 230mm " u="1"/>
        <s v="Su filtri / polipropilen / d 20 mm" u="1"/>
        <s v="Mufta / polipropilen / d 20 mm" u="1"/>
        <s v="Videokamera / nəzarət / &quot;Multistar&quot; " u="1"/>
        <s v="Videokamera / nəzarət / &quot;Multistar&quot;" u="1"/>
        <s v="Su filtri / d 20 mm / polipropilen" u="1"/>
        <s v="Mufta / d 32 mm / elektrofizyon / polietilen" u="1"/>
        <s v="Üçlük / d 32 mm / polietilen" u="1"/>
        <s v="Xətkeş / nivelyator üçün /" u="1"/>
        <s v="Dirsək / d 50 mm / 90° / polietilen / &quot;Borfit&quot; / Türkiyə istehsalı" u="1"/>
        <s v="Mufta / d 32 mm / polietilen / elektrofizyon" u="1"/>
        <s v="Xətkeş / nivelyator üçün" u="1"/>
        <s v="Mufta / elektrofizyon / d 32 mm / polietilen" u="1"/>
        <s v="Üçlük / d 32 mm / polietilen " u="1"/>
        <s v="Mufta / d 20 mm / polipropilen " u="1"/>
        <s v="Çöl anbar " u="1"/>
        <s v="Anqar" u="1"/>
        <s v="Göy kont." u="1"/>
        <s v="Sarı kont." u="1"/>
        <s v="Ağ kont." u="1"/>
        <s v="Mətbəx" u="1"/>
        <s v="Boya / antipas / boz / 17kq" u="1"/>
        <s v="Nivellyator dayağı / üçayaq" u="1"/>
        <s v="Pastah / rezin" u="1"/>
        <s v="Bloknot / 40 vərəq / Türkiyə" u="1"/>
      </sharedItems>
    </cacheField>
    <cacheField name="Malın kodu" numFmtId="49">
      <sharedItems/>
    </cacheField>
    <cacheField name="Ölçü vahidi" numFmtId="0">
      <sharedItems/>
    </cacheField>
    <cacheField name="Malın miqdarı" numFmtId="0">
      <sharedItems containsSemiMixedTypes="0" containsString="0" containsNumber="1" minValue="0.5" maxValue="553"/>
    </cacheField>
    <cacheField name="Vahidin qiyməti" numFmtId="0">
      <sharedItems containsString="0" containsBlank="1" containsNumber="1" minValue="0" maxValue="3300"/>
    </cacheField>
    <cacheField name="Ümumi məbləğ" numFmtId="0">
      <sharedItems containsSemiMixedTypes="0" containsString="0" containsNumber="1" minValue="0" maxValue="10452.75"/>
    </cacheField>
    <cacheField name="Alınma üsulu" numFmtId="0">
      <sharedItems containsBlank="1" count="4">
        <s v="Köçürmə"/>
        <s v="Əvvələ qalıq"/>
        <s v="Nağd"/>
        <m u="1"/>
      </sharedItems>
    </cacheField>
    <cacheField name="Kontragentin adı" numFmtId="0">
      <sharedItems containsBlank="1" count="24">
        <s v="&quot;Neq MMC&quot;"/>
        <s v="&quot;Amper Elektrik&quot;"/>
        <s v="Anbar qalığı"/>
        <s v="&quot;PROCOMP&quot; MMC"/>
        <s v="&quot;TURQUOİSE&quot; MMC"/>
        <s v="Bazar"/>
        <s v="&quot;Eldost İnşaat&quot;"/>
        <s v="&quot;OMİD&quot;"/>
        <s v="&quot;Sabiroğlu&quot; MMC"/>
        <s v="&quot;Əli inşaat&quot;"/>
        <s v="&quot;Oyal&quot; MMC"/>
        <s v="&quot;Taleh&quot;"/>
        <s v="&quot;HEMAT TRADE&quot; MMC"/>
        <s v="&quot;MAGNA&quot;"/>
        <s v="&quot;Ağa İnşat&quot;"/>
        <s v="&quot;Sontech Groupe&quot;"/>
        <s v="&quot;İronavto&quot;"/>
        <s v="&quot;Həmidov Kamran&quot;"/>
        <s v="&quot;Məhərrəmov Calal&quot;"/>
        <s v="&quot;Almet-Stp&quot; MMC"/>
        <s v="Taleh" u="1"/>
        <s v="Amper Elektrik" u="1"/>
        <s v="Eldost İnşaat" u="1"/>
        <m u="1"/>
      </sharedItems>
    </cacheField>
    <cacheField name="Müqavilə nömrəsi" numFmtId="0">
      <sharedItems containsBlank="1" containsMixedTypes="1" containsNumber="1" containsInteger="1" minValue="0" maxValue="0"/>
    </cacheField>
    <cacheField name="Qaimə №" numFmtId="0">
      <sharedItems containsBlank="1" containsMixedTypes="1" containsNumber="1" containsInteger="1" minValue="0" maxValue="412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1.590185300927" backgroundQuery="1" createdVersion="8" refreshedVersion="8" minRefreshableVersion="3" recordCount="1476" xr:uid="{06EDF1F5-777A-4CDE-9503-DB56CCEC78B7}">
  <cacheSource type="external" connectionId="2"/>
  <cacheFields count="10">
    <cacheField name="№" numFmtId="0">
      <sharedItems containsSemiMixedTypes="0" containsString="0" containsNumber="1" containsInteger="1" minValue="1" maxValue="1178"/>
    </cacheField>
    <cacheField name="Tarix" numFmtId="0">
      <sharedItems containsSemiMixedTypes="0" containsNonDate="0" containsDate="1" containsString="0" minDate="2026-05-06T00:00:00" maxDate="2026-07-24T00:00:00"/>
    </cacheField>
    <cacheField name="Malın kodu" numFmtId="0">
      <sharedItems containsMixedTypes="1" containsNumber="1" containsInteger="1" minValue="1" maxValue="969" count="2198">
        <s v="0001039"/>
        <s v="0001040"/>
        <s v="0001041"/>
        <s v="0001042"/>
        <s v="0001043"/>
        <s v="0001044"/>
        <s v="0001045"/>
        <s v="0000001"/>
        <s v="0000002"/>
        <s v="0000003"/>
        <s v="0000004"/>
        <s v="0000005"/>
        <s v="0000006"/>
        <s v="0000007"/>
        <s v="0000008"/>
        <s v="0000009"/>
        <s v="0000010"/>
        <s v="0000011"/>
        <s v="0000012"/>
        <s v="0000013"/>
        <s v="0000014"/>
        <s v="0000015"/>
        <s v="0000016"/>
        <s v="0000017"/>
        <s v="0000018"/>
        <s v="0000019"/>
        <s v="0000020"/>
        <s v="0000021"/>
        <s v="0000022"/>
        <s v="0000023"/>
        <s v="0000024"/>
        <s v="0000025"/>
        <s v="0000026"/>
        <s v="0000027"/>
        <s v="0000028"/>
        <s v="0000029"/>
        <s v="0000030"/>
        <s v="0000031"/>
        <s v="0000032"/>
        <s v="0000033"/>
        <s v="0000034"/>
        <s v="0000035"/>
        <s v="0000036"/>
        <s v="0000037"/>
        <s v="0000038"/>
        <s v="0000039"/>
        <s v="0000040"/>
        <s v="0000041"/>
        <s v="0000042"/>
        <s v="0000043"/>
        <s v="0000044"/>
        <s v="0000045"/>
        <s v="0000046"/>
        <s v="0000047"/>
        <s v="0000048"/>
        <s v="0000049"/>
        <s v="0000050"/>
        <s v="0000051"/>
        <s v="0000052"/>
        <s v="0000053"/>
        <s v="0000054"/>
        <s v="0000055"/>
        <s v="0000056"/>
        <s v="0000057"/>
        <s v="0000058"/>
        <s v="0000059"/>
        <s v="0000060"/>
        <s v="0000061"/>
        <s v="0000062"/>
        <s v="0000063"/>
        <s v="0000064"/>
        <s v="0000065"/>
        <s v="0000066"/>
        <s v="0000067"/>
        <s v="0000068"/>
        <s v="0000069"/>
        <s v="0000070"/>
        <s v="0000071"/>
        <s v="0000072"/>
        <s v="0000073"/>
        <s v="0000074"/>
        <s v="0000075"/>
        <s v="0000076"/>
        <s v="0000077"/>
        <s v="0000078"/>
        <s v="0000079"/>
        <s v="0000080"/>
        <s v="0000081"/>
        <s v="0000082"/>
        <s v="0000083"/>
        <s v="0000084"/>
        <s v="0000085"/>
        <s v="0000086"/>
        <s v="0000087"/>
        <s v="0000088"/>
        <s v="0000089"/>
        <s v="0000090"/>
        <s v="0000091"/>
        <s v="0000092"/>
        <s v="0000093"/>
        <s v="0000094"/>
        <s v="0000095"/>
        <s v="0000096"/>
        <s v="0000097"/>
        <s v="0000098"/>
        <s v="0000099"/>
        <s v="0000100"/>
        <s v="0000101"/>
        <s v="0000102"/>
        <s v="0000103"/>
        <s v="0000104"/>
        <s v="0000105"/>
        <s v="0000106"/>
        <s v="0000107"/>
        <s v="0000108"/>
        <s v="0000109"/>
        <s v="0000110"/>
        <s v="0000111"/>
        <s v="0000112"/>
        <s v="0000113"/>
        <s v="0000114"/>
        <s v="0000115"/>
        <s v="0000116"/>
        <s v="0000117"/>
        <s v="0000118"/>
        <s v="0000119"/>
        <s v="0000120"/>
        <s v="0000121"/>
        <s v="0000122"/>
        <s v="0000123"/>
        <s v="0000124"/>
        <s v="0000125"/>
        <s v="0000126"/>
        <s v="0000127"/>
        <s v="0000128"/>
        <s v="0000129"/>
        <s v="0000130"/>
        <s v="0000131"/>
        <s v="0000132"/>
        <s v="0000133"/>
        <s v="0000134"/>
        <s v="0000135"/>
        <s v="0000136"/>
        <s v="0000137"/>
        <s v="0000138"/>
        <s v="0000139"/>
        <s v="0000140"/>
        <s v="0000141"/>
        <s v="0000142"/>
        <s v="0000143"/>
        <s v="0000144"/>
        <s v="0000145"/>
        <s v="0000146"/>
        <s v="0000147"/>
        <s v="0000148"/>
        <s v="0000149"/>
        <s v="0000150"/>
        <s v="0000151"/>
        <s v="0000152"/>
        <s v="0000153"/>
        <s v="0000154"/>
        <s v="0000155"/>
        <s v="0000156"/>
        <s v="0000157"/>
        <s v="0000158"/>
        <s v="0000159"/>
        <s v="0000160"/>
        <s v="0000161"/>
        <s v="0000162"/>
        <s v="0000163"/>
        <s v="0000164"/>
        <s v="0000165"/>
        <s v="0000166"/>
        <s v="0000167"/>
        <s v="0000168"/>
        <s v="0000169"/>
        <s v="0000170"/>
        <s v="0000171"/>
        <s v="0000172"/>
        <s v="0000173"/>
        <s v="0000174"/>
        <s v="0000175"/>
        <s v="0000176"/>
        <s v="0000177"/>
        <s v="0000178"/>
        <s v="0000179"/>
        <s v="0000180"/>
        <s v="0000181"/>
        <s v="0000182"/>
        <s v="0000183"/>
        <s v="0000184"/>
        <s v="0000185"/>
        <s v="0000186"/>
        <s v="0000187"/>
        <s v="0000188"/>
        <s v="0000189"/>
        <s v="0000190"/>
        <s v="0000191"/>
        <s v="0000192"/>
        <s v="0000193"/>
        <s v="0000194"/>
        <s v="0000195"/>
        <s v="0000196"/>
        <s v="0000197"/>
        <s v="0000198"/>
        <s v="0000199"/>
        <s v="0000200"/>
        <s v="0000201"/>
        <s v="0000202"/>
        <s v="0000203"/>
        <s v="0000204"/>
        <s v="0000205"/>
        <s v="0000206"/>
        <s v="0000207"/>
        <s v="0000208"/>
        <s v="0000209"/>
        <s v="0000210"/>
        <s v="0000211"/>
        <s v="0000212"/>
        <s v="0000213"/>
        <s v="0000214"/>
        <s v="0000215"/>
        <s v="0000216"/>
        <s v="0000217"/>
        <s v="0000218"/>
        <s v="0000219"/>
        <s v="0000220"/>
        <s v="0000221"/>
        <s v="0000222"/>
        <s v="0000223"/>
        <s v="0000224"/>
        <s v="0000225"/>
        <s v="0000226"/>
        <s v="0000227"/>
        <s v="0000228"/>
        <s v="0000229"/>
        <s v="0000230"/>
        <s v="0000231"/>
        <s v="0000232"/>
        <s v="0000233"/>
        <s v="0000234"/>
        <s v="0000235"/>
        <s v="0000236"/>
        <s v="0000237"/>
        <s v="0000238"/>
        <s v="0000239"/>
        <s v="0000240"/>
        <s v="0000241"/>
        <s v="0000242"/>
        <s v="0000243"/>
        <s v="0000244"/>
        <s v="0000245"/>
        <s v="0000246"/>
        <s v="0000247"/>
        <s v="0000248"/>
        <s v="0000249"/>
        <s v="0000250"/>
        <s v="0000251"/>
        <s v="0000252"/>
        <s v="0000253"/>
        <s v="0000254"/>
        <s v="0000255"/>
        <s v="0000256"/>
        <s v="0000257"/>
        <s v="0000258"/>
        <s v="0000259"/>
        <s v="0000260"/>
        <s v="0000261"/>
        <s v="0000262"/>
        <s v="0000263"/>
        <s v="0000264"/>
        <s v="0000265"/>
        <s v="0000266"/>
        <s v="0000267"/>
        <s v="0000268"/>
        <s v="0000269"/>
        <s v="0000270"/>
        <s v="0000271"/>
        <s v="0000272"/>
        <s v="0000273"/>
        <s v="0000274"/>
        <s v="0000275"/>
        <s v="0000276"/>
        <s v="0000277"/>
        <s v="0000278"/>
        <s v="0000279"/>
        <s v="0000280"/>
        <s v="0000281"/>
        <s v="0000282"/>
        <s v="0000283"/>
        <s v="0000284"/>
        <s v="0000285"/>
        <s v="0000286"/>
        <s v="0000287"/>
        <s v="0000288"/>
        <s v="0000289"/>
        <s v="0000290"/>
        <s v="0000291"/>
        <s v="0000292"/>
        <s v="0000293"/>
        <s v="0000294"/>
        <s v="0000295"/>
        <s v="0000296"/>
        <s v="0000297"/>
        <s v="0000298"/>
        <s v="0000299"/>
        <s v="0000300"/>
        <s v="0000301"/>
        <s v="0000302"/>
        <s v="0000303"/>
        <s v="0000304"/>
        <s v="0000305"/>
        <s v="0000306"/>
        <s v="0000307"/>
        <s v="0000308"/>
        <s v="0000309"/>
        <s v="0000310"/>
        <s v="0000311"/>
        <s v="0000312"/>
        <s v="0000313"/>
        <s v="0000314"/>
        <s v="0000315"/>
        <s v="0000316"/>
        <s v="0000317"/>
        <s v="0000318"/>
        <s v="0000319"/>
        <s v="0000320"/>
        <s v="0000321"/>
        <s v="0000322"/>
        <s v="0000323"/>
        <s v="0000324"/>
        <s v="0000325"/>
        <s v="0000326"/>
        <s v="0000327"/>
        <s v="0000328"/>
        <s v="0000329"/>
        <s v="0000330"/>
        <s v="0000331"/>
        <s v="0000332"/>
        <s v="0000333"/>
        <s v="0000334"/>
        <s v="0000335"/>
        <s v="0000336"/>
        <s v="0000337"/>
        <s v="0000338"/>
        <s v="0000339"/>
        <s v="0000340"/>
        <s v="0000341"/>
        <s v="0000342"/>
        <s v="0000343"/>
        <s v="0000344"/>
        <s v="0000345"/>
        <s v="0000346"/>
        <s v="0000347"/>
        <s v="0000348"/>
        <s v="0000349"/>
        <s v="0000350"/>
        <s v="0000351"/>
        <s v="0000352"/>
        <s v="0000353"/>
        <s v="0000354"/>
        <s v="0000355"/>
        <s v="0000356"/>
        <s v="0000357"/>
        <s v="0000358"/>
        <s v="0000359"/>
        <s v="0000360"/>
        <s v="0000361"/>
        <s v="0000362"/>
        <s v="0000363"/>
        <s v="0000364"/>
        <s v="0000365"/>
        <s v="0000366"/>
        <s v="0000367"/>
        <s v="0000368"/>
        <s v="0000369"/>
        <s v="0000370"/>
        <s v="0000371"/>
        <s v="0000372"/>
        <s v="0000373"/>
        <s v="0000374"/>
        <s v="0000375"/>
        <s v="0000376"/>
        <s v="0000377"/>
        <s v="0000378"/>
        <s v="0000379"/>
        <s v="0000380"/>
        <s v="0000381"/>
        <s v="0000382"/>
        <s v="0000383"/>
        <s v="0000384"/>
        <s v="0000385"/>
        <s v="0000386"/>
        <s v="0000387"/>
        <s v="0000388"/>
        <s v="0000389"/>
        <s v="0000390"/>
        <s v="0000391"/>
        <s v="0000392"/>
        <s v="0000393"/>
        <s v="0000394"/>
        <s v="0000395"/>
        <s v="0000396"/>
        <s v="0000397"/>
        <s v="0000398"/>
        <s v="0000399"/>
        <s v="0000400"/>
        <s v="0000401"/>
        <s v="0000402"/>
        <s v="0000403"/>
        <s v="0000404"/>
        <s v="0000405"/>
        <s v="0000406"/>
        <s v="0000407"/>
        <s v="0000408"/>
        <s v="0000409"/>
        <s v="0000410"/>
        <s v="0000411"/>
        <s v="0000412"/>
        <s v="0000413"/>
        <s v="0000414"/>
        <s v="0000415"/>
        <s v="0000416"/>
        <s v="0000417"/>
        <s v="0000418"/>
        <s v="0000419"/>
        <s v="0000420"/>
        <s v="0000421"/>
        <s v="0000422"/>
        <s v="0000423"/>
        <s v="0000424"/>
        <s v="0000425"/>
        <s v="0000426"/>
        <s v="0000427"/>
        <s v="0000428"/>
        <s v="0000429"/>
        <s v="0000430"/>
        <s v="0000431"/>
        <s v="0000432"/>
        <s v="0000433"/>
        <s v="0000434"/>
        <s v="0000435"/>
        <s v="0000436"/>
        <s v="0000437"/>
        <s v="0000438"/>
        <s v="0000439"/>
        <s v="0000440"/>
        <s v="0000441"/>
        <s v="0000442"/>
        <s v="0000443"/>
        <s v="0000444"/>
        <s v="0000445"/>
        <s v="0000446"/>
        <s v="0000447"/>
        <s v="0000448"/>
        <s v="0000449"/>
        <s v="0000450"/>
        <s v="0000451"/>
        <s v="0000452"/>
        <s v="0000453"/>
        <s v="0000454"/>
        <s v="0000455"/>
        <s v="0000456"/>
        <s v="0000457"/>
        <s v="0000458"/>
        <s v="0000459"/>
        <s v="0000460"/>
        <s v="0000461"/>
        <s v="0000462"/>
        <s v="0000463"/>
        <s v="0000464"/>
        <s v="0000465"/>
        <s v="0000466"/>
        <s v="0000467"/>
        <s v="0000468"/>
        <s v="0000469"/>
        <s v="0000470"/>
        <s v="0000471"/>
        <s v="0000472"/>
        <s v="0000473"/>
        <s v="0000474"/>
        <s v="0000475"/>
        <s v="0000476"/>
        <s v="0000477"/>
        <s v="0000478"/>
        <s v="0000479"/>
        <s v="0000480"/>
        <s v="0000481"/>
        <s v="0000482"/>
        <s v="0000483"/>
        <s v="0000484"/>
        <s v="0000485"/>
        <s v="0000486"/>
        <s v="0000487"/>
        <s v="0000488"/>
        <s v="0000489"/>
        <s v="0000490"/>
        <s v="0000491"/>
        <s v="0000492"/>
        <s v="0000493"/>
        <s v="0000494"/>
        <s v="0000495"/>
        <s v="0000496"/>
        <s v="0000497"/>
        <s v="0000498"/>
        <s v="0000499"/>
        <s v="0000500"/>
        <s v="0000501"/>
        <s v="0000502"/>
        <s v="0000503"/>
        <s v="0000504"/>
        <s v="0000505"/>
        <s v="0000506"/>
        <s v="0000507"/>
        <s v="0000508"/>
        <s v="0000509"/>
        <s v="0000510"/>
        <s v="0000511"/>
        <s v="0000512"/>
        <s v="0000513"/>
        <s v="0000514"/>
        <s v="0000515"/>
        <s v="0000516"/>
        <s v="0000517"/>
        <s v="0000518"/>
        <s v="0000519"/>
        <s v="0000520"/>
        <s v="0000521"/>
        <s v="0000522"/>
        <s v="0000523"/>
        <s v="0000524"/>
        <s v="0000525"/>
        <s v="0000526"/>
        <s v="0000527"/>
        <s v="0000528"/>
        <s v="0000529"/>
        <s v="0000530"/>
        <s v="0000531"/>
        <s v="0000532"/>
        <s v="0000533"/>
        <s v="0000534"/>
        <s v="0000535"/>
        <s v="0000536"/>
        <s v="0000537"/>
        <s v="0000538"/>
        <s v="0000539"/>
        <s v="0000540"/>
        <s v="0000541"/>
        <s v="0000542"/>
        <s v="0000543"/>
        <s v="0000544"/>
        <s v="0000545"/>
        <s v="0000546"/>
        <s v="0000547"/>
        <s v="0000548"/>
        <s v="0000549"/>
        <s v="0000550"/>
        <s v="0000551"/>
        <s v="0000552"/>
        <s v="0000553"/>
        <s v="0000554"/>
        <s v="0000555"/>
        <s v="0000556"/>
        <s v="0000557"/>
        <s v="0000558"/>
        <s v="0000559"/>
        <s v="0000560"/>
        <s v="0000561"/>
        <s v="0000562"/>
        <s v="0000563"/>
        <s v="0000564"/>
        <s v="0000565"/>
        <s v="0000566"/>
        <s v="0000567"/>
        <s v="0000568"/>
        <s v="0000569"/>
        <s v="0000570"/>
        <s v="0000571"/>
        <s v="0000572"/>
        <s v="0000573"/>
        <s v="0000574"/>
        <s v="0000575"/>
        <s v="0000576"/>
        <s v="0000577"/>
        <s v="0000578"/>
        <s v="0000579"/>
        <s v="0000580"/>
        <s v="0000581"/>
        <s v="0000582"/>
        <s v="0000583"/>
        <s v="0000584"/>
        <s v="0000585"/>
        <s v="0000586"/>
        <s v="0000587"/>
        <s v="0000588"/>
        <s v="0000589"/>
        <s v="0000590"/>
        <s v="0000591"/>
        <s v="0000592"/>
        <s v="0000593"/>
        <s v="0000594"/>
        <s v="0000595"/>
        <s v="0000596"/>
        <s v="0000597"/>
        <s v="0000598"/>
        <s v="0000599"/>
        <s v="0000600"/>
        <s v="0000601"/>
        <s v="0000602"/>
        <s v="0000603"/>
        <s v="0000604"/>
        <s v="0000605"/>
        <s v="0000606"/>
        <s v="0000607"/>
        <s v="0000608"/>
        <s v="0000609"/>
        <s v="0000610"/>
        <s v="0000611"/>
        <s v="0000612"/>
        <s v="0000613"/>
        <s v="0000614"/>
        <s v="0000615"/>
        <s v="0000616"/>
        <s v="0000617"/>
        <s v="0000618"/>
        <s v="0000619"/>
        <s v="0000620"/>
        <s v="0000621"/>
        <s v="0000622"/>
        <s v="0000623"/>
        <s v="0000624"/>
        <s v="0000625"/>
        <s v="0000626"/>
        <s v="0000627"/>
        <s v="0000628"/>
        <s v="0000629"/>
        <s v="0000630"/>
        <s v="0000631"/>
        <s v="0000632"/>
        <s v="0000633"/>
        <s v="0000634"/>
        <s v="0000635"/>
        <s v="0000636"/>
        <s v="0000637"/>
        <s v="0000638"/>
        <s v="0000639"/>
        <s v="0000640"/>
        <s v="0000641"/>
        <s v="0000642"/>
        <s v="0000643"/>
        <s v="0000644"/>
        <s v="0000645"/>
        <s v="0000646"/>
        <s v="0000647"/>
        <s v="0000648"/>
        <s v="0000649"/>
        <s v="0000650"/>
        <s v="0000651"/>
        <s v="0000652"/>
        <s v="0000653"/>
        <s v="0000654"/>
        <s v="0000655"/>
        <s v="0000656"/>
        <s v="0000657"/>
        <s v="0000658"/>
        <s v="0000659"/>
        <s v="0000660"/>
        <s v="0000661"/>
        <s v="0000662"/>
        <s v="0000663"/>
        <s v="0000664"/>
        <s v="0000665"/>
        <s v="0000666"/>
        <s v="0000667"/>
        <s v="0000668"/>
        <s v="0000669"/>
        <s v="0000670"/>
        <s v="0000671"/>
        <s v="0000672"/>
        <s v="0000673"/>
        <s v="0000674"/>
        <s v="0000675"/>
        <s v="0000676"/>
        <s v="0000677"/>
        <s v="0000678"/>
        <s v="0000679"/>
        <s v="0000680"/>
        <s v="0000681"/>
        <s v="0000682"/>
        <s v="0000683"/>
        <s v="0000684"/>
        <s v="0000685"/>
        <s v="0000686"/>
        <s v="0000687"/>
        <s v="0000688"/>
        <s v="0000689"/>
        <s v="0000690"/>
        <s v="0000691"/>
        <s v="0000692"/>
        <s v="0000693"/>
        <s v="0000694"/>
        <s v="0000695"/>
        <s v="0000696"/>
        <s v="0000697"/>
        <s v="0000698"/>
        <s v="0000699"/>
        <s v="0000700"/>
        <s v="0000701"/>
        <s v="0000702"/>
        <s v="0000703"/>
        <s v="0000704"/>
        <s v="0000705"/>
        <s v="0000706"/>
        <s v="0000707"/>
        <s v="0000708"/>
        <s v="0000709"/>
        <s v="0000710"/>
        <s v="0000711"/>
        <s v="0000712"/>
        <s v="0000713"/>
        <s v="0000714"/>
        <s v="0000715"/>
        <s v="0000716"/>
        <s v="0000717"/>
        <s v="0000718"/>
        <s v="0000719"/>
        <s v="0000720"/>
        <s v="0000721"/>
        <s v="0000722"/>
        <s v="0000723"/>
        <s v="0000724"/>
        <s v="0000725"/>
        <s v="0000726"/>
        <s v="0000727"/>
        <s v="0000728"/>
        <s v="0000729"/>
        <s v="0000730"/>
        <s v="0000731"/>
        <s v="0000732"/>
        <s v="0000733"/>
        <s v="0000734"/>
        <s v="0000735"/>
        <s v="0000736"/>
        <s v="0000737"/>
        <s v="0000738"/>
        <s v="0000739"/>
        <s v="0000740"/>
        <s v="0000741"/>
        <s v="0000742"/>
        <s v="0000743"/>
        <s v="0000744"/>
        <s v="0000745"/>
        <s v="0000746"/>
        <s v="0000747"/>
        <s v="0000748"/>
        <s v="0000749"/>
        <s v="0000750"/>
        <s v="0000751"/>
        <s v="0000752"/>
        <s v="0000753"/>
        <s v="0000754"/>
        <s v="0000755"/>
        <s v="0000756"/>
        <s v="0000757"/>
        <s v="0000758"/>
        <s v="0000759"/>
        <s v="0000760"/>
        <s v="0000761"/>
        <s v="0000762"/>
        <s v="0000763"/>
        <s v="0000764"/>
        <s v="0000765"/>
        <s v="0000766"/>
        <s v="0000767"/>
        <s v="0000768"/>
        <s v="0000769"/>
        <s v="0000770"/>
        <s v="0000771"/>
        <s v="0000772"/>
        <s v="0000773"/>
        <s v="0000774"/>
        <s v="0000775"/>
        <s v="0000776"/>
        <s v="0000777"/>
        <s v="0000778"/>
        <s v="0000779"/>
        <s v="0000780"/>
        <s v="0000781"/>
        <s v="0000782"/>
        <s v="0000783"/>
        <s v="0000784"/>
        <s v="0000785"/>
        <s v="0000786"/>
        <s v="0000787"/>
        <s v="0000788"/>
        <s v="0000789"/>
        <s v="0000790"/>
        <s v="0000791"/>
        <s v="0000792"/>
        <s v="0000793"/>
        <s v="0000794"/>
        <s v="0000795"/>
        <s v="0000796"/>
        <s v="0000797"/>
        <s v="0000798"/>
        <s v="0000799"/>
        <s v="0000800"/>
        <s v="0000801"/>
        <s v="0000802"/>
        <s v="0000803"/>
        <s v="0000804"/>
        <s v="0000805"/>
        <s v="0000806"/>
        <s v="0000807"/>
        <s v="0000808"/>
        <s v="0000809"/>
        <s v="0000810"/>
        <s v="0000811"/>
        <s v="0000812"/>
        <s v="0000813"/>
        <s v="0000814"/>
        <s v="0000815"/>
        <s v="0000816"/>
        <s v="0000817"/>
        <s v="0000818"/>
        <s v="0000819"/>
        <s v="0000820"/>
        <s v="0000821"/>
        <s v="0000822"/>
        <s v="0000823"/>
        <s v="0000824"/>
        <s v="0000825"/>
        <s v="0000826"/>
        <s v="0000827"/>
        <s v="0000828"/>
        <s v="0000829"/>
        <s v="0000830"/>
        <s v="0000831"/>
        <s v="0000832"/>
        <s v="0000833"/>
        <s v="0000834"/>
        <s v="0000835"/>
        <s v="0000836"/>
        <s v="0000837"/>
        <s v="0000838"/>
        <s v="0000839"/>
        <s v="0000840"/>
        <s v="0000841"/>
        <s v="0000842"/>
        <s v="0000843"/>
        <s v="0000844"/>
        <s v="0000845"/>
        <s v="0000846"/>
        <s v="0000847"/>
        <s v="0000848"/>
        <s v="0000849"/>
        <s v="0000850"/>
        <s v="0000851"/>
        <s v="0000852"/>
        <s v="0000853"/>
        <s v="0000854"/>
        <s v="0000855"/>
        <s v="0000856"/>
        <s v="0000857"/>
        <s v="0000858"/>
        <s v="0000859"/>
        <s v="0000860"/>
        <s v="0000861"/>
        <s v="0000862"/>
        <s v="0000863"/>
        <s v="0000864"/>
        <s v="0000865"/>
        <s v="0000866"/>
        <s v="0000867"/>
        <s v="0000868"/>
        <s v="0000869"/>
        <s v="0000870"/>
        <s v="0000871"/>
        <s v="0000872"/>
        <s v="0000873"/>
        <s v="0000874"/>
        <s v="0000875"/>
        <s v="0000876"/>
        <s v="0000877"/>
        <s v="0000878"/>
        <s v="0000879"/>
        <s v="0000880"/>
        <s v="0000881"/>
        <s v="0000882"/>
        <s v="0000883"/>
        <s v="0000884"/>
        <s v="0000885"/>
        <s v="0000886"/>
        <s v="0000887"/>
        <s v="0000888"/>
        <s v="0000889"/>
        <s v="0000890"/>
        <s v="0000891"/>
        <s v="0000892"/>
        <s v="0000893"/>
        <s v="0000894"/>
        <s v="0000895"/>
        <s v="0000896"/>
        <s v="0000897"/>
        <s v="0000898"/>
        <s v="0000899"/>
        <s v="0000900"/>
        <s v="0000901"/>
        <s v="0000902"/>
        <s v="0000903"/>
        <s v="0000904"/>
        <s v="0000905"/>
        <s v="0000906"/>
        <s v="0000907"/>
        <s v="0000908"/>
        <s v="0000909"/>
        <s v="0000910"/>
        <s v="0000911"/>
        <s v="0000912"/>
        <s v="0000913"/>
        <s v="0000914"/>
        <s v="0000915"/>
        <s v="0000916"/>
        <s v="0000917"/>
        <s v="0000918"/>
        <s v="0000919"/>
        <s v="0000920"/>
        <s v="0000921"/>
        <s v="0000922"/>
        <s v="0000923"/>
        <s v="0000924"/>
        <s v="0000925"/>
        <s v="0000926"/>
        <s v="0000927"/>
        <s v="0000928"/>
        <s v="0000929"/>
        <s v="0000930"/>
        <s v="0000931"/>
        <s v="0000932"/>
        <s v="0000933"/>
        <s v="0000934"/>
        <s v="0000935"/>
        <s v="0000936"/>
        <s v="0000937"/>
        <s v="0000938"/>
        <s v="0000939"/>
        <s v="0000940"/>
        <s v="0000941"/>
        <s v="0000942"/>
        <s v="0000943"/>
        <s v="0000944"/>
        <s v="0000945"/>
        <s v="0000946"/>
        <s v="0000947"/>
        <s v="0000948"/>
        <s v="0000949"/>
        <s v="0000950"/>
        <s v="0000951"/>
        <s v="0000952"/>
        <s v="0000953"/>
        <s v="0000954"/>
        <s v="0000955"/>
        <s v="0000956"/>
        <s v="0000957"/>
        <s v="0000958"/>
        <s v="0000959"/>
        <s v="0000960"/>
        <s v="0000961"/>
        <s v="0000962"/>
        <s v="0000963"/>
        <s v="0000964"/>
        <s v="0001047"/>
        <s v="0001075"/>
        <s v="0000969"/>
        <s v="0001048"/>
        <s v="0001049"/>
        <s v="0001050"/>
        <s v="0000976"/>
        <s v="0000978"/>
        <s v="0000979"/>
        <s v="0000982"/>
        <s v="0000984"/>
        <s v="0000986"/>
        <s v="0000992"/>
        <s v="0000993"/>
        <s v="0000994"/>
        <s v="0000995"/>
        <s v="0000996"/>
        <s v="0000997"/>
        <s v="0000998"/>
        <s v="0000999"/>
        <s v="0001000"/>
        <s v="0001001"/>
        <s v="0001004"/>
        <s v="0001005"/>
        <s v="0001006"/>
        <s v="0001007"/>
        <s v="0001009"/>
        <s v="0001010"/>
        <s v="0001011"/>
        <s v="0001012"/>
        <s v="0001013"/>
        <s v="0001014"/>
        <s v="0001015"/>
        <s v="0001104"/>
        <s v="0001106"/>
        <s v="0001017"/>
        <s v="0001018"/>
        <s v="0001019"/>
        <s v="0001020"/>
        <s v="0001021"/>
        <s v="0001022"/>
        <s v="0001023"/>
        <s v="0001024"/>
        <s v="0001025"/>
        <s v="0001026"/>
        <s v="0001027"/>
        <s v="0001028"/>
        <s v="0001029"/>
        <s v="0001030"/>
        <s v="0001031"/>
        <s v="0001032"/>
        <s v="0001033"/>
        <s v="0001034"/>
        <s v="0001035"/>
        <s v="0001036"/>
        <s v="0001037"/>
        <s v="0001077"/>
        <s v="0001078"/>
        <s v="0001079"/>
        <s v="0001080"/>
        <s v="0001081"/>
        <s v="0001082"/>
        <s v="0001083"/>
        <s v="0001090"/>
        <s v="0001115"/>
        <s v="0001116"/>
        <s v="0001117"/>
        <s v="0001121"/>
        <s v="0001118"/>
        <s v="0001119"/>
        <s v="0001120"/>
        <s v="0001122"/>
        <s v="0001123"/>
        <s v="0001140"/>
        <s v="0001127"/>
        <s v="0001002"/>
        <s v="0001145"/>
        <s v="0001146"/>
        <s v="0001148"/>
        <s v="0001164"/>
        <s v="0001147"/>
        <s v="0001149"/>
        <s v="0001038"/>
        <s v="0001046"/>
        <s v="0001054"/>
        <s v="0001055"/>
        <s v="0001056"/>
        <s v="0001057"/>
        <s v="0001058"/>
        <s v="0001059"/>
        <s v="0001060"/>
        <s v="0001061"/>
        <s v="0001062"/>
        <s v="0001143"/>
        <s v="0001144"/>
        <s v="0001229"/>
        <s v="0001230"/>
        <s v="0001231"/>
        <s v="0001016"/>
        <s v="0000966"/>
        <s v="0000967"/>
        <s v="0000968"/>
        <s v="0001131"/>
        <s v="0001133"/>
        <s v="0001175"/>
        <s v="0001184"/>
        <s v="0001185"/>
        <s v="0001186"/>
        <s v="0001187"/>
        <s v="0001188"/>
        <s v="0001189"/>
        <s v="0001190"/>
        <s v="0001191"/>
        <s v="0001192"/>
        <s v="0001194"/>
        <s v="0001195"/>
        <s v="0001196"/>
        <s v="0001197"/>
        <s v="0001199"/>
        <s v="0001136"/>
        <s v="0001142"/>
        <s v="0001170"/>
        <s v="0001171"/>
        <s v="0001172"/>
        <s v="0001173"/>
        <s v="0001174"/>
        <s v="0001177"/>
        <s v="0001178"/>
        <s v="0001179"/>
        <s v="0001180"/>
        <s v="0001181"/>
        <s v="0001182"/>
        <s v="0001183"/>
        <s v="0001051"/>
        <s v="0001052"/>
        <s v="0001063"/>
        <s v="0001064"/>
        <s v="0001065"/>
        <s v="0001066"/>
        <s v="0001067"/>
        <s v="0001068"/>
        <s v="0001069"/>
        <s v="0001070"/>
        <s v="0001071"/>
        <s v="0001072"/>
        <s v="0001073"/>
        <s v="0001074"/>
        <s v="0001053"/>
        <s v="0000970"/>
        <s v="0000971"/>
        <s v="0000972"/>
        <s v="0000973"/>
        <s v="0000974"/>
        <s v="0000975"/>
        <s v="0000977"/>
        <s v="0000980"/>
        <s v="0000981"/>
        <s v="0000983"/>
        <s v="0000985"/>
        <s v="0000987"/>
        <s v="0000988"/>
        <s v="0000989"/>
        <s v="0000990"/>
        <s v="0000991"/>
        <s v="0001003"/>
        <s v="0001008"/>
        <s v="0001105"/>
        <s v="0001107"/>
        <s v="0001103"/>
        <s v="0001092"/>
        <s v="0001093"/>
        <s v="0001094"/>
        <s v="0001095"/>
        <s v="0001096"/>
        <s v="0001097"/>
        <s v="0001098"/>
        <s v="0001099"/>
        <s v="0001100"/>
        <s v="0001101"/>
        <s v="0001102"/>
        <s v="0001108"/>
        <s v="0001109"/>
        <s v="0001110"/>
        <s v="0001111"/>
        <s v="0001112"/>
        <s v="0001113"/>
        <s v="0001114"/>
        <s v="0001125"/>
        <s v="0001126"/>
        <s v="0001076"/>
        <s v="0001084"/>
        <s v="0001085"/>
        <s v="0001086"/>
        <s v="0001087"/>
        <s v="0001088"/>
        <s v="0001089"/>
        <s v="0001091"/>
        <s v="0001128"/>
        <s v="0001129"/>
        <s v="0001130"/>
        <s v="0001132"/>
        <s v="0001134"/>
        <s v="0001135"/>
        <s v="0001137"/>
        <s v="0001138"/>
        <s v="0001139"/>
        <s v="0001141"/>
        <s v="0001124"/>
        <s v="0001150"/>
        <s v="0001151"/>
        <s v="0001152"/>
        <s v="0001153"/>
        <s v="0001154"/>
        <s v="0001155"/>
        <s v="0001156"/>
        <s v="0001157"/>
        <s v="0001158"/>
        <s v="0001159"/>
        <s v="0001160"/>
        <s v="0001161"/>
        <s v="0001162"/>
        <s v="0001163"/>
        <s v="0001200"/>
        <s v="0001165"/>
        <s v="0001166"/>
        <s v="0001167"/>
        <s v="0001168"/>
        <s v="0001169"/>
        <s v="0001202"/>
        <s v="0001204"/>
        <s v="0001205"/>
        <s v="0001206"/>
        <s v="0001207"/>
        <s v="0001208"/>
        <s v="0001209"/>
        <s v="0001210"/>
        <s v="0001211"/>
        <s v="0001212"/>
        <s v="0001213"/>
        <s v="0001214"/>
        <s v="0001215"/>
        <s v="0001203"/>
        <s v="0001176"/>
        <s v="0001193"/>
        <s v="0001198"/>
        <s v="0001201"/>
        <s v="0001216"/>
        <s v="0001217"/>
        <s v="0001218"/>
        <s v="0001219"/>
        <s v="0001220"/>
        <s v="0001221"/>
        <s v="0001222"/>
        <s v="0001223"/>
        <s v="0001224"/>
        <s v="0001225"/>
        <s v="0001226"/>
        <s v="0001227"/>
        <s v="0001228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27" u="1"/>
        <n v="28" u="1"/>
        <n v="29" u="1"/>
        <n v="30" u="1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203" u="1"/>
        <n v="204" u="1"/>
        <n v="205" u="1"/>
        <n v="206" u="1"/>
        <n v="207" u="1"/>
        <n v="208" u="1"/>
        <n v="209" u="1"/>
        <n v="210" u="1"/>
        <n v="211" u="1"/>
        <n v="212" u="1"/>
        <n v="213" u="1"/>
        <n v="214" u="1"/>
        <n v="215" u="1"/>
        <n v="216" u="1"/>
        <n v="217" u="1"/>
        <n v="218" u="1"/>
        <n v="219" u="1"/>
        <n v="220" u="1"/>
        <n v="221" u="1"/>
        <n v="222" u="1"/>
        <n v="223" u="1"/>
        <n v="224" u="1"/>
        <n v="225" u="1"/>
        <n v="226" u="1"/>
        <n v="227" u="1"/>
        <n v="228" u="1"/>
        <n v="229" u="1"/>
        <n v="230" u="1"/>
        <n v="231" u="1"/>
        <n v="232" u="1"/>
        <n v="233" u="1"/>
        <n v="234" u="1"/>
        <n v="235" u="1"/>
        <n v="236" u="1"/>
        <n v="237" u="1"/>
        <n v="238" u="1"/>
        <n v="239" u="1"/>
        <n v="240" u="1"/>
        <n v="241" u="1"/>
        <n v="242" u="1"/>
        <n v="243" u="1"/>
        <n v="244" u="1"/>
        <n v="245" u="1"/>
        <n v="246" u="1"/>
        <n v="247" u="1"/>
        <n v="248" u="1"/>
        <n v="249" u="1"/>
        <n v="250" u="1"/>
        <n v="251" u="1"/>
        <n v="252" u="1"/>
        <n v="253" u="1"/>
        <n v="254" u="1"/>
        <n v="255" u="1"/>
        <n v="256" u="1"/>
        <n v="257" u="1"/>
        <n v="258" u="1"/>
        <n v="259" u="1"/>
        <n v="260" u="1"/>
        <n v="261" u="1"/>
        <n v="262" u="1"/>
        <n v="263" u="1"/>
        <n v="264" u="1"/>
        <n v="265" u="1"/>
        <n v="266" u="1"/>
        <n v="267" u="1"/>
        <n v="268" u="1"/>
        <n v="269" u="1"/>
        <n v="270" u="1"/>
        <n v="271" u="1"/>
        <n v="272" u="1"/>
        <n v="273" u="1"/>
        <n v="274" u="1"/>
        <n v="275" u="1"/>
        <n v="276" u="1"/>
        <n v="277" u="1"/>
        <n v="278" u="1"/>
        <n v="279" u="1"/>
        <n v="280" u="1"/>
        <n v="281" u="1"/>
        <n v="282" u="1"/>
        <n v="283" u="1"/>
        <n v="284" u="1"/>
        <n v="285" u="1"/>
        <n v="286" u="1"/>
        <n v="287" u="1"/>
        <n v="288" u="1"/>
        <n v="289" u="1"/>
        <n v="290" u="1"/>
        <n v="291" u="1"/>
        <n v="292" u="1"/>
        <n v="293" u="1"/>
        <n v="294" u="1"/>
        <n v="295" u="1"/>
        <n v="296" u="1"/>
        <n v="297" u="1"/>
        <n v="298" u="1"/>
        <n v="299" u="1"/>
        <n v="300" u="1"/>
        <n v="301" u="1"/>
        <n v="302" u="1"/>
        <n v="303" u="1"/>
        <n v="304" u="1"/>
        <n v="305" u="1"/>
        <n v="306" u="1"/>
        <n v="307" u="1"/>
        <n v="308" u="1"/>
        <n v="309" u="1"/>
        <n v="310" u="1"/>
        <n v="311" u="1"/>
        <n v="312" u="1"/>
        <n v="313" u="1"/>
        <n v="314" u="1"/>
        <n v="315" u="1"/>
        <n v="316" u="1"/>
        <n v="317" u="1"/>
        <n v="318" u="1"/>
        <n v="319" u="1"/>
        <n v="320" u="1"/>
        <n v="321" u="1"/>
        <n v="322" u="1"/>
        <n v="323" u="1"/>
        <n v="324" u="1"/>
        <n v="325" u="1"/>
        <n v="326" u="1"/>
        <n v="327" u="1"/>
        <n v="328" u="1"/>
        <n v="329" u="1"/>
        <n v="330" u="1"/>
        <n v="331" u="1"/>
        <n v="332" u="1"/>
        <n v="333" u="1"/>
        <n v="334" u="1"/>
        <n v="335" u="1"/>
        <n v="336" u="1"/>
        <n v="337" u="1"/>
        <n v="338" u="1"/>
        <n v="339" u="1"/>
        <n v="340" u="1"/>
        <n v="341" u="1"/>
        <n v="342" u="1"/>
        <n v="343" u="1"/>
        <n v="344" u="1"/>
        <n v="345" u="1"/>
        <n v="346" u="1"/>
        <n v="347" u="1"/>
        <n v="348" u="1"/>
        <n v="349" u="1"/>
        <n v="350" u="1"/>
        <n v="351" u="1"/>
        <n v="352" u="1"/>
        <n v="353" u="1"/>
        <n v="354" u="1"/>
        <n v="355" u="1"/>
        <n v="356" u="1"/>
        <n v="357" u="1"/>
        <n v="358" u="1"/>
        <n v="359" u="1"/>
        <n v="360" u="1"/>
        <n v="361" u="1"/>
        <n v="362" u="1"/>
        <n v="363" u="1"/>
        <n v="364" u="1"/>
        <n v="365" u="1"/>
        <n v="366" u="1"/>
        <n v="367" u="1"/>
        <n v="368" u="1"/>
        <n v="369" u="1"/>
        <n v="370" u="1"/>
        <n v="371" u="1"/>
        <n v="372" u="1"/>
        <n v="373" u="1"/>
        <n v="374" u="1"/>
        <n v="375" u="1"/>
        <n v="376" u="1"/>
        <n v="377" u="1"/>
        <n v="378" u="1"/>
        <n v="379" u="1"/>
        <n v="380" u="1"/>
        <n v="381" u="1"/>
        <n v="382" u="1"/>
        <n v="383" u="1"/>
        <n v="384" u="1"/>
        <n v="385" u="1"/>
        <n v="386" u="1"/>
        <n v="387" u="1"/>
        <n v="388" u="1"/>
        <n v="389" u="1"/>
        <n v="390" u="1"/>
        <n v="391" u="1"/>
        <n v="392" u="1"/>
        <n v="393" u="1"/>
        <n v="394" u="1"/>
        <n v="395" u="1"/>
        <n v="396" u="1"/>
        <n v="397" u="1"/>
        <n v="398" u="1"/>
        <n v="399" u="1"/>
        <n v="400" u="1"/>
        <n v="401" u="1"/>
        <n v="402" u="1"/>
        <n v="403" u="1"/>
        <n v="404" u="1"/>
        <n v="405" u="1"/>
        <n v="406" u="1"/>
        <n v="407" u="1"/>
        <n v="408" u="1"/>
        <n v="409" u="1"/>
        <n v="410" u="1"/>
        <n v="411" u="1"/>
        <n v="412" u="1"/>
        <n v="413" u="1"/>
        <n v="414" u="1"/>
        <n v="415" u="1"/>
        <n v="416" u="1"/>
        <n v="417" u="1"/>
        <n v="418" u="1"/>
        <n v="419" u="1"/>
        <n v="420" u="1"/>
        <n v="421" u="1"/>
        <n v="422" u="1"/>
        <n v="423" u="1"/>
        <n v="424" u="1"/>
        <n v="425" u="1"/>
        <n v="426" u="1"/>
        <n v="427" u="1"/>
        <n v="428" u="1"/>
        <n v="429" u="1"/>
        <n v="430" u="1"/>
        <n v="431" u="1"/>
        <n v="432" u="1"/>
        <n v="433" u="1"/>
        <n v="434" u="1"/>
        <n v="435" u="1"/>
        <n v="436" u="1"/>
        <n v="437" u="1"/>
        <n v="438" u="1"/>
        <n v="439" u="1"/>
        <n v="440" u="1"/>
        <n v="441" u="1"/>
        <n v="442" u="1"/>
        <n v="443" u="1"/>
        <n v="444" u="1"/>
        <n v="445" u="1"/>
        <n v="446" u="1"/>
        <n v="447" u="1"/>
        <n v="448" u="1"/>
        <n v="449" u="1"/>
        <n v="450" u="1"/>
        <n v="451" u="1"/>
        <n v="452" u="1"/>
        <n v="453" u="1"/>
        <n v="454" u="1"/>
        <n v="455" u="1"/>
        <n v="456" u="1"/>
        <n v="457" u="1"/>
        <n v="458" u="1"/>
        <n v="459" u="1"/>
        <n v="460" u="1"/>
        <n v="461" u="1"/>
        <n v="462" u="1"/>
        <n v="463" u="1"/>
        <n v="464" u="1"/>
        <n v="465" u="1"/>
        <n v="466" u="1"/>
        <n v="467" u="1"/>
        <n v="468" u="1"/>
        <n v="469" u="1"/>
        <n v="470" u="1"/>
        <n v="471" u="1"/>
        <n v="472" u="1"/>
        <n v="473" u="1"/>
        <n v="474" u="1"/>
        <n v="475" u="1"/>
        <n v="476" u="1"/>
        <n v="477" u="1"/>
        <n v="478" u="1"/>
        <n v="479" u="1"/>
        <n v="480" u="1"/>
        <n v="481" u="1"/>
        <n v="482" u="1"/>
        <n v="483" u="1"/>
        <n v="484" u="1"/>
        <n v="485" u="1"/>
        <n v="486" u="1"/>
        <n v="487" u="1"/>
        <n v="488" u="1"/>
        <n v="489" u="1"/>
        <n v="490" u="1"/>
        <n v="491" u="1"/>
        <n v="492" u="1"/>
        <n v="493" u="1"/>
        <n v="494" u="1"/>
        <n v="495" u="1"/>
        <n v="496" u="1"/>
        <n v="497" u="1"/>
        <n v="498" u="1"/>
        <n v="499" u="1"/>
        <n v="500" u="1"/>
        <n v="501" u="1"/>
        <n v="502" u="1"/>
        <n v="503" u="1"/>
        <n v="504" u="1"/>
        <n v="505" u="1"/>
        <n v="506" u="1"/>
        <n v="507" u="1"/>
        <n v="508" u="1"/>
        <n v="509" u="1"/>
        <n v="510" u="1"/>
        <n v="511" u="1"/>
        <n v="512" u="1"/>
        <n v="513" u="1"/>
        <n v="514" u="1"/>
        <n v="515" u="1"/>
        <n v="516" u="1"/>
        <n v="517" u="1"/>
        <n v="518" u="1"/>
        <n v="519" u="1"/>
        <n v="520" u="1"/>
        <n v="521" u="1"/>
        <n v="522" u="1"/>
        <n v="523" u="1"/>
        <n v="524" u="1"/>
        <n v="525" u="1"/>
        <n v="526" u="1"/>
        <n v="527" u="1"/>
        <n v="528" u="1"/>
        <n v="529" u="1"/>
        <n v="530" u="1"/>
        <n v="531" u="1"/>
        <n v="532" u="1"/>
        <n v="533" u="1"/>
        <n v="534" u="1"/>
        <n v="535" u="1"/>
        <n v="536" u="1"/>
        <n v="537" u="1"/>
        <n v="538" u="1"/>
        <n v="539" u="1"/>
        <n v="540" u="1"/>
        <n v="541" u="1"/>
        <n v="542" u="1"/>
        <n v="543" u="1"/>
        <n v="544" u="1"/>
        <n v="545" u="1"/>
        <n v="546" u="1"/>
        <n v="547" u="1"/>
        <n v="548" u="1"/>
        <n v="549" u="1"/>
        <n v="550" u="1"/>
        <n v="551" u="1"/>
        <n v="552" u="1"/>
        <n v="553" u="1"/>
        <n v="554" u="1"/>
        <n v="555" u="1"/>
        <n v="556" u="1"/>
        <n v="557" u="1"/>
        <n v="558" u="1"/>
        <n v="559" u="1"/>
        <n v="560" u="1"/>
        <n v="561" u="1"/>
        <n v="562" u="1"/>
        <n v="563" u="1"/>
        <n v="564" u="1"/>
        <n v="565" u="1"/>
        <n v="566" u="1"/>
        <n v="567" u="1"/>
        <n v="568" u="1"/>
        <n v="569" u="1"/>
        <n v="570" u="1"/>
        <n v="571" u="1"/>
        <n v="572" u="1"/>
        <n v="573" u="1"/>
        <n v="574" u="1"/>
        <n v="575" u="1"/>
        <n v="576" u="1"/>
        <n v="577" u="1"/>
        <n v="578" u="1"/>
        <n v="579" u="1"/>
        <n v="580" u="1"/>
        <n v="581" u="1"/>
        <n v="582" u="1"/>
        <n v="583" u="1"/>
        <n v="584" u="1"/>
        <n v="585" u="1"/>
        <n v="586" u="1"/>
        <n v="587" u="1"/>
        <n v="588" u="1"/>
        <n v="589" u="1"/>
        <n v="590" u="1"/>
        <n v="591" u="1"/>
        <n v="592" u="1"/>
        <n v="593" u="1"/>
        <n v="594" u="1"/>
        <n v="595" u="1"/>
        <n v="596" u="1"/>
        <n v="597" u="1"/>
        <n v="598" u="1"/>
        <n v="599" u="1"/>
        <n v="600" u="1"/>
        <n v="601" u="1"/>
        <n v="602" u="1"/>
        <n v="603" u="1"/>
        <n v="604" u="1"/>
        <n v="605" u="1"/>
        <n v="606" u="1"/>
        <n v="607" u="1"/>
        <n v="608" u="1"/>
        <n v="609" u="1"/>
        <n v="610" u="1"/>
        <n v="611" u="1"/>
        <n v="612" u="1"/>
        <n v="613" u="1"/>
        <n v="614" u="1"/>
        <n v="615" u="1"/>
        <n v="616" u="1"/>
        <n v="617" u="1"/>
        <n v="618" u="1"/>
        <n v="619" u="1"/>
        <n v="620" u="1"/>
        <n v="621" u="1"/>
        <n v="622" u="1"/>
        <n v="623" u="1"/>
        <n v="624" u="1"/>
        <n v="625" u="1"/>
        <n v="626" u="1"/>
        <n v="627" u="1"/>
        <n v="628" u="1"/>
        <n v="629" u="1"/>
        <n v="630" u="1"/>
        <n v="631" u="1"/>
        <n v="632" u="1"/>
        <n v="633" u="1"/>
        <n v="634" u="1"/>
        <n v="635" u="1"/>
        <n v="636" u="1"/>
        <n v="637" u="1"/>
        <n v="638" u="1"/>
        <n v="639" u="1"/>
        <n v="640" u="1"/>
        <n v="641" u="1"/>
        <n v="642" u="1"/>
        <n v="643" u="1"/>
        <n v="644" u="1"/>
        <n v="645" u="1"/>
        <n v="646" u="1"/>
        <n v="647" u="1"/>
        <n v="648" u="1"/>
        <n v="649" u="1"/>
        <n v="650" u="1"/>
        <n v="651" u="1"/>
        <n v="652" u="1"/>
        <n v="653" u="1"/>
        <n v="654" u="1"/>
        <n v="655" u="1"/>
        <n v="656" u="1"/>
        <n v="657" u="1"/>
        <n v="658" u="1"/>
        <n v="659" u="1"/>
        <n v="660" u="1"/>
        <n v="661" u="1"/>
        <n v="662" u="1"/>
        <n v="663" u="1"/>
        <n v="664" u="1"/>
        <n v="665" u="1"/>
        <n v="666" u="1"/>
        <n v="667" u="1"/>
        <n v="668" u="1"/>
        <n v="669" u="1"/>
        <n v="670" u="1"/>
        <n v="671" u="1"/>
        <n v="672" u="1"/>
        <n v="673" u="1"/>
        <n v="674" u="1"/>
        <n v="675" u="1"/>
        <n v="676" u="1"/>
        <n v="677" u="1"/>
        <n v="678" u="1"/>
        <n v="679" u="1"/>
        <n v="680" u="1"/>
        <n v="681" u="1"/>
        <n v="682" u="1"/>
        <n v="683" u="1"/>
        <n v="684" u="1"/>
        <n v="685" u="1"/>
        <n v="686" u="1"/>
        <n v="687" u="1"/>
        <n v="688" u="1"/>
        <n v="689" u="1"/>
        <n v="690" u="1"/>
        <n v="691" u="1"/>
        <n v="692" u="1"/>
        <n v="693" u="1"/>
        <n v="694" u="1"/>
        <n v="695" u="1"/>
        <n v="696" u="1"/>
        <n v="697" u="1"/>
        <n v="698" u="1"/>
        <n v="699" u="1"/>
        <n v="700" u="1"/>
        <n v="701" u="1"/>
        <n v="702" u="1"/>
        <n v="703" u="1"/>
        <n v="704" u="1"/>
        <n v="705" u="1"/>
        <n v="706" u="1"/>
        <n v="707" u="1"/>
        <n v="708" u="1"/>
        <n v="709" u="1"/>
        <n v="710" u="1"/>
        <n v="711" u="1"/>
        <n v="712" u="1"/>
        <n v="713" u="1"/>
        <n v="714" u="1"/>
        <n v="715" u="1"/>
        <n v="716" u="1"/>
        <n v="717" u="1"/>
        <n v="718" u="1"/>
        <n v="719" u="1"/>
        <n v="720" u="1"/>
        <n v="721" u="1"/>
        <n v="722" u="1"/>
        <n v="723" u="1"/>
        <n v="724" u="1"/>
        <n v="725" u="1"/>
        <n v="726" u="1"/>
        <n v="727" u="1"/>
        <n v="728" u="1"/>
        <n v="729" u="1"/>
        <n v="730" u="1"/>
        <n v="731" u="1"/>
        <n v="732" u="1"/>
        <n v="733" u="1"/>
        <n v="734" u="1"/>
        <n v="735" u="1"/>
        <n v="736" u="1"/>
        <n v="737" u="1"/>
        <n v="738" u="1"/>
        <n v="739" u="1"/>
        <n v="740" u="1"/>
        <n v="741" u="1"/>
        <n v="742" u="1"/>
        <n v="743" u="1"/>
        <n v="744" u="1"/>
        <n v="745" u="1"/>
        <n v="746" u="1"/>
        <n v="747" u="1"/>
        <n v="748" u="1"/>
        <n v="749" u="1"/>
        <n v="750" u="1"/>
        <n v="751" u="1"/>
        <n v="752" u="1"/>
        <n v="753" u="1"/>
        <n v="754" u="1"/>
        <n v="755" u="1"/>
        <n v="756" u="1"/>
        <n v="757" u="1"/>
        <n v="758" u="1"/>
        <n v="759" u="1"/>
        <n v="760" u="1"/>
        <n v="761" u="1"/>
        <n v="762" u="1"/>
        <n v="763" u="1"/>
        <n v="764" u="1"/>
        <n v="765" u="1"/>
        <n v="766" u="1"/>
        <n v="767" u="1"/>
        <n v="768" u="1"/>
        <n v="769" u="1"/>
        <n v="770" u="1"/>
        <n v="771" u="1"/>
        <n v="772" u="1"/>
        <n v="773" u="1"/>
        <n v="774" u="1"/>
        <n v="775" u="1"/>
        <n v="776" u="1"/>
        <n v="777" u="1"/>
        <n v="778" u="1"/>
        <n v="779" u="1"/>
        <n v="780" u="1"/>
        <n v="781" u="1"/>
        <n v="782" u="1"/>
        <n v="783" u="1"/>
        <n v="784" u="1"/>
        <n v="785" u="1"/>
        <n v="786" u="1"/>
        <n v="787" u="1"/>
        <n v="788" u="1"/>
        <n v="789" u="1"/>
        <n v="790" u="1"/>
        <n v="791" u="1"/>
        <n v="792" u="1"/>
        <n v="793" u="1"/>
        <n v="794" u="1"/>
        <n v="795" u="1"/>
        <n v="796" u="1"/>
        <n v="797" u="1"/>
        <n v="798" u="1"/>
        <n v="799" u="1"/>
        <n v="800" u="1"/>
        <n v="801" u="1"/>
        <n v="802" u="1"/>
        <n v="803" u="1"/>
        <n v="804" u="1"/>
        <n v="805" u="1"/>
        <n v="806" u="1"/>
        <n v="807" u="1"/>
        <n v="808" u="1"/>
        <n v="809" u="1"/>
        <n v="810" u="1"/>
        <n v="811" u="1"/>
        <n v="812" u="1"/>
        <n v="813" u="1"/>
        <n v="814" u="1"/>
        <n v="815" u="1"/>
        <n v="816" u="1"/>
        <n v="817" u="1"/>
        <n v="818" u="1"/>
        <n v="819" u="1"/>
        <n v="820" u="1"/>
        <n v="821" u="1"/>
        <n v="822" u="1"/>
        <n v="823" u="1"/>
        <n v="824" u="1"/>
        <n v="825" u="1"/>
        <n v="826" u="1"/>
        <n v="827" u="1"/>
        <n v="828" u="1"/>
        <n v="829" u="1"/>
        <n v="830" u="1"/>
        <n v="831" u="1"/>
        <n v="832" u="1"/>
        <n v="833" u="1"/>
        <n v="834" u="1"/>
        <n v="835" u="1"/>
        <n v="836" u="1"/>
        <n v="837" u="1"/>
        <n v="838" u="1"/>
        <n v="839" u="1"/>
        <n v="840" u="1"/>
        <n v="841" u="1"/>
        <n v="842" u="1"/>
        <n v="843" u="1"/>
        <n v="844" u="1"/>
        <n v="845" u="1"/>
        <n v="846" u="1"/>
        <n v="847" u="1"/>
        <n v="848" u="1"/>
        <n v="849" u="1"/>
        <n v="850" u="1"/>
        <n v="851" u="1"/>
        <n v="852" u="1"/>
        <n v="853" u="1"/>
        <n v="854" u="1"/>
        <n v="855" u="1"/>
        <n v="856" u="1"/>
        <n v="857" u="1"/>
        <n v="858" u="1"/>
        <n v="859" u="1"/>
        <n v="860" u="1"/>
        <n v="861" u="1"/>
        <n v="862" u="1"/>
        <n v="863" u="1"/>
        <n v="864" u="1"/>
        <n v="865" u="1"/>
        <n v="866" u="1"/>
        <n v="867" u="1"/>
        <n v="868" u="1"/>
        <n v="869" u="1"/>
        <n v="870" u="1"/>
        <n v="871" u="1"/>
        <n v="872" u="1"/>
        <n v="873" u="1"/>
        <n v="874" u="1"/>
        <n v="875" u="1"/>
        <n v="876" u="1"/>
        <n v="877" u="1"/>
        <n v="878" u="1"/>
        <n v="879" u="1"/>
        <n v="880" u="1"/>
        <n v="881" u="1"/>
        <n v="882" u="1"/>
        <n v="883" u="1"/>
        <n v="884" u="1"/>
        <n v="885" u="1"/>
        <n v="886" u="1"/>
        <n v="887" u="1"/>
        <n v="888" u="1"/>
        <n v="889" u="1"/>
        <n v="890" u="1"/>
        <n v="891" u="1"/>
        <n v="892" u="1"/>
        <n v="893" u="1"/>
        <n v="894" u="1"/>
        <n v="895" u="1"/>
        <n v="896" u="1"/>
        <n v="897" u="1"/>
        <n v="898" u="1"/>
        <n v="899" u="1"/>
        <n v="900" u="1"/>
        <n v="901" u="1"/>
        <n v="902" u="1"/>
        <n v="903" u="1"/>
        <n v="904" u="1"/>
        <n v="905" u="1"/>
        <n v="906" u="1"/>
        <n v="907" u="1"/>
        <n v="908" u="1"/>
        <n v="909" u="1"/>
        <n v="910" u="1"/>
        <n v="911" u="1"/>
        <n v="912" u="1"/>
        <n v="913" u="1"/>
        <n v="914" u="1"/>
        <n v="915" u="1"/>
        <n v="916" u="1"/>
        <n v="917" u="1"/>
        <n v="918" u="1"/>
        <n v="919" u="1"/>
        <n v="920" u="1"/>
        <n v="921" u="1"/>
        <n v="922" u="1"/>
        <n v="923" u="1"/>
        <n v="924" u="1"/>
        <n v="925" u="1"/>
        <n v="926" u="1"/>
        <n v="927" u="1"/>
        <n v="928" u="1"/>
        <n v="929" u="1"/>
        <n v="930" u="1"/>
        <n v="931" u="1"/>
        <n v="932" u="1"/>
        <n v="933" u="1"/>
        <n v="934" u="1"/>
        <n v="935" u="1"/>
        <n v="936" u="1"/>
        <n v="937" u="1"/>
        <n v="938" u="1"/>
        <n v="939" u="1"/>
        <n v="940" u="1"/>
        <n v="941" u="1"/>
        <n v="942" u="1"/>
        <n v="943" u="1"/>
        <n v="944" u="1"/>
        <n v="945" u="1"/>
        <n v="946" u="1"/>
        <n v="947" u="1"/>
        <n v="948" u="1"/>
        <n v="949" u="1"/>
        <n v="950" u="1"/>
        <n v="951" u="1"/>
        <n v="952" u="1"/>
        <n v="953" u="1"/>
        <n v="954" u="1"/>
        <n v="955" u="1"/>
        <n v="956" u="1"/>
        <n v="957" u="1"/>
        <n v="958" u="1"/>
        <n v="959" u="1"/>
        <n v="960" u="1"/>
        <n v="961" u="1"/>
        <n v="962" u="1"/>
        <n v="963" u="1"/>
        <n v="964" u="1"/>
        <n v="969" u="1"/>
        <n v="966" u="1"/>
        <n v="967" u="1"/>
        <n v="968" u="1"/>
      </sharedItems>
    </cacheField>
    <cacheField name="Malın adı" numFmtId="0">
      <sharedItems containsMixedTypes="1" containsNumber="1" containsInteger="1" minValue="0" maxValue="0" count="1226">
        <s v="Qıfıl / VAZ"/>
        <s v="Qıfıl / Extra 70"/>
        <s v="Projektor / led / 200 Vt"/>
        <s v="Lampa / 12 Vt / ağ / kürəvi"/>
        <s v="Əlcək / göy"/>
        <s v="Metrə / 10m / &quot;Fisko&quot; / N88"/>
        <s v="Araba təkəri"/>
        <s v="Filtr/ yağ/ ZP3375 MG/ &quot;FİL&quot;/Türkiyə istehsalı"/>
        <s v="Filtr/ yağ/ ZP520/ &quot;FİL&quot;/Türkiyə istehsalı"/>
        <s v="Kabel qoruyucu gövdə / alüminium / kontaktor üçün"/>
        <s v="Gərginlik sabitləşdiricisi / 1 faza / &quot;ANDELİ&quot; / SVC-200000VA"/>
        <s v="Elektrik lövhə / 550x800mm / metal"/>
        <s v="Kabel qoruyucu gövdə / alüminium / kontaktor ilə"/>
        <s v="Filtr/ yağ/ ZP540 A/ &quot;FİL&quot;/Türkiyə istehsalı"/>
        <s v="Laboratoriya sınaq qabları / podnos tipli / paslanmaz metal"/>
        <s v="Laboratoriya sınaq qabları / kolba / plastik"/>
        <s v="Filtr/ yanacaq/ PL 270 / &quot;SCT&quot; / Turbomax"/>
        <s v="Filtr/ yanacaq/ ZP3043 FMB/ &quot;FİL&quot;/Türkiyə istehsalı"/>
        <s v="Filtr/ yağ/ ZP531/ &quot;FİL&quot;/Türkiyə istehsalı"/>
        <s v="Filtr/ yanacaq/ ZP8048 FP/ &quot;FİL&quot;/Türkiyə istehsalı"/>
        <s v="Filtr/ yanacaq/ ZP8003 FM/ &quot;FİL&quot;/Türkiyə istehsalı"/>
        <s v="Filtr/ yağ/ ML1517/ &quot;FİL&quot;/Türkiyə istehsalı"/>
        <s v="Filtr/ yanacaq/ MFE1593/ &quot;FİL&quot;/Türkiyə istehsalı"/>
        <s v="Filtr/ yanacaq/ MFE1489/ &quot;FİL&quot;/Türkiyə istehsalı"/>
        <s v="Filtr/ yağ/ ZP 24 C/ &quot;FİL&quot;/Türkiyə istehsalı"/>
        <s v="Filtr/ yanacaq/ TF1480/ &quot;FİL&quot;/Türkiyə istehsalı"/>
        <s v="Filtr/ hava/ MLE 1606/ &quot;FİL&quot;/Türkiyə istehsalı"/>
        <s v="Filtr/ kabin/ HC 7265/ &quot;FİL&quot;/Türkiyə istehsalı"/>
        <s v="Filtr/ yanacaq/ WK712\2/ &quot;MANN&quot;/ Almaniya istehsalı"/>
        <s v="Filtr/ yağ/ W11102\35/ &quot;MANN&quot;/ Almaniya istehsalı"/>
        <s v="Filtr/ yanacaq/ P917\2 X/ &quot;MANN&quot;/ Almaniya istehsalı"/>
        <s v="Filtr/ yağ/ W610\3/ &quot;MANN&quot;/ Almaniya istehsalı"/>
        <s v="Filtr/ yağ/ 61000070005H/ &quot;WEICHAI&quot;/ Çin istehsalı"/>
        <s v="Filtr/ hava/ DR5122 B/ &quot;Delsa&quot;/Türkiyə istehsalı"/>
        <s v="Filtr/ yağ/ DS1307/ &quot;Delsa&quot;/Türkiyə istehsalı"/>
        <s v="Filtr/ yanacaq/ DS1430F/ &quot;Delsa&quot;/Türkiyə istehsalı"/>
        <s v="Filtr/ yağ/ DS1068MG/ &quot;Delsa&quot;/Türkiyə istehsalı"/>
        <s v="Filtr/ yağ/ CS1416/ &quot;Sampion&quot;/Türkiyə istehsalı"/>
        <s v="Filtr/ yanacaq/ CS0169M/ &quot;Sampion&quot;/Türkiyə istehsalı"/>
        <s v="Filtr/ yanacaq/ CS1439M/ &quot;Sampion&quot;/Türkiyə istehsalı"/>
        <s v="Filtr/ yanacaq/ CS1589M/ &quot;Sampion&quot;/Türkiyə istehsalı"/>
        <s v="Filtr/ yanacaq/ CE1366MEX L/ &quot;Sampion&quot;/Türkiyə istehsalı"/>
        <s v="Filtr/ yanacaq/ CS1430MVL/ &quot;Sampion&quot;/Türkiyə istehsalı"/>
        <s v="Filtr/ yağ/ CS1521/ &quot;Sampion&quot;/Türkiyə istehsalı"/>
        <s v="Filtr/ yağ/ CS0038/ &quot;Sampion&quot;/Türkiyə istehsalı"/>
        <s v="Filtr/ yağ/ CS1558/ &quot;Sampion&quot;/Türkiyə istehsalı"/>
        <s v="Filtr/ yağ/ B7033/ &quot;Baldwin&quot;/ABŞ istehsalı"/>
        <s v="Filtr/ yağ/ B7259/ &quot;Baldwin&quot;/ABŞ istehsalı"/>
        <s v="Filtr/ yağ/ SP401/ &quot;ASAS&quot;/ Türkiyə istehsalı"/>
        <s v="Filtr/ yanacaq/ F323045/ &quot;Atom&quot;/ Türkiyə istehsalı"/>
        <s v="Filtr/ yanacaq/ F323072/ &quot;Atom&quot;/ Türkiyə istehsalı"/>
        <s v="Filtr/ yağ/ ON1024C/ &quot;ONFIL&quot;/ Türkiyə istehsalı"/>
        <s v="Filtr/ hidravlik/ H1129/ &quot;Bavaria&quot;/ Türkiyə istehsalı"/>
        <s v="Filtr/ hidravlik/362-1163/ &quot;CAT&quot;/ ABŞ istehsalı"/>
        <s v="Filtr/ hava/ 252-5002/ &quot;CAT&quot;/ ABŞ istehsalı"/>
        <s v="Filtr/ hava/ C 15248/ SHF 500/ &quot;TUC&quot;/ Çin istehsalı"/>
        <s v="Filtr/ hava/ HP 2527/ &quot;FİL&quot;/ Türkiyə istehsalı"/>
        <s v="Filtr/ hava/ HP 2528/ &quot;FİL&quot;/ Türkiyə istehsalı"/>
        <s v="Filtr/ hava/ P53-2474/ &quot;Donaldson&quot;/ İngiltərə istehsalı"/>
        <s v="Filtr/ hava/ P53-2473/ &quot;Donaldson&quot;/ İngiltərə istehsalı"/>
        <s v="Filtr/ hava/ 32/925682/ &quot;JCB&quot;/ Çexiya istehsalı"/>
        <s v="Filtr/ hava/ SHF 5004/ 5005/ &quot;Sure&quot;/ ABŞ istehsalı"/>
        <s v="Filtr/ hava/ L2579 P/ &quot;GSP&quot;/ Çin istehsalı"/>
        <s v="Filtr/ hava/ F15190/ &quot;Atom&quot;/ Türkiyə istehsalı"/>
        <s v="Filtr/ hava/ AF 1822/ &quot;TUC&quot;/ Çin istehsalı"/>
        <s v="Filtr/ hava/ SHF 365/ &quot;TUC&quot;/ Çin istehsalı"/>
        <s v="Filtr/ hava/ C13103/ &quot;TUC&quot;/ Çin istehsalı"/>
        <s v="Filtr/ yanacaq/ 6754-71-6140/ &quot;Komatsu&quot;/ Yaponiya istehsalı"/>
        <s v="Filtr/ yanacaq/ FC-1003/ &quot;Sakura&quot;/ İndoneziya istehsalı"/>
        <s v="Filtr/ yağ/ P554403/ &quot;Donaldson&quot;/ Meksika istehsalı"/>
        <s v="Filtr/ yağ/ SP450/ &quot;Asas&quot;/ Türkiyə istehsalı"/>
        <s v="Filtr/ hidravlik/ P550148/ &quot;Donaldson&quot;/ İtaliya istehsalı"/>
        <s v="Filtr/ yanacaq/ P551315/ &quot;Donaldson&quot;/ ABŞ istehsalı"/>
        <s v="Filtr/ yağ/ P550008/ &quot;Donaldson&quot;/ ABŞ istehsalı"/>
        <s v="Filtr/ yağ/ ZP 3375 MG/ &quot;Fil&quot;/ Türkiyə istehsalı"/>
        <s v="Filtr/ yağ/ DS 1169/ &quot;Delsa&quot;/ Türkiyə istehsalı"/>
        <s v="Filtr/ yağ/ BT 8417/ &quot;Baldwin&quot;/ ABŞ istehsalı"/>
        <s v="Filtr/ hidravlik/ HF 6359/ &quot;Fleetguard&quot;/ ABŞ istehsalı"/>
        <s v="Filtr/ hidravlik/ HF 35018/ &quot;Fleetguard&quot;/ ABŞ istehsalı"/>
        <s v="Filtr/ su separatoru/ FS 1240/ &quot;Fleetguard&quot;/ Meksika istehsalı"/>
        <s v="Filtr/ yanacaq/ FF167/ &quot;Fleetguard&quot;/ Türkiyə istehsalı"/>
        <s v="Filtr/ yanacaq/ FF5089/ &quot;Fleetguard&quot;/ ABŞ istehsalı"/>
        <s v="Filtr / hava / DR 5182 R / &quot;Delsa&quot; / Türkiyə istehsalı"/>
        <s v="Filtr / hava / CR 0237 / 0238 / &quot;Sampiyon&quot; / Türkiyə istehsalı"/>
        <s v="Filtr / hava / CR 0091 / 0092 / &quot;Sampiyon&quot; / Türkiyə istehsalı"/>
        <s v="Filtr / hava / CR 0037 / 0038 / &quot;Sampiyon&quot; / Türkiyə istehsalı"/>
        <s v="Filtr / hava / 321-4302/ &quot;CAT&quot; 315 üçün / &quot;CAT&quot; / ABŞ istehsalı /  1"/>
        <s v="Termostat / 235-4960 X / &quot;CAT&quot; / ABŞ istehsalı"/>
        <s v="Filtr / hava / əl kompakteri üçün / Çin istehsalı"/>
        <s v="Filtr / yanacaq / CR 091 C 25 R / &quot;OMT&quot; / İtaliya istehsalı"/>
        <s v="Filtr / yanacaq / FF 5381 / &quot;Fleetguard&quot; / İtaliya istehsalı"/>
        <s v="Filtr / hava / 3466687 / &quot;Turbomax&quot; / Çin istehsalı"/>
        <s v="Filtr / hava / 3466688 / &quot;Turbomax&quot; / Çin istehsalı"/>
        <s v="Mufta / polietilen / elektrofizyon / d 63mm / 30V / &quot;NTG&quot; / Türkiyə istehsalı"/>
        <s v="Mufta / polietilen / elektrofizyon / d 63mm / 30V / &quot;Borfit&quot; / Türkiyə istehsalı"/>
        <s v="Mufta / polietilen / elektrofizyon / d 63mm / 40V / &quot;Dokerler&quot; / Türkiyə istehsalı"/>
        <s v="Mufta / polietilen / elektrofizyon / d 50mm / 35V / &quot;Borfit&quot; / Türkiyə istehsalı"/>
        <s v="Xamut / polietilen / elektrofizyon / d 63mm / &quot;Georg Fisher&quot; / İsveçrə istehsalı"/>
        <s v="Keçid / polietilen / d 63-50mm"/>
        <s v="Qapaq / polietilen / d 110mm / &quot;Borfit&quot;/ Türkiyə istehsalı"/>
        <s v="Üçlük / polietilen / d 63-32mm / &quot;Borfit&quot;/ Türkiyə istehsalı"/>
        <s v="Dirsək / polietilen / d 63mm"/>
        <s v="Dirsək / polietilen / d 160mm / &quot;Tega&quot; / Türkiyə istehsalı"/>
        <s v="Üçlük / PVC-UH / d 160mm / &quot;Pimtaş&quot; / Türkiyə istehsalı"/>
        <s v="Birləşdirici / polietilen / çöl yivli / d 63mm / Türkiyə istehsalı"/>
        <s v="Üçlük / PVC / d 110mm / &quot;Hill FUN&quot; / Türkiyə istehsalı"/>
        <s v="Dirsək / polietilen / d 32mm / &quot;Borfit&quot; / Türkiyə istehsalı"/>
        <s v="Üçlük / polietilen / d 32mm / &quot;Borfit&quot; / Türkiyə istehsalı"/>
        <s v="Birləşdirici / polietilen / çöl yivli / d 32mm / &quot;Borfit&quot; / Türkiyə istehsalı"/>
        <s v="Qapaq / polietilen / d 32mm / &quot;Borfit&quot; / Türkiyə istehsalı"/>
        <s v="Su filtri / d 20 mm / polipropilen / A"/>
        <s v="Qapaq / polipropilen / d 20 mm / Metal / Türkiyə"/>
        <s v="Mufta / d 20 mm / polipropilen / A"/>
        <s v="Tıxac/ vint üçün/ 10 mm/ plastik/ &quot;Metak&quot;"/>
        <s v="Tıxac/ vint üçün/ 8 mm/ plastik/ &quot;Metak&quot;"/>
        <s v="İzolyasiya materialı / boru üçün / PE / &quot;Qingdao&quot;/ Çin istehsalı"/>
        <s v="Elektrik soket /16 Amp / IP44 / Type 114 / &quot;Botric&quot;/ Türkiyə istehsalı"/>
        <s v="Elektrik soket/ 16 Amp/ IP44/ Type 014/ &quot;Botric&quot;/ Türkiyə istehsalı"/>
        <s v="Elektrik soket/ 63 Amp/ IP67/ Type 234/ &quot;Botric&quot;/ Türkiyə istehsalı"/>
        <s v="Doldurma tapançası/ 600ml"/>
        <s v="Cihaz / rütubət ölçən / 160°C / &quot;Radwag&quot; / MA 50.R / Polşa istehsalı"/>
        <s v="Qum saatı"/>
        <s v="İp / kapron / tikinti"/>
        <s v="Qutu / plastik / su sayğacı üçün"/>
        <s v="Monitor / kompüter üçün / 23,8 inch / &quot;Dell&quot; / SE2416H / Çin istehsalı"/>
        <s v="Monitor / kompüter üçün / 21,45 inch / &quot;HP&quot; / V2265 / Çin istehsalı"/>
        <s v="Monitor / kompüter üçün / 17 inch / &quot;Sony&quot; / SDM-HS74 / Çin istehsalı"/>
        <s v="Monitor / 20 inch / &quot;HP&quot; / HP 2011X / Çin istehsalı"/>
        <s v="Monitor / 18,5 inch / &quot;PHILIPS&quot; / 200V4L / Çin istehsalı"/>
        <s v="TV / 23,6 inch / &quot;LG&quot; / 24MT47V-PZ / Koreya istehsalı"/>
        <s v="Prosessor / T6 / &quot;Zalman&quot;"/>
        <s v="Personal kompüter / Intel Core 2 Duo / &quot;HP&quot; / Compaq DX7400"/>
        <s v="Klaviatura / &quot;A4Tech&quot;"/>
        <s v="Mouse / &quot;A4Tech&quot;"/>
        <s v="Alət / qazma / 1850 Wt / &quot;REMS&quot; / 180010 R220 / Almaniya istehsalı"/>
        <s v="Maklovitsa fırçası"/>
        <s v="Qızdırıcı fen / 2000 Wt / &quot;Raf&quot; / Çin istehsalı"/>
        <s v="Gərginlik tənzimləyicisi (Stabilizator) / 20 kVt / &quot;Andeli&quot; / SVC-2000 VA / Çin istehsalı"/>
        <s v="Printer / &quot;HP&quot; / MFP M181FW / Vyetnam istehsalı"/>
        <s v="Elektrik mişar / 2350 Wt / d 235 mm / &quot;Viktor&quot; /  Çin istehsalı"/>
        <s v="Perforator / &quot;Bosch&quot; / GBH 11 DE / Almaniya istehsalı"/>
        <s v="Pika / 25 x 400 mm / pnevmatik çəkic üçün / Çin istehsalı"/>
        <s v="Təkər / əl arabası üçün"/>
        <s v="Manometr / 10 Bar / &quot;Pakkens&quot; / Türkiyə istehsalı"/>
        <s v="Mişar başlığı dəsti"/>
        <s v="Boya / sprey / mavi / 400 ml / &quot;Grabond&quot; / Çin istehsalı"/>
        <s v="Boya / sprey / göy / 400 ml / &quot;Grabond&quot; / Çin istehsalı"/>
        <s v="Boya / sprey / qırmızı / 400 ml / &quot;Vakko&quot; / Çin"/>
        <s v="Yapışdırıcı / poliuretan / suya davamlı / 600 ml / &quot;APEL&quot; / PA300 / Türkiyə istehsalı"/>
        <s v="Yapışdırıcı / 2 komponentli / 1 kq / &quot;Rema&quot; / Almaniya istehsalı"/>
        <s v="Açar başlığı / 70 mm"/>
        <s v="Açar başlığı / 50 mm"/>
        <s v="Açar başlığı / 36 mm"/>
        <s v="Açar başlığı / 32 mm"/>
        <s v="Açar başlığı / 30 mm"/>
        <s v="Açar başlığı / 15 mm"/>
        <s v="Pompa / təzyiq sınağı / 60 Atm / mexaniki / &quot;Candan&quot; / CM-60 / Türkiyə istehsalı"/>
        <s v="Su pompası / IP 44 / 0,37 kVt / Q=5-30 Litr / H=32metr / &quot;M5&quot; / Çin istehsalı"/>
        <s v="Yanğınsöndürmə lövhəsi / şlanq ilə"/>
        <s v="Filtr / hava / CR 0237 / &quot;Sampiyon&quot; / Türkiyə istehsalı"/>
        <s v="Lazer nivelyatoru / &quot;AGL&quot; / Almaniya istehsalı"/>
        <s v="Burğu / d 14 mm / perforator üçün"/>
        <s v="Burğu / d 18 mm / perforator üçün"/>
        <s v="Kəsər sapı / taxta"/>
        <s v="Künc (gönyə) / 90° / 50sm / tərəzi ilə"/>
        <s v="Printer /ağ-qara / &quot;Xerox&quot; / Phaser 3020BI / Çin istehsalı"/>
        <s v="Printer / ağ-qara / skaner ilə / &quot;Epson&quot; / L3251 / Filippin istehsalı"/>
        <s v="Printer / rəngli / &quot;Epson&quot; / L1300 / İndoneziya istehsalı"/>
        <s v="Printer / rəngli / &quot;Epson&quot; / L850 / İndoneziya istehsalı"/>
        <s v="Printer / rəngli / &quot;HP&quot; / MFP M282 NW / Almaniya istehsalı"/>
        <s v="Printer / ağ-qara / &quot;HP&quot; / P1005 / Vyetnam istehsalı"/>
        <s v="Şlanq / d 50 mm / L 6 metr / beton vibratoru üçün"/>
        <s v="Vibromühərrik / 2,2 kVt / 50 Hz / ZN-70P / Çin istehsalı"/>
        <s v="Qaynaq aparatı / 20-315 mm / plastik muftalar üçün / &quot;Hürner&quot; / HST 300 Easy D / Almaniya istehsalı"/>
        <s v="Filtr / yanacaq / CS 1606 / &quot;Sampiyon&quot; / Türkiyə istehsalı"/>
        <s v="Filtr / yağ / CS 0151 / &quot;Sampiyon&quot; / Türkiyə istehsalı"/>
        <s v="Elektrik yuvası / 16A / qapaqlı / &quot;ENDA&quot; / Türkiyə istehsalı"/>
        <s v="Monitor / 23,8 in / &quot;HP&quot; / HP 24F / Çin istehsalı"/>
        <s v="Yapışdırıcı / PVC-U üçün / 1 kq / &quot;Lebond&quot;"/>
        <s v="Filtr / hava / P500940 / &quot;Donaldson&quot; / Çin istehsalı"/>
        <s v="Texniki maye / AdBlue / EURO 6 / 20 kq / &quot;M-Standart&quot; / Belarus istehsalı"/>
        <s v="Siqnal lenti / SU"/>
        <s v="Klapan / kəpənək / d 150 mm / &quot;FAF&quot; / Türkiyə istehsalı"/>
        <s v="Klapan / kəpənək / d 40 mm / &quot;FAF&quot; / Türkiyə istehsalı"/>
        <s v="Klapan / kəpənək / d 25 mm / &quot;FAF&quot; / Türkiyə istehsalı"/>
        <s v="Elektrik lövhəsi / 2ədəd kontaktor ilə"/>
        <s v="Pompa / təzyiq sınağı / elektrikli / 40 Atm / 6 Litr/dəq / 1,3 kVt / &quot;Rothenberger&quot; / RP PRO 3 / İspaniya istehsalı"/>
        <s v="Nivelyator / optik / &quot;Trade Tools&quot; / Avstraliya istehsalı"/>
        <s v="Nivelyator / optik / &quot;Leica&quot; / NA 730 / İsveçrə istehsalı"/>
        <s v="Printer / ağ-qara / &quot;HP&quot; / MFP M127 FW /  Çin istehsalı"/>
        <s v="Paltaryuyan / 5 kq / &quot;Midea&quot; / MFE50-S802S / Çin istehsalı"/>
        <s v="Filtr / yağ / DE 224 E / &quot;Delsa&quot; / Türk istehsalı"/>
        <s v="Filtr / yanacaq / WK 11046 / &quot;Mann&quot; / Almaniya istehsalı"/>
        <s v="Filtr / yağ / CS 1557 / &quot;Sampiyon&quot; / Türkiyə istehsalı"/>
        <s v="Filtr / yağ / MLE 1606 / &quot;FİL&quot; / Türkiyə istehsalı"/>
        <s v="Filtr / yağ / CS 1558 / &quot;Sampiyon&quot; / Türk istehsalı"/>
        <s v="Filtr / yanacaq / CS 1672 M / &quot;Sampiyon&quot; / Türk istehsalı"/>
        <s v="Gərginlik tənzimləyicisi / 6-7,5 kVt / &quot;Andeli&quot; / SVC-7500 VA / Çin istehsalı"/>
        <s v="Ölçü lenti / geodezik / 50m x 12,5mm / &quot;Hongtu&quot; / Çin istehsalı"/>
        <s v="Kontaktor / 30 kVt-400V /  50-60 Hz / &quot;Telemecanique&quot; / LC1D6511M7 / Fransa istehsalı"/>
        <s v="Printer / A3 / ağ-qara / &quot;Konica Minolta&quot; / bizhub164 / Çin istehsalı"/>
        <s v="UPS/ 1550 Vt / &quot;Mercury&quot; / Maverick 1550/ Çin istehsalı"/>
        <s v="UPS/ 3600 Vt / &quot;Powercom&quot; / Raptor RPT-600A / Çin istehsalı"/>
        <s v="Fırça / 180 x 50 mm"/>
        <s v="Spot / 16 Amp / LED"/>
        <s v="Bra / plastik"/>
        <s v="Disk / cilalayıcı / d 115 mm / lagonda üçün"/>
        <s v="Disk / kəsən / d 350 mm / lagonda üçün"/>
        <s v="Açar / qayka / 22 x 24"/>
        <s v="Açar / qayka / bir tərəfi halqalı / 28"/>
        <s v="Açar / qayka / 19 x 22"/>
        <s v="Açar / qayka / bir tərəfi halqalı / 30"/>
        <s v="Açar / qayka / bir tərəfi halqalı / 32"/>
        <s v="Açar / qayka / iki tərəfi halqalı / 30 x 32"/>
        <s v="Açar / qayka / iki tərəfi halqalı / 36 x 41"/>
        <s v="Açar / qayka / halqalı / 36"/>
        <s v="Açar / qayka / halqalı / 41"/>
        <s v="Açar / qayka / halqalı / 27"/>
        <s v="Kəlbətin / kəsən / dəmiriçi üçün"/>
        <s v="Künc (gönyə) / 90° / 40 sm"/>
        <s v="Qızdırıcı fen / 2000 Wt / &quot;Sonifer&quot; / Çin istehsalı"/>
        <s v="Qaz brülörü / gorelka"/>
        <s v="Burğu / 22 x 800 mm"/>
        <s v="Burğu / 22 x 400 mm"/>
        <s v="Burğu / 22 x 250 mm"/>
        <s v="Burğu / 8 x 120 mm"/>
        <s v="Burğu / 14 x 150 mm"/>
        <s v="Burğu / 25 x 350 mm"/>
        <s v="Mişar / əl"/>
        <s v="Pika / 25 x 250 mm / pnevmatik çəkic üçün"/>
        <s v="Pika / 10 x 200 mm / yastı / perforator üçün"/>
        <s v="Açar / 6 künc / d 12 mm"/>
        <s v="Şlanq / L 50 sm / S/Q üçün"/>
        <s v="Şlanq / L 30 sm / S/Q üçün"/>
        <s v="Şlanq / L 40 sm / S/Q üçün"/>
        <s v="Dirsək / polad / d 57 mm"/>
        <s v="Mişar / lobzik üçün / T244D"/>
        <s v="Dirsək / d 50 mm / polad / flyanslı"/>
        <s v="Mufta / d 50 mm / polipropilen / &quot;Metak&quot;"/>
        <s v="Üçlük / d 25 mm / polipropilen / &quot;Metak&quot;"/>
        <s v="Üçlük / d 32x25 mm / polipropilen / &quot;Metak&quot;"/>
        <s v="Mufta / d 25 mm / polipropilen / &quot;Metak&quot;"/>
        <s v="Qapaq / d 25 mm / polipropilen / &quot;Metak&quot;"/>
        <s v="Dirsək / d 20 mm / 45° / polipropilen / &quot;Metak&quot;"/>
        <s v="Dirsək / d 25 mm / 45° / polipropilen / &quot;Metak&quot;"/>
        <s v="Dirsək / d 25 mm / 90° / polipropilen / &quot;Metak&quot;"/>
        <s v="Dirsək / d 50 mm / 90° / polipropilen / &quot;Metak&quot;"/>
        <s v="Üçlük / d 50 mm / polipropilen / &quot;Metak&quot;"/>
        <s v="Üçlük / d 40 mm / polipropilen / &quot;Metak&quot;"/>
        <s v="Mufta / d 32 mm / polipropilen / bir tərəfi yivli / &quot;Metak&quot;"/>
        <s v="Mufta / d 25 mm / polipropilen / bir tərəfi yivli / &quot;Metak&quot;"/>
        <s v="Sınaq ələyi / ölçü: 10 / laboratoriya üçün / &quot;Jeotest&quot; türkiyə istehsalı"/>
        <s v="Sınaq ələyi / ölçü: 13.2 / laboratoriya üçün / &quot;Jeotest&quot; türkiyə istehsalı"/>
        <s v="Sınaq ələyi / ölçü: 6.3 / laboratoriya üçün / &quot;Jeotest&quot; türkiyə istehsalı"/>
        <s v="Sınaq ələyi / ölçü: 8 / laboratoriya üçün / &quot;Jeotest&quot; türkiyə istehsalı"/>
        <s v="Sınaq ələyi / ölçü: 16 / laboratoriya üçün / &quot;Jeotest&quot; türkiyə istehsalı"/>
        <s v="Sınaq ələyi / ölçü: 25 / laboratoriya üçün / &quot;Jeotest&quot; türkiyə istehsalı"/>
        <s v="Sınaq ələyi / ölçü: 12.5 / laboratoriya üçün / &quot;Jeotest&quot; türkiyə istehsalı"/>
        <s v="Sınaq ələyi / ölçü: 425 / laboratoriya üçün / &quot;Jeotest&quot; türkiyə istehsalı"/>
        <s v="Sınaq ələyi / ölçü: 31.5 / laboratoriya üçün / &quot;Jeotest&quot; türkiyə istehsalı"/>
        <s v="Sınaq ələyi / ölçü: 50 / laboratoriya üçün / &quot;Jeotest&quot; türkiyə istehsalı"/>
        <s v="Sınaq ələyi / ölçü: 4.75 / laboratoriya üçün / &quot;Jeotest&quot; türkiyə istehsalı"/>
        <s v="Sınaq ələyi / ölçü: 1.18 / laboratoriya üçün / &quot;Jeotest&quot; türkiyə istehsalı"/>
        <s v="Sınaq ələyi / ölçü: 500 / laboratoriya üçün / &quot;Jeotest&quot; türkiyə istehsalı"/>
        <s v="Sınaq ələyi / ölçü: 4 / laboratoriya üçün / &quot;Jeotest&quot; türkiyə istehsalı"/>
        <s v="Sınaq ələyi / ölçü: 14 / laboratoriya üçün / &quot;Jeotest&quot; türkiyə istehsalı"/>
        <s v="Sınaq ələyi / ölçü: 22.4 / laboratoriya üçün / &quot;Jeotest&quot; türkiyə istehsalı"/>
        <s v="Sınaq ələyi / ölçü: 600 / laboratoriya üçün / &quot;Jeotest&quot; türkiyə istehsalı"/>
        <s v="Sınaq ələyi / ölçü: 37.5 / laboratoriya üçün / &quot;Jeotest&quot; türkiyə istehsalı"/>
        <s v="Sınaq ələyi / ölçü: 19 / laboratoriya üçün / &quot;Jeotest&quot; türkiyə istehsalı"/>
        <s v="Sınaq ələyi / ölçü: 11.2 / laboratoriya üçün / &quot;Jeotest&quot; türkiyə istehsalı"/>
        <s v="Sınaq ələyi / ölçü: 75 / laboratoriya üçün / &quot;Jeotest&quot; türkiyə istehsalı"/>
        <s v="Sınaq ələyi / ölçü: 300 / laboratoriya üçün / &quot;Jeotest&quot; türkiyə istehsalı"/>
        <s v="Sınaq ələyi / ölçü: 250 / laboratoriya üçün / &quot;Jeotest&quot; türkiyə istehsalı"/>
        <s v="Sınaq ələyi / ölçü: 9.5 / laboratoriya üçün / &quot;Jeotest&quot; türkiyə istehsalı"/>
        <s v="Təbaşir / metal üçün"/>
        <s v="Şüşə / qaynaqçı maskası üçün / qara"/>
        <s v="Şüşə / qaynaqçı maskası üçün / şəffaf"/>
        <s v="Patron / electric"/>
        <s v="Kabel ucluğu / № 2.5"/>
        <s v="Sayğac / elektrik / 3 faza / 4 telli / 10-60 A / &quot;Makel&quot; / Türk istehsalı"/>
        <s v="Xamut / metal-rezin / d 32 mm / kabel və boru üçün"/>
        <s v="Yol nişanı / sürət 10 km/s"/>
        <s v="Çəkic / 3 LB"/>
        <s v="Dolğu / kafel-metlax / 1 kq / fil dişi"/>
        <s v="Spatel / rezin"/>
        <s v="Videokamera / nəzarət / &quot;Multistar&quot; / A"/>
        <s v="Videokamera / nəzarət / color / IR / &quot;Hikvision&quot;"/>
        <s v="Videokamera / nəzarət / color / IR / &quot;DAHUA&quot;"/>
        <s v="Videokamera / nəzarət / color / IR / 87GAHZ271"/>
        <s v="Karot ucu / almaz / 168 x 450 mm"/>
        <s v="Karot ucu / almaz / 160 x 420 mm / &quot;DRT&quot; / Türk istehsalı"/>
        <s v="Karot ucu / almaz / 40 x 450 mm"/>
        <s v="Ölçü qabı / metal /  laboratoriya üçün / 2 litr"/>
        <s v="Ölçü qabı / metal /  laboratoriya üçün / 5 litr"/>
        <s v="Sınaq qəlibi (Proktor) / laboratoriya üçün / d 150 mm / açılan"/>
        <s v="Sınaq qəlibi (Proktor) / laboratoriya üçün / d 100 mm / açılan"/>
        <s v="Elektrik lövhəsi / plastik / 300 x 400 x 165 mm"/>
        <s v="Qurutma sobası / laboratoriya üçün / &quot;Jeotest&quot; / TT 107 / Türkiyə istehsalı"/>
        <s v="Bel / metal"/>
        <s v="Dabilgə / plastik / ağ"/>
        <s v="Dabilgə / plastik / sarı"/>
        <s v="Dabilgə / plastik / qırmızı"/>
        <s v="Dabilgə / plastik / yaşıl"/>
        <s v="Dabilgə / plastik / göy"/>
        <s v="Kəmər / alpinist / 29"/>
        <s v="Keçid / polietilen / xomut tipli / d 63 x 3/4 inch / 16 Atm / yivli / &quot;Poelsan&quot; / Türkiyə istehsalı"/>
        <s v="Keçid / polietilen / xomut tipli / d 110 x 1 inch / 16 Atm / yivli / &quot;Poelsan&quot; / Türkiyə istehsalı"/>
        <s v="Nivelyatorun dayağı / ştativ"/>
        <s v="Geodezik ştativ / üçayaq"/>
        <s v="Ox / geodezik ştativ üçün"/>
        <s v="Xətkeş / nivelyator üçün / 1 metr"/>
        <s v="Karkas / plastik"/>
        <s v="Profil / mayak / metal / 3 metr"/>
        <s v="Profil / H / alüminium / 3 metr"/>
        <s v="Profil / qutu alüminium / 3 metr"/>
        <s v="Su qızdırıcısı / 1.5 kW / 50 litr / &quot;Thermex&quot; / Rusiya istehsalı"/>
        <s v="Ventilyator / yerüstü"/>
        <s v="Trap / plastik / 1 metr / 2 əd. metal baqmaqlıqla / &quot;MUFLE&quot;"/>
        <s v="Armatur fiksatoru / plastik / ulduzvari"/>
        <s v="Karot ucu / almaz / 250 x 450 mm"/>
        <s v="Sıxılmış hava balonu / 300 Bar / maska ilə"/>
        <s v="Keys / plastik / alətlər üçün / boş"/>
        <s v="Keys / metal / alətlər üçün / boş"/>
        <s v="Elektrik soket / 63A / IP67 / Type 234 / &quot;Botric&quot; / Türkiyə istehsalı"/>
        <s v="Elektrik soket / 63A / IP44 / &quot;Bemiş&quot; / Türkiyə istehsalı"/>
        <s v="Elektrik soket / 63A / IP67 / &quot;Bemiş&quot; / Türkiyə istehsalı"/>
        <s v="Elektrik soket / 32A / &quot;STE&quot; / suya davamlı"/>
        <s v="Elektrik yuvası / 80 A"/>
        <s v="Elektrik soket / 32A / IP44 / Type 024K / &quot;Beyti&quot; Türkiyə istehsalı"/>
        <s v="Elektrik soket / 32A / Type D-024 / &quot;CEE&quot;"/>
        <s v="Elektrik soket / 32A / Type ST 024 / &quot;STE&quot;"/>
        <s v="Elektrik soket / 32A / Type CR025 / &quot;CEE&quot;"/>
        <s v="Elektrik soket / 32A / Type CNQD-225 / &quot;CNOD&quot;"/>
        <s v="Elektrik soket / 63A / IP67 / Type 034 / &quot;Botric&quot; / Türkiyə istehsalı"/>
        <s v="Su filtri / d 25 mm / polipropilen"/>
        <s v="Su filtri / d 20mm / polipropilen"/>
        <s v="Perforator / &quot;Bosch&quot; / GBH 8-45 D"/>
        <s v="Perforator / &quot;Bosch&quot; / GBH 5-40 D"/>
        <s v="Su pompası / dalğıc"/>
        <s v="Su pompası / dalğıc / 1.1 kvt / 1000 L/d / 9 metr / &quot;Shimge&quot; / QDX 40-7-1.1 K3F"/>
        <s v="Lebyodka / 1000 kq / 1.7 kvt / &quot;RZMA&quot;"/>
        <s v="Perforator / &quot;Dingqi&quot; / HAMMER"/>
        <s v="Perforator / &quot;SKOM&quot; / SK-HD1600"/>
        <s v="Nivelyator / &quot;Leica&quot; / NA 332"/>
        <s v="Akkumulyator / 12V / 450A / 50AH / &quot;KAINAR&quot; / Qazaxıstan istehsalı"/>
        <s v="Akkumulyator / 12V / 580A / 60AH / &quot;Formula&quot; / Ukrayna istehsalı"/>
        <s v="Akkumulyator / 12V / 77AH / 640A / &quot;Tungstone&quot;"/>
        <s v="Akkumulyator / 12V / 45AH / 390A / &quot;Racing&quot; / Ukrayna istehsalı"/>
        <s v="Akkumulyator / 12V / 10AH / 800A / &quot;WESTA&quot; / Ukrayna istehsalı"/>
        <s v="Su tərəzisi"/>
        <s v="Mühərrik / elektrik / alüminium / 1.5 kvt / 1500 d/d / 220/380V / 50Hz / Çin istehsalı"/>
        <s v="Bolt / M24 / L 80 mm"/>
        <s v="Lagonda / 2000 vt / 6500 d/d / &quot;Dingqi&quot; / JB02401 / Çin istehsalı"/>
        <s v="Lagonda / 2300 vt / 6500 d/d / &quot;Dingqi&quot; / Çin istehsalı"/>
        <s v="Lagonda / &quot;Bosch&quot; / GWS 21"/>
        <s v="Lobzik / 650 Vt / 3000 d/d / &quot;Kad&quot;"/>
        <s v="Lobzik / &quot;Hidroterm&quot;"/>
        <s v="Qızdırıcı / elektrik / 1200 Vt / 3 spirallı"/>
        <s v="Su pompası / hidrofor ilə / 0.37 kVt / H 32 metr / 2900 d/d / &quot;M5&quot;  / Çin istehsalı"/>
        <s v="Qırıcı çəkic / pnevmatik"/>
        <s v="Nivelyator / lazer / &quot;Bosch&quot; / GLL 3-80 P / Çin istehsalı"/>
        <s v="Videokamera / nəzarət / &quot;Multistar&quot; / B"/>
        <s v="Dizlik"/>
        <s v="Xomut / d 56-60 mm / şuruplu / metal"/>
        <s v="Fırça / lagonda üçün / 5 inch"/>
        <s v="Diyircəkli yastıq / 30206"/>
        <s v="Kabel sarğısı / spiralvari / 8 mm"/>
        <s v="Qayka açarı / əldəqayırma"/>
        <s v="Nivelyator dayağı / üçayaq / metal"/>
        <s v="Tezlik çeviricisi / &quot;ABB&quot; ACS550 01-045A-4 / Finlandiya istehsalı"/>
        <s v="Filtr / yağ / DW 962 / &quot;Delsa&quot; / Türkiyə istehsalı"/>
        <s v="Filtr / yağ / DS 1329 / &quot;Delsa&quot; / Türkiyə istehsalı"/>
        <s v="Filtr / yağ / DS 1430F / &quot;Delsa&quot; / Türkiyə istehsalı"/>
        <s v="Bolt / M24 / L 70 mm"/>
        <s v="Qayka / M24"/>
        <s v="Su pompası / dalğıc / 750 Vt / 2860 d/d / 47 metr / &quot;Dingi&quot; Çin istehsalı"/>
        <s v="Su pompası / dalğıc / 1500 Vt / 2860 d/d / 46 metr / &quot;Dingi&quot; Çin istehsalı"/>
        <s v="Dəbilgə / ağ"/>
        <s v="Beton vibratoru / şlanq ilə"/>
        <s v="Mühərrik / beton vibratoru üçün"/>
        <s v="Bolt / M24 / L 150 mm"/>
        <s v="Əks klepan / d 80 mm / geri dönməyən"/>
        <s v="Əks klepan / d 40 mm / geri dönməyən"/>
        <s v="Əks klepan / d 150 mm / geri dönməyən"/>
        <s v="Əks klepan / d 100 mm / geri dönməyən"/>
        <s v="Əks klepan / d 65 mm / geri dönməyən"/>
        <s v="Bolt-qayka / M28 / L 150 mm / şayba ilə"/>
        <s v="Su filtri / d 20 mm / polipropilen / B"/>
        <s v="Qapaq / d 25 mm / polietilen"/>
        <s v="Mufta / d 40 mm / polietilen"/>
        <s v="Keçid mufta / d 40 mm / çöl yiv / polipropilen"/>
        <s v="Üçlük / 25 x 20 mm / polipropilen"/>
        <s v="Keçid mufta / d 25 mm / polipropilen / iç yiv"/>
        <s v="Keçid mufta / d 25 mm / polipropilen / çöl yiv"/>
        <s v="Keçid mufta / d 32 x 40 mm / polipropilen"/>
        <s v="Keçid mufta / d 25 x 32 mm / polipropilen"/>
        <s v="Dirsək / d 25 mm / polipropilen / çöl yiv / 90"/>
        <s v="Ventil / d 25 mm / polipropilen"/>
        <s v="Üçlük / d 20 x 40 mm / polipropilen"/>
        <s v="Üçlük / d 20 x 25 mm / polipropilen"/>
        <s v="Mufta / d 25 mm / polipropilen / dolama"/>
        <s v="Mufta / d 63 mm / polipropilen"/>
        <s v="Dirsək / d 63 mm / polipropilen"/>
        <s v="Keçid / d 50 x 75 mm / polipropilen"/>
        <s v="Dirsək / d 25 mm / polipropilen / 45°"/>
        <s v="Mufta / d 25 mm / polipropilen"/>
        <s v="Dirsək / d 40 mm / polipropilen / 45°"/>
        <s v="Keçid / d 25 x 50 mm / polipropilen"/>
        <s v="Mufta / d 32 mm / polietilen / elektrofizyon / A"/>
        <s v="Dirsək / d 32 mm / PVC U /  90°"/>
        <s v="Üçlük / d 25 x 20 mm / polipropilen"/>
        <s v="Kabel / 4 x 0.22 / internet"/>
        <s v="Üz qoruyucu sipər / şəffav plastik"/>
        <s v="Suqızdırıcısı / spirallı / &quot;Cemsan&quot; / Türkiyə istehsalı"/>
        <s v="Tıxac / şurup üçün / 6-lıq / plastik"/>
        <s v="Tıxac / şurup üçün / 10-luq / plastik"/>
        <s v="Üçlük / d 32 mm / polietilen / A"/>
        <s v="Tıxac / plastik / şurup ilə"/>
        <s v="Diyircəkli yastıq / 32309"/>
        <s v="Diyircəkli yastıq / 62309"/>
        <s v="Fırça / laqononda üçün / 3 İnch"/>
        <s v="Fiksator / plastik / armatur üçün / 30/8-24"/>
        <s v="Yanğınsöndürən balon"/>
        <s v="Armatur başlığı / plastik / qoruyucu"/>
        <s v="Yanğınsöndürmə şlanqı / 6 İnch (150 mm) x 20 metr"/>
        <s v="Xomut / boru üçün / metal / 149 x 161 mm"/>
        <s v="Əhəng / söndürülmüş / 20 kq / &quot;Bertaş&quot;"/>
        <s v="Ştuser / d 150 mm / polad"/>
        <s v="Xətkeş / nivelyator üçün / A"/>
        <s v="Geodezik prizma / d 62 mm / &quot;Leica&quot;"/>
        <s v="Filtr / yanacaq / &quot;Sampiyon&quot; / CS 0169M"/>
        <s v="Filtr / yanacaq / &quot;Sampiyon&quot; / CS 1606M"/>
        <s v="Filtr / yanacaq / &quot;Sampiyon&quot; / CS 1430MVL"/>
        <s v="Filtr / yağ / &quot;Sampiyon&quot; / CS 1428"/>
        <s v="Filtr / yanacaq / &quot;Delsa&quot; / DE 1001F"/>
        <s v="Yağ / transmissiya / 80 W 90 / API GL-5 / 20Litr / &quot;ALPINE&quot; Almaniya istehsalı"/>
        <s v="Jilet / fosforlu"/>
        <s v="Lobzik / 3000 d/d / &quot;Kad&quot; / W650"/>
        <s v="Hidravlik pompa / &quot;Boring&quot;"/>
        <s v="Silikon / 250 ml"/>
        <s v="Starter / avto"/>
        <s v="Vibrator / beton üçün / portativ"/>
        <s v="Karot ucu / d 75 mm x 110 mm / almaz"/>
        <s v="Karot ucu / d 75 mm x 125 mm / almaz"/>
        <s v="Karot ucu / d 90 mm x L 110 mm / almaz"/>
        <s v="Şlanq / hidravlik / 330 Bar / 3/8 inch / L 155 mm / &quot;FORCESTREAM&quot;"/>
        <s v="Şlanq / Hidravlik / 330 Bar / L 100 mm / 3/8 inch / &quot;FORCESTREAM&quot;"/>
        <s v="Qaynaqçı dəbilgəsi"/>
        <s v="Sipər çərçivəsi / şüşəsiz"/>
        <s v="Su pompası / dalğıc / &quot;SHIMGE&quot; / 417 L/d"/>
        <s v="Su pompası / dalğıc / 2.2 kvt / 14.5 metr / 400 L/d"/>
        <s v="Qarmaq / 3 tonn"/>
        <s v="Xomut / metal / torpaqlama üçün"/>
        <s v="Pəstah / rezin"/>
        <s v="Qaynaq Aparatı / plastik boru üçün / 15 kvt / d 160-400 mm / &quot;TURAN MAKINA&quot;"/>
        <s v="Qaynaq aparatı / plastik boru üçün / 3 kvt / d 63-160 mm / &quot;TURAN MAKINA&quot;"/>
        <s v="Tezlik və gərginlik çeviricisi / &quot;Wacker Neuson&quot; / 2/042/200W / Almaniya istehsalı"/>
        <s v="Nivelyator oxu / 4 ədədli"/>
        <s v="Aragatı / rezin"/>
        <s v="Starter / 30107817231"/>
        <s v="Starter / &quot;Denso&quot; / YM 119717-77010 / Yaponiya istehsalı"/>
        <s v="Bolt / ikitərəfli qaykalı / M18 L 200 mm"/>
        <s v="Respirator / 2 kartric ilə"/>
        <s v="Pika / 14 x 250 mm / perforator üçün"/>
        <s v="Köynək / cibli / qəlibçi üçün"/>
        <s v="Şalvar / qaynaqçı üçün"/>
        <s v="Bolt-qayka / M20 / L 200 mm"/>
        <s v="Sırğa / 6 tonn"/>
        <s v="Boya / alüminium / 350° dözümlü / 0.85 Litr"/>
        <s v="Sürtkü yağı / kauçuklu / KG-3 / &quot;Greson&quot;"/>
        <s v="Tiner"/>
        <s v="Boya / fasad / akril / &quot;Expert&quot; / 15 litr"/>
        <s v="Yapışdırıcı / divar kağızı üçün / 150 gr"/>
        <s v="Çıkic / sapı ilə/ 500 gr"/>
        <s v="Pika / L 250"/>
        <s v="Dişli qayıs / 9.5 x 1150 mm"/>
        <s v="Dişli qayış / 13A1200C / &quot;Dayco&quot;"/>
        <s v="Qayış / A71 / &quot;Dongil&quot;"/>
        <s v="Elektrik lövhəsi / 300 x 400 x 165 mm"/>
        <s v="Elektrik lövhəsi / 400 x 500 x 170 mm"/>
        <s v="Səviyyəölçən / ultrasəs / &quot;ATEK&quot; / Türkiyə istehsalı"/>
        <s v="Dişli qayış / 12.5 x 950 mm"/>
        <s v="Qayış / 9.5 x 750 mm"/>
        <s v="Qayış / 17 x 1100 mm"/>
        <s v="Dişli qayış / 9.5 x 1200 mm"/>
        <s v="Dişli qayış / 154 x 25.4 mm"/>
        <s v="Kondisioner / split / mühərriksiz / &quot;AUX&quot;"/>
        <s v="Disk / kəsici / laqonda üçün / d 180 mm"/>
        <s v="Diyircəkli yastıq / 4T-HM 89410 / &quot;NTN&quot; / Yaponiya istehsalı"/>
        <s v="Qayka / M20"/>
        <s v="Təzyiq klapanı / boyler üçün"/>
        <s v="Keçid / d 15 x 25 mm / metal"/>
        <s v="Aragatı / paronit / d 110 mm"/>
        <s v="Aragatı / paronit / d 150 mm"/>
        <s v="Aragatı / metal / d 150 mm"/>
        <s v="Aragatı / paronit / d 50 mm"/>
        <s v="Aragatı / paronit / d 80 mm"/>
        <s v="Aragatı / paronit / d 500 mm"/>
        <s v="Manometr / 60 atm"/>
        <s v="Rels / metal / 1 metr / elektrik lövhəsi üçün"/>
        <s v="Dişli qayış / &quot;Bomag&quot; / 06312023"/>
        <s v="Dişli qayış / XBZPZ 1175 La"/>
        <s v="Dişli qayış / XPZ 775 La"/>
        <s v="Dişli qayış / 4PK 863"/>
        <s v="Dişli qayış / 17 x 1500 mm"/>
        <s v="Qayış / 17 x 847 mm"/>
        <s v="Dişli qayış / 12.5 x 1175 mm"/>
        <s v="Dişli qayış / 12.5 x 775 mm"/>
        <s v="Dişli qayış / 8944791010"/>
        <s v="Dişli qayış / 15 x 1100 mm"/>
        <s v="Dişli qayış / 12.5 x 1050 mm"/>
        <s v="Dişli qayış / 13 x 1200 mm"/>
        <s v="Dişli qayış / 9.5 x 1175 mm"/>
        <s v="Reduktor / 1000-lik makina üçün"/>
        <s v="Yönləndirmə mühərriki (ümitə) / 1400-lük makina üçün"/>
        <s v="Su basıncı (ilbizvari)/ 1400-lük makina üçün"/>
        <s v="Yönləndirmə mühərriki (ümitə) / 1000-lik makina üçün"/>
        <s v="Konus / flyanslı / d 250 mm / laboratoriya üçün"/>
        <s v="Ələk / №20 / laboratoriya üçün / “Jeotest” / Türkiyə istehsalı"/>
        <s v="Metal qab (tava) / d 300 mm / laboratoriya üçün"/>
        <s v="Kasaqrande cihazı / bürünc qabı ilə / laboratoriya üçün / “Jeotest” / Türkiyə istehsalı"/>
        <s v="Metal qab / 4 künc / qulplu / 520x520 mm / laboratoriya üçün"/>
        <s v="Metal qab / 4 künc / 590x470 mm / laboratoriya üçün"/>
        <s v="Elektrik mişar / 1380 Vt / d 185 mm / 5300 dövr/dəq / “Makute” Çin istehsalı"/>
        <s v="Freza dişi / xüsusi texnika üçün"/>
        <s v="Ekstraktor - yiv açan"/>
        <s v="Şlanq / oksiqen"/>
        <s v="Lobzik / elektrik / 500 Vt / GST700"/>
        <s v="Xəta"/>
        <s v="Keçid / d 250 x 280 mm / polietilen / &quot;NTG&quot; / Türkiyə istehsalı"/>
        <s v="Keçid / d 250 x 315 mm / polietilen / &quot;NTG&quot; / Türkiyə istehsalı"/>
        <s v="Dirsək (Угол) / d 350 mm / polietilen / 45°"/>
        <s v="Keçid / d 160 x 280 mm / polietilen"/>
        <s v="Üçlük / d 200 x 280 mm / polietilen"/>
        <s v="Üçlük / d 160 x 225 mm / polietilen"/>
        <s v="Dirsək / d 180 mm / polietilen / 45° / &quot;Borfit&quot; / Türkiyə istehsalı"/>
        <s v="Adaptor / d 110 mm / polietilen / &quot;Borfit&quot; / Türkiyə istehsalı"/>
        <s v="Üçlük / d 160 x 710 mm / polietilen / &quot;Borfit&quot; / Türkiyə istehsalı"/>
        <s v="Üçlük / d 110 x 160 mm / polietilen / &quot;Borfit&quot; / Türkiyə istehsalı"/>
        <s v="Qapaq / d 280 mm / polietilen / &quot;Borfit&quot; / Türkiyə istehsalı"/>
        <s v="Qapaq / d 160 mm / polietilen / &quot;Borfit&quot; / Türkiyə istehsalı"/>
        <s v="Qapaq / d 355 mm / polietilen / &quot;Borfit&quot; / Türkiyə istehsalı"/>
        <s v="Keçid / d 90 x 110 mm / polietilen"/>
        <s v="Dirsək / d 355 mm / polietilen / 45°"/>
        <s v="Üçlük / d 250 x 355 mm / polietilen / &quot;Borfit&quot; / Türkiyə istehsalı"/>
        <s v="Keçid / d 225 x 250 mm / polietilen / &quot;NTG&quot; / Türkiyə istehsalı"/>
        <s v="Adaptor / d 355 mm / polietilen / &quot;Borfit&quot; / Türkiyə istehsalı"/>
        <s v="Adaptor / d 225 mm / polietilen"/>
        <s v="Adaptor / d 180 mm / polietilen / &quot;Borfit&quot; / Türkiyə istehsalı"/>
        <s v="Adaptor / d 315 mm / polietilen"/>
        <s v="Dirsək / d 280 mm / polietilen / 45° / &quot;Borfit&quot; / Türkiyə istehsalı"/>
        <s v="Dirsək / d 160 mm / polietilen / 90° / &quot;Borfit&quot; / Türkiyə istehsalı"/>
        <s v="Dirsək / d 315 mm / polietilen / 90°"/>
        <s v="Dirsək / d 400 mm / polietilen / 45°"/>
        <s v="Siyirtmə sükanı (maxovik) / kiçik ölçülü"/>
        <s v="Siyirtmə sükanı (maxovik) / orta ölçülü"/>
        <s v="Siyirtmə sükanı (maxovik) / böyük ölçülü"/>
        <s v="Siyirtmə qapağı"/>
        <s v="Başlıq / yanğın şlanqı üçün / alüminium"/>
        <s v="Dirsək / d 63 mm / polietilen / 90° / &quot;Borfit&quot; / Türkiyə istehsalı"/>
        <s v="Mufta / elektrofizyon / d 90 mm / polietilen / &quot;Borfit&quot; / Türkiyə istehsalı"/>
        <s v="Keçid / d 32 x 63 mm / polietilen / &quot;Borfit&quot; / Türkiyə istehsalı"/>
        <s v="Adaptor / d 90 mm / polietilen / &quot;Borfit&quot; / Türkiyə istehsalı"/>
        <s v="Qapaq / d 90 mm / polietilen / &quot;NTG&quot; / Türkiyə istehsalı"/>
        <s v="Dirsək / d 50 mm / polietilen / 90°"/>
        <s v="Dirsək / d 25 mm / polietilen / 90° / &quot;Borfit&quot; / Türkiyə istehsalı"/>
        <s v="Dirsək / d 25 mm / polietilen / 45° / &quot;TEGA&quot; / Türkiyə istehsalı"/>
        <s v="Üçlük / d 25 mm / polietilen / &quot;Borfit&quot; / Türkiyə istehsalı"/>
        <s v="Adaptor / d 110 mm / polipropilen"/>
        <s v="Üçlük / d 50x63 mm / polipropilen"/>
        <s v="Üçlük / d 90 mm / polipropilen"/>
        <s v="Dirsək / d 110 mm / 90° / polipropilen"/>
        <s v="Konteyner / 6 metr"/>
        <s v="Konteyner / 12 metr"/>
        <s v="Elevator korpusu / mühərrikli"/>
        <s v="Ana piston dəsti / press / d1000 mm"/>
        <s v="Rels / ana piston üçün / d1000 mm"/>
        <s v="Ana piston dəsti / press / d2000 mm"/>
        <s v="Ana piston dəsti / press / d1400 mm"/>
        <s v="Başlıq / uran / d2500 mm"/>
        <s v="Başlıq / uran / d2200 mm"/>
        <s v="Başlıq / uran / d1000 mm"/>
        <s v="Başlıq / uran / d1000 mm / ön parçası"/>
        <s v="Ara tampon / d1000 mm / eni 600 mm"/>
        <s v="Ara tampon / d1000 mm / eni 1250 mm"/>
        <s v="Ara tampon / d1000 mm / eni 1180 mm"/>
        <s v="Ara tampon / d1400 mm / eni 1900 mm"/>
        <s v="Ara tampon / d1400 mm / eni 2040 mm"/>
        <s v="Ara tampon / d1400 mm / eni 1180 mm"/>
        <s v="Ara tampon / d 2160 mm / eni 1250 mm"/>
        <s v="Ara tampon / d 2400 mm / eni 1500 mm"/>
        <s v="Diyircəkli yastıq / d 1300 mm"/>
        <s v="Başlıq / d 1000 mm / metal"/>
        <s v="Artırma qolu / 540x240mm / 2000mm ara pistonu üçün"/>
        <s v="Şlanq / hidravlik / d 25mm / L 8metr / 380 atm"/>
        <s v="Kompakter / əl katoku / dizel"/>
        <s v="Ventilyator / 2.2 kvt / 8100 m³/saat / 940 d/d / ilbiz tipli / &quot;Vents&quot;"/>
        <s v="Qaynaq aparatı / ütü / d 315 mm / polietilen boru üçün"/>
        <s v="Generator / &quot;NSM&quot; / T100 LA / İtaliya istehsalı"/>
        <s v="Generator / &quot;NSM&quot; / WS220 TDC / İtaliya istehsalı"/>
        <s v="Generator / 7.5 kVA / dizel / &quot;Power Tech&quot;"/>
        <s v="Armatur kəsən / hidravlik / d 36 mm / 4 kvt / 1500 d/d / &quot;AFACAN&quot; / Türkiyə istehsalı"/>
        <s v="Lebyodka / 2 ton / 60 metr / elektrik mühərrikli"/>
        <s v="Rəndə dəzgahı / 1800 Vt / 300 mm / 9000 d/d / &quot;ЗУБР&quot; / РС-330"/>
        <s v="Generator / benzin / 3.0 kvt / AVR automatic"/>
        <s v="Hasar / plastik"/>
        <s v="Qazma qurğusu / horizantal şnekli / d 720 mm / 80-150 metr / 100 ton / Lazer nişanlı / &quot;МЕМПЭКС&quot; / МНБШ-600 / Belarus istehsalı"/>
        <s v="Beton kəsən / &quot;PALME&quot; / PD13B / Türkiyə istehsalı"/>
        <s v="Generator / dizel / 4.5 kvt / 220V / 50 Hz / IP23 / &quot;FIRMAN&quot; / SDG5500CLE / Çin istehsalı / 1 əd"/>
        <s v="Generator / &quot;ITC POWER&quot; / Çin istehsalı"/>
        <s v="Qaynaq Aparatı / 650A / 3 faza / 380V / 50/60 Hz / IP23 / &quot;Gekamac&quot; / RKM650 / Türkiyə istehsalı"/>
        <s v="Armatur kəsən / hidravlik / 3 kvt / 380V / &quot;Yakar Kardeşler&quot; / YK2609 / Türkiyə istehsalı"/>
        <s v="Generator / 6.5 kVA / 220A / 50 Hz / IP23 / 230-400V / &quot;Antor HW&quot; / Türkiyə istehsalı"/>
        <s v="Generator / 8.5 kVA / dizel / 220-240V / 1 faza / &quot;Bison&quot; / BS11000DCE / Çin istehsalı"/>
        <s v="Generator / 6.5 kvt / 230V / benzin / &quot;AKSA&quot; / AAP8000E / Türkiyə istehsalı"/>
        <s v="Generator / 7.5 kvt / benzin / 220-230V / &quot;KEMAN&quot; / Çin istehsalı"/>
        <s v="Armatur əyən / 3 kvt / 11 d/d / 380V / 3 faza / &quot;AFACAN&quot; / B36 / Türkiyə istehsalı"/>
        <s v="Pərçimləmə dəzgahı / press"/>
        <s v="Kompressor / 2.4 Atm / &quot;IR Ingersoll Rand&quot; / 7/3IE / İngiltərə istehsalı"/>
        <s v="Generator / dizel / 36 kVt/ 1500 d/d / &quot;AKSA&quot; / A3CRX32T / Türk istehsalı"/>
        <s v="Qazma qurğusu / horizantal şnekli / relsli"/>
        <s v="Generator / dizel / &quot;TOPOR&quot;"/>
        <s v="Boru / d 25 mm x 4.2 mm / polipropilen / 4 metr / &quot;Metak&quot;"/>
        <s v="Boru / d 32 mm x 5.4 mm / polipropilen / 4 metr / &quot;Metak&quot;"/>
        <s v="Boru / d 110 mm / PVC / 5 metr"/>
        <s v="Boru / d 63 x 2.3 mm / polietilen / 6 metr"/>
        <s v="Boru / d 25 x 2.4 mm / polietilen / 5.8 metr"/>
        <s v="Boru / d 32 x 2 mm / polietilen / 4 metr"/>
        <s v="Şnek / d 450 mm"/>
        <s v="Şnek / d 400 mm"/>
        <s v="Şnek / d 700 mm"/>
        <s v="Şnek / d 600 mm"/>
        <s v="Şnek / d 300 mm"/>
        <s v="Tunel qəlibi / giriş-çıxış quyuları üçün"/>
        <s v="Beton boru / d 1400 mm"/>
        <s v="Beton boru / d 1000 mm"/>
        <s v="Hasar / metal / torlu"/>
        <s v="Boru / d 40 mm / polietilen / 53 metr"/>
        <s v="Su sayğacı / d 100 mm / polad / filtr ilə"/>
        <s v="Siyirtmə / d 150 mm"/>
        <s v="Siyirtmə / d 80 mm"/>
        <s v="Flans / d 110 mm / polad"/>
        <s v="Flans / d 60 mm / polad"/>
        <s v="Kompressor / &quot;Pighon&quot;"/>
        <s v="Boru / polietilen / d 32 mm x 2 mm / 100 metr"/>
        <s v="Boru / polietilen / d 32 mm x 2 mm / 200 metr"/>
        <s v="Boru / polietilen / d 25 mm x 2.4 mm / 50 metr"/>
        <s v="Boru / polietilen / d 25 x 2 mm / 52 metr"/>
        <s v="Boru / polietilen / d 32 mm"/>
        <s v="Boru / koruqe / d 300 mm / 6 metr"/>
        <s v="Boru / polietilen / d 225 mm / 4,9 metr"/>
        <s v="Boru / PVC-U / d 160 mm / 6 metr"/>
        <s v="Boru / PVC-U / d 110 mm / 6 metr"/>
        <s v="Boru / polietilen / d 140 mm / 6 metr"/>
        <s v="Boru / polietilen / d 160 mm / 5,5 metr"/>
        <s v="Subasıncı / d100mm / mühərriklə / ilbiz tipli"/>
        <s v="Su çəni / 1 tonn / plastik"/>
        <s v="Vaqonet (badya) /"/>
        <s v="Bucurqad (Lebyodka) / mühərrik ilə"/>
        <s v="Şlanq / hidravlik / 3/4 inch / 350 atm"/>
        <s v="Seyf / İNV0000000245"/>
        <s v="Hidrant"/>
        <s v="Qaynaq aparatı (ütü) / d150mm / plastik boru üçün"/>
        <s v="Su pompası / mühərriksiz / &quot;AK Misan&quot;"/>
        <s v="Qazma başlıqı / d 750mm"/>
        <s v="Qazma başlıqı / d 560mm"/>
        <s v="Dairə / metal / 1000x25mm"/>
        <s v="Qapaq / flyanslı / metal / 500x30mm"/>
        <s v="Qapaq / flyanslı / metal / 555x34mm"/>
        <s v="Qapaq / flyanslı / metal / 605x20mm"/>
        <s v="Servis birləşməsi / elektrofizyon / d 110 x 32 mm / &quot;Borfit&quot; / Türkiyə istehsalı"/>
        <s v="Servis birləşməsi / elektrofizyon / d 110 x 40 mm / &quot;Borfit&quot; / Türkiyə istehsalı"/>
        <s v="Servis birləşməsi / elektrofizyon / d 110 x 63 mm / &quot;Borfit&quot; / Türkiyə istehsalı"/>
        <s v="Servis birləşməsi / elektrofizyon / d 63 x 280 mm / &quot;Borfit&quot; / Türkiyə istehsalı"/>
        <s v="Servis birləşməsi / elektrofizyon / d 40 x 280 mm / &quot;Borfit&quot; / Türkiyə istehsalı"/>
        <s v="Servis birləşməsi / elektrofizyon / d 32 x 90 mm / &quot;Borfit&quot; / Türkiyə istehsalı"/>
        <s v="Servis birləşməsi / elektrofizyon / d 32 x 63 mm / &quot;Borfit&quot; / Türkiyə istehsalı"/>
        <s v="Servis birləşməsi / elektrofizyon / d 40 x 63 mm / &quot;Borfit&quot; / Türkiyə istehsalı"/>
        <s v="Servis birləşməsi / elektrofizyon / d 40 x 90 mm / &quot;Borfit&quot; / Türkiyə istehsalı"/>
        <s v="Servis birləşməsi / elektrofizyon / d 32 x 40 mm / &quot;TEGA&quot; / Türkiyə istehsalı"/>
        <s v="Dirsək / d 110 mm / polietilen / 90°"/>
        <s v="Dirsək / d 180 mm / polietilen / 90°"/>
        <s v="Dirsək / d 110 mm / polietilen / 45°"/>
        <s v="Adaptor / d 110 mm / polietilen"/>
        <s v="Adaptor / d 90 mm / polietilen"/>
        <s v="Adaptor / d 160 mm / polietilen"/>
        <s v="Üçlük / d 110 mm / polietilen / 5 əd / &quot;Borfit&quot; / Türkiyə istehsalı"/>
        <s v="Adaptor / d 180 mm / polietilen / 1 əd / &quot;Borfit&quot; / Türkiyə istehsalı"/>
        <s v="Adaptor / d 50 mm / polietilen / &quot;Borfit&quot; / Türkiyə istehsalı"/>
        <s v="Adaptor / d 63 mm / polietilen / &quot;Borfit&quot; / Türkiyə istehsalı"/>
        <s v="Dirsək / d 90 mm / polietilen / 90° / &quot;Titz&quot;"/>
        <s v="Üçlük / d 63 x 110 mm / polietilen / &quot;Borfit&quot; / Türkiyə istehsalı"/>
        <s v="Üçlük / d 75 x 110 mm / polietilen / &quot;Borfit&quot; / Türkiyə istehsalı"/>
        <s v="Keçid / d 63 x 90 mm / polietilen / &quot;Borfit&quot; / Türkiyə istehsalı"/>
        <s v="Keçid / d 50 x 90 mm / polietilen / &quot;Borfit&quot; / Türkiyə istehsalı"/>
        <s v="Dirsək / d 63 mm / 90° / polietilen / 6 əd / &quot;Borfit&quot; / Türkiyə istehsalı"/>
        <s v="Dirsək / d 63 mm / 45° / polietilen / &quot;Tega&quot; / Türkiyə istehsalı"/>
        <s v="Qapaq / d 110 mm / polietilen / &quot;Borfit&quot; / Türkiyə istehsalı"/>
        <s v="Dirsək / d 50 mm / polietilen / 90° / &quot;Borfit&quot; / Türkiyə istehsalı"/>
        <s v="Üçlük / d 50 mm / polietilen / &quot;Borfit&quot; / Türkiyə istehsalı"/>
        <s v="Keçid / d 255 x 310 mm / polad"/>
        <s v="Keçid / d 125 x 155 mm / polad"/>
        <s v="Keçid / d 100 x 155 mm / polad"/>
        <s v="Keçid / d 75 x 95 mm / polad"/>
        <s v="Keçid / d 90 x 150 mm / polad"/>
        <s v="Qapaq / d 150 mm / polad"/>
        <s v="Dirsək / d 260 mm / polad"/>
        <s v="Dirsək / d 65 mm / polad / 90°"/>
        <s v="Dirsək / d 160 mm / polad / 45°"/>
        <s v="Dirsək / d 100 mm / polad / 45°"/>
        <s v="Dirsək / d 310 mm / polad / 45°"/>
        <s v="Dirsək / d 200 mm / polad / 45°"/>
        <s v="Üçlük / d 150 mm / polad"/>
        <s v="Üçlük / d 150 x 95 mm / polad"/>
        <s v="Dirsək / d 205 mm / 90° / polad"/>
        <s v="Dirsək / d 93 mm / 90° / polad"/>
        <s v="Flyans / d 65 mm / polad"/>
        <s v="Dirsək / d 90 mm / polad / 90° / flyanslı"/>
        <s v="Dirsək / d 60 mm / polad / 90° / flyanslı"/>
        <s v="Karot ucu / d 102 mm / L 420 mm"/>
        <s v="Karot ucu / d 40 mm / L 420 mm"/>
        <s v="Karot ucu / d 165 mm / L 400 mm"/>
        <s v="Karot ucu / d 220 mm / L 400 mm"/>
        <s v="Giloz açarı"/>
        <s v="Kəsici / d 100 mm / almaz / perforator üçün"/>
        <s v="Kəsici / d 120 mm / almaz / perforator üçün"/>
        <s v="Kəsici / d 50 mm / almaz / perforator üçün"/>
        <s v="Burğu / taxta üçün / d 25 mm"/>
        <s v="Qaz balonu / farsunka ilə"/>
        <s v="Valik / 10-luq"/>
        <s v="Mufta / d 32 mm / polietilen / elektrofizyon / B"/>
        <s v="Yol nişanı &quot;Hərəkət qadağandır&quot;"/>
        <s v="Yol nişanı &quot;Yol ver&quot;"/>
        <s v="Yol nişanı &quot;Sürət 40 km/s&quot;"/>
        <s v="Printer / A3 / color / &quot;EPSON&quot; / L15160  / İndoneziya istehsalı"/>
        <s v="Xətkeş / nivelyator üçün / B"/>
        <s v="İzolyasiya materialı / boru üçün / 28/5/100"/>
        <s v="Kanistr / plastik / 20 litr"/>
        <s v="Profil / &quot;U&quot; / 50mm x 4metr / alçıpan üçün"/>
        <s v="Su dispenseri / &quot;Beko&quot;"/>
        <s v="Su dispenseri / &quot;Silver&quot;"/>
        <s v="Soyuducu / 2 kameralı / &quot;STINOL&quot;"/>
        <s v="Kondisioner mühərriki / &quot;AUX&quot;"/>
        <s v="Su qızdırıcı &quot;SHIVAKI&quot;"/>
        <s v="Vedrə plastik"/>
        <s v="Təkər / lesə üçün"/>
        <s v="Sıxıcı plastik"/>
        <s v="Xomut d 180 x 315 mm / elektrofiziyon servis birləşməsi üçün"/>
        <s v="Sututucu bant / 20sm x 2.5 metr"/>
        <s v="Sututucu bant / 17sm x 5 met"/>
        <s v="Araqatı / d 200 mm / boru üçün / qara"/>
        <s v="Araqatı / d 1500 mm / boru üçün / qara"/>
        <s v="Araqatı / d 300 mm / boru üçün / qara"/>
        <s v="Araqatı / d 400 mm / boru üçün / qara"/>
        <s v="Araqatı / d 250 mm / boru üçün / qara"/>
        <s v="Araqatı / d 200 mm / boru üçün / ağ"/>
        <s v="Araqatı / d 150 mm / boru üçün / qara"/>
        <s v="Podnos / paslanmayan metal / 5 seksiyalı / mətbəx üçün"/>
        <s v="Vanna / paslanmayan metal / mətbəx üçün"/>
        <s v="Kabel / alüminium / 4 damarlı / 44metr"/>
        <s v="Kabel / alüminium / 4 damarlı / 50metr"/>
        <s v="Kabel / alüminium / 4 damarlı / 30metr"/>
        <s v="Kabel / alüminium / 4 damarlı / 77metr"/>
        <s v="Kabel / alüminium / 4 damarlı / 72metr"/>
        <s v="Kabel / alüminium / 4 damarlı / 24metr"/>
        <s v="Boru / d 32 mm / polietilen / 47.5 metr"/>
        <s v="Şlanq / beton vibratoru üçün / metal başlıqlı"/>
        <s v="Təkər / 315/80/22.5 R / &quot;Pirelli&quot; / FR25"/>
        <s v="Kabel / 4x2.5 mm² / 300/500 / H05VV-F / &quot;Astel&quot; / Türkiyə istehsalı"/>
        <s v="Elektrik mühərrik"/>
        <s v="Qaynaq elektrodu / 4.0 x 350 mm / 5 kq / 578"/>
        <s v="Perforator / &quot;Bosch&quot;"/>
        <s v="Metal hissələr / ağır texnika üçün"/>
        <s v="Boya / parlaq emal / 2.5 litr"/>
        <s v="Kürək / saplı"/>
        <s v="Ankerbolt / L şəkilli"/>
        <s v="Tıxaç / şurup üçün / plastik"/>
        <s v="Mufta / elektrofuzion / d 90 mm / polietilen / &quot;Borfit&quot; / Türkiyə istehsalı"/>
        <s v="Mufta / elektrofuzion / d 40 mm / polietilen / &quot;Borfit&quot; / Türkiyə istehsalı"/>
        <s v="Mufta / elektrofuzion / d 32 mm / polietilen / &quot;Borfit&quot; / Türkiyə istehsalı"/>
        <s v="Nərdivan / metal / 7 pilləli"/>
        <s v="Akkumulyator / 12V / 100AH / Ca-Ca / &quot;Energy&quot; / Türkiyə istehsalı"/>
        <s v="Ankerbolt / M10 / L 130 mm"/>
        <s v="Ankerbolt / M12 / L 130 mm"/>
        <s v="Qayka / M14"/>
        <s v="Qayka / M18"/>
        <s v="Beton vibratorun mühərriki"/>
        <s v="Bolt / M38 / L 750 mm"/>
        <s v="Beton vibratoru / portativ"/>
        <s v="Sınaq pompası / hidravlik / &quot;Ekeryil&quot;"/>
        <s v="Elektrik qızdırıcı / spirallı / kərpicli"/>
        <s v="Su qızdırıcısı / qazla işləyən / 20 litr"/>
        <s v="Əqrəb / metal / alçıpan profili üçün"/>
        <s v="Şlanq / kapron / 12 mm"/>
        <s v="Xomut / flyanslı / metal / d 250 mm"/>
        <s v="Pika / pnevmatik çəkic üçün"/>
        <s v="Pika / Perforator üçün"/>
        <s v="Burğu / 14-lük"/>
        <s v="Flyans / d 235 mm / polad"/>
        <s v="Flyans / d 220 mm / polad"/>
        <s v="Flyans / d 130 mm / polad"/>
        <s v="Flyans / d 125 mm / polad"/>
        <s v="Flyans / d 110 / polad"/>
        <s v="Elektrik qızdırıcı / yağ radiatoru / 2400 vt / &quot;Saachi&quot;"/>
        <s v="Qaz plitəsi / 1 gözlü"/>
        <s v="Klapan / d 125 mm / kəpənək tipli / &quot;Duyar&quot; / Türkiyə istehsalı"/>
        <s v="Otbiçən / elektrik / &quot;Denzel&quot;"/>
        <s v="Rels / elektrik lövhəsi üçün / 1 metr"/>
        <s v="Boru / polad / d 20 mm / 2 metr"/>
        <s v="Su pompası / dalğıc / 0.75 kvt / 250 L/d / 10 metr / &quot;SNçlIMGE&quot;"/>
        <s v="Su pompası / &quot;Seakoo&quot;"/>
        <s v="Su pompası / dalğıc / 1100 vt / &quot;Shimge&quot;"/>
        <s v="Bolt / M12 / L 80 mm"/>
        <s v="Bolt / M16 / L 80 mm"/>
        <s v="Bolt / M10 / L 100 mm"/>
        <s v="Bolt / M20 / L 80 mm"/>
        <s v="Ankerbolt / M16 / L 250 mm"/>
        <s v="Ankerbolt / M16 / L 100 mm"/>
        <s v="Ankerbolt / M16 / L 200 mm"/>
        <s v="Mufta / d 32 mm / polietilen / elektrofizyon / C"/>
        <s v="Mufta / elektrofizyon / d 40 mm / polietilen"/>
        <s v="Mufta / elektrofizyon / d 90 mm / polietilen"/>
        <s v="Mufta / PVC / d 110"/>
        <s v="Dirsək / PVC / d 110 / 90°"/>
        <s v="Keçid / PVC / d 50 x 75 mm"/>
        <s v="Üçlük / PVC / d 50 mm"/>
        <s v="Qapaq / PVC / d 110 mm"/>
        <s v="Dirsək / PVC / d 50 mm"/>
        <s v="Üçlük / PVC / d 50 x d 110 mm"/>
        <s v="Üçlük / PVC / d 50 mm / 45°"/>
        <s v="Dirsək / PVC / d 110 mm / 45° / unitaz üçün"/>
        <s v="Üçlük / PVC / d 110 mm"/>
        <s v="Xomut / metal / d 25 x 28 mm / 3/4 inch"/>
        <s v="Hidrant açarı"/>
        <s v="Flyans / d 175 mm / polad"/>
        <s v="Flyans / d 100 mm / polad"/>
        <s v="Flyans / d 160 mm / polad"/>
        <s v="Su pompası / 250 Vt / 75 L/d / H 10m / &quot;Shimge&quot;"/>
        <s v="Elektrik soket / 32A / İP 67 / &quot;TP Elektric&quot; / Türkiyə istehsalı&quot;"/>
        <s v="Elektrik soket / 63A / İP 44 / &quot;Bemis&quot; / Türkiyə istehsalı&quot;"/>
        <s v="Elektrik soket / 63A / İP 67 / &quot;Bemis&quot; / Türkiyə istehsalı&quot;"/>
        <s v="Elektrik soket / 32A / İP 44 / &quot;Bemis&quot; / Türkiyə istehsalı&quot;"/>
        <s v="Kəsici alət / elektrik / beton üçün / &quot;Hoteche&quot; / P805111"/>
        <s v="Elektrik uzadıcı / 3 faza / 32A soket ilə"/>
        <s v="Qayçı / armatur üçün / 42 inch"/>
        <s v="Qayçı / armatur üçün"/>
        <s v="Armatur əyən alət"/>
        <s v="Dirsək / polietilen / d 63mm / 90°"/>
        <s v="Bolt / M30 / L 150 mm"/>
        <s v="Bolt / ikitərəfli qaykalı / M28 / L 150 mm"/>
        <s v="Qayka / M30"/>
        <s v="Bolt-qayka / M18 / L 70 mm"/>
        <s v="Bolt-qayka / M18 / L 100 mm"/>
        <s v="Bolt-qayka / M16 / L 100 mm"/>
        <s v="Şayba / M16"/>
        <s v="Bolt / M18 / L90 mm"/>
        <s v="Bolt / M26 / L150 mm"/>
        <s v="Qayış / 17x2000 La"/>
        <s v="Rezin kant / qırmızı / İsveçrə istehsalı"/>
        <s v="Transportyor lenti / eni 300 mm"/>
        <s v="Ştuser / hava / d=10 mm"/>
        <s v="Üçlük / d 32 mm / polietilen / B"/>
        <s v="Fırça / metal / 4 inch / laqonda üçün"/>
        <s v="Ventil / metal / 2 inch"/>
        <s v="Tıxac / şurup üçün"/>
        <s v="Üçlük / metal / ştuser tipli / d10mm / hava"/>
        <s v="Mufta / d 20 mm / polipropilen / B"/>
        <s v="Şayba / d 22mm"/>
        <s v="Su pompası / 0.37 kW / 5-33 L/d / H35 m / hidroforla / &quot;SKOM&quot;"/>
        <s v="Dirsək / d 20 mm / polipropilen / 90°"/>
        <s v="Keçid / d 20mm x 1/2 inch / polipropilen / iç yiv"/>
        <s v="Keçid / d 20 mm / polipropilen / çöl yiv"/>
        <s v="Başlıq / cilalayıcı kağız üçün / d 180 mm"/>
        <s v="Pər / mühərrikli / havalandırma sistemi üçün"/>
        <s v="Pnevmatik çəkic"/>
        <s v="Xomut / PVC / d 75 mm"/>
        <s v="Xomut / PVC / d 100 mm"/>
        <s v="Keçid / elektrik kabel üçün / PG29 / IP68"/>
        <s v="Odla kəsici / qaz"/>
        <s v="Dişli qayış / 9.5x1275 La (RPF) / “Bando”"/>
        <s v="Dişli qayış / 9.5x1150 La (RPF) / “Bando”"/>
        <s v="Xomut / metal / d 216 x 226 mm"/>
        <s v="Siren / sənaye / 115 desibel / &quot;Selay&quot; Türkiyə istehsalı"/>
        <s v="Filtr / hava / ДФВ 5806 / Rusiya istehsalı"/>
        <s v="Su pompası / 2200 Vt / 1300 L/d / H 18.5 m / “Shimge”"/>
        <s v="Su pompası / 5.5 kVt / 1400 L/d / “Grandfar”"/>
        <s v="Dişli çarx / d 800 mm / flyanslı"/>
        <s v="Kabel / başlıqlı"/>
        <s v="Xomut / metal / d 158 x 170 mm / boru üçün"/>
        <s v="Xomut / metal / d 109 x 119 mm / boru üçün"/>
        <s v="Xomut / metal / d 60 x 66 mm / boru üçün"/>
        <s v="Sırğa / 17 tonn"/>
        <s v="Su pompası / MMF15AM"/>
        <s v="Kabel / 24 x 1.5"/>
        <s v="Disk / kəsici / almaz / d 350 mm"/>
        <s v="Elektrik lövhəsi / 600 x 795 mm / avtomat və kontaktor ilə"/>
        <s v="Masa / 695x119mm / ağ"/>
        <s v="Oturacaq / ağ"/>
        <s v="Mətbəx çanağı (moyka) / paslanmayan metl / ikili"/>
        <s v="Ləğən (taz) / alüminium / 620mm / mətbəx üçün"/>
        <s v="Ətçəkən / elektrik"/>
        <s v="Ventilyator / dayaqlı"/>
        <s v="Qazan / alüminium / 495mm"/>
        <s v="Tava / 410mm / mətbəx üçün"/>
        <s v="Qazan / alüminium / 730mm"/>
        <s v="Ləğən (taz) / emallı / mətbəx üçün"/>
        <s v="Samovar / elektrik / mətbəx üçün"/>
        <s v="Soba / mikrodalğalı / &quot;Quicks&quot;"/>
        <s v="Aspitaror / mətbəx üçün"/>
        <s v="Qaz plitəsi / masaüstü / 1 gözlü"/>
        <s v="Qaz plitəsi / masaüstü / 2 gözlü"/>
        <s v="Qaz plitəsi / masaüstü / 4 gözlü"/>
        <s v="Aşsüzən / 450mm / metal"/>
        <s v="Qazan / alüminium / 400mm"/>
        <s v="Qazan / alüminium / 440mm"/>
        <s v="Çaydan / alüminium / 4-5 litr"/>
        <s v="Döşək"/>
        <s v="Yataq / açilıb bağlanan /"/>
        <s v="Kreslo / parça"/>
        <s v="Paltaryuyan maşın / &quot;Midea&quot;"/>
        <s v="Yataq / metal karkas"/>
        <s v="Masa / 700x1400mm"/>
        <s v="Elektrik lövhəsi / 300x400mm"/>
        <s v="Masa / 700x1700mm / 3 siyirtməli"/>
        <s v="Oturacaq"/>
        <s v="Masa / 500x950 mm"/>
        <s v="Masa / 500x700 mm"/>
        <s v="Sənəd dolabı / 700x1320mm"/>
        <s v="Su qızdırıcı / elektrik / 80litr"/>
        <s v="Nivelyator dayağı / üçayaq"/>
        <s v="Nivelyator oxu"/>
        <s v="Qaynaq aparatı (ütü) / plastik boru üçün"/>
        <s v="Reduktor / oksiqen balonu üçün"/>
        <s v="Kabel / 50x0.5"/>
        <s v="Ətçəkən / elektrik / &quot;Hausberg&quot;"/>
        <s v="Soyuducu / 800x480mm / vertikal / 1 kameralı / &quot;Arçelik&quot;"/>
        <s v="Masa / metal / 3050x760mm"/>
        <s v="Masa / ofis / 1420x700mm"/>
        <s v="Dolab / sənəd / 500x910mm"/>
        <s v="Dispenser / su / &quot;Orvica&quot;"/>
        <s v="Soyuducu / horizontal / 630x1000mm"/>
        <s v="Masa / plastik / 790x1290mm"/>
        <s v="Yazı lövhəsi / 1000x1400mm"/>
        <s v="Oturacaq / plastik"/>
        <s v="Oturacaq / parça"/>
        <s v="Termos"/>
        <s v="Soyuducu / 157x600mm / vertikal / 2 kameralı"/>
        <s v="Su qızdırıcı / elektrik / 250 litr"/>
        <s v="Soyuducu / vertikal / 2 kameralı / &quot;İndesit&quot;"/>
        <s v="Soba dolabı / qaz / 3 plitəli"/>
        <s v="Soyuducu / vertikal / &quot;Dixell&quot;"/>
        <s v="Masa / 700x2700mm"/>
        <s v="Qazan / d 400mm / alüminium"/>
        <s v="Qazan / d 340mm / alüminium"/>
        <s v="Ləğən (taz) / d 500mm / alüminium"/>
        <s v="Ləğən (taz) / d 520mm / alüminium"/>
        <s v="Doğrayıcı / qida / mexaniki"/>
        <s v="Dolab / 2 qapılı/ 690x680mm"/>
        <s v="Masa / metal / 165x59mm"/>
        <s v="Masa / metal / 740x980mm"/>
        <s v="Mətbəx çanağı (moyka) / emallı / 800x800mm"/>
        <s v="Rəf / 940x430mm / 3 pilləli"/>
        <s v="Masa / ofis / 690x1330mm"/>
        <s v="Samovar / mətbəx üçün"/>
        <s v="Dolab / sənəd / 800x1800mm"/>
        <s v="Taxeometr / geodeziya cihazı"/>
        <s v="Planşet / taxeometr üçün"/>
        <s v="Sayğac / Elektrik / 3*100A LUN23 /LUNA"/>
        <s v="Bolt-qayka / M 20 / L 70 mm"/>
        <s v="Bolt / M 10 /L 25 / altıkünc"/>
        <s v="Pauk / diyircəkli yastıq üçün"/>
        <s v="Jilet / sarı/ sadə"/>
        <s v="Çəkmə / qısa boğaz / 44 / &quot;YDS&quot;"/>
        <s v="Çəkmə / qısa boğaz / 42 / &quot;YDS&quot;"/>
        <s v="Ayaqqabı / qısa boğaz / 42 / &quot;Dingoi&quot; 90050142"/>
        <s v="Eynək / qara / 3M358"/>
        <s v="Jilet / sarı-narıncı / briqadir üçün"/>
        <s v="Valik / 25-lik &quot;YAP&quot;"/>
        <s v="Valik / 20-lik &quot;Defne&quot;"/>
        <s v="Skoç / kağız / 31"/>
        <s v="Qaynaq çubuğu (elektrod) / 3 / &quot;Azkaynak&quot;"/>
        <s v="Əlcək / sarı"/>
        <s v="Fırça / N143 (şotka pas qara)"/>
        <s v="Yiyə / üçkünc / böyük"/>
        <s v="Yiyə / yastı / böyük"/>
        <s v="Fırça / 2-lik / (kist)"/>
        <s v="Fırça / 4-lik / (kist)"/>
        <s v="Boya / sintetik / parlaq / boz / 2.5 kq / &quot;FAB&quot;"/>
        <s v="Boya / sintetik / parlaq / qırmızı / 2.5 kq / &quot;FAB&quot;"/>
        <s v="Boya / sintetik / antipas / boz / 23.5 kq / &quot;FAB&quot;"/>
        <s v="Boya / sintetik / parlaq / ağ / 2.5 kq / &quot;FAB&quot;"/>
        <s v="Strec / 300 P/6"/>
        <s v="Tiner / 2.5 L / &quot;FAB&quot;"/>
        <s v="Boya / sintetik / parlaq / sarı / 17 kq / &quot;FAB&quot;"/>
        <s v="Metçik açarı / 10"/>
        <s v="Metçik açarı / 14"/>
        <s v="Metçik açarı / 12"/>
        <s v="Metçik açarı"/>
        <s v="Bolt / altıkünc / qara / kiçik"/>
        <s v="Məməcik / yağlama"/>
        <s v="Profil / 4x4 / metal"/>
        <s v="Profil / 2x4 / metal"/>
        <s v="Profil / 2x2 / metal"/>
        <s v="Valik başlığı"/>
        <s v="Valik / 10sm"/>
        <s v="Cəftə / metal / qapı üçün"/>
        <s v="Qapı qulpu / metal"/>
        <s v="Qapı üzlüyü / iç"/>
        <s v="Şurup / samorez"/>
        <s v="Boya / antipas / 17kq"/>
        <s v="Tiner / 2.5 kq"/>
        <s v="Tutqaç / elektrod üçün"/>
        <s v="Fırça / 2 / boya"/>
        <s v="Fırça / 3 / boya"/>
        <s v="Skoç / kağız"/>
        <s v="Laqonda / d 115 mm"/>
        <s v="Metrə / 5m"/>
        <s v="Boya / antipas / boz / 2.5 kq"/>
        <s v="Valik / 20sm"/>
        <s v="Bide başlığı"/>
        <s v="Fırça / 1 / boya"/>
        <s v="Boya / qara"/>
        <s v="Boya / 1 L"/>
        <s v="Disc / kəsici / d 230mm"/>
        <s v="Disc / kəsici / d 115mm"/>
        <s v="Elektrik plitəsi / 2 gözlü"/>
        <s v="Başlıq (nasadka) / cilalayıcı kağız üçün"/>
        <s v="WD 40"/>
        <s v="Metrə / 3m"/>
        <s v="Qayka açar dəsti"/>
        <s v="Qayka açarı / 10"/>
        <s v="Qayka açarı / 13"/>
        <s v="Kəlpətin / kəsən"/>
        <s v="Qapı petlyası"/>
        <s v="Cəftə"/>
        <s v="Bolt"/>
        <s v="Boya"/>
        <s v="Elektrik üçlük (kalot)"/>
        <s v="Solidol"/>
        <s v="Qaynaq çubuğu (elektrod) / 3 / sabit / &quot;Azkaynak&quot;"/>
        <s v="Əlcək / qaynaqçı"/>
        <s v="Disk / kəsən / d 230mm"/>
        <s v="Disk / cilalayıcı / d 230mm"/>
        <s v="Çəkic / 2 kq"/>
        <s v="Qaynaq çubuğu (elektrod) / 4"/>
        <s v="Kaska / qaynaqçı"/>
        <s v="Qoruyucu şüşə / qaynaqçi kaskası üçün"/>
        <s v="Bıçaq / oboy / N115"/>
        <s v="Kömür / laqonda üçün / &quot;Conan&quot;"/>
        <s v="Potric uzatma prizi / 5x32A / 225"/>
        <s v="MİQRİK XCK-J108 POTRİC"/>
        <s v="Kabel / 2x2.5 / NEXANS H07VV-F 0,6/1 KV"/>
        <s v="Kabel / 2x4 / NEXANS H07VV-F 0,6/1 KV"/>
        <s v="TAYRAP / 5x250 / QARA"/>
        <s v="Ucluq / mis / DT95"/>
        <s v="Press 120"/>
        <s v="Projektor / led / 100 Vt / mini"/>
        <s v="Potric / 5x32A / FİŞ 025"/>
        <s v="Siyirtmə /d 110mm / kürəvi"/>
        <s v="Tesar/Victaulic bağlantı"/>
        <s v="Generator / 205 kVA / &quot;Genpower&quot;"/>
        <s v="Karot ucu / perforator üçün / 40mm"/>
        <s v="Su pompası / d 76mm / 6.6 kVt / H 28metr / &quot;Grindex&quot; / 0940147"/>
        <s v="Generator / dizel / 50 kvA / &quot;Genpower&quot;"/>
        <s v="Mouse-Keyboard / wireless / &quot;DELL&quot; KM3322W"/>
        <s v="Notebook / 16GB / 512GB / SSD 6GB / &quot;HP&quot; VİCTUS 15-FA2082 WM i5-1342OH"/>
        <s v="Çanta / notebook üçün / &quot;HP&quot; Prelude 15.6&quot; TOP LOAD"/>
        <s v="Bel sapı"/>
        <s v="Jilet / fəhlə"/>
        <s v="Disk / d 230mm / nerj nazik"/>
        <s v="İzolyasiya lenti / 25m / qara"/>
        <s v="Yanmış məftil"/>
        <s v="Kəlbətin / N7"/>
        <s v="Kəsər / sadə / çin"/>
        <s v="Kəsər sapı / laklı / çin"/>
        <s v="Lom / 28 (böyük)"/>
        <s v="Disk / d 180  / ataka / &quot;Makita&quot;"/>
        <s v="Bel / 750 qr / çalov"/>
        <s v="Bel / 750 qr / düz"/>
        <s v="Metrə / 10m / rezin N142"/>
        <s v="Metrə / 30m / ruletka N69"/>
        <s v="Fənər / 013"/>
        <s v="Qoruyucu şüşə / qara / kaska üçün"/>
        <s v="Lent / təhlükəsizlik / 200m"/>
        <s v="Elektrik üçlük (kalot) / 3 gözlü"/>
        <s v="Sututucu bant / AK 20/2"/>
        <s v="Kran / arko / d 15mm / latun"/>
        <s v="Suqarışdırıcı (smesitel) / duş CA 5"/>
        <s v="Duş sepi / 120 fora"/>
        <s v="Şlanq / moyka 60 / ziko"/>
        <s v="Bolt / D-232"/>
        <s v="Fırça / metal / 2.5 inch / laqonda üçün / saçaq"/>
        <s v="Fırça / metal / 4 inch / laqonda üçün / cod"/>
        <s v="Suqarışdırıcı (smesitel) / aftaxa Z62B"/>
        <s v="EL-Bİ Üst 1R"/>
        <s v="Lampa / spot tənzimlənən / 3D 24 Vt / ağ / kvadrat"/>
        <s v="Əl-üz yüyan (Umıvalnik) / orta"/>
        <s v="Elektrik çəngəli (vilka) / qulplu 258"/>
        <s v="Kağız / A4 / 80qr / 500 vərəq / &quot;Assis&quot;"/>
        <s v="Sim / stepler üçün / 58mm / 24/6 / (1000 əd)"/>
        <s v="Çay / 450qr / &quot;Azərçay&quot;"/>
        <s v="Qənd / &quot;Azərşəkər&quot;"/>
        <s v="Qələm / qara / &quot;Assis&quot;"/>
        <s v="Qələm / qırmızı / &quot;Assis&quot;"/>
        <s v="Qələm / göy / &quot;Assis&quot;"/>
        <s v="Qələm / qırmızı / i-9095&quot;Assis&quot;"/>
        <s v="Batareya / AAA4 / &quot;Varta&quot; / Superlife"/>
        <s v="Marker / mavi / &quot;Oyal&quot;"/>
        <s v="Paket / polietilen / extra"/>
        <s v="Təmizlik bezi / 20 pic. / &quot;Merry&quot;"/>
        <s v="Zərf / 110x220mm / &quot;İnci&quot;"/>
        <s v="Paket / polietilen"/>
        <s v="Jalyuz / parça"/>
        <s v="Laqonda / 180/230/2000Vt / &quot;Dingoi&quot; / JB02401"/>
        <s v="Laqonda / 125/1220V / &quot;Dingoi&quot; / 101090"/>
        <s v="Disk / kəsici / d 230 mm / 3.2 / laqonda üçün / &quot;Grassland&quot;"/>
        <s v="Disk / kəsici / d 125 mm / 2.5 / laqonda üçün / &quot;Grassland&quot;"/>
        <s v="Araba / qaynaqlı BM"/>
        <s v="Vedrə / plastik / 14L / BM"/>
        <s v="Çəkmə / qısa boğaz / 40 / &quot;YDS&quot;"/>
        <s v="Çəkmə / qısa boğaz / 43 / &quot;YDS&quot;"/>
        <s v="Ayaqqabı / qısa boğaz / 41 / &quot;Dingoi&quot; 90050141"/>
        <s v="Ayaqqabı / 40 / &quot;Dingoi&quot; 95240"/>
        <s v="Jilet / sarı-göy / sepli / mühəndis üçün / XL / &quot;EMİRHAN&quot;"/>
        <s v="Jilet / sepli"/>
        <s v="Projektor / panel ilə / 120 Vt / AB-T8120"/>
        <s v="Vintaçan / 7 pcs / 68602"/>
        <s v="Külüng sapı"/>
        <s v="Boya / sprey / qərmızı"/>
        <s v="Elektrik uzadıcı / 5 metr"/>
        <s v="Yapışdırıcı / fabkim standart / 25 kq"/>
        <s v="Sement / M400 / Norm"/>
        <s v="Yağ / 15w40 / 1L / Lubex Primus EC"/>
        <s v="Bitum / Rus"/>
        <s v="Arxiv qovluğu / ensiz / göy"/>
        <s v="Sənəd rəfi / 3-lü / DG 2001 HF J2"/>
        <s v="Texmarker / A178 / narıncı"/>
        <s v="Texmarker / A178 / mavi"/>
        <s v="Texmarker / A178 / yaşıl"/>
        <s v="Texmarker / A178 / sarı"/>
        <s v="Delgec / kağızdeşən / A101"/>
        <s v="Dosya qovluğu / telli / mavi"/>
        <s v="Qısqac / A182"/>
        <s v="Burğu / 22"/>
        <s v="Burğu / 24"/>
        <s v="Kömür / laqonda üçün / &quot;Bosch&quot;"/>
        <s v="Disk / kəsici / d 230x1,9 mm"/>
        <s v="Kəndir / alpenist"/>
        <s v="İzolent"/>
        <s v="İp / göy"/>
        <s v="Çəllək (Boçka) / 200 L"/>
        <s v="Su pompası / dalğıc / d 76 mm / 1500 Vt / 2860 d/d / 6 metr / &quot;Dingoi&quot; Çin istehsalı"/>
        <s v="Yanğınsöndürmə şlanqı / d 76mm"/>
        <s v="Xomut / plastik / 76x9,2 mm / türk"/>
        <s v="Metal lövhə / 20 mm / 1500x6000 / Cт3сп"/>
        <s v="Bitum / Azmas"/>
        <s v="Stepler / 14"/>
        <s v="Stepler simi / 14"/>
        <s v="Silikon"/>
        <s v="Silikon tapancası"/>
        <s v="Yapışdırıcı / kontakt"/>
        <s v="Təbaşir"/>
        <s v="Disk / cilalayıcı / d 230 mm / lagonda üçün"/>
        <s v="Bel / çalov"/>
        <s v="Bel / düz"/>
        <s v="Çəkic / 1 kq"/>
        <s v="Projektor / led / 100 Vt"/>
        <s v="Projektor / led / 50 Vt"/>
        <s v="İzolent / qara"/>
        <s v="Vintaçan dəsti / 4 pcs / N56"/>
        <s v="Elektrik vilka / 702"/>
        <s v="Disk / kəsici / d 230x1,9 mm / &quot;Klingspor&quot;"/>
        <s v="Bitum"/>
        <s v="Kabel / 3*25+1*16 / &quot;NEXANS&quot; H07VV-F / 0.6/1KV"/>
        <s v="Ucluq / mis / DT25"/>
        <s v="Reduktor / oksiqen / &quot;Yıldız&quot; 5401SR"/>
        <s v="Reduktor / propan / &quot;Yıldız&quot; 5120"/>
        <s v="Odla kəsici (Rezak) / &quot;Yıldız&quot; 4512-460"/>
        <s v="Əks klapan / oksiqen / &quot;Yıldız&quot; 1030"/>
        <s v="Əks klapan / propan / &quot;Yıldız&quot; 1130"/>
        <s v="Kıapan / LPG / &quot;Yıldız&quot; 1118"/>
        <s v="Kıapan / oksiqen / &quot;Yıldız&quot; 1128"/>
        <s v="Kabel / 1*35 KQ / H07RR-F /450/750V"/>
        <s v="Maska / sadə / şüşəli"/>
        <s v="Tutucu (Derjatel) / model : 600A"/>
        <s v="Qaynaq razyomu / 35-50mm"/>
        <s v="Boya / antipas / 1 kq"/>
        <s v="Diş / orta / JCB mini ekskavator üçün"/>
        <s v="Köpük / montaj"/>
        <s v="Boya / antipas / ağ"/>
        <s v="Boya / antipas / boz"/>
        <s v="Kəndir"/>
        <s v="Şveller / 80"/>
        <s v="Açar / krokodil tipli"/>
        <s v="Keçid (perexod)"/>
        <s v="Ştuser / 32"/>
        <s v="Künclük (uqolnik)"/>
        <s v="Ştuser / 19"/>
        <s v="R15-12 3609M"/>
        <s v="R15-12 2009M"/>
        <s v="R15-12 1159M"/>
        <s v="Boru / d 25 mm"/>
        <s v="S25 mma"/>
        <s v="Qayka / S25"/>
        <s v="L12"/>
        <s v="R15-12 1159M / 2-ci"/>
        <s v="Açar / qayka / 50 x 55"/>
        <s v="Fırça / metal / 4 inch / laqonda üçün / saçaq"/>
        <s v="Metrə / 5m / rezin N89"/>
        <s v="Burğu / 8 x 210 mm"/>
        <s v="Bolt-qayka / JCB üçün"/>
        <s v="Yağ / hidravlik / HLP68"/>
        <s v="Klema başlığı / T038"/>
        <s v="Əks klapan / hidravlik"/>
        <s v="Filtr / hidravlik"/>
        <s v="Pəstah / kauçuk"/>
        <s v="Araqatı (salnik)"/>
        <s v="Profil / metal / 2x4mm"/>
        <s v="Armatur / F10, L-12, A500"/>
        <s v="Armatur / F14, L-12, A500"/>
        <s v="Armatur / F16, L-12, A500"/>
        <s v="Armatur / F20, L-12, A500"/>
        <s v="Metrik / TE-O.B"/>
        <s v="Metrik / BSP"/>
        <n v="0" u="1"/>
      </sharedItems>
    </cacheField>
    <cacheField name="Giriş miqdarı" numFmtId="0">
      <sharedItems containsSemiMixedTypes="0" containsString="0" containsNumber="1" minValue="0" maxValue="553"/>
    </cacheField>
    <cacheField name="Çıxış miqdarı" numFmtId="0">
      <sharedItems containsSemiMixedTypes="0" containsString="0" containsNumber="1" containsInteger="1" minValue="0" maxValue="20" count="12">
        <n v="0"/>
        <n v="1"/>
        <n v="2"/>
        <n v="4"/>
        <n v="5"/>
        <n v="6"/>
        <n v="10"/>
        <n v="20"/>
        <n v="3"/>
        <n v="12"/>
        <n v="8"/>
        <n v="13"/>
      </sharedItems>
    </cacheField>
    <cacheField name="Növü" numFmtId="0">
      <sharedItems containsBlank="1" count="6">
        <s v="Satınalma"/>
        <s v="Əvvələ qalıq"/>
        <s v="Yerdəyişmə"/>
        <s v="Silinmə"/>
        <s v="Sahəyə"/>
        <m/>
      </sharedItems>
    </cacheField>
    <cacheField name="Kontragentin / Layihənin adı" numFmtId="0">
      <sharedItems containsBlank="1" count="9">
        <s v="Kommersiya şirkəti"/>
        <s v="Əvvələ anbar qalığı"/>
        <s v="Xocahəsən anbar"/>
        <s v="Nağd alış"/>
        <s v="Sahə üzrə məsul şəxs"/>
        <s v="Astara anbar"/>
        <s v="Ələt anbar"/>
        <s v="Astara"/>
        <m u="1"/>
      </sharedItems>
    </cacheField>
    <cacheField name="Anbar adı" numFmtId="0">
      <sharedItems containsBlank="1" count="4">
        <s v="Ələt"/>
        <s v="Astara"/>
        <s v="Xocahəsən"/>
        <m u="1"/>
      </sharedItems>
    </cacheField>
    <cacheField name="Anbar qalığı" numFmtId="0">
      <sharedItems containsSemiMixedTypes="0" containsString="0" containsNumber="1" minValue="-20" maxValue="553"/>
    </cacheField>
  </cacheFields>
  <extLst>
    <ext xmlns:x14="http://schemas.microsoft.com/office/spreadsheetml/2009/9/main" uri="{725AE2AE-9491-48be-B2B4-4EB974FC3084}">
      <x14:pivotCacheDefinition pivotCacheId="188714344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1.590187499998" backgroundQuery="1" createdVersion="8" refreshedVersion="8" minRefreshableVersion="3" recordCount="1225" xr:uid="{DE7BC6F3-966B-4CB0-AFAF-B1422B0B2659}">
  <cacheSource type="external" connectionId="7"/>
  <cacheFields count="4">
    <cacheField name="Malın adı" numFmtId="0">
      <sharedItems containsBlank="1" count="1326">
        <s v="Fırça / N143 (şotka pas qara)"/>
        <s v="Qıfıl / VAZ"/>
        <s v="Bıçaq / oboy / N115"/>
        <s v="Qıfıl / Extra 70"/>
        <s v="Projektor / led / 200 Vt"/>
        <s v="Lampa / 12 Vt / ağ / kürəvi"/>
        <s v="Əlcək / göy"/>
        <s v="Metrə / 10m / &quot;Fisko&quot; / N88"/>
        <s v="Araba təkəri"/>
        <s v="Filtr/ yağ/ ZP3375 MG/ &quot;FİL&quot;/Türkiyə istehsalı"/>
        <s v="Filtr/ yağ/ ZP520/ &quot;FİL&quot;/Türkiyə istehsalı"/>
        <s v="Kömür / laqonda üçün / &quot;Conan&quot;"/>
        <s v="Kabel qoruyucu gövdə / alüminium / kontaktor üçün"/>
        <s v="Potric uzatma prizi / 5x32A / 225"/>
        <s v="Gərginlik sabitləşdiricisi / 1 faza / &quot;ANDELİ&quot; / SVC-200000VA"/>
        <s v="MİQRİK XCK-J108 POTRİC"/>
        <s v="Elektrik lövhə / 550x800mm / metal"/>
        <s v="Kabel / 2x2.5 / NEXANS H07VV-F 0,6/1 KV"/>
        <s v="Kabel qoruyucu gövdə / alüminium / kontaktor ilə"/>
        <s v="Kabel / 2x4 / NEXANS H07VV-F 0,6/1 KV"/>
        <s v="Filtr/ yağ/ ZP540 A/ &quot;FİL&quot;/Türkiyə istehsalı"/>
        <s v="TAYRAP / 5x250 / QARA"/>
        <s v="Laboratoriya sınaq qabları / podnos tipli / paslanmaz metal"/>
        <s v="Ucluq / mis / DT95"/>
        <s v="Laboratoriya sınaq qabları / kolba / plastik"/>
        <s v="Press 120"/>
        <s v="Filtr/ yanacaq/ PL 270 / &quot;SCT&quot; / Turbomax"/>
        <s v="Projektor / led / 100 Vt / mini"/>
        <s v="Filtr/ yanacaq/ ZP3043 FMB/ &quot;FİL&quot;/Türkiyə istehsalı"/>
        <s v="Potric / 5x32A / FİŞ 025"/>
        <s v="Filtr/ yağ/ ZP531/ &quot;FİL&quot;/Türkiyə istehsalı"/>
        <s v="Filtr/ yanacaq/ ZP8048 FP/ &quot;FİL&quot;/Türkiyə istehsalı"/>
        <s v="Filtr/ yanacaq/ ZP8003 FM/ &quot;FİL&quot;/Türkiyə istehsalı"/>
        <s v="Filtr/ yağ/ ML1517/ &quot;FİL&quot;/Türkiyə istehsalı"/>
        <s v="Filtr/ yanacaq/ MFE1593/ &quot;FİL&quot;/Türkiyə istehsalı"/>
        <s v="Filtr/ yanacaq/ MFE1489/ &quot;FİL&quot;/Türkiyə istehsalı"/>
        <s v="Filtr/ yağ/ ZP 24 C/ &quot;FİL&quot;/Türkiyə istehsalı"/>
        <s v="Filtr/ yanacaq/ TF1480/ &quot;FİL&quot;/Türkiyə istehsalı"/>
        <s v="Filtr/ hava/ MLE 1606/ &quot;FİL&quot;/Türkiyə istehsalı"/>
        <s v="Filtr/ kabin/ HC 7265/ &quot;FİL&quot;/Türkiyə istehsalı"/>
        <s v="Filtr/ yanacaq/ WK712\2/ &quot;MANN&quot;/ Almaniya istehsalı"/>
        <s v="Filtr/ yağ/ W11102\35/ &quot;MANN&quot;/ Almaniya istehsalı"/>
        <s v="Filtr/ yanacaq/ P917\2 X/ &quot;MANN&quot;/ Almaniya istehsalı"/>
        <s v="Filtr/ yağ/ W610\3/ &quot;MANN&quot;/ Almaniya istehsalı"/>
        <s v="Filtr/ yağ/ 61000070005H/ &quot;WEICHAI&quot;/ Çin istehsalı"/>
        <s v="Filtr/ hava/ DR5122 B/ &quot;Delsa&quot;/Türkiyə istehsalı"/>
        <s v="Filtr/ yağ/ DS1307/ &quot;Delsa&quot;/Türkiyə istehsalı"/>
        <s v="Filtr/ yanacaq/ DS1430F/ &quot;Delsa&quot;/Türkiyə istehsalı"/>
        <s v="Filtr/ yağ/ DS1068MG/ &quot;Delsa&quot;/Türkiyə istehsalı"/>
        <s v="Filtr/ yağ/ CS1416/ &quot;Sampion&quot;/Türkiyə istehsalı"/>
        <s v="Filtr/ yanacaq/ CS0169M/ &quot;Sampion&quot;/Türkiyə istehsalı"/>
        <s v="Filtr/ yanacaq/ CS1439M/ &quot;Sampion&quot;/Türkiyə istehsalı"/>
        <s v="Filtr/ yanacaq/ CS1589M/ &quot;Sampion&quot;/Türkiyə istehsalı"/>
        <s v="Filtr/ yanacaq/ CE1366MEX L/ &quot;Sampion&quot;/Türkiyə istehsalı"/>
        <s v="Filtr/ yanacaq/ CS1430MVL/ &quot;Sampion&quot;/Türkiyə istehsalı"/>
        <s v="Filtr/ yağ/ CS1521/ &quot;Sampion&quot;/Türkiyə istehsalı"/>
        <s v="Filtr/ yağ/ CS0038/ &quot;Sampion&quot;/Türkiyə istehsalı"/>
        <s v="Filtr/ yağ/ CS1558/ &quot;Sampion&quot;/Türkiyə istehsalı"/>
        <s v="Filtr/ yağ/ B7033/ &quot;Baldwin&quot;/ABŞ istehsalı"/>
        <s v="Filtr/ yağ/ B7259/ &quot;Baldwin&quot;/ABŞ istehsalı"/>
        <s v="Filtr/ yağ/ SP401/ &quot;ASAS&quot;/ Türkiyə istehsalı"/>
        <s v="Filtr/ yanacaq/ F323045/ &quot;Atom&quot;/ Türkiyə istehsalı"/>
        <s v="Filtr/ yanacaq/ F323072/ &quot;Atom&quot;/ Türkiyə istehsalı"/>
        <s v="Filtr/ yağ/ ON1024C/ &quot;ONFIL&quot;/ Türkiyə istehsalı"/>
        <s v="Filtr/ hidravlik/ H1129/ &quot;Bavaria&quot;/ Türkiyə istehsalı"/>
        <s v="Filtr/ hidravlik/362-1163/ &quot;CAT&quot;/ ABŞ istehsalı"/>
        <s v="Filtr/ hava/ 252-5002/ &quot;CAT&quot;/ ABŞ istehsalı"/>
        <s v="Filtr/ hava/ C 15248/ SHF 500/ &quot;TUC&quot;/ Çin istehsalı"/>
        <s v="Filtr/ hava/ HP 2527/ &quot;FİL&quot;/ Türkiyə istehsalı"/>
        <s v="Filtr/ hava/ HP 2528/ &quot;FİL&quot;/ Türkiyə istehsalı"/>
        <s v="Filtr/ hava/ P53-2474/ &quot;Donaldson&quot;/ İngiltərə istehsalı"/>
        <s v="Filtr/ hava/ P53-2473/ &quot;Donaldson&quot;/ İngiltərə istehsalı"/>
        <s v="Filtr/ hava/ 32/925682/ &quot;JCB&quot;/ Çexiya istehsalı"/>
        <s v="Filtr/ hava/ SHF 5004/ 5005/ &quot;Sure&quot;/ ABŞ istehsalı"/>
        <s v="Filtr/ hava/ L2579 P/ &quot;GSP&quot;/ Çin istehsalı"/>
        <s v="Filtr/ hava/ F15190/ &quot;Atom&quot;/ Türkiyə istehsalı"/>
        <s v="Filtr/ hava/ AF 1822/ &quot;TUC&quot;/ Çin istehsalı"/>
        <s v="Filtr/ hava/ SHF 365/ &quot;TUC&quot;/ Çin istehsalı"/>
        <s v="Filtr/ hava/ C13103/ &quot;TUC&quot;/ Çin istehsalı"/>
        <s v="Filtr/ yanacaq/ 6754-71-6140/ &quot;Komatsu&quot;/ Yaponiya istehsalı"/>
        <s v="Filtr/ yanacaq/ FC-1003/ &quot;Sakura&quot;/ İndoneziya istehsalı"/>
        <s v="Filtr/ yağ/ P554403/ &quot;Donaldson&quot;/ Meksika istehsalı"/>
        <s v="Filtr/ yağ/ SP450/ &quot;Asas&quot;/ Türkiyə istehsalı"/>
        <s v="Filtr/ hidravlik/ P550148/ &quot;Donaldson&quot;/ İtaliya istehsalı"/>
        <s v="Filtr/ yanacaq/ P551315/ &quot;Donaldson&quot;/ ABŞ istehsalı"/>
        <s v="Filtr/ yağ/ P550008/ &quot;Donaldson&quot;/ ABŞ istehsalı"/>
        <s v="Filtr/ yağ/ ZP 3375 MG/ &quot;Fil&quot;/ Türkiyə istehsalı"/>
        <s v="Filtr/ yağ/ DS 1169/ &quot;Delsa&quot;/ Türkiyə istehsalı"/>
        <s v="Filtr/ yağ/ BT 8417/ &quot;Baldwin&quot;/ ABŞ istehsalı"/>
        <s v="Filtr/ hidravlik/ HF 6359/ &quot;Fleetguard&quot;/ ABŞ istehsalı"/>
        <s v="Filtr/ hidravlik/ HF 35018/ &quot;Fleetguard&quot;/ ABŞ istehsalı"/>
        <s v="Filtr/ su separatoru/ FS 1240/ &quot;Fleetguard&quot;/ Meksika istehsalı"/>
        <s v="Filtr/ yanacaq/ FF167/ &quot;Fleetguard&quot;/ Türkiyə istehsalı"/>
        <s v="Filtr/ yanacaq/ FF5089/ &quot;Fleetguard&quot;/ ABŞ istehsalı"/>
        <s v="Filtr / hava / DR 5182 R / &quot;Delsa&quot; / Türkiyə istehsalı"/>
        <s v="Filtr / hava / CR 0237 / 0238 / &quot;Sampiyon&quot; / Türkiyə istehsalı"/>
        <s v="Filtr / hava / CR 0091 / 0092 / &quot;Sampiyon&quot; / Türkiyə istehsalı"/>
        <s v="Filtr / hava / CR 0037 / 0038 / &quot;Sampiyon&quot; / Türkiyə istehsalı"/>
        <s v="Filtr / hava / 321-4302/ &quot;CAT&quot; 315 üçün / &quot;CAT&quot; / ABŞ istehsalı /  1"/>
        <s v="Termostat / 235-4960 X / &quot;CAT&quot; / ABŞ istehsalı"/>
        <s v="Filtr / hava / əl kompakteri üçün / Çin istehsalı"/>
        <s v="Filtr / yanacaq / CR 091 C 25 R / &quot;OMT&quot; / İtaliya istehsalı"/>
        <s v="Filtr / yanacaq / FF 5381 / &quot;Fleetguard&quot; / İtaliya istehsalı"/>
        <s v="Filtr / hava / 3466687 / &quot;Turbomax&quot; / Çin istehsalı"/>
        <s v="Filtr / hava / 3466688 / &quot;Turbomax&quot; / Çin istehsalı"/>
        <s v="Mufta / polietilen / elektrofizyon / d 63mm / 30V / &quot;NTG&quot; / Türkiyə istehsalı"/>
        <s v="Mufta / polietilen / elektrofizyon / d 63mm / 30V / &quot;Borfit&quot; / Türkiyə istehsalı"/>
        <s v="Mufta / polietilen / elektrofizyon / d 63mm / 40V / &quot;Dokerler&quot; / Türkiyə istehsalı"/>
        <s v="Mufta / polietilen / elektrofizyon / d 50mm / 35V / &quot;Borfit&quot; / Türkiyə istehsalı"/>
        <s v="Xamut / polietilen / elektrofizyon / d 63mm / &quot;Georg Fisher&quot; / İsveçrə istehsalı"/>
        <s v="Keçid / polietilen / d 63-50mm"/>
        <s v="Qapaq / polietilen / d 110mm / &quot;Borfit&quot;/ Türkiyə istehsalı"/>
        <s v="Üçlük / polietilen / d 63-32mm / &quot;Borfit&quot;/ Türkiyə istehsalı"/>
        <s v="Dirsək / polietilen / d 63mm"/>
        <s v="Dirsək / polietilen / d 160mm / &quot;Tega&quot; / Türkiyə istehsalı"/>
        <s v="Üçlük / PVC-UH / d 160mm / &quot;Pimtaş&quot; / Türkiyə istehsalı"/>
        <s v="Birləşdirici / polietilen / çöl yivli / d 63mm / Türkiyə istehsalı"/>
        <s v="Üçlük / PVC / d 110mm / &quot;Hill FUN&quot; / Türkiyə istehsalı"/>
        <s v="Dirsək / polietilen / d 32mm / &quot;Borfit&quot; / Türkiyə istehsalı"/>
        <s v="Üçlük / polietilen / d 32mm / &quot;Borfit&quot; / Türkiyə istehsalı"/>
        <s v="Birləşdirici / polietilen / çöl yivli / d 32mm / &quot;Borfit&quot; / Türkiyə istehsalı"/>
        <s v="Qapaq / polietilen / d 32mm / &quot;Borfit&quot; / Türkiyə istehsalı"/>
        <s v="Su filtri / d 20 mm / polipropilen / A"/>
        <s v="Qapaq / polipropilen / d 20 mm / Metal / Türkiyə"/>
        <s v="Mufta / d 20 mm / polipropilen / A"/>
        <s v="Tıxac/ vint üçün/ 10 mm/ plastik/ &quot;Metak&quot;"/>
        <s v="Tıxac/ vint üçün/ 8 mm/ plastik/ &quot;Metak&quot;"/>
        <s v="İzolyasiya materialı / boru üçün / PE / &quot;Qingdao&quot;/ Çin istehsalı"/>
        <s v="Elektrik soket /16 Amp / IP44 / Type 114 / &quot;Botric&quot;/ Türkiyə istehsalı"/>
        <s v="Elektrik soket/ 16 Amp/ IP44/ Type 014/ &quot;Botric&quot;/ Türkiyə istehsalı"/>
        <s v="Elektrik soket/ 63 Amp/ IP67/ Type 234/ &quot;Botric&quot;/ Türkiyə istehsalı"/>
        <s v="Doldurma tapançası/ 600ml"/>
        <s v="Cihaz / rütubət ölçən / 160°C / &quot;Radwag&quot; / MA 50.R / Polşa istehsalı"/>
        <s v="Qum saatı"/>
        <s v="İp / kapron / tikinti"/>
        <s v="Qutu / plastik / su sayğacı üçün"/>
        <s v="Monitor / kompüter üçün / 23,8 inch / &quot;Dell&quot; / SE2416H / Çin istehsalı"/>
        <s v="Monitor / kompüter üçün / 21,45 inch / &quot;HP&quot; / V2265 / Çin istehsalı"/>
        <s v="Monitor / kompüter üçün / 17 inch / &quot;Sony&quot; / SDM-HS74 / Çin istehsalı"/>
        <s v="Monitor / 20 inch / &quot;HP&quot; / HP 2011X / Çin istehsalı"/>
        <s v="Monitor / 18,5 inch / &quot;PHILIPS&quot; / 200V4L / Çin istehsalı"/>
        <s v="TV / 23,6 inch / &quot;LG&quot; / 24MT47V-PZ / Koreya istehsalı"/>
        <s v="Prosessor / T6 / &quot;Zalman&quot;"/>
        <s v="Personal kompüter / Intel Core 2 Duo / &quot;HP&quot; / Compaq DX7400"/>
        <s v="Klaviatura / &quot;A4Tech&quot;"/>
        <s v="Mouse / &quot;A4Tech&quot;"/>
        <s v="Alət / qazma / 1850 Wt / &quot;REMS&quot; / 180010 R220 / Almaniya istehsalı"/>
        <s v="Maklovitsa fırçası"/>
        <s v="Qızdırıcı fen / 2000 Wt / &quot;Raf&quot; / Çin istehsalı"/>
        <s v="Gərginlik tənzimləyicisi (Stabilizator) / 20 kVt / &quot;Andeli&quot; / SVC-2000 VA / Çin istehsalı"/>
        <s v="Printer / &quot;HP&quot; / MFP M181FW / Vyetnam istehsalı"/>
        <s v="Elektrik mişar / 2350 Wt / d 235 mm / &quot;Viktor&quot; /  Çin istehsalı"/>
        <s v="Perforator / &quot;Bosch&quot; / GBH 11 DE / Almaniya istehsalı"/>
        <s v="Pika / 25 x 400 mm / pnevmatik çəkic üçün / Çin istehsalı"/>
        <s v="Təkər / əl arabası üçün"/>
        <s v="Manometr / 10 Bar / &quot;Pakkens&quot; / Türkiyə istehsalı"/>
        <s v="Mişar başlığı dəsti"/>
        <s v="Boya / sprey / mavi / 400 ml / &quot;Grabond&quot; / Çin istehsalı"/>
        <s v="Boya / sprey / göy / 400 ml / &quot;Grabond&quot; / Çin istehsalı"/>
        <s v="Boya / sprey / qırmızı / 400 ml / &quot;Vakko&quot; / Çin"/>
        <s v="Yapışdırıcı / poliuretan / suya davamlı / 600 ml / &quot;APEL&quot; / PA300 / Türkiyə istehsalı"/>
        <s v="Yapışdırıcı / 2 komponentli / 1 kq / &quot;Rema&quot; / Almaniya istehsalı"/>
        <s v="Açar başlığı / 70 mm"/>
        <s v="Açar başlığı / 50 mm"/>
        <s v="Açar başlığı / 36 mm"/>
        <s v="Açar başlığı / 32 mm"/>
        <s v="Açar başlığı / 30 mm"/>
        <s v="Açar başlığı / 15 mm"/>
        <s v="Pompa / təzyiq sınağı / 60 Atm / mexaniki / &quot;Candan&quot; / CM-60 / Türkiyə istehsalı"/>
        <s v="Su pompası / IP 44 / 0,37 kVt / Q=5-30 Litr / H=32metr / &quot;M5&quot; / Çin istehsalı"/>
        <s v="Yanğınsöndürmə lövhəsi / şlanq ilə"/>
        <s v="Filtr / hava / CR 0237 / &quot;Sampiyon&quot; / Türkiyə istehsalı"/>
        <s v="Lazer nivelyatoru / &quot;AGL&quot; / Almaniya istehsalı"/>
        <s v="Burğu / d 14 mm / perforator üçün"/>
        <s v="Burğu / d 18 mm / perforator üçün"/>
        <s v="Kəsər sapı / taxta"/>
        <s v="Künc (gönyə) / 90° / 50sm / tərəzi ilə"/>
        <s v="Printer /ağ-qara / &quot;Xerox&quot; / Phaser 3020BI / Çin istehsalı"/>
        <s v="Printer / ağ-qara / skaner ilə / &quot;Epson&quot; / L3251 / Filippin istehsalı"/>
        <s v="Printer / rəngli / &quot;Epson&quot; / L1300 / İndoneziya istehsalı"/>
        <s v="Printer / rəngli / &quot;Epson&quot; / L850 / İndoneziya istehsalı"/>
        <s v="Printer / rəngli / &quot;HP&quot; / MFP M282 NW / Almaniya istehsalı"/>
        <s v="Printer / ağ-qara / &quot;HP&quot; / P1005 / Vyetnam istehsalı"/>
        <s v="Şlanq / d 50 mm / L 6 metr / beton vibratoru üçün"/>
        <s v="Vibromühərrik / 2,2 kVt / 50 Hz / ZN-70P / Çin istehsalı"/>
        <s v="Qaynaq aparatı / 20-315 mm / plastik muftalar üçün / &quot;Hürner&quot; / HST 300 Easy D / Almaniya istehsalı"/>
        <s v="Filtr / yanacaq / CS 1606 / &quot;Sampiyon&quot; / Türkiyə istehsalı"/>
        <s v="Filtr / yağ / CS 0151 / &quot;Sampiyon&quot; / Türkiyə istehsalı"/>
        <s v="Elektrik yuvası / 16A / qapaqlı / &quot;ENDA&quot; / Türkiyə istehsalı"/>
        <s v="Monitor / 23,8 in / &quot;HP&quot; / HP 24F / Çin istehsalı"/>
        <s v="Yapışdırıcı / PVC-U üçün / 1 kq / &quot;Lebond&quot;"/>
        <s v="Filtr / hava / P500940 / &quot;Donaldson&quot; / Çin istehsalı"/>
        <s v="Texniki maye / AdBlue / EURO 6 / 20 kq / &quot;M-Standart&quot; / Belarus istehsalı"/>
        <s v="Siqnal lenti / SU"/>
        <s v="Klapan / kəpənək / d 150 mm / &quot;FAF&quot; / Türkiyə istehsalı"/>
        <s v="Klapan / kəpənək / d 40 mm / &quot;FAF&quot; / Türkiyə istehsalı"/>
        <s v="Klapan / kəpənək / d 25 mm / &quot;FAF&quot; / Türkiyə istehsalı"/>
        <s v="Elektrik lövhəsi / 2ədəd kontaktor ilə"/>
        <s v="Pompa / təzyiq sınağı / elektrikli / 40 Atm / 6 Litr/dəq / 1,3 kVt / &quot;Rothenberger&quot; / RP PRO 3 / İspaniya istehsalı"/>
        <s v="Nivelyator / optik / &quot;Trade Tools&quot; / Avstraliya istehsalı"/>
        <s v="Nivelyator / optik / &quot;Leica&quot; / NA 730 / İsveçrə istehsalı"/>
        <s v="Printer / ağ-qara / &quot;HP&quot; / MFP M127 FW /  Çin istehsalı"/>
        <s v="Paltaryuyan / 5 kq / &quot;Midea&quot; / MFE50-S802S / Çin istehsalı"/>
        <s v="Filtr / yağ / DE 224 E / &quot;Delsa&quot; / Türk istehsalı"/>
        <s v="Filtr / yanacaq / WK 11046 / &quot;Mann&quot; / Almaniya istehsalı"/>
        <s v="Filtr / yağ / CS 1557 / &quot;Sampiyon&quot; / Türkiyə istehsalı"/>
        <s v="Filtr / yağ / MLE 1606 / &quot;FİL&quot; / Türkiyə istehsalı"/>
        <s v="Filtr / yağ / CS 1558 / &quot;Sampiyon&quot; / Türk istehsalı"/>
        <s v="Filtr / yanacaq / CS 1672 M / &quot;Sampiyon&quot; / Türk istehsalı"/>
        <s v="Gərginlik tənzimləyicisi / 6-7,5 kVt / &quot;Andeli&quot; / SVC-7500 VA / Çin istehsalı"/>
        <s v="Ölçü lenti / geodezik / 50m x 12,5mm / &quot;Hongtu&quot; / Çin istehsalı"/>
        <s v="Kontaktor / 30 kVt-400V /  50-60 Hz / &quot;Telemecanique&quot; / LC1D6511M7 / Fransa istehsalı"/>
        <s v="Printer / A3 / ağ-qara / &quot;Konica Minolta&quot; / bizhub164 / Çin istehsalı"/>
        <s v="UPS/ 1550 Vt / &quot;Mercury&quot; / Maverick 1550/ Çin istehsalı"/>
        <s v="UPS/ 3600 Vt / &quot;Powercom&quot; / Raptor RPT-600A / Çin istehsalı"/>
        <s v="Fırça / 180 x 50 mm"/>
        <s v="Spot / 16 Amp / LED"/>
        <s v="Bra / plastik"/>
        <s v="Disk / cilalayıcı / d 115 mm / lagonda üçün"/>
        <s v="Disk / kəsən / d 350 mm / lagonda üçün"/>
        <s v="Açar / qayka / 22 x 24"/>
        <s v="Açar / qayka / bir tərəfi halqalı / 28"/>
        <s v="Açar / qayka / 19 x 22"/>
        <s v="Açar / qayka / bir tərəfi halqalı / 30"/>
        <s v="Açar / qayka / bir tərəfi halqalı / 32"/>
        <s v="Açar / qayka / iki tərəfi halqalı / 30 x 32"/>
        <s v="Açar / qayka / iki tərəfi halqalı / 36 x 41"/>
        <s v="Açar / qayka / halqalı / 36"/>
        <s v="Açar / qayka / halqalı / 41"/>
        <s v="Açar / qayka / halqalı / 27"/>
        <s v="Kəlbətin / kəsən / dəmiriçi üçün"/>
        <s v="Künc (gönyə) / 90° / 40 sm"/>
        <s v="Qızdırıcı fen / 2000 Wt / &quot;Sonifer&quot; / Çin istehsalı"/>
        <s v="Qaz brülörü / gorelka"/>
        <s v="Burğu / 22 x 800 mm"/>
        <s v="Burğu / 22 x 400 mm"/>
        <s v="Burğu / 22 x 250 mm"/>
        <s v="Burğu / 8 x 120 mm"/>
        <s v="Burğu / 14 x 150 mm"/>
        <s v="Burğu / 25 x 350 mm"/>
        <s v="Mişar / əl"/>
        <s v="Pika / 25 x 250 mm / pnevmatik çəkic üçün"/>
        <s v="Pika / 10 x 200 mm / yastı / perforator üçün"/>
        <s v="Açar / 6 künc / d 12 mm"/>
        <s v="Şlanq / L 50 sm / S/Q üçün"/>
        <s v="Şlanq / L 30 sm / S/Q üçün"/>
        <s v="Şlanq / L 40 sm / S/Q üçün"/>
        <s v="Dirsək / polad / d 57 mm"/>
        <s v="Mişar / lobzik üçün / T244D"/>
        <s v="Dirsək / d 50 mm / polad / flyanslı"/>
        <s v="Mufta / d 50 mm / polipropilen / &quot;Metak&quot;"/>
        <s v="Üçlük / d 25 mm / polipropilen / &quot;Metak&quot;"/>
        <s v="Üçlük / d 32x25 mm / polipropilen / &quot;Metak&quot;"/>
        <s v="Mufta / d 25 mm / polipropilen / &quot;Metak&quot;"/>
        <s v="Qapaq / d 25 mm / polipropilen / &quot;Metak&quot;"/>
        <s v="Dirsək / d 20 mm / 45° / polipropilen / &quot;Metak&quot;"/>
        <s v="Dirsək / d 25 mm / 45° / polipropilen / &quot;Metak&quot;"/>
        <s v="Dirsək / d 25 mm / 90° / polipropilen / &quot;Metak&quot;"/>
        <s v="Dirsək / d 50 mm / 90° / polipropilen / &quot;Metak&quot;"/>
        <s v="Üçlük / d 50 mm / polipropilen / &quot;Metak&quot;"/>
        <s v="Üçlük / d 40 mm / polipropilen / &quot;Metak&quot;"/>
        <s v="Mufta / d 32 mm / polipropilen / bir tərəfi yivli / &quot;Metak&quot;"/>
        <s v="Mufta / d 25 mm / polipropilen / bir tərəfi yivli / &quot;Metak&quot;"/>
        <s v="Sınaq ələyi / ölçü: 10 / laboratoriya üçün / &quot;Jeotest&quot; türkiyə istehsalı"/>
        <s v="Sınaq ələyi / ölçü: 13.2 / laboratoriya üçün / &quot;Jeotest&quot; türkiyə istehsalı"/>
        <s v="Sınaq ələyi / ölçü: 6.3 / laboratoriya üçün / &quot;Jeotest&quot; türkiyə istehsalı"/>
        <s v="Sınaq ələyi / ölçü: 8 / laboratoriya üçün / &quot;Jeotest&quot; türkiyə istehsalı"/>
        <s v="Sınaq ələyi / ölçü: 16 / laboratoriya üçün / &quot;Jeotest&quot; türkiyə istehsalı"/>
        <s v="Sınaq ələyi / ölçü: 25 / laboratoriya üçün / &quot;Jeotest&quot; türkiyə istehsalı"/>
        <s v="Sınaq ələyi / ölçü: 12.5 / laboratoriya üçün / &quot;Jeotest&quot; türkiyə istehsalı"/>
        <s v="Sınaq ələyi / ölçü: 425 / laboratoriya üçün / &quot;Jeotest&quot; türkiyə istehsalı"/>
        <s v="Sınaq ələyi / ölçü: 31.5 / laboratoriya üçün / &quot;Jeotest&quot; türkiyə istehsalı"/>
        <s v="Sınaq ələyi / ölçü: 50 / laboratoriya üçün / &quot;Jeotest&quot; türkiyə istehsalı"/>
        <s v="Sınaq ələyi / ölçü: 4.75 / laboratoriya üçün / &quot;Jeotest&quot; türkiyə istehsalı"/>
        <s v="Sınaq ələyi / ölçü: 1.18 / laboratoriya üçün / &quot;Jeotest&quot; türkiyə istehsalı"/>
        <s v="Sınaq ələyi / ölçü: 500 / laboratoriya üçün / &quot;Jeotest&quot; türkiyə istehsalı"/>
        <s v="Sınaq ələyi / ölçü: 4 / laboratoriya üçün / &quot;Jeotest&quot; türkiyə istehsalı"/>
        <s v="Sınaq ələyi / ölçü: 14 / laboratoriya üçün / &quot;Jeotest&quot; türkiyə istehsalı"/>
        <s v="Sınaq ələyi / ölçü: 22.4 / laboratoriya üçün / &quot;Jeotest&quot; türkiyə istehsalı"/>
        <s v="Sınaq ələyi / ölçü: 600 / laboratoriya üçün / &quot;Jeotest&quot; türkiyə istehsalı"/>
        <s v="Sınaq ələyi / ölçü: 37.5 / laboratoriya üçün / &quot;Jeotest&quot; türkiyə istehsalı"/>
        <s v="Sınaq ələyi / ölçü: 19 / laboratoriya üçün / &quot;Jeotest&quot; türkiyə istehsalı"/>
        <s v="Sınaq ələyi / ölçü: 11.2 / laboratoriya üçün / &quot;Jeotest&quot; türkiyə istehsalı"/>
        <s v="Sınaq ələyi / ölçü: 75 / laboratoriya üçün / &quot;Jeotest&quot; türkiyə istehsalı"/>
        <s v="Sınaq ələyi / ölçü: 300 / laboratoriya üçün / &quot;Jeotest&quot; türkiyə istehsalı"/>
        <s v="Sınaq ələyi / ölçü: 250 / laboratoriya üçün / &quot;Jeotest&quot; türkiyə istehsalı"/>
        <s v="Sınaq ələyi / ölçü: 9.5 / laboratoriya üçün / &quot;Jeotest&quot; türkiyə istehsalı"/>
        <s v="Təbaşir / metal üçün"/>
        <s v="Şüşə / qaynaqçı maskası üçün / qara"/>
        <s v="Şüşə / qaynaqçı maskası üçün / şəffaf"/>
        <s v="Patron / electric"/>
        <s v="Kabel ucluğu / № 2.5"/>
        <s v="Sayğac / elektrik / 3 faza / 4 telli / 10-60 A / &quot;Makel&quot; / Türk istehsalı"/>
        <s v="Xamut / metal-rezin / d 32 mm / kabel və boru üçün"/>
        <s v="Yol nişanı / sürət 10 km/s"/>
        <s v="Çəkic / 3 LB"/>
        <s v="Dolğu / kafel-metlax / 1 kq / fil dişi"/>
        <s v="Spatel / rezin"/>
        <s v="Videokamera / nəzarət / &quot;Multistar&quot; / A"/>
        <s v="Videokamera / nəzarət / color / IR / &quot;Hikvision&quot;"/>
        <s v="Videokamera / nəzarət / color / IR / &quot;DAHUA&quot;"/>
        <s v="Videokamera / nəzarət / color / IR / 87GAHZ271"/>
        <s v="Karot ucu / almaz / 168 x 450 mm"/>
        <s v="Karot ucu / almaz / 160 x 420 mm / &quot;DRT&quot; / Türk istehsalı"/>
        <s v="Karot ucu / almaz / 40 x 450 mm"/>
        <s v="Ölçü qabı / metal /  laboratoriya üçün / 2 litr"/>
        <s v="Ölçü qabı / metal /  laboratoriya üçün / 5 litr"/>
        <s v="Sınaq qəlibi (Proktor) / laboratoriya üçün / d 150 mm / açılan"/>
        <s v="Sınaq qəlibi (Proktor) / laboratoriya üçün / d 100 mm / açılan"/>
        <s v="Elektrik lövhəsi / plastik / 300 x 400 x 165 mm"/>
        <s v="Qurutma sobası / laboratoriya üçün / &quot;Jeotest&quot; / TT 107 / Türkiyə istehsalı"/>
        <s v="Bel / metal"/>
        <s v="Dabilgə / plastik / ağ"/>
        <s v="Dabilgə / plastik / sarı"/>
        <s v="Dabilgə / plastik / qırmızı"/>
        <s v="Dabilgə / plastik / yaşıl"/>
        <s v="Dabilgə / plastik / göy"/>
        <s v="Kəmər / alpinist / 29"/>
        <s v="Keçid / polietilen / xomut tipli / d 63 x 3/4 inch / 16 Atm / yivli / &quot;Poelsan&quot; / Türkiyə istehsalı"/>
        <s v="Keçid / polietilen / xomut tipli / d 110 x 1 inch / 16 Atm / yivli / &quot;Poelsan&quot; / Türkiyə istehsalı"/>
        <s v="Nivelyatorun dayağı / ştativ"/>
        <s v="Geodezik ştativ / üçayaq"/>
        <s v="Ox / geodezik ştativ üçün"/>
        <s v="Xətkeş / nivelyator üçün / 1 metr"/>
        <s v="Karkas / plastik"/>
        <s v="Profil / mayak / metal / 3 metr"/>
        <s v="Profil / H / alüminium / 3 metr"/>
        <s v="Profil / qutu alüminium / 3 metr"/>
        <s v="Su qızdırıcısı / 1.5 kW / 50 litr / &quot;Thermex&quot; / Rusiya istehsalı"/>
        <s v="Ventilyator / yerüstü"/>
        <s v="Trap / plastik / 1 metr / 2 əd. metal baqmaqlıqla / &quot;MUFLE&quot;"/>
        <s v="Armatur fiksatoru / plastik / ulduzvari"/>
        <s v="Karot ucu / almaz / 250 x 450 mm"/>
        <s v="Sıxılmış hava balonu / 300 Bar / maska ilə"/>
        <s v="Keys / plastik / alətlər üçün / boş"/>
        <s v="Keys / metal / alətlər üçün / boş"/>
        <s v="Elektrik soket / 63A / IP67 / Type 234 / &quot;Botric&quot; / Türkiyə istehsalı"/>
        <s v="Elektrik soket / 63A / IP44 / &quot;Bemiş&quot; / Türkiyə istehsalı"/>
        <s v="Elektrik soket / 63A / IP67 / &quot;Bemiş&quot; / Türkiyə istehsalı"/>
        <s v="Elektrik soket / 32A / &quot;STE&quot; / suya davamlı"/>
        <s v="Elektrik yuvası / 80 A"/>
        <s v="Elektrik soket / 32A / IP44 / Type 024K / &quot;Beyti&quot; Türkiyə istehsalı"/>
        <s v="Elektrik soket / 32A / Type D-024 / &quot;CEE&quot;"/>
        <s v="Elektrik soket / 32A / Type ST 024 / &quot;STE&quot;"/>
        <s v="Elektrik soket / 32A / Type CR025 / &quot;CEE&quot;"/>
        <s v="Elektrik soket / 32A / Type CNQD-225 / &quot;CNOD&quot;"/>
        <s v="Elektrik soket / 63A / IP67 / Type 034 / &quot;Botric&quot; / Türkiyə istehsalı"/>
        <s v="Su filtri / d 25 mm / polipropilen"/>
        <s v="Su filtri / d 20mm / polipropilen"/>
        <s v="Perforator / &quot;Bosch&quot; / GBH 8-45 D"/>
        <s v="Perforator / &quot;Bosch&quot; / GBH 5-40 D"/>
        <s v="Su pompası / dalğıc"/>
        <s v="Su pompası / dalğıc / 1.1 kvt / 1000 L/d / 9 metr / &quot;Shimge&quot; / QDX 40-7-1.1 K3F"/>
        <s v="Lebyodka / 1000 kq / 1.7 kvt / &quot;RZMA&quot;"/>
        <s v="Perforator / &quot;Dingqi&quot; / HAMMER"/>
        <s v="Perforator / &quot;SKOM&quot; / SK-HD1600"/>
        <s v="Nivelyator / &quot;Leica&quot; / NA 332"/>
        <s v="Akkumulyator / 12V / 450A / 50AH / &quot;KAINAR&quot; / Qazaxıstan istehsalı"/>
        <s v="Akkumulyator / 12V / 580A / 60AH / &quot;Formula&quot; / Ukrayna istehsalı"/>
        <s v="Akkumulyator / 12V / 77AH / 640A / &quot;Tungstone&quot;"/>
        <s v="Akkumulyator / 12V / 45AH / 390A / &quot;Racing&quot; / Ukrayna istehsalı"/>
        <s v="Akkumulyator / 12V / 10AH / 800A / &quot;WESTA&quot; / Ukrayna istehsalı"/>
        <s v="Su tərəzisi"/>
        <s v="Mühərrik / elektrik / alüminium / 1.5 kvt / 1500 d/d / 220/380V / 50Hz / Çin istehsalı"/>
        <s v="Bolt / M24 / L 80 mm"/>
        <s v="Lagonda / 2000 vt / 6500 d/d / &quot;Dingqi&quot; / JB02401 / Çin istehsalı"/>
        <s v="Lagonda / 2300 vt / 6500 d/d / &quot;Dingqi&quot; / Çin istehsalı"/>
        <s v="Lagonda / &quot;Bosch&quot; / GWS 21"/>
        <s v="Lobzik / 650 Vt / 3000 d/d / &quot;Kad&quot;"/>
        <s v="Lobzik / &quot;Hidroterm&quot;"/>
        <s v="Qızdırıcı / elektrik / 1200 Vt / 3 spirallı"/>
        <s v="Su pompası / hidrofor ilə / 0.37 kVt / H 32 metr / 2900 d/d / &quot;M5&quot;  / Çin istehsalı"/>
        <s v="Qırıcı çəkic / pnevmatik"/>
        <s v="Nivelyator / lazer / &quot;Bosch&quot; / GLL 3-80 P / Çin istehsalı"/>
        <s v="Videokamera / nəzarət / &quot;Multistar&quot; / B"/>
        <s v="Dizlik"/>
        <s v="Xomut / d 56-60 mm / şuruplu / metal"/>
        <s v="Fırça / lagonda üçün / 5 inch"/>
        <s v="Diyircəkli yastıq / 30206"/>
        <s v="Kabel sarğısı / spiralvari / 8 mm"/>
        <s v="Qayka açarı / əldəqayırma"/>
        <s v="Nivelyator dayağı / üçayaq / metal"/>
        <s v="Tezlik çeviricisi / &quot;ABB&quot; ACS550 01-045A-4 / Finlandiya istehsalı"/>
        <s v="Filtr / yağ / DW 962 / &quot;Delsa&quot; / Türkiyə istehsalı"/>
        <s v="Filtr / yağ / DS 1329 / &quot;Delsa&quot; / Türkiyə istehsalı"/>
        <s v="Filtr / yağ / DS 1430F / &quot;Delsa&quot; / Türkiyə istehsalı"/>
        <s v="Bolt / M24 / L 70 mm"/>
        <s v="Qayka / M24"/>
        <s v="Su pompası / dalğıc / 750 Vt / 2860 d/d / 47 metr / &quot;Dingi&quot; Çin istehsalı"/>
        <s v="Su pompası / dalğıc / 1500 Vt / 2860 d/d / 46 metr / &quot;Dingi&quot; Çin istehsalı"/>
        <s v="Dəbilgə / ağ"/>
        <s v="Beton vibratoru / şlanq ilə"/>
        <s v="Mühərrik / beton vibratoru üçün"/>
        <s v="Bolt / M24 / L 150 mm"/>
        <s v="Əks klepan / d 80 mm / geri dönməyən"/>
        <s v="Əks klepan / d 40 mm / geri dönməyən"/>
        <s v="Əks klepan / d 150 mm / geri dönməyən"/>
        <s v="Əks klepan / d 100 mm / geri dönməyən"/>
        <s v="Əks klepan / d 65 mm / geri dönməyən"/>
        <s v="Bolt-qayka / M28 / L 150 mm / şayba ilə"/>
        <s v="Su filtri / d 20 mm / polipropilen / B"/>
        <s v="Qapaq / d 25 mm / polietilen"/>
        <s v="Mufta / d 40 mm / polietilen"/>
        <s v="Keçid mufta / d 40 mm / çöl yiv / polipropilen"/>
        <s v="Üçlük / 25 x 20 mm / polipropilen"/>
        <s v="Keçid mufta / d 25 mm / polipropilen / iç yiv"/>
        <s v="Keçid mufta / d 25 mm / polipropilen / çöl yiv"/>
        <s v="Keçid mufta / d 32 x 40 mm / polipropilen"/>
        <s v="Keçid mufta / d 25 x 32 mm / polipropilen"/>
        <s v="Dirsək / d 25 mm / polipropilen / çöl yiv / 90"/>
        <s v="Ventil / d 25 mm / polipropilen"/>
        <s v="Üçlük / d 20 x 40 mm / polipropilen"/>
        <s v="Üçlük / d 20 x 25 mm / polipropilen"/>
        <s v="Mufta / d 25 mm / polipropilen / dolama"/>
        <s v="Mufta / d 63 mm / polipropilen"/>
        <s v="Dirsək / d 63 mm / polipropilen"/>
        <s v="Keçid / d 50 x 75 mm / polipropilen"/>
        <s v="Dirsək / d 25 mm / polipropilen / 45°"/>
        <s v="Mufta / d 25 mm / polipropilen"/>
        <s v="Dirsək / d 40 mm / polipropilen / 45°"/>
        <s v="Keçid / d 25 x 50 mm / polipropilen"/>
        <s v="Mufta / d 32 mm / polietilen / elektrofizyon / A"/>
        <s v="Dirsək / d 32 mm / PVC U /  90°"/>
        <s v="Üçlük / d 25 x 20 mm / polipropilen"/>
        <s v="Kabel / 4 x 0.22 / internet"/>
        <s v="Üz qoruyucu sipər / şəffav plastik"/>
        <s v="Suqızdırıcısı / spirallı / &quot;Cemsan&quot; / Türkiyə istehsalı"/>
        <s v="Tıxac / şurup üçün / 6-lıq / plastik"/>
        <s v="Tıxac / şurup üçün / 10-luq / plastik"/>
        <s v="Üçlük / d 32 mm / polietilen / A"/>
        <s v="Tıxac / plastik / şurup ilə"/>
        <s v="Diyircəkli yastıq / 32309"/>
        <s v="Diyircəkli yastıq / 62309"/>
        <s v="Fırça / laqononda üçün / 3 İnch"/>
        <s v="Fiksator / plastik / armatur üçün / 30/8-24"/>
        <s v="Yanğınsöndürən balon"/>
        <s v="Armatur başlığı / plastik / qoruyucu"/>
        <s v="Yanğınsöndürmə şlanqı / 6 İnch (150 mm) x 20 metr"/>
        <s v="Xomut / boru üçün / metal / 149 x 161 mm"/>
        <s v="Əhəng / söndürülmüş / 20 kq / &quot;Bertaş&quot;"/>
        <s v="Ştuser / d 150 mm / polad"/>
        <s v="Xətkeş / nivelyator üçün / A"/>
        <s v="Geodezik prizma / d 62 mm / &quot;Leica&quot;"/>
        <s v="Filtr / yanacaq / &quot;Sampiyon&quot; / CS 0169M"/>
        <s v="Filtr / yanacaq / &quot;Sampiyon&quot; / CS 1606M"/>
        <s v="Filtr / yanacaq / &quot;Sampiyon&quot; / CS 1430MVL"/>
        <s v="Filtr / yağ / &quot;Sampiyon&quot; / CS 1428"/>
        <s v="Filtr / yanacaq / &quot;Delsa&quot; / DE 1001F"/>
        <s v="Yağ / transmissiya / 80 W 90 / API GL-5 / 20Litr / &quot;ALPINE&quot; Almaniya istehsalı"/>
        <s v="Jilet / fosforlu"/>
        <s v="Lobzik / 3000 d/d / &quot;Kad&quot; / W650"/>
        <s v="Hidravlik pompa / &quot;Boring&quot;"/>
        <s v="Silikon / 250 ml"/>
        <s v="Starter / avto"/>
        <s v="Vibrator / beton üçün / portativ"/>
        <s v="Karot ucu / d 75 mm x 110 mm / almaz"/>
        <s v="Karot ucu / d 75 mm x 125 mm / almaz"/>
        <s v="Karot ucu / d 90 mm x L 110 mm / almaz"/>
        <s v="Şlanq / hidravlik / 330 Bar / 3/8 inch / L 155 mm / &quot;FORCESTREAM&quot;"/>
        <s v="Şlanq / Hidravlik / 330 Bar / L 100 mm / 3/8 inch / &quot;FORCESTREAM&quot;"/>
        <s v="Qaynaqçı dəbilgəsi"/>
        <s v="Sipər çərçivəsi / şüşəsiz"/>
        <s v="Su pompası / dalğıc / &quot;SHIMGE&quot; / 417 L/d"/>
        <s v="Su pompası / dalğıc / 2.2 kvt / 14.5 metr / 400 L/d"/>
        <s v="Qarmaq / 3 tonn"/>
        <s v="Xomut / metal / torpaqlama üçün"/>
        <s v="Pəstah / rezin"/>
        <s v="Qaynaq Aparatı / plastik boru üçün / 15 kvt / d 160-400 mm / &quot;TURAN MAKINA&quot;"/>
        <s v="Qaynaq aparatı / plastik boru üçün / 3 kvt / d 63-160 mm / &quot;TURAN MAKINA&quot;"/>
        <s v="Tezlik və gərginlik çeviricisi / &quot;Wacker Neuson&quot; / 2/042/200W / Almaniya istehsalı"/>
        <s v="Nivelyator oxu / 4 ədədli"/>
        <s v="Aragatı / rezin"/>
        <s v="Starter / 30107817231"/>
        <s v="Starter / &quot;Denso&quot; / YM 119717-77010 / Yaponiya istehsalı"/>
        <s v="Bolt / ikitərəfli qaykalı / M18 L 200 mm"/>
        <s v="Respirator / 2 kartric ilə"/>
        <s v="Pika / 14 x 250 mm / perforator üçün"/>
        <s v="Köynək / cibli / qəlibçi üçün"/>
        <s v="Şalvar / qaynaqçı üçün"/>
        <s v="Bolt-qayka / M20 / L 200 mm"/>
        <s v="Sırğa / 6 tonn"/>
        <s v="Boya / alüminium / 350° dözümlü / 0.85 Litr"/>
        <s v="Sürtkü yağı / kauçuklu / KG-3 / &quot;Greson&quot;"/>
        <s v="Tiner"/>
        <s v="Boya / fasad / akril / &quot;Expert&quot; / 15 litr"/>
        <s v="Yapışdırıcı / divar kağızı üçün / 150 gr"/>
        <s v="Çıkic / sapı ilə/ 500 gr"/>
        <s v="Pika / L 250"/>
        <s v="Dişli qayıs / 9.5 x 1150 mm"/>
        <s v="Dişli qayış / 13A1200C / &quot;Dayco&quot;"/>
        <s v="Qayış / A71 / &quot;Dongil&quot;"/>
        <s v="Elektrik lövhəsi / 300 x 400 x 165 mm"/>
        <s v="Elektrik lövhəsi / 400 x 500 x 170 mm"/>
        <s v="Səviyyəölçən / ultrasəs / &quot;ATEK&quot; / Türkiyə istehsalı"/>
        <s v="Dişli qayış / 12.5 x 950 mm"/>
        <s v="Qayış / 9.5 x 750 mm"/>
        <s v="Qayış / 17 x 1100 mm"/>
        <s v="Dişli qayış / 9.5 x 1200 mm"/>
        <s v="Dişli qayış / 154 x 25.4 mm"/>
        <s v="Kondisioner / split / mühərriksiz / &quot;AUX&quot;"/>
        <s v="Disk / kəsici / laqonda üçün / d 180 mm"/>
        <s v="Diyircəkli yastıq / 4T-HM 89410 / &quot;NTN&quot; / Yaponiya istehsalı"/>
        <s v="Qayka / M20"/>
        <s v="Təzyiq klapanı / boyler üçün"/>
        <s v="Keçid / d 15 x 25 mm / metal"/>
        <s v="Aragatı / paronit / d 110 mm"/>
        <s v="Aragatı / paronit / d 150 mm"/>
        <s v="Aragatı / metal / d 150 mm"/>
        <s v="Aragatı / paronit / d 50 mm"/>
        <s v="Aragatı / paronit / d 80 mm"/>
        <s v="Aragatı / paronit / d 500 mm"/>
        <s v="Manometr / 60 atm"/>
        <s v="Rels / metal / 1 metr / elektrik lövhəsi üçün"/>
        <s v="Dişli qayış / &quot;Bomag&quot; / 06312023"/>
        <s v="Dişli qayış / XBZPZ 1175 La"/>
        <s v="Dişli qayış / XPZ 775 La"/>
        <s v="Dişli qayış / 4PK 863"/>
        <s v="Dişli qayış / 17 x 1500 mm"/>
        <s v="Qayış / 17 x 847 mm"/>
        <s v="Dişli qayış / 12.5 x 1175 mm"/>
        <s v="Dişli qayış / 12.5 x 775 mm"/>
        <s v="Dişli qayış / 8944791010"/>
        <s v="Dişli qayış / 15 x 1100 mm"/>
        <s v="Dişli qayış / 12.5 x 1050 mm"/>
        <s v="Dişli qayış / 13 x 1200 mm"/>
        <s v="Dişli qayış / 9.5 x 1175 mm"/>
        <s v="Reduktor / 1000-lik makina üçün"/>
        <s v="Yönləndirmə mühərriki (ümitə) / 1400-lük makina üçün"/>
        <s v="Su basıncı (ilbizvari)/ 1400-lük makina üçün"/>
        <s v="Yönləndirmə mühərriki (ümitə) / 1000-lik makina üçün"/>
        <s v="Konus / flyanslı / d 250 mm / laboratoriya üçün"/>
        <s v="Ələk / №20 / laboratoriya üçün / “Jeotest” / Türkiyə istehsalı"/>
        <s v="Metal qab (tava) / d 300 mm / laboratoriya üçün"/>
        <s v="Kasaqrande cihazı / bürünc qabı ilə / laboratoriya üçün / “Jeotest” / Türkiyə istehsalı"/>
        <s v="Metal qab / 4 künc / qulplu / 520x520 mm / laboratoriya üçün"/>
        <s v="Metal qab / 4 künc / 590x470 mm / laboratoriya üçün"/>
        <s v="Elektrik mişar / 1380 Vt / d 185 mm / 5300 dövr/dəq / “Makute” Çin istehsalı"/>
        <s v="Freza dişi / xüsusi texnika üçün"/>
        <s v="Ekstraktor - yiv açan"/>
        <s v="Şlanq / oksiqen"/>
        <s v="Lobzik / elektrik / 500 Vt / GST700"/>
        <m/>
        <s v="Keçid / d 250 x 280 mm / polietilen / &quot;NTG&quot; / Türkiyə istehsalı"/>
        <s v="Keçid / d 250 x 315 mm / polietilen / &quot;NTG&quot; / Türkiyə istehsalı"/>
        <s v="Dirsək (Угол) / d 350 mm / polietilen / 45°"/>
        <s v="Keçid / d 160 x 280 mm / polietilen"/>
        <s v="Üçlük / d 200 x 280 mm / polietilen"/>
        <s v="Üçlük / d 160 x 225 mm / polietilen"/>
        <s v="Dirsək / d 180 mm / polietilen / 45° / &quot;Borfit&quot; / Türkiyə istehsalı"/>
        <s v="Adaptor / d 110 mm / polietilen / &quot;Borfit&quot; / Türkiyə istehsalı"/>
        <s v="Üçlük / d 160 x 710 mm / polietilen / &quot;Borfit&quot; / Türkiyə istehsalı"/>
        <s v="Üçlük / d 110 x 160 mm / polietilen / &quot;Borfit&quot; / Türkiyə istehsalı"/>
        <s v="Qapaq / d 280 mm / polietilen / &quot;Borfit&quot; / Türkiyə istehsalı"/>
        <s v="Qapaq / d 160 mm / polietilen / &quot;Borfit&quot; / Türkiyə istehsalı"/>
        <s v="Qapaq / d 355 mm / polietilen / &quot;Borfit&quot; / Türkiyə istehsalı"/>
        <s v="Keçid / d 90 x 110 mm / polietilen"/>
        <s v="Dirsək / d 355 mm / polietilen / 45°"/>
        <s v="Üçlük / d 250 x 355 mm / polietilen / &quot;Borfit&quot; / Türkiyə istehsalı"/>
        <s v="Keçid / d 225 x 250 mm / polietilen / &quot;NTG&quot; / Türkiyə istehsalı"/>
        <s v="Adaptor / d 355 mm / polietilen / &quot;Borfit&quot; / Türkiyə istehsalı"/>
        <s v="Adaptor / d 225 mm / polietilen"/>
        <s v="Adaptor / d 180 mm / polietilen / &quot;Borfit&quot; / Türkiyə istehsalı"/>
        <s v="Adaptor / d 315 mm / polietilen"/>
        <s v="Dirsək / d 280 mm / polietilen / 45° / &quot;Borfit&quot; / Türkiyə istehsalı"/>
        <s v="Dirsək / d 160 mm / polietilen / 90° / &quot;Borfit&quot; / Türkiyə istehsalı"/>
        <s v="Dirsək / d 315 mm / polietilen / 90°"/>
        <s v="Dirsək / d 400 mm / polietilen / 45°"/>
        <s v="Siyirtmə sükanı (maxovik) / kiçik ölçülü"/>
        <s v="Siyirtmə sükanı (maxovik) / orta ölçülü"/>
        <s v="Siyirtmə sükanı (maxovik) / böyük ölçülü"/>
        <s v="Siyirtmə qapağı"/>
        <s v="Başlıq / yanğın şlanqı üçün / alüminium"/>
        <s v="Dirsək / d 63 mm / polietilen / 90° / &quot;Borfit&quot; / Türkiyə istehsalı"/>
        <s v="Mufta / elektrofizyon / d 90 mm / polietilen / &quot;Borfit&quot; / Türkiyə istehsalı"/>
        <s v="Keçid / d 32 x 63 mm / polietilen / &quot;Borfit&quot; / Türkiyə istehsalı"/>
        <s v="Adaptor / d 90 mm / polietilen / &quot;Borfit&quot; / Türkiyə istehsalı"/>
        <s v="Qapaq / d 90 mm / polietilen / &quot;NTG&quot; / Türkiyə istehsalı"/>
        <s v="Dirsək / d 50 mm / polietilen / 90°"/>
        <s v="Dirsək / d 25 mm / polietilen / 90° / &quot;Borfit&quot; / Türkiyə istehsalı"/>
        <s v="Dirsək / d 25 mm / polietilen / 45° / &quot;TEGA&quot; / Türkiyə istehsalı"/>
        <s v="Üçlük / d 25 mm / polietilen / &quot;Borfit&quot; / Türkiyə istehsalı"/>
        <s v="Adaptor / d 110 mm / polipropilen"/>
        <s v="Üçlük / d 50x63 mm / polipropilen"/>
        <s v="Üçlük / d 90 mm / polipropilen"/>
        <s v="Dirsək / d 110 mm / 90° / polipropilen"/>
        <s v="Konteyner / 6 metr"/>
        <s v="Konteyner / 12 metr"/>
        <s v="Elevator korpusu / mühərrikli"/>
        <s v="Ana piston dəsti / press / d1000 mm"/>
        <s v="Rels / ana piston üçün / d1000 mm"/>
        <s v="Ana piston dəsti / press / d2000 mm"/>
        <s v="Ana piston dəsti / press / d1400 mm"/>
        <s v="Başlıq / uran / d2500 mm"/>
        <s v="Başlıq / uran / d2200 mm"/>
        <s v="Başlıq / uran / d1000 mm"/>
        <s v="Başlıq / uran / d1000 mm / ön parçası"/>
        <s v="Ara tampon / d1000 mm / eni 600 mm"/>
        <s v="Ara tampon / d1000 mm / eni 1250 mm"/>
        <s v="Ara tampon / d1000 mm / eni 1180 mm"/>
        <s v="Ara tampon / d1400 mm / eni 1900 mm"/>
        <s v="Ara tampon / d1400 mm / eni 2040 mm"/>
        <s v="Ara tampon / d1400 mm / eni 1180 mm"/>
        <s v="Ara tampon / d 2160 mm / eni 1250 mm"/>
        <s v="Ara tampon / d 2400 mm / eni 1500 mm"/>
        <s v="Diyircəkli yastıq / d 1300 mm"/>
        <s v="Başlıq / d 1000 mm / metal"/>
        <s v="Artırma qolu / 540x240mm / 2000mm ara pistonu üçün"/>
        <s v="Şlanq / hidravlik / d 25mm / L 8metr / 380 atm"/>
        <s v="Kompakter / əl katoku / dizel"/>
        <s v="Ventilyator / 2.2 kvt / 8100 m³/saat / 940 d/d / ilbiz tipli / &quot;Vents&quot;"/>
        <s v="Qaynaq aparatı / ütü / d 315 mm / polietilen boru üçün"/>
        <s v="Generator / &quot;NSM&quot; / T100 LA / İtaliya istehsalı"/>
        <s v="Generator / &quot;NSM&quot; / WS220 TDC / İtaliya istehsalı"/>
        <s v="Generator / 7.5 kVA / dizel / &quot;Power Tech&quot;"/>
        <s v="Armatur kəsən / hidravlik / d 36 mm / 4 kvt / 1500 d/d / &quot;AFACAN&quot; / Türkiyə istehsalı"/>
        <s v="Lebyodka / 2 ton / 60 metr / elektrik mühərrikli"/>
        <s v="Rəndə dəzgahı / 1800 Vt / 300 mm / 9000 d/d / &quot;ЗУБР&quot; / РС-330"/>
        <s v="Generator / benzin / 3.0 kvt / AVR automatic"/>
        <s v="Hasar / plastik"/>
        <s v="Qazma qurğusu / horizantal şnekli / d 720 mm / 80-150 metr / 100 ton / Lazer nişanlı / &quot;МЕМПЭКС&quot; / МНБШ-600 / Belarus istehsalı"/>
        <s v="Beton kəsən / &quot;PALME&quot; / PD13B / Türkiyə istehsalı"/>
        <s v="Generator / dizel / 4.5 kvt / 220V / 50 Hz / IP23 / &quot;FIRMAN&quot; / SDG5500CLE / Çin istehsalı / 1 əd"/>
        <s v="Generator / &quot;ITC POWER&quot; / Çin istehsalı"/>
        <s v="Qaynaq Aparatı / 650A / 3 faza / 380V / 50/60 Hz / IP23 / &quot;Gekamac&quot; / RKM650 / Türkiyə istehsalı"/>
        <s v="Armatur kəsən / hidravlik / 3 kvt / 380V / &quot;Yakar Kardeşler&quot; / YK2609 / Türkiyə istehsalı"/>
        <s v="Generator / 6.5 kVA / 220A / 50 Hz / IP23 / 230-400V / &quot;Antor HW&quot; / Türkiyə istehsalı"/>
        <s v="Generator / 8.5 kVA / dizel / 220-240V / 1 faza / &quot;Bison&quot; / BS11000DCE / Çin istehsalı"/>
        <s v="Generator / 6.5 kvt / 230V / benzin / &quot;AKSA&quot; / AAP8000E / Türkiyə istehsalı"/>
        <s v="Generator / 7.5 kvt / benzin / 220-230V / &quot;KEMAN&quot; / Çin istehsalı"/>
        <s v="Armatur əyən / 3 kvt / 11 d/d / 380V / 3 faza / &quot;AFACAN&quot; / B36 / Türkiyə istehsalı"/>
        <s v="Pərçimləmə dəzgahı / press"/>
        <s v="Kompressor / 2.4 Atm / &quot;IR Ingersoll Rand&quot; / 7/3IE / İngiltərə istehsalı"/>
        <s v="Generator / dizel / 36 kVt/ 1500 d/d / &quot;AKSA&quot; / A3CRX32T / Türk istehsalı"/>
        <s v="Qazma qurğusu / horizantal şnekli / relsli"/>
        <s v="Generator / dizel / &quot;TOPOR&quot;"/>
        <s v="Boru / d 25 mm x 4.2 mm / polipropilen / 4 metr / &quot;Metak&quot;"/>
        <s v="Boru / d 32 mm x 5.4 mm / polipropilen / 4 metr / &quot;Metak&quot;"/>
        <s v="Boru / d 110 mm / PVC / 5 metr"/>
        <s v="Boru / d 63 x 2.3 mm / polietilen / 6 metr"/>
        <s v="Boru / d 25 x 2.4 mm / polietilen / 5.8 metr"/>
        <s v="Boru / d 32 x 2 mm / polietilen / 4 metr"/>
        <s v="Şnek / d 450 mm"/>
        <s v="Şnek / d 400 mm"/>
        <s v="Şnek / d 700 mm"/>
        <s v="Şnek / d 600 mm"/>
        <s v="Şnek / d 300 mm"/>
        <s v="Tunel qəlibi / giriş-çıxış quyuları üçün"/>
        <s v="Beton boru / d 1400 mm"/>
        <s v="Beton boru / d 1000 mm"/>
        <s v="Hasar / metal / torlu"/>
        <s v="Boru / d 40 mm / polietilen / 53 metr"/>
        <s v="Su sayğacı / d 100 mm / polad / filtr ilə"/>
        <s v="Siyirtmə / d 150 mm"/>
        <s v="Siyirtmə / d 80 mm"/>
        <s v="Flans / d 110 mm / polad"/>
        <s v="Flans / d 60 mm / polad"/>
        <s v="Kompressor / &quot;Pighon&quot;"/>
        <s v="Boru / polietilen / d 32 mm x 2 mm / 100 metr"/>
        <s v="Boru / polietilen / d 32 mm x 2 mm / 200 metr"/>
        <s v="Boru / polietilen / d 25 mm x 2.4 mm / 50 metr"/>
        <s v="Boru / polietilen / d 25 x 2 mm / 52 metr"/>
        <s v="Boru / polietilen / d 32 mm"/>
        <s v="Boru / koruqe / d 300 mm / 6 metr"/>
        <s v="Boru / polietilen / d 225 mm / 4,9 metr"/>
        <s v="Boru / PVC-U / d 160 mm / 6 metr"/>
        <s v="Boru / PVC-U / d 110 mm / 6 metr"/>
        <s v="Boru / polietilen / d 140 mm / 6 metr"/>
        <s v="Boru / polietilen / d 160 mm / 5,5 metr"/>
        <s v="Subasıncı / d100mm / mühərriklə / ilbiz tipli"/>
        <s v="Su çəni / 1 tonn / plastik"/>
        <s v="Vaqonet (badya) /"/>
        <s v="Bucurqad (Lebyodka) / mühərrik ilə"/>
        <s v="Şlanq / hidravlik / 3/4 inch / 350 atm"/>
        <s v="Seyf / İNV0000000245"/>
        <s v="Hidrant"/>
        <s v="Qaynaq aparatı (ütü) / d150mm / plastik boru üçün"/>
        <s v="Su pompası / mühərriksiz / &quot;AK Misan&quot;"/>
        <s v="Qazma başlıqı / d 750mm"/>
        <s v="Qazma başlıqı / d 560mm"/>
        <s v="Dairə / metal / 1000x25mm"/>
        <s v="Qapaq / flyanslı / metal / 500x30mm"/>
        <s v="Qapaq / flyanslı / metal / 555x34mm"/>
        <s v="Qapaq / flyanslı / metal / 605x20mm"/>
        <s v="Servis birləşməsi / elektrofizyon / d 110 x 32 mm / &quot;Borfit&quot; / Türkiyə istehsalı"/>
        <s v="Servis birləşməsi / elektrofizyon / d 110 x 40 mm / &quot;Borfit&quot; / Türkiyə istehsalı"/>
        <s v="Servis birləşməsi / elektrofizyon / d 110 x 63 mm / &quot;Borfit&quot; / Türkiyə istehsalı"/>
        <s v="Servis birləşməsi / elektrofizyon / d 63 x 280 mm / &quot;Borfit&quot; / Türkiyə istehsalı"/>
        <s v="Servis birləşməsi / elektrofizyon / d 40 x 280 mm / &quot;Borfit&quot; / Türkiyə istehsalı"/>
        <s v="Servis birləşməsi / elektrofizyon / d 32 x 90 mm / &quot;Borfit&quot; / Türkiyə istehsalı"/>
        <s v="Servis birləşməsi / elektrofizyon / d 32 x 63 mm / &quot;Borfit&quot; / Türkiyə istehsalı"/>
        <s v="Servis birləşməsi / elektrofizyon / d 40 x 63 mm / &quot;Borfit&quot; / Türkiyə istehsalı"/>
        <s v="Servis birləşməsi / elektrofizyon / d 40 x 90 mm / &quot;Borfit&quot; / Türkiyə istehsalı"/>
        <s v="Servis birləşməsi / elektrofizyon / d 32 x 40 mm / &quot;TEGA&quot; / Türkiyə istehsalı"/>
        <s v="Dirsək / d 110 mm / polietilen / 90°"/>
        <s v="Dirsək / d 180 mm / polietilen / 90°"/>
        <s v="Dirsək / d 110 mm / polietilen / 45°"/>
        <s v="Adaptor / d 110 mm / polietilen"/>
        <s v="Adaptor / d 90 mm / polietilen"/>
        <s v="Adaptor / d 160 mm / polietilen"/>
        <s v="Üçlük / d 110 mm / polietilen / 5 əd / &quot;Borfit&quot; / Türkiyə istehsalı"/>
        <s v="Adaptor / d 180 mm / polietilen / 1 əd / &quot;Borfit&quot; / Türkiyə istehsalı"/>
        <s v="Adaptor / d 50 mm / polietilen / &quot;Borfit&quot; / Türkiyə istehsalı"/>
        <s v="Adaptor / d 63 mm / polietilen / &quot;Borfit&quot; / Türkiyə istehsalı"/>
        <s v="Dirsək / d 90 mm / polietilen / 90° / &quot;Titz&quot;"/>
        <s v="Üçlük / d 63 x 110 mm / polietilen / &quot;Borfit&quot; / Türkiyə istehsalı"/>
        <s v="Üçlük / d 75 x 110 mm / polietilen / &quot;Borfit&quot; / Türkiyə istehsalı"/>
        <s v="Keçid / d 63 x 90 mm / polietilen / &quot;Borfit&quot; / Türkiyə istehsalı"/>
        <s v="Keçid / d 50 x 90 mm / polietilen / &quot;Borfit&quot; / Türkiyə istehsalı"/>
        <s v="Dirsək / d 63 mm / 90° / polietilen / 6 əd / &quot;Borfit&quot; / Türkiyə istehsalı"/>
        <s v="Dirsək / d 63 mm / 45° / polietilen / &quot;Tega&quot; / Türkiyə istehsalı"/>
        <s v="Qapaq / d 110 mm / polietilen / &quot;Borfit&quot; / Türkiyə istehsalı"/>
        <s v="Dirsək / d 50 mm / polietilen / 90° / &quot;Borfit&quot; / Türkiyə istehsalı"/>
        <s v="Üçlük / d 50 mm / polietilen / &quot;Borfit&quot; / Türkiyə istehsalı"/>
        <s v="Keçid / d 255 x 310 mm / polad"/>
        <s v="Keçid / d 125 x 155 mm / polad"/>
        <s v="Keçid / d 100 x 155 mm / polad"/>
        <s v="Keçid / d 75 x 95 mm / polad"/>
        <s v="Keçid / d 90 x 150 mm / polad"/>
        <s v="Qapaq / d 150 mm / polad"/>
        <s v="Dirsək / d 260 mm / polad"/>
        <s v="Dirsək / d 65 mm / polad / 90°"/>
        <s v="Dirsək / d 160 mm / polad / 45°"/>
        <s v="Dirsək / d 100 mm / polad / 45°"/>
        <s v="Dirsək / d 310 mm / polad / 45°"/>
        <s v="Dirsək / d 200 mm / polad / 45°"/>
        <s v="Üçlük / d 150 mm / polad"/>
        <s v="Üçlük / d 150 x 95 mm / polad"/>
        <s v="Dirsək / d 205 mm / 90° / polad"/>
        <s v="Dirsək / d 93 mm / 90° / polad"/>
        <s v="Flyans / d 65 mm / polad"/>
        <s v="Dirsək / d 90 mm / polad / 90° / flyanslı"/>
        <s v="Dirsək / d 60 mm / polad / 90° / flyanslı"/>
        <s v="Karot ucu / d 102 mm / L 420 mm"/>
        <s v="Karot ucu / d 40 mm / L 420 mm"/>
        <s v="Karot ucu / d 165 mm / L 400 mm"/>
        <s v="Karot ucu / d 220 mm / L 400 mm"/>
        <s v="Giloz açarı"/>
        <s v="Kəsici / d 100 mm / almaz / perforator üçün"/>
        <s v="Kəsici / d 120 mm / almaz / perforator üçün"/>
        <s v="Kəsici / d 50 mm / almaz / perforator üçün"/>
        <s v="Burğu / taxta üçün / d 25 mm"/>
        <s v="Qaz balonu / farsunka ilə"/>
        <s v="Valik / 10-luq"/>
        <s v="Mufta / d 32 mm / polietilen / elektrofizyon / B"/>
        <s v="Yol nişanı &quot;Hərəkət qadağandır&quot;"/>
        <s v="Yol nişanı &quot;Yol ver&quot;"/>
        <s v="Yol nişanı &quot;Sürət 40 km/s&quot;"/>
        <s v="Printer / A3 / color / &quot;EPSON&quot; / L15160  / İndoneziya istehsalı"/>
        <s v="Xətkeş / nivelyator üçün / B"/>
        <s v="İzolyasiya materialı / boru üçün / 28/5/100"/>
        <s v="Kanistr / plastik / 20 litr"/>
        <s v="Profil / &quot;U&quot; / 50mm x 4metr / alçıpan üçün"/>
        <s v="Su dispenseri / &quot;Beko&quot;"/>
        <s v="Su dispenseri / &quot;Silver&quot;"/>
        <s v="Soyuducu / 2 kameralı / &quot;STINOL&quot;"/>
        <s v="Kondisioner mühərriki / &quot;AUX&quot;"/>
        <s v="Su qızdırıcı &quot;SHIVAKI&quot;"/>
        <s v="Vedrə plastik"/>
        <s v="Təkər / lesə üçün"/>
        <s v="Sıxıcı plastik"/>
        <s v="Xomut d 180 x 315 mm / elektrofiziyon servis birləşməsi üçün"/>
        <s v="Sututucu bant / 20sm x 2.5 metr"/>
        <s v="Sututucu bant / 17sm x 5 met"/>
        <s v="Araqatı / d 200 mm / boru üçün / qara"/>
        <s v="Araqatı / d 1500 mm / boru üçün / qara"/>
        <s v="Araqatı / d 300 mm / boru üçün / qara"/>
        <s v="Araqatı / d 400 mm / boru üçün / qara"/>
        <s v="Araqatı / d 250 mm / boru üçün / qara"/>
        <s v="Araqatı / d 200 mm / boru üçün / ağ"/>
        <s v="Araqatı / d 150 mm / boru üçün / qara"/>
        <s v="Podnos / paslanmayan metal / 5 seksiyalı / mətbəx üçün"/>
        <s v="Vanna / paslanmayan metal / mətbəx üçün"/>
        <s v="Kabel / alüminium / 4 damarlı / 44metr"/>
        <s v="Kabel / alüminium / 4 damarlı / 50metr"/>
        <s v="Kabel / alüminium / 4 damarlı / 30metr"/>
        <s v="Kabel / alüminium / 4 damarlı / 77metr"/>
        <s v="Kabel / alüminium / 4 damarlı / 72metr"/>
        <s v="Kabel / alüminium / 4 damarlı / 24metr"/>
        <s v="Boru / d 32 mm / polietilen / 47.5 metr"/>
        <s v="Şlanq / beton vibratoru üçün / metal başlıqlı"/>
        <s v="Təkər / 315/80/22.5 R / &quot;Pirelli&quot; / FR25"/>
        <s v="Kabel / 4x2.5 mm² / 300/500 / H05VV-F / &quot;Astel&quot; / Türkiyə istehsalı"/>
        <s v="Elektrik mühərrik"/>
        <s v="Qaynaq elektrodu / 4.0 x 350 mm / 5 kq / 578"/>
        <s v="Perforator / &quot;Bosch&quot;"/>
        <s v="Metal hissələr / ağır texnika üçün"/>
        <s v="Boya / parlaq emal / 2.5 litr"/>
        <s v="Kürək / saplı"/>
        <s v="Ankerbolt / L şəkilli"/>
        <s v="Tıxaç / şurup üçün / plastik"/>
        <s v="Mufta / elektrofuzion / d 90 mm / polietilen / &quot;Borfit&quot; / Türkiyə istehsalı"/>
        <s v="Mufta / elektrofuzion / d 40 mm / polietilen / &quot;Borfit&quot; / Türkiyə istehsalı"/>
        <s v="Mufta / elektrofuzion / d 32 mm / polietilen / &quot;Borfit&quot; / Türkiyə istehsalı"/>
        <s v="Nərdivan / metal / 7 pilləli"/>
        <s v="Akkumulyator / 12V / 100AH / Ca-Ca / &quot;Energy&quot; / Türkiyə istehsalı"/>
        <s v="Ankerbolt / M10 / L 130 mm"/>
        <s v="Ankerbolt / M12 / L 130 mm"/>
        <s v="Qayka / M14"/>
        <s v="Qayka / M18"/>
        <s v="Beton vibratorun mühərriki"/>
        <s v="Bolt / M38 / L 750 mm"/>
        <s v="Beton vibratoru / portativ"/>
        <s v="Sınaq pompası / hidravlik / &quot;Ekeryil&quot;"/>
        <s v="Elektrik qızdırıcı / spirallı / kərpicli"/>
        <s v="Su qızdırıcısı / qazla işləyən / 20 litr"/>
        <s v="Əqrəb / metal / alçıpan profili üçün"/>
        <s v="Şlanq / kapron / 12 mm"/>
        <s v="Xomut / flyanslı / metal / d 250 mm"/>
        <s v="Pika / pnevmatik çəkic üçün"/>
        <s v="Pika / Perforator üçün"/>
        <s v="Burğu / 14-lük"/>
        <s v="Flyans / d 235 mm / polad"/>
        <s v="Flyans / d 220 mm / polad"/>
        <s v="Flyans / d 130 mm / polad"/>
        <s v="Flyans / d 125 mm / polad"/>
        <s v="Flyans / d 110 / polad"/>
        <s v="Elektrik qızdırıcı / yağ radiatoru / 2400 vt / &quot;Saachi&quot;"/>
        <s v="Qaz plitəsi / 1 gözlü"/>
        <s v="Klapan / d 125 mm / kəpənək tipli / &quot;Duyar&quot; / Türkiyə istehsalı"/>
        <s v="Otbiçən / elektrik / &quot;Denzel&quot;"/>
        <s v="Rels / elektrik lövhəsi üçün / 1 metr"/>
        <s v="Boru / polad / d 20 mm / 2 metr"/>
        <s v="Su pompası / dalğıc / 0.75 kvt / 250 L/d / 10 metr / &quot;SNçlIMGE&quot;"/>
        <s v="Su pompası / &quot;Seakoo&quot;"/>
        <s v="Su pompası / dalğıc / 1100 vt / &quot;Shimge&quot;"/>
        <s v="Bolt / M12 / L 80 mm"/>
        <s v="Bolt / M16 / L 80 mm"/>
        <s v="Bolt / M10 / L 100 mm"/>
        <s v="Bolt / M20 / L 80 mm"/>
        <s v="Ankerbolt / M16 / L 250 mm"/>
        <s v="Ankerbolt / M16 / L 100 mm"/>
        <s v="Ankerbolt / M16 / L 200 mm"/>
        <s v="Mufta / d 32 mm / polietilen / elektrofizyon / C"/>
        <s v="Mufta / elektrofizyon / d 40 mm / polietilen"/>
        <s v="Mufta / elektrofizyon / d 90 mm / polietilen"/>
        <s v="Mufta / PVC / d 110"/>
        <s v="Dirsək / PVC / d 110 / 90°"/>
        <s v="Keçid / PVC / d 50 x 75 mm"/>
        <s v="Üçlük / PVC / d 50 mm"/>
        <s v="Qapaq / PVC / d 110 mm"/>
        <s v="Dirsək / PVC / d 50 mm"/>
        <s v="Üçlük / PVC / d 50 x d 110 mm"/>
        <s v="Üçlük / PVC / d 50 mm / 45°"/>
        <s v="Dirsək / PVC / d 110 mm / 45° / unitaz üçün"/>
        <s v="Üçlük / PVC / d 110 mm"/>
        <s v="Xomut / metal / d 25 x 28 mm / 3/4 inch"/>
        <s v="Hidrant açarı"/>
        <s v="Flyans / d 175 mm / polad"/>
        <s v="Flyans / d 100 mm / polad"/>
        <s v="Flyans / d 160 mm / polad"/>
        <s v="Su pompası / 250 Vt / 75 L/d / H 10m / &quot;Shimge&quot;"/>
        <s v="Elektrik soket / 32A / İP 67 / &quot;TP Elektric&quot; / Türkiyə istehsalı&quot;"/>
        <s v="Elektrik soket / 63A / İP 44 / &quot;Bemis&quot; / Türkiyə istehsalı&quot;"/>
        <s v="Elektrik soket / 63A / İP 67 / &quot;Bemis&quot; / Türkiyə istehsalı&quot;"/>
        <s v="Elektrik soket / 32A / İP 44 / &quot;Bemis&quot; / Türkiyə istehsalı&quot;"/>
        <s v="Kəsici alət / elektrik / beton üçün / &quot;Hoteche&quot; / P805111"/>
        <s v="Elektrik uzadıcı / 3 faza / 32A soket ilə"/>
        <s v="Qayçı / armatur üçün / 42 inch"/>
        <s v="Qayçı / armatur üçün"/>
        <s v="Armatur əyən alət"/>
        <s v="Dirsək / polietilen / d 63mm / 90°"/>
        <s v="Bolt / M30 / L 150 mm"/>
        <s v="Bolt / ikitərəfli qaykalı / M28 / L 150 mm"/>
        <s v="Qayka / M30"/>
        <s v="Bolt-qayka / M18 / L 70 mm"/>
        <s v="Bolt-qayka / M18 / L 100 mm"/>
        <s v="Bolt-qayka / M16 / L 100 mm"/>
        <s v="Şayba / M16"/>
        <s v="Bolt / M18 / L90 mm"/>
        <s v="Bolt / M26 / L150 mm"/>
        <s v="Qayış / 17x2000 La"/>
        <s v="Rezin kant / qırmızı / İsveçrə istehsalı"/>
        <s v="Transportyor lenti / eni 300 mm"/>
        <s v="Ştuser / hava / d=10 mm"/>
        <s v="Üçlük / d 32 mm / polietilen / B"/>
        <s v="Fırça / metal / 4 inch / laqonda üçün"/>
        <s v="Ventil / metal / 2 inch"/>
        <s v="Tıxac / şurup üçün"/>
        <s v="Üçlük / metal / ştuser tipli / d10mm / hava"/>
        <s v="Mufta / d 20 mm / polipropilen / B"/>
        <s v="Şayba / d 22mm"/>
        <s v="Su pompası / 0.37 kW / 5-33 L/d / H35 m / hidroforla / &quot;SKOM&quot;"/>
        <s v="Dirsək / d 20 mm / polipropilen / 90°"/>
        <s v="Keçid / d 20mm x 1/2 inch / polipropilen / iç yiv"/>
        <s v="Keçid / d 20 mm / polipropilen / çöl yiv"/>
        <s v="Başlıq / cilalayıcı kağız üçün / d 180 mm"/>
        <s v="Pər / mühərrikli / havalandırma sistemi üçün"/>
        <s v="Pnevmatik çəkic"/>
        <s v="Xomut / PVC / d 75 mm"/>
        <s v="Xomut / PVC / d 100 mm"/>
        <s v="Keçid / elektrik kabel üçün / PG29 / IP68"/>
        <s v="Odla kəsici / qaz"/>
        <s v="Dişli qayış / 9.5x1275 La (RPF) / “Bando”"/>
        <s v="Dişli qayış / 9.5x1150 La (RPF) / “Bando”"/>
        <s v="Xomut / metal / d 216 x 226 mm"/>
        <s v="Siren / sənaye / 115 desibel / &quot;Selay&quot; Türkiyə istehsalı"/>
        <s v="Filtr / hava / ДФВ 5806 / Rusiya istehsalı"/>
        <s v="Su pompası / 2200 Vt / 1300 L/d / H 18.5 m / “Shimge”"/>
        <s v="Su pompası / 5.5 kVt / 1400 L/d / “Grandfar”"/>
        <s v="Dişli çarx / d 800 mm / flyanslı"/>
        <s v="Kabel / başlıqlı"/>
        <s v="Xomut / metal / d 158 x 170 mm / boru üçün"/>
        <s v="Xomut / metal / d 109 x 119 mm / boru üçün"/>
        <s v="Xomut / metal / d 60 x 66 mm / boru üçün"/>
        <s v="Sırğa / 17 tonn"/>
        <s v="Su pompası / MMF15AM"/>
        <s v="Kabel / 24 x 1.5"/>
        <s v="Disk / kəsici / almaz / d 350 mm"/>
        <s v="Elektrik lövhəsi / 600 x 795 mm / avtomat və kontaktor ilə"/>
        <s v="Masa / 695x119mm / ağ"/>
        <s v="Oturacaq / ağ"/>
        <s v="Mətbəx çanağı (moyka) / paslanmayan metl / ikili"/>
        <s v="Ləğən (taz) / alüminium / 620mm / mətbəx üçün"/>
        <s v="Ətçəkən / elektrik"/>
        <s v="Ventilyator / dayaqlı"/>
        <s v="Qazan / alüminium / 495mm"/>
        <s v="Tava / 410mm / mətbəx üçün"/>
        <s v="Qazan / alüminium / 730mm"/>
        <s v="Ləğən (taz) / emallı / mətbəx üçün"/>
        <s v="Samovar / elektrik / mətbəx üçün"/>
        <s v="Soba / mikrodalğalı / &quot;Quicks&quot;"/>
        <s v="Aspitaror / mətbəx üçün"/>
        <s v="Qaz plitəsi / masaüstü / 1 gözlü"/>
        <s v="Qaz plitəsi / masaüstü / 2 gözlü"/>
        <s v="Qaz plitəsi / masaüstü / 4 gözlü"/>
        <s v="Aşsüzən / 450mm / metal"/>
        <s v="Qazan / alüminium / 400mm"/>
        <s v="Qazan / alüminium / 440mm"/>
        <s v="Çaydan / alüminium / 4-5 litr"/>
        <s v="Döşək"/>
        <s v="Yataq / açilıb bağlanan /"/>
        <s v="Kreslo / parça"/>
        <s v="Paltaryuyan maşın / &quot;Midea&quot;"/>
        <s v="Yataq / metal karkas"/>
        <s v="Masa / 700x1400mm"/>
        <s v="Elektrik lövhəsi / 300x400mm"/>
        <s v="Masa / 700x1700mm / 3 siyirtməli"/>
        <s v="Oturacaq"/>
        <s v="Masa / 500x950 mm"/>
        <s v="Masa / 500x700 mm"/>
        <s v="Sənəd dolabı / 700x1320mm"/>
        <s v="Su qızdırıcı / elektrik / 80litr"/>
        <s v="Nivelyator dayağı / üçayaq"/>
        <s v="Nivelyator oxu"/>
        <s v="Qaynaq aparatı (ütü) / plastik boru üçün"/>
        <s v="Reduktor / oksiqen balonu üçün"/>
        <s v="Kabel / 50x0.5"/>
        <s v="Ətçəkən / elektrik / &quot;Hausberg&quot;"/>
        <s v="Soyuducu / 800x480mm / vertikal / 1 kameralı / &quot;Arçelik&quot;"/>
        <s v="Masa / metal / 3050x760mm"/>
        <s v="Masa / ofis / 1420x700mm"/>
        <s v="Dolab / sənəd / 500x910mm"/>
        <s v="Dispenser / su / &quot;Orvica&quot;"/>
        <s v="Soyuducu / horizontal / 630x1000mm"/>
        <s v="Masa / plastik / 790x1290mm"/>
        <s v="Yazı lövhəsi / 1000x1400mm"/>
        <s v="Oturacaq / plastik"/>
        <s v="Oturacaq / parça"/>
        <s v="Termos"/>
        <s v="Soyuducu / 157x600mm / vertikal / 2 kameralı"/>
        <s v="Su qızdırıcı / elektrik / 250 litr"/>
        <s v="Soyuducu / vertikal / 2 kameralı / &quot;İndesit&quot;"/>
        <s v="Soba dolabı / qaz / 3 plitəli"/>
        <s v="Soyuducu / vertikal / &quot;Dixell&quot;"/>
        <s v="Masa / 700x2700mm"/>
        <s v="Qazan / d 400mm / alüminium"/>
        <s v="Qazan / d 340mm / alüminium"/>
        <s v="Ləğən (taz) / d 500mm / alüminium"/>
        <s v="Ləğən (taz) / d 520mm / alüminium"/>
        <s v="Doğrayıcı / qida / mexaniki"/>
        <s v="Dolab / 2 qapılı/ 690x680mm"/>
        <s v="Masa / metal / 165x59mm"/>
        <s v="Masa / metal / 740x980mm"/>
        <s v="Mətbəx çanağı (moyka) / emallı / 800x800mm"/>
        <s v="Rəf / 940x430mm / 3 pilləli"/>
        <s v="Masa / ofis / 690x1330mm"/>
        <s v="Samovar / mətbəx üçün"/>
        <s v="Dolab / sənəd / 800x1800mm"/>
        <s v="Taxeometr / geodeziya cihazı"/>
        <s v="Planşet / taxeometr üçün"/>
        <s v="Sayğac / Elektrik / 3*100A LUN23 /LUNA"/>
        <s v="Bolt-qayka / M 20 / L 70 mm"/>
        <s v="Bolt / M 10 /L 25 / altıkünc"/>
        <s v="Pauk / diyircəkli yastıq üçün"/>
        <s v="Jilet / sarı/ sadə"/>
        <s v="Çəkmə / qısa boğaz / 44 / &quot;YDS&quot;"/>
        <s v="Çəkmə / qısa boğaz / 42 / &quot;YDS&quot;"/>
        <s v="Ayaqqabı / qısa boğaz / 42 / &quot;Dingoi&quot; 90050142"/>
        <s v="Eynək / qara / 3M358"/>
        <s v="Generator / dizel / 50 kvA / &quot;Genpower&quot;"/>
        <s v="Jilet / sarı-narıncı / briqadir üçün"/>
        <s v="Valik / 25-lik &quot;YAP&quot;"/>
        <s v="Valik / 20-lik &quot;Defne&quot;"/>
        <s v="Mouse-Keyboard / wireless / &quot;DELL&quot; KM3322W"/>
        <s v="Skoç / kağız / 31"/>
        <s v="Notebook / 16GB / 512GB / SSD 6GB / &quot;HP&quot; VİCTUS 15-FA2082 WM i5-1342OH"/>
        <s v="Qaynaq çubuğu (elektrod) / 3 / &quot;Azkaynak&quot;"/>
        <s v="Çanta / notebook üçün / &quot;HP&quot; Prelude 15.6&quot; TOP LOAD"/>
        <s v="Əlcək / sarı"/>
        <s v="Yiyə / üçkünc / böyük"/>
        <s v="Yiyə / yastı / böyük"/>
        <s v="Metrə / 5m"/>
        <s v="Fırça / 2-lik / (kist)"/>
        <s v="Metrə / 3m"/>
        <s v="Fırça / 4-lik / (kist)"/>
        <s v="Bel sapı"/>
        <s v="Boya / sintetik / parlaq / boz / 2.5 kq / &quot;FAB&quot;"/>
        <s v="Jilet / fəhlə"/>
        <s v="Boya / sintetik / parlaq / qırmızı / 2.5 kq / &quot;FAB&quot;"/>
        <s v="Çəkic / 2 kq"/>
        <s v="Boya / sintetik / antipas / boz / 23.5 kq / &quot;FAB&quot;"/>
        <s v="Disk / d 230mm / nerj nazik"/>
        <s v="Boya / sintetik / parlaq / ağ / 2.5 kq / &quot;FAB&quot;"/>
        <s v="İzolyasiya lenti / 25m / qara"/>
        <s v="Strec / 300 P/6"/>
        <s v="Yanmış məftil"/>
        <s v="Tiner / 2.5 L / &quot;FAB&quot;"/>
        <s v="Kəlbətin / N7"/>
        <s v="Boya / sintetik / parlaq / sarı / 17 kq / &quot;FAB&quot;"/>
        <s v="Kəsər / sadə / çin"/>
        <s v="Metçik açarı / 10"/>
        <s v="Kəsər sapı / laklı / çin"/>
        <s v="Metçik açarı / 14"/>
        <s v="Lom / 28 (böyük)"/>
        <s v="Metçik açarı / 12"/>
        <s v="Disk / d 180  / ataka / &quot;Makita&quot;"/>
        <s v="Metçik açarı"/>
        <s v="Bel / 750 qr / çalov"/>
        <s v="Bolt / altıkünc / qara / kiçik"/>
        <s v="Bel / 750 qr / düz"/>
        <s v="Məməcik / yağlama"/>
        <s v="Metrə / 10m / rezin N142"/>
        <s v="Profil / 4x4 / metal"/>
        <s v="Metrə / 30m / ruletka N69"/>
        <s v="Profil / 2x4 / metal"/>
        <s v="Fənər / 013"/>
        <s v="Profil / 2x2 / metal"/>
        <s v="Qoruyucu şüşə / qara / kaska üçün"/>
        <s v="Valik başlığı"/>
        <s v="Lent / təhlükəsizlik / 200m"/>
        <s v="Valik / 10sm"/>
        <s v="Cəftə / metal / qapı üçün"/>
        <s v="Elektrik üçlük (kalot) / 3 gözlü"/>
        <s v="Qapı qulpu / metal"/>
        <s v="Sututucu bant / AK 20/2"/>
        <s v="Qapı üzlüyü / iç"/>
        <s v="Kran / arko / d 15mm / latun"/>
        <s v="Şurup / samorez"/>
        <s v="Suqarışdırıcı (smesitel) / duş CA 5"/>
        <s v="Boya / antipas / 17kq"/>
        <s v="Duş sepi / 120 fora"/>
        <s v="Tiner / 2.5 kq"/>
        <s v="Şlanq / moyka 60 / ziko"/>
        <s v="Tutqaç / elektrod üçün"/>
        <s v="Bolt / D-232"/>
        <s v="Fırça / 2 / boya"/>
        <s v="Fırça / metal / 2.5 inch / laqonda üçün / saçaq"/>
        <s v="Fırça / 3 / boya"/>
        <s v="Fırça / metal / 4 inch / laqonda üçün / cod"/>
        <s v="Skoç / kağız"/>
        <s v="Suqarışdırıcı (smesitel) / aftaxa Z62B"/>
        <s v="Laqonda / d 115 mm"/>
        <s v="EL-Bİ Üst 1R"/>
        <s v="Lampa / spot tənzimlənən / 3D 24 Vt / ağ / kvadrat"/>
        <s v="Boya / antipas / boz / 2.5 kq"/>
        <s v="Əl-üz yüyan (Umıvalnik) / orta"/>
        <s v="Valik / 20sm"/>
        <s v="Elektrik çəngəli (vilka) / qulplu 258"/>
        <s v="Bide başlığı"/>
        <s v="Kağız / A4 / 80qr / 500 vərəq / &quot;Assis&quot;"/>
        <s v="Fırça / 1 / boya"/>
        <s v="Sim / stepler üçün / 58mm / 24/6 / (1000 əd)"/>
        <s v="Boya / qara"/>
        <s v="Çay / 450qr / &quot;Azərçay&quot;"/>
        <s v="Boya / 1 L"/>
        <s v="Qənd / &quot;Azərşəkər&quot;"/>
        <s v="Disc / kəsici / d 230mm"/>
        <s v="Qələm / qara / &quot;Assis&quot;"/>
        <s v="Disc / kəsici / d 115mm"/>
        <s v="Qələm / qırmızı / &quot;Assis&quot;"/>
        <s v="Elektrik plitəsi / 2 gözlü"/>
        <s v="Qələm / göy / &quot;Assis&quot;"/>
        <s v="Başlıq (nasadka) / cilalayıcı kağız üçün"/>
        <s v="Qələm / qırmızı / i-9095&quot;Assis&quot;"/>
        <s v="WD 40"/>
        <s v="Batareya / AAA4 / &quot;Varta&quot; / Superlife"/>
        <s v="Marker / mavi / &quot;Oyal&quot;"/>
        <s v="Qayka açar dəsti"/>
        <s v="Paket / polietilen / extra"/>
        <s v="Qayka açarı / 10"/>
        <s v="Təmizlik bezi / 20 pic. / &quot;Merry&quot;"/>
        <s v="Qayka açarı / 13"/>
        <s v="Zərf / 110x220mm / &quot;İnci&quot;"/>
        <s v="Kəlpətin / kəsən"/>
        <s v="Paket / polietilen"/>
        <s v="Qapı petlyası"/>
        <s v="Jalyuz / parça"/>
        <s v="Cəftə"/>
        <s v="Bolt"/>
        <s v="Boya"/>
        <s v="Elektrik üçlük (kalot)"/>
        <s v="Laqonda / 180/230/2000Vt / &quot;Dingoi&quot; / JB02401"/>
        <s v="Solidol"/>
        <s v="Laqonda / 125/1220V / &quot;Dingoi&quot; / 101090"/>
        <s v="Qaynaq çubuğu (elektrod) / 3 / sabit / &quot;Azkaynak&quot;"/>
        <s v="Disk / kəsici / d 230 mm / 3.2 / laqonda üçün / &quot;Grassland&quot;"/>
        <s v="Əlcək / qaynaqçı"/>
        <s v="Disk / kəsici / d 125 mm / 2.5 / laqonda üçün / &quot;Grassland&quot;"/>
        <s v="Disk / kəsən / d 230mm"/>
        <s v="Araba / qaynaqlı BM"/>
        <s v="Disk / cilalayıcı / d 230mm"/>
        <s v="Vedrə / plastik / 14L / BM"/>
        <s v="Qaynaq çubuğu (elektrod) / 4"/>
        <s v="Çəkmə / qısa boğaz / 40 / &quot;YDS&quot;"/>
        <s v="Kaska / qaynaqçı"/>
        <s v="Qoruyucu şüşə / qaynaqçi kaskası üçün"/>
        <s v="Çəkmə / qısa boğaz / 43 / &quot;YDS&quot;"/>
        <s v="Ayaqqabı / qısa boğaz / 41 / &quot;Dingoi&quot; 90050141"/>
        <s v="Ayaqqabı / 40 / &quot;Dingoi&quot; 95240"/>
        <s v="Jilet / sarı-göy / sepli / mühəndis üçün / XL / &quot;EMİRHAN&quot;"/>
        <s v="Jilet / sepli"/>
        <s v="Projektor / panel ilə / 120 Vt / AB-T8120"/>
        <s v="Vintaçan / 7 pcs / 68602"/>
        <s v="Külüng sapı"/>
        <s v="Siyirtmə /d 110mm / kürəvi"/>
        <s v="Boya / sprey / qərmızı"/>
        <s v="Tesar/Victaulic bağlantı"/>
        <s v="Generator / 205 kVA / &quot;Genpower&quot;"/>
        <s v="Karot ucu / perforator üçün / 40mm"/>
        <s v="Su pompası / d 76mm / 6.6 kVt / H 28metr / &quot;Grindex&quot; / 0940147"/>
        <s v="Elektrik uzadıcı / 5 metr"/>
        <s v="Yapışdırıcı / fabkim standart / 25 kq"/>
        <s v="Sement / M400 / Norm"/>
        <s v="Yağ / 15w40 / 1L / Lubex Primus EC"/>
        <s v="Bitum / Rus"/>
        <s v="Arxiv qovluğu / ensiz / göy"/>
        <s v="Sənəd rəfi / 3-lü / DG 2001 HF J2"/>
        <s v="Texmarker / A178 / narıncı"/>
        <s v="Texmarker / A178 / mavi"/>
        <s v="Texmarker / A178 / yaşıl"/>
        <s v="Texmarker / A178 / sarı"/>
        <s v="Delgec / kağızdeşən / A101"/>
        <s v="Dosya qovluğu / telli / mavi"/>
        <s v="Qısqac / A182"/>
        <s v="Burğu / 22"/>
        <s v="Burğu / 24"/>
        <s v="Kömür / laqonda üçün / &quot;Bosch&quot;"/>
        <s v="Disk / kəsici / d 230x1,9 mm"/>
        <s v="Kəndir / alpenist"/>
        <s v="İzolent"/>
        <s v="İp / göy"/>
        <s v="Çəllək (Boçka) / 200 L"/>
        <s v="Su pompası / dalğıc / d 76 mm / 1500 Vt / 2860 d/d / 6 metr / &quot;Dingoi&quot; Çin istehsalı"/>
        <s v="Yanğınsöndürmə şlanqı / d 76mm"/>
        <s v="Xomut / plastik / 76x9,2 mm / türk"/>
        <s v="Metal lövhə / 20 mm / 1500x6000 / Cт3сп"/>
        <s v="Bitum / Azmas"/>
        <s v="Stepler / 14"/>
        <s v="Stepler simi / 14"/>
        <s v="Silikon"/>
        <s v="Silikon tapancası"/>
        <s v="Yapışdırıcı / kontakt"/>
        <s v="Təbaşir"/>
        <s v="Disk / cilalayıcı / d 230 mm / lagonda üçün"/>
        <s v="Bel / çalov"/>
        <s v="Bel / düz"/>
        <s v="Çəkic / 1 kq"/>
        <s v="Projektor / led / 100 Vt"/>
        <s v="Projektor / led / 50 Vt"/>
        <s v="İzolent / qara"/>
        <s v="Vintaçan dəsti / 4 pcs / N56"/>
        <s v="Elektrik vilka / 702"/>
        <s v="Disk / kəsici / d 230x1,9 mm / &quot;Klingspor&quot;"/>
        <s v="Bitum"/>
        <s v="Kabel / 3*25+1*16 / &quot;NEXANS&quot; H07VV-F / 0.6/1KV"/>
        <s v="Ucluq / mis / DT25"/>
        <s v="Reduktor / oksiqen / &quot;Yıldız&quot; 5401SR"/>
        <s v="Reduktor / propan / &quot;Yıldız&quot; 5120"/>
        <s v="Odla kəsici (Rezak) / &quot;Yıldız&quot; 4512-460"/>
        <s v="Əks klapan / oksiqen / &quot;Yıldız&quot; 1030"/>
        <s v="Əks klapan / propan / &quot;Yıldız&quot; 1130"/>
        <s v="Kıapan / LPG / &quot;Yıldız&quot; 1118"/>
        <s v="Kıapan / oksiqen / &quot;Yıldız&quot; 1128"/>
        <s v="Kabel / 1*35 KQ / H07RR-F /450/750V"/>
        <s v="Maska / sadə / şüşəli"/>
        <s v="Tutucu (Derjatel) / model : 600A"/>
        <s v="Qaynaq razyomu / 35-50mm"/>
        <s v="Boya / antipas / 1 kq"/>
        <s v="Diş / orta / JCB mini ekskavator üçün"/>
        <s v="Köpük / montaj"/>
        <s v="Boya / antipas / ağ"/>
        <s v="Boya / antipas / boz"/>
        <s v="Kəndir"/>
        <s v="Şveller / 80"/>
        <s v="Açar / krokodil tipli"/>
        <s v="Keçid (perexod)"/>
        <s v="Ştuser / 32"/>
        <s v="Künclük (uqolnik)"/>
        <s v="Ştuser / 19"/>
        <s v="R15-12 3609M"/>
        <s v="R15-12 2009M"/>
        <s v="R15-12 1159M"/>
        <s v="Boru / d 25 mm"/>
        <s v="S25 mma"/>
        <s v="Qayka / S25"/>
        <s v="L12"/>
        <s v="R15-12 1159M / 2-ci"/>
        <s v="Açar / qayka / 50 x 55"/>
        <s v="Fırça / metal / 4 inch / laqonda üçün / saçaq"/>
        <s v="Metrə / 5m / rezin N89"/>
        <s v="Burğu / 8 x 210 mm"/>
        <s v="Bolt-qayka / JCB üçün"/>
        <s v="Yağ / hidravlik / HLP68"/>
        <s v="Klema başlığı / T038"/>
        <s v="Əks klapan / hidravlik"/>
        <s v="Filtr / hidravlik"/>
        <s v="Pəstah / kauçuk"/>
        <s v="Araqatı (salnik)"/>
        <s v="Profil / metal / 2x4mm"/>
        <s v="Armatur / F10, L-12, A500"/>
        <s v="Armatur / F14, L-12, A500"/>
        <s v="Armatur / F16, L-12, A500"/>
        <s v="Armatur / F20, L-12, A500"/>
        <s v="Metrik / TE-O.B"/>
        <s v="Metrik / BSP"/>
        <s v="Elektrik lövhə / 550x800mm / metal " u="1"/>
        <s v="Laboratoriya sınaq qabları / kolba / plastik " u="1"/>
        <s v="Filtr/ hava/ 252-5002/ &quot;CAT&quot;/ ABŞ istehsalı " u="1"/>
        <s v="Birləşdirici / polietilen / çöl yivli / d 32mm / &quot;Borfit&quot; / Türkiyə istehsalı " u="1"/>
        <s v="Tıxac/ vint üçün/ 10 mm/ plastik/ &quot;Metak&quot; " u="1"/>
        <s v="Tıxac/ vint üçün/ 8 mm/ plastik/ &quot;Metak&quot; " u="1"/>
        <s v="Printer / rəngli / &quot;Epson&quot; / L1300 / İndoneziya istehsalı " u="1"/>
        <s v="Siqnal lenti / SU " u="1"/>
        <s v="Elektrik lövhəsi / 2ədəd kontaktor ilə " u="1"/>
        <s v="Dirsək / d 50 mm / polad / flyanslı " u="1"/>
        <s v="Sayğac / elektrik / 3 faza / 4 telli / 10-60 A / &quot;Makel&quot; / Türk istehsalı " u="1"/>
        <s v="Karot ucu / almaz / 168 x 450 mm " u="1"/>
        <s v="Karkas / plastik " u="1"/>
        <s v="Karot ucu / almaz / 250 x 450 mm " u="1"/>
        <s v="Perforator / &quot;Dingqi&quot; / HAMMER " u="1"/>
        <s v="Qızdırıcı / elektrik / 1200 Vt / 3 spirallı  " u="1"/>
        <s v="Dizlik " u="1"/>
        <s v="Kabel / 4 x 0.22 / internet " u="1"/>
        <s v="Yanğınsöndürmə şlanqı / 6 İnch (150 mm) x 20 metr " u="1"/>
        <s v="Lobzik / 3000 d/d / &quot;Kad&quot; / W650 " u="1"/>
        <s v="Yönləndirmə mühərriki (ümitə) / 1400-lük makina üçün " u="1"/>
        <s v="Su basıncı (ilbizvari)/ 1400-lük makina üçün " u="1"/>
        <s v="Yönləndirmə mühərriki (ümitə) / 1000-lik makina üçün " u="1"/>
        <s v="Konus / flyanslı / d 250 mm / laboratoriya üçün " u="1"/>
        <s v="Anbar adı - Çöl anbar " u="1"/>
        <s v="Dirsək / d 50 mm / polietilen / 90° " u="1"/>
        <s v="Konteyner / 6 metr " u="1"/>
        <s v="Kompakter / əl katoku / dizel " u="1"/>
        <s v="Boru / polietilen / d 32 mm " u="1"/>
        <s v="Vaqonet (badya) / " u="1"/>
        <s v="Anbar adı - Anqar" u="1"/>
        <s v="Adaptor / d 110 mm / polietilen " u="1"/>
        <s v="Adaptor / d 90 mm / polietilen " u="1"/>
        <s v="Kəsici / d 100 mm / almaz / perforator üçün " u="1"/>
        <s v="Podnos / paslanmayan metal / 5 seksiyalı / mətbəx üçün " u="1"/>
        <s v="Vanna / paslanmayan metal / mətbəx üçün " u="1"/>
        <s v="Kabel / alüminium / 4 damarlı / 44metr " u="1"/>
        <s v="Kabel / alüminium / 4 damarlı / 24metr " u="1"/>
        <s v="Anbar adı - Göy kont." u="1"/>
        <s v="Su pompası / dalğıc / 1100 vt / &quot;Shimge&quot; " u="1"/>
        <s v="Dirsək / PVC / d 50 mm " u="1"/>
        <s v="Kəsici alət / elektrik / beton üçün / &quot;Hoteche&quot; / P805111 " u="1"/>
        <s v="Qayçı / armatur üçün " u="1"/>
        <s v="Armatur əyən alət " u="1"/>
        <s v="Ştuser / hava / d=10 mm " u="1"/>
        <s v="Ventil / metal / 2 inch " u="1"/>
        <s v="Üçlük / metal / ştuser tipli / d10mm / hava " u="1"/>
        <s v="Odla kəsici / qaz " u="1"/>
        <s v="Anbar adı - Sarı kont." u="1"/>
        <s v="Oturacaq / ağ " u="1"/>
        <s v="Anbar adı - Ağ kont." u="1"/>
        <s v="Döşək " u="1"/>
        <s v="Yataq / metal karkas " u="1"/>
        <s v="Masa / 700x1700mm / 3 siyirtməli " u="1"/>
        <s v="Anbar adı - Mətbəx" u="1"/>
        <s v="Dispenser / su / &quot;Orvica&quot; " u="1"/>
        <s v="Soyuducu / 157x600mm / vertikal / 2 kameralı " u="1"/>
        <s v="Masa / 700x2700mm " u="1"/>
        <s v="Ləğən (taz) / d 500mm / alüminium " u="1"/>
        <s v="Ləğən (taz) / d 520mm / alüminium " u="1"/>
        <s v="Doğrayıcı / qida / mexaniki " u="1"/>
        <s v="Samovar / mətbəx üçün " u="1"/>
        <s v="Jilet / sarı/ sadə " u="1"/>
        <s v="Qaynaq çubuğu (elektrod) / 3 / &quot;Azkaynak&quot; " u="1"/>
        <s v="Əlcək / sarı " u="1"/>
        <s v="Metçik açarı " u="1"/>
        <s v="Laqonda / d 115 mm " u="1"/>
        <s v="Araba təkəri " u="1"/>
        <s v="Elektrik plitəsi / 2 gözlü " u="1"/>
        <s v="Başlıq (nasadka) / cilalayıcı kağız üçün " u="1"/>
        <s v="Qaynaq çubuğu (elektrod) / 3 / sabit / &quot;Azkaynak&quot; " u="1"/>
        <s v="Disk / kəsən / d 230mm " u="1"/>
        <s v="Disk / cilalayıcı / d 230mm " u="1"/>
        <s v="Qənd / &quot;Azərşəkər&quot; " u="1"/>
        <s v="Siyirtmə /d 110mm / kürəvi " u="1"/>
        <s v="Paket / polietilen " u="1"/>
        <s v="Disk / kəsici / d 230x1,9 mm " u="1"/>
        <s v="Su filtri / polipropilen / d 20 mm" u="1"/>
        <s v="Mufta / polipropilen / d 20 mm" u="1"/>
        <s v="Videokamera / nəzarət / &quot;Multistar&quot; " u="1"/>
        <s v="Videokamera / nəzarət / &quot;Multistar&quot;" u="1"/>
        <s v="Su filtri / d 20 mm / polipropilen" u="1"/>
        <s v="Mufta / d 32 mm / elektrofizyon / polietilen" u="1"/>
        <s v="Üçlük / d 32 mm / polietilen" u="1"/>
        <s v="Xətkeş / nivelyator üçün /" u="1"/>
        <s v="Dirsək / d 50 mm / 90° / polietilen / &quot;Borfit&quot; / Türkiyə istehsalı" u="1"/>
        <s v="Mufta / d 32 mm / polietilen / elektrofizyon" u="1"/>
        <s v="Xətkeş / nivelyator üçün" u="1"/>
        <s v="Mufta / elektrofizyon / d 32 mm / polietilen" u="1"/>
        <s v="Üçlük / d 32 mm / polietilen " u="1"/>
        <s v="Mufta / d 20 mm / polipropilen " u="1"/>
        <s v="Çöl anbar " u="1"/>
        <s v="Anqar" u="1"/>
        <s v="Göy kont." u="1"/>
        <s v="Sarı kont." u="1"/>
        <s v="Ağ kont." u="1"/>
        <s v="Mətbəx" u="1"/>
        <s v="Boya / antipas / boz / 17kq" u="1"/>
        <s v="Nivellyator dayağı / üçayaq" u="1"/>
        <s v="Pastah / rezin" u="1"/>
        <s v="Bloknot / 40 vərəq / Türkiyə" u="1"/>
      </sharedItems>
    </cacheField>
    <cacheField name="Miqdar" numFmtId="0">
      <sharedItems containsString="0" containsBlank="1" containsNumber="1" minValue="0.5" maxValue="553"/>
    </cacheField>
    <cacheField name="Malın miqdarı" numFmtId="0">
      <sharedItems containsSemiMixedTypes="0" containsString="0" containsNumber="1" minValue="0" maxValue="553"/>
    </cacheField>
    <cacheField name="Fərq" numFmtId="0">
      <sharedItems containsString="0" containsBlank="1" containsNumber="1" containsInteger="1" minValue="0" maxValue="0" count="2"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5">
  <r>
    <n v="1"/>
    <d v="2026-05-06T00:00:00"/>
    <x v="0"/>
    <s v="0000997"/>
    <s v="ədəd"/>
    <n v="3"/>
    <n v="1"/>
    <n v="3"/>
    <x v="0"/>
    <x v="0"/>
    <s v="№ 24-060"/>
    <s v="3403"/>
  </r>
  <r>
    <n v="2"/>
    <d v="2026-05-06T00:00:00"/>
    <x v="1"/>
    <s v="0001038"/>
    <s v="ədəd"/>
    <n v="2"/>
    <n v="1.2"/>
    <n v="2.4"/>
    <x v="0"/>
    <x v="0"/>
    <s v="№ 24-060"/>
    <s v="3403"/>
  </r>
  <r>
    <n v="3"/>
    <d v="2026-05-06T00:00:00"/>
    <x v="2"/>
    <s v="0001039"/>
    <s v="ədəd"/>
    <n v="3"/>
    <n v="4.5"/>
    <n v="13.5"/>
    <x v="0"/>
    <x v="0"/>
    <s v="№ 24-060"/>
    <s v="3403"/>
  </r>
  <r>
    <n v="4"/>
    <d v="2026-05-06T00:00:00"/>
    <x v="3"/>
    <s v="0001040"/>
    <s v="ədəd"/>
    <n v="2"/>
    <n v="2.2000000000000002"/>
    <n v="4.4000000000000004"/>
    <x v="0"/>
    <x v="0"/>
    <s v="№ 24-060"/>
    <s v="3403"/>
  </r>
  <r>
    <n v="5"/>
    <d v="2026-05-06T00:00:00"/>
    <x v="4"/>
    <s v="0001041"/>
    <s v="ədəd"/>
    <n v="3"/>
    <n v="30"/>
    <n v="90"/>
    <x v="0"/>
    <x v="0"/>
    <s v="№ 24-060"/>
    <s v="3403"/>
  </r>
  <r>
    <n v="6"/>
    <d v="2026-05-06T00:00:00"/>
    <x v="5"/>
    <s v="0001042"/>
    <s v="ədəd"/>
    <n v="10"/>
    <n v="1.2"/>
    <n v="12"/>
    <x v="0"/>
    <x v="0"/>
    <s v="№ 24-060"/>
    <s v="3403"/>
  </r>
  <r>
    <n v="7"/>
    <d v="2026-05-06T00:00:00"/>
    <x v="6"/>
    <s v="0001043"/>
    <s v="ədəd"/>
    <n v="2"/>
    <n v="5"/>
    <n v="10"/>
    <x v="0"/>
    <x v="0"/>
    <s v="№ 24-060"/>
    <s v="3403"/>
  </r>
  <r>
    <n v="8"/>
    <d v="2026-05-06T00:00:00"/>
    <x v="7"/>
    <s v="0001044"/>
    <s v="ədəd"/>
    <n v="1"/>
    <n v="3"/>
    <n v="3"/>
    <x v="0"/>
    <x v="0"/>
    <s v="№ 24-060"/>
    <s v="3403"/>
  </r>
  <r>
    <n v="9"/>
    <d v="2026-05-06T00:00:00"/>
    <x v="8"/>
    <s v="0001045"/>
    <s v="ədəd"/>
    <n v="1"/>
    <n v="5"/>
    <n v="5"/>
    <x v="0"/>
    <x v="0"/>
    <s v="№ 24-060"/>
    <s v="3403"/>
  </r>
  <r>
    <n v="10"/>
    <d v="2026-05-06T00:00:00"/>
    <x v="9"/>
    <s v="0001046"/>
    <s v="ədəd"/>
    <n v="1"/>
    <n v="5.5"/>
    <n v="5.5"/>
    <x v="0"/>
    <x v="0"/>
    <s v="№ 24-060"/>
    <s v="3403"/>
  </r>
  <r>
    <n v="11"/>
    <d v="2026-05-07T00:00:00"/>
    <x v="10"/>
    <s v="0001054"/>
    <s v="ədəd"/>
    <n v="20"/>
    <n v="5.5"/>
    <n v="110"/>
    <x v="0"/>
    <x v="1"/>
    <s v="№198AMP/2026."/>
    <s v="22429"/>
  </r>
  <r>
    <n v="12"/>
    <d v="2026-05-07T00:00:00"/>
    <x v="11"/>
    <s v="0001055"/>
    <s v="ədəd"/>
    <n v="4"/>
    <n v="12"/>
    <n v="48"/>
    <x v="0"/>
    <x v="1"/>
    <s v="№198AMP/2026."/>
    <s v="22429"/>
  </r>
  <r>
    <n v="13"/>
    <d v="2026-05-07T00:00:00"/>
    <x v="12"/>
    <s v="0001056"/>
    <s v="metr"/>
    <n v="100"/>
    <n v="1.3"/>
    <n v="130"/>
    <x v="0"/>
    <x v="1"/>
    <s v="№198AMP/2026."/>
    <s v="22429"/>
  </r>
  <r>
    <n v="14"/>
    <d v="2026-05-07T00:00:00"/>
    <x v="13"/>
    <s v="0001057"/>
    <s v="metr"/>
    <n v="100"/>
    <n v="2"/>
    <n v="200"/>
    <x v="0"/>
    <x v="1"/>
    <s v="№198AMP/2026."/>
    <s v="22429"/>
  </r>
  <r>
    <n v="15"/>
    <d v="2026-05-07T00:00:00"/>
    <x v="14"/>
    <s v="0001058"/>
    <s v="ədəd"/>
    <n v="10"/>
    <n v="1.5"/>
    <n v="15"/>
    <x v="0"/>
    <x v="1"/>
    <s v="№198AMP/2026."/>
    <s v="22429"/>
  </r>
  <r>
    <n v="16"/>
    <d v="2026-05-07T00:00:00"/>
    <x v="15"/>
    <s v="0001059"/>
    <s v="ədəd"/>
    <n v="20"/>
    <n v="3.2"/>
    <n v="64"/>
    <x v="0"/>
    <x v="1"/>
    <s v="№198AMP/2026."/>
    <s v="22429"/>
  </r>
  <r>
    <n v="17"/>
    <d v="2026-05-07T00:00:00"/>
    <x v="16"/>
    <s v="0001060"/>
    <s v="ədəd"/>
    <n v="1"/>
    <n v="60"/>
    <n v="60"/>
    <x v="0"/>
    <x v="1"/>
    <s v="№198AMP/2026."/>
    <s v="22429"/>
  </r>
  <r>
    <n v="18"/>
    <d v="2026-05-07T00:00:00"/>
    <x v="17"/>
    <s v="0001061"/>
    <s v="ədəd"/>
    <n v="10"/>
    <n v="15"/>
    <n v="150"/>
    <x v="0"/>
    <x v="1"/>
    <s v="№198AMP/2026."/>
    <s v="22429"/>
  </r>
  <r>
    <n v="19"/>
    <d v="2026-05-07T00:00:00"/>
    <x v="18"/>
    <s v="0001062"/>
    <s v="ədəd"/>
    <n v="20"/>
    <n v="5.9"/>
    <n v="118"/>
    <x v="0"/>
    <x v="1"/>
    <s v="№198AMP/2026."/>
    <s v="22429"/>
  </r>
  <r>
    <n v="20"/>
    <d v="2026-06-01T00:00:00"/>
    <x v="19"/>
    <s v="0000001"/>
    <s v="ədəd"/>
    <n v="1"/>
    <m/>
    <n v="0"/>
    <x v="1"/>
    <x v="2"/>
    <n v="0"/>
    <n v="0"/>
  </r>
  <r>
    <n v="21"/>
    <d v="2026-06-01T00:00:00"/>
    <x v="20"/>
    <s v="0000002"/>
    <s v="ədəd"/>
    <n v="1"/>
    <m/>
    <n v="0"/>
    <x v="1"/>
    <x v="2"/>
    <n v="0"/>
    <n v="0"/>
  </r>
  <r>
    <n v="22"/>
    <d v="2026-06-01T00:00:00"/>
    <x v="21"/>
    <s v="0000003"/>
    <s v="ədəd"/>
    <n v="17"/>
    <m/>
    <n v="0"/>
    <x v="1"/>
    <x v="2"/>
    <n v="0"/>
    <n v="0"/>
  </r>
  <r>
    <n v="23"/>
    <d v="2026-06-01T00:00:00"/>
    <x v="22"/>
    <s v="0000004"/>
    <s v="ədəd"/>
    <n v="1"/>
    <m/>
    <n v="0"/>
    <x v="1"/>
    <x v="2"/>
    <n v="0"/>
    <n v="0"/>
  </r>
  <r>
    <n v="24"/>
    <d v="2026-06-01T00:00:00"/>
    <x v="23"/>
    <s v="0000005"/>
    <s v="ədəd"/>
    <n v="1"/>
    <m/>
    <n v="0"/>
    <x v="1"/>
    <x v="2"/>
    <n v="0"/>
    <n v="0"/>
  </r>
  <r>
    <n v="25"/>
    <d v="2026-06-01T00:00:00"/>
    <x v="24"/>
    <s v="0000006"/>
    <s v="dəst"/>
    <n v="6"/>
    <m/>
    <n v="0"/>
    <x v="1"/>
    <x v="2"/>
    <n v="0"/>
    <n v="0"/>
  </r>
  <r>
    <n v="26"/>
    <d v="2026-06-01T00:00:00"/>
    <x v="25"/>
    <s v="0000007"/>
    <s v="ədəd"/>
    <n v="1"/>
    <m/>
    <n v="0"/>
    <x v="1"/>
    <x v="2"/>
    <n v="0"/>
    <n v="0"/>
  </r>
  <r>
    <n v="27"/>
    <d v="2026-06-01T00:00:00"/>
    <x v="26"/>
    <s v="0000008"/>
    <s v="ədəd"/>
    <n v="12"/>
    <m/>
    <n v="0"/>
    <x v="1"/>
    <x v="2"/>
    <n v="0"/>
    <n v="0"/>
  </r>
  <r>
    <n v="28"/>
    <d v="2026-06-01T00:00:00"/>
    <x v="27"/>
    <s v="0000009"/>
    <s v="dəst"/>
    <n v="1"/>
    <m/>
    <n v="0"/>
    <x v="1"/>
    <x v="2"/>
    <n v="0"/>
    <n v="0"/>
  </r>
  <r>
    <n v="29"/>
    <d v="2026-06-01T00:00:00"/>
    <x v="28"/>
    <s v="0000010"/>
    <s v="ədəd"/>
    <n v="1"/>
    <m/>
    <n v="0"/>
    <x v="1"/>
    <x v="2"/>
    <n v="0"/>
    <n v="0"/>
  </r>
  <r>
    <n v="30"/>
    <d v="2026-06-01T00:00:00"/>
    <x v="29"/>
    <s v="0000011"/>
    <s v="ədəd"/>
    <n v="2"/>
    <m/>
    <n v="0"/>
    <x v="1"/>
    <x v="2"/>
    <n v="0"/>
    <n v="0"/>
  </r>
  <r>
    <n v="31"/>
    <d v="2026-06-01T00:00:00"/>
    <x v="30"/>
    <s v="0000012"/>
    <s v="ədəd"/>
    <n v="1"/>
    <m/>
    <n v="0"/>
    <x v="1"/>
    <x v="2"/>
    <n v="0"/>
    <n v="0"/>
  </r>
  <r>
    <n v="32"/>
    <d v="2026-06-01T00:00:00"/>
    <x v="31"/>
    <s v="0000013"/>
    <s v="ədəd"/>
    <n v="6"/>
    <m/>
    <n v="0"/>
    <x v="1"/>
    <x v="2"/>
    <n v="0"/>
    <n v="0"/>
  </r>
  <r>
    <n v="33"/>
    <d v="2026-06-01T00:00:00"/>
    <x v="32"/>
    <s v="0000014"/>
    <s v="ədəd"/>
    <n v="2"/>
    <m/>
    <n v="0"/>
    <x v="1"/>
    <x v="2"/>
    <n v="0"/>
    <n v="0"/>
  </r>
  <r>
    <n v="34"/>
    <d v="2026-06-01T00:00:00"/>
    <x v="33"/>
    <s v="0000015"/>
    <s v="ədəd"/>
    <n v="7"/>
    <m/>
    <n v="0"/>
    <x v="1"/>
    <x v="2"/>
    <n v="0"/>
    <n v="0"/>
  </r>
  <r>
    <n v="35"/>
    <d v="2026-06-01T00:00:00"/>
    <x v="34"/>
    <s v="0000016"/>
    <s v="ədəd"/>
    <n v="3"/>
    <m/>
    <n v="0"/>
    <x v="1"/>
    <x v="2"/>
    <n v="0"/>
    <n v="0"/>
  </r>
  <r>
    <n v="36"/>
    <d v="2026-06-01T00:00:00"/>
    <x v="35"/>
    <s v="0000017"/>
    <s v="ədəd"/>
    <n v="1"/>
    <m/>
    <n v="0"/>
    <x v="1"/>
    <x v="2"/>
    <n v="0"/>
    <n v="0"/>
  </r>
  <r>
    <n v="37"/>
    <d v="2026-06-01T00:00:00"/>
    <x v="36"/>
    <s v="0000018"/>
    <s v="ədəd"/>
    <n v="1"/>
    <m/>
    <n v="0"/>
    <x v="1"/>
    <x v="2"/>
    <n v="0"/>
    <n v="0"/>
  </r>
  <r>
    <n v="38"/>
    <d v="2026-06-01T00:00:00"/>
    <x v="37"/>
    <s v="0000019"/>
    <s v="ədəd"/>
    <n v="1"/>
    <m/>
    <n v="0"/>
    <x v="1"/>
    <x v="2"/>
    <n v="0"/>
    <n v="0"/>
  </r>
  <r>
    <n v="39"/>
    <d v="2026-06-01T00:00:00"/>
    <x v="38"/>
    <s v="0000020"/>
    <s v="ədəd"/>
    <n v="2"/>
    <m/>
    <n v="0"/>
    <x v="1"/>
    <x v="2"/>
    <n v="0"/>
    <n v="0"/>
  </r>
  <r>
    <n v="40"/>
    <d v="2026-06-01T00:00:00"/>
    <x v="39"/>
    <s v="0000021"/>
    <s v="ədəd"/>
    <n v="3"/>
    <m/>
    <n v="0"/>
    <x v="1"/>
    <x v="2"/>
    <n v="0"/>
    <n v="0"/>
  </r>
  <r>
    <n v="41"/>
    <d v="2026-06-01T00:00:00"/>
    <x v="40"/>
    <s v="0000022"/>
    <s v="ədəd"/>
    <n v="11"/>
    <m/>
    <n v="0"/>
    <x v="1"/>
    <x v="2"/>
    <n v="0"/>
    <n v="0"/>
  </r>
  <r>
    <n v="42"/>
    <d v="2026-06-01T00:00:00"/>
    <x v="41"/>
    <s v="0000023"/>
    <s v="ədəd"/>
    <n v="2"/>
    <m/>
    <n v="0"/>
    <x v="1"/>
    <x v="2"/>
    <n v="0"/>
    <n v="0"/>
  </r>
  <r>
    <n v="43"/>
    <d v="2026-06-01T00:00:00"/>
    <x v="42"/>
    <s v="0000024"/>
    <s v="ədəd"/>
    <n v="1"/>
    <m/>
    <n v="0"/>
    <x v="1"/>
    <x v="2"/>
    <n v="0"/>
    <n v="0"/>
  </r>
  <r>
    <n v="44"/>
    <d v="2026-06-01T00:00:00"/>
    <x v="43"/>
    <s v="0000025"/>
    <s v="ədəd"/>
    <n v="1"/>
    <m/>
    <n v="0"/>
    <x v="1"/>
    <x v="2"/>
    <n v="0"/>
    <n v="0"/>
  </r>
  <r>
    <n v="45"/>
    <d v="2026-06-01T00:00:00"/>
    <x v="44"/>
    <s v="0000026"/>
    <s v="ədəd"/>
    <n v="1"/>
    <m/>
    <n v="0"/>
    <x v="1"/>
    <x v="2"/>
    <n v="0"/>
    <n v="0"/>
  </r>
  <r>
    <n v="46"/>
    <d v="2026-06-01T00:00:00"/>
    <x v="45"/>
    <s v="0000027"/>
    <s v="ədəd"/>
    <n v="2"/>
    <m/>
    <n v="0"/>
    <x v="1"/>
    <x v="2"/>
    <n v="0"/>
    <n v="0"/>
  </r>
  <r>
    <n v="47"/>
    <d v="2026-06-01T00:00:00"/>
    <x v="46"/>
    <s v="0000028"/>
    <s v="ədəd"/>
    <n v="1"/>
    <m/>
    <n v="0"/>
    <x v="1"/>
    <x v="2"/>
    <n v="0"/>
    <n v="0"/>
  </r>
  <r>
    <n v="48"/>
    <d v="2026-06-01T00:00:00"/>
    <x v="47"/>
    <s v="0000029"/>
    <s v="ədəd"/>
    <n v="1"/>
    <m/>
    <n v="0"/>
    <x v="1"/>
    <x v="2"/>
    <n v="0"/>
    <n v="0"/>
  </r>
  <r>
    <n v="49"/>
    <d v="2026-06-01T00:00:00"/>
    <x v="48"/>
    <s v="0000030"/>
    <s v="ədəd"/>
    <n v="5"/>
    <m/>
    <n v="0"/>
    <x v="1"/>
    <x v="2"/>
    <n v="0"/>
    <n v="0"/>
  </r>
  <r>
    <n v="50"/>
    <d v="2026-06-01T00:00:00"/>
    <x v="49"/>
    <s v="0000031"/>
    <s v="ədəd"/>
    <n v="1"/>
    <m/>
    <n v="0"/>
    <x v="1"/>
    <x v="2"/>
    <n v="0"/>
    <n v="0"/>
  </r>
  <r>
    <n v="51"/>
    <d v="2026-06-01T00:00:00"/>
    <x v="50"/>
    <s v="0000032"/>
    <s v="ədəd"/>
    <n v="1"/>
    <m/>
    <n v="0"/>
    <x v="1"/>
    <x v="2"/>
    <n v="0"/>
    <n v="0"/>
  </r>
  <r>
    <n v="52"/>
    <d v="2026-06-01T00:00:00"/>
    <x v="51"/>
    <s v="0000033"/>
    <s v="ədəd"/>
    <n v="3"/>
    <m/>
    <n v="0"/>
    <x v="1"/>
    <x v="2"/>
    <n v="0"/>
    <n v="0"/>
  </r>
  <r>
    <n v="53"/>
    <d v="2026-06-01T00:00:00"/>
    <x v="52"/>
    <s v="0000034"/>
    <s v="ədəd"/>
    <n v="3"/>
    <m/>
    <n v="0"/>
    <x v="1"/>
    <x v="2"/>
    <n v="0"/>
    <n v="0"/>
  </r>
  <r>
    <n v="54"/>
    <d v="2026-06-01T00:00:00"/>
    <x v="53"/>
    <s v="0000035"/>
    <s v="ədəd"/>
    <n v="2"/>
    <m/>
    <n v="0"/>
    <x v="1"/>
    <x v="2"/>
    <n v="0"/>
    <n v="0"/>
  </r>
  <r>
    <n v="55"/>
    <d v="2026-06-01T00:00:00"/>
    <x v="54"/>
    <s v="0000036"/>
    <s v="ədəd"/>
    <n v="6"/>
    <m/>
    <n v="0"/>
    <x v="1"/>
    <x v="2"/>
    <n v="0"/>
    <n v="0"/>
  </r>
  <r>
    <n v="56"/>
    <d v="2026-06-01T00:00:00"/>
    <x v="55"/>
    <s v="0000037"/>
    <s v="ədəd"/>
    <n v="2"/>
    <m/>
    <n v="0"/>
    <x v="1"/>
    <x v="2"/>
    <n v="0"/>
    <n v="0"/>
  </r>
  <r>
    <n v="57"/>
    <d v="2026-06-01T00:00:00"/>
    <x v="56"/>
    <s v="0000038"/>
    <s v="ədəd"/>
    <n v="5"/>
    <m/>
    <n v="0"/>
    <x v="1"/>
    <x v="2"/>
    <n v="0"/>
    <n v="0"/>
  </r>
  <r>
    <n v="58"/>
    <d v="2026-06-01T00:00:00"/>
    <x v="57"/>
    <s v="0000039"/>
    <s v="ədəd"/>
    <n v="1"/>
    <m/>
    <n v="0"/>
    <x v="1"/>
    <x v="2"/>
    <n v="0"/>
    <n v="0"/>
  </r>
  <r>
    <n v="59"/>
    <d v="2026-06-01T00:00:00"/>
    <x v="58"/>
    <s v="0000040"/>
    <s v="ədəd"/>
    <n v="3"/>
    <m/>
    <n v="0"/>
    <x v="1"/>
    <x v="2"/>
    <n v="0"/>
    <n v="0"/>
  </r>
  <r>
    <n v="60"/>
    <d v="2026-06-01T00:00:00"/>
    <x v="59"/>
    <s v="0000041"/>
    <s v="ədəd"/>
    <n v="2"/>
    <m/>
    <n v="0"/>
    <x v="1"/>
    <x v="2"/>
    <n v="0"/>
    <n v="0"/>
  </r>
  <r>
    <n v="61"/>
    <d v="2026-06-01T00:00:00"/>
    <x v="60"/>
    <s v="0000042"/>
    <s v="ədəd"/>
    <n v="2"/>
    <m/>
    <n v="0"/>
    <x v="1"/>
    <x v="2"/>
    <n v="0"/>
    <n v="0"/>
  </r>
  <r>
    <n v="62"/>
    <d v="2026-06-01T00:00:00"/>
    <x v="61"/>
    <s v="0000043"/>
    <s v="ədəd"/>
    <n v="1"/>
    <m/>
    <n v="0"/>
    <x v="1"/>
    <x v="2"/>
    <n v="0"/>
    <n v="0"/>
  </r>
  <r>
    <n v="63"/>
    <d v="2026-06-01T00:00:00"/>
    <x v="62"/>
    <s v="0000044"/>
    <s v="ədəd"/>
    <n v="2"/>
    <m/>
    <n v="0"/>
    <x v="1"/>
    <x v="2"/>
    <n v="0"/>
    <n v="0"/>
  </r>
  <r>
    <n v="64"/>
    <d v="2026-06-01T00:00:00"/>
    <x v="63"/>
    <s v="0000045"/>
    <s v="ədəd"/>
    <n v="1"/>
    <m/>
    <n v="0"/>
    <x v="1"/>
    <x v="2"/>
    <n v="0"/>
    <n v="0"/>
  </r>
  <r>
    <n v="65"/>
    <d v="2026-06-01T00:00:00"/>
    <x v="64"/>
    <s v="0000046"/>
    <s v="ədəd"/>
    <n v="1"/>
    <m/>
    <n v="0"/>
    <x v="1"/>
    <x v="2"/>
    <n v="0"/>
    <n v="0"/>
  </r>
  <r>
    <n v="66"/>
    <d v="2026-06-01T00:00:00"/>
    <x v="65"/>
    <s v="0000047"/>
    <s v="ədəd"/>
    <n v="2"/>
    <m/>
    <n v="0"/>
    <x v="1"/>
    <x v="2"/>
    <n v="0"/>
    <n v="0"/>
  </r>
  <r>
    <n v="67"/>
    <d v="2026-06-01T00:00:00"/>
    <x v="66"/>
    <s v="0000048"/>
    <s v="ədəd"/>
    <n v="1"/>
    <m/>
    <n v="0"/>
    <x v="1"/>
    <x v="2"/>
    <n v="0"/>
    <n v="0"/>
  </r>
  <r>
    <n v="68"/>
    <d v="2026-06-01T00:00:00"/>
    <x v="67"/>
    <s v="0000049"/>
    <s v="ədəd"/>
    <n v="1"/>
    <m/>
    <n v="0"/>
    <x v="1"/>
    <x v="2"/>
    <n v="0"/>
    <n v="0"/>
  </r>
  <r>
    <n v="69"/>
    <d v="2026-06-01T00:00:00"/>
    <x v="68"/>
    <s v="0000050"/>
    <s v="ədəd"/>
    <n v="2"/>
    <m/>
    <n v="0"/>
    <x v="1"/>
    <x v="2"/>
    <n v="0"/>
    <n v="0"/>
  </r>
  <r>
    <n v="70"/>
    <d v="2026-06-01T00:00:00"/>
    <x v="69"/>
    <s v="0000051"/>
    <s v="ədəd"/>
    <n v="2"/>
    <m/>
    <n v="0"/>
    <x v="1"/>
    <x v="2"/>
    <n v="0"/>
    <n v="0"/>
  </r>
  <r>
    <n v="71"/>
    <d v="2026-06-01T00:00:00"/>
    <x v="70"/>
    <s v="0000052"/>
    <s v="ədəd"/>
    <n v="1"/>
    <m/>
    <n v="0"/>
    <x v="1"/>
    <x v="2"/>
    <n v="0"/>
    <n v="0"/>
  </r>
  <r>
    <n v="72"/>
    <d v="2026-06-01T00:00:00"/>
    <x v="71"/>
    <s v="0000053"/>
    <s v="ədəd"/>
    <n v="1"/>
    <m/>
    <n v="0"/>
    <x v="1"/>
    <x v="2"/>
    <n v="0"/>
    <n v="0"/>
  </r>
  <r>
    <n v="73"/>
    <d v="2026-06-01T00:00:00"/>
    <x v="72"/>
    <s v="0000054"/>
    <s v="ədəd"/>
    <n v="1"/>
    <m/>
    <n v="0"/>
    <x v="1"/>
    <x v="2"/>
    <n v="0"/>
    <n v="0"/>
  </r>
  <r>
    <n v="74"/>
    <d v="2026-06-01T00:00:00"/>
    <x v="73"/>
    <s v="0000055"/>
    <s v="ədəd"/>
    <n v="1"/>
    <m/>
    <n v="0"/>
    <x v="1"/>
    <x v="2"/>
    <n v="0"/>
    <n v="0"/>
  </r>
  <r>
    <n v="75"/>
    <d v="2026-06-01T00:00:00"/>
    <x v="74"/>
    <s v="0000056"/>
    <s v="ədəd"/>
    <n v="2"/>
    <m/>
    <n v="0"/>
    <x v="1"/>
    <x v="2"/>
    <n v="0"/>
    <n v="0"/>
  </r>
  <r>
    <n v="76"/>
    <d v="2026-06-01T00:00:00"/>
    <x v="75"/>
    <s v="0000057"/>
    <s v="ədəd"/>
    <n v="1"/>
    <m/>
    <n v="0"/>
    <x v="1"/>
    <x v="2"/>
    <n v="0"/>
    <n v="0"/>
  </r>
  <r>
    <n v="77"/>
    <d v="2026-06-01T00:00:00"/>
    <x v="76"/>
    <s v="0000058"/>
    <s v="ədəd"/>
    <n v="2"/>
    <m/>
    <n v="0"/>
    <x v="1"/>
    <x v="2"/>
    <n v="0"/>
    <n v="0"/>
  </r>
  <r>
    <n v="78"/>
    <d v="2026-06-01T00:00:00"/>
    <x v="77"/>
    <s v="0000059"/>
    <s v="ədəd"/>
    <n v="1"/>
    <m/>
    <n v="0"/>
    <x v="1"/>
    <x v="2"/>
    <n v="0"/>
    <n v="0"/>
  </r>
  <r>
    <n v="79"/>
    <d v="2026-06-01T00:00:00"/>
    <x v="78"/>
    <s v="0000060"/>
    <s v="ədəd"/>
    <n v="1"/>
    <m/>
    <n v="0"/>
    <x v="1"/>
    <x v="2"/>
    <n v="0"/>
    <n v="0"/>
  </r>
  <r>
    <n v="80"/>
    <d v="2026-06-01T00:00:00"/>
    <x v="79"/>
    <s v="0000061"/>
    <s v="ədəd"/>
    <n v="1"/>
    <m/>
    <n v="0"/>
    <x v="1"/>
    <x v="2"/>
    <n v="0"/>
    <n v="0"/>
  </r>
  <r>
    <n v="81"/>
    <d v="2026-06-01T00:00:00"/>
    <x v="80"/>
    <s v="0000062"/>
    <s v="ədəd"/>
    <n v="4"/>
    <m/>
    <n v="0"/>
    <x v="1"/>
    <x v="2"/>
    <n v="0"/>
    <n v="0"/>
  </r>
  <r>
    <n v="82"/>
    <d v="2026-06-01T00:00:00"/>
    <x v="81"/>
    <s v="0000063"/>
    <s v="ədəd"/>
    <n v="5"/>
    <m/>
    <n v="0"/>
    <x v="1"/>
    <x v="2"/>
    <n v="0"/>
    <n v="0"/>
  </r>
  <r>
    <n v="83"/>
    <d v="2026-06-01T00:00:00"/>
    <x v="82"/>
    <s v="0000064"/>
    <s v="ədəd"/>
    <n v="3"/>
    <m/>
    <n v="0"/>
    <x v="1"/>
    <x v="2"/>
    <n v="0"/>
    <n v="0"/>
  </r>
  <r>
    <n v="84"/>
    <d v="2026-06-01T00:00:00"/>
    <x v="83"/>
    <s v="0000065"/>
    <s v="ədəd"/>
    <n v="1"/>
    <m/>
    <n v="0"/>
    <x v="1"/>
    <x v="2"/>
    <n v="0"/>
    <n v="0"/>
  </r>
  <r>
    <n v="85"/>
    <d v="2026-06-01T00:00:00"/>
    <x v="84"/>
    <s v="0000066"/>
    <s v="ədəd"/>
    <n v="1"/>
    <m/>
    <n v="0"/>
    <x v="1"/>
    <x v="2"/>
    <n v="0"/>
    <n v="0"/>
  </r>
  <r>
    <n v="86"/>
    <d v="2026-06-01T00:00:00"/>
    <x v="85"/>
    <s v="0000067"/>
    <s v="ədəd"/>
    <n v="1"/>
    <m/>
    <n v="0"/>
    <x v="1"/>
    <x v="2"/>
    <n v="0"/>
    <n v="0"/>
  </r>
  <r>
    <n v="87"/>
    <d v="2026-06-01T00:00:00"/>
    <x v="86"/>
    <s v="0000068"/>
    <s v="ədəd"/>
    <n v="1"/>
    <m/>
    <n v="0"/>
    <x v="1"/>
    <x v="2"/>
    <n v="0"/>
    <n v="0"/>
  </r>
  <r>
    <n v="88"/>
    <d v="2026-06-01T00:00:00"/>
    <x v="87"/>
    <s v="0000069"/>
    <s v="ədəd"/>
    <n v="1"/>
    <m/>
    <n v="0"/>
    <x v="1"/>
    <x v="2"/>
    <n v="0"/>
    <n v="0"/>
  </r>
  <r>
    <n v="89"/>
    <d v="2026-06-01T00:00:00"/>
    <x v="88"/>
    <s v="0000070"/>
    <s v="ədəd"/>
    <n v="1"/>
    <m/>
    <n v="0"/>
    <x v="1"/>
    <x v="2"/>
    <n v="0"/>
    <n v="0"/>
  </r>
  <r>
    <n v="90"/>
    <d v="2026-06-01T00:00:00"/>
    <x v="89"/>
    <s v="0000071"/>
    <s v="ədəd"/>
    <n v="1"/>
    <m/>
    <n v="0"/>
    <x v="1"/>
    <x v="2"/>
    <n v="0"/>
    <n v="0"/>
  </r>
  <r>
    <n v="91"/>
    <d v="2026-06-01T00:00:00"/>
    <x v="90"/>
    <s v="0000072"/>
    <s v="ədəd"/>
    <n v="1"/>
    <m/>
    <n v="0"/>
    <x v="1"/>
    <x v="2"/>
    <n v="0"/>
    <n v="0"/>
  </r>
  <r>
    <n v="92"/>
    <d v="2026-06-01T00:00:00"/>
    <x v="91"/>
    <s v="0000073"/>
    <s v="ədəd"/>
    <n v="2"/>
    <m/>
    <n v="0"/>
    <x v="1"/>
    <x v="2"/>
    <n v="0"/>
    <n v="0"/>
  </r>
  <r>
    <n v="93"/>
    <d v="2026-06-01T00:00:00"/>
    <x v="92"/>
    <s v="0000074"/>
    <s v="ədəd"/>
    <n v="3"/>
    <m/>
    <n v="0"/>
    <x v="1"/>
    <x v="2"/>
    <n v="0"/>
    <n v="0"/>
  </r>
  <r>
    <n v="94"/>
    <d v="2026-06-01T00:00:00"/>
    <x v="93"/>
    <s v="0000075"/>
    <s v="ədəd"/>
    <n v="1"/>
    <m/>
    <n v="0"/>
    <x v="1"/>
    <x v="2"/>
    <n v="0"/>
    <n v="0"/>
  </r>
  <r>
    <n v="95"/>
    <d v="2026-06-01T00:00:00"/>
    <x v="94"/>
    <s v="0000076"/>
    <s v="ədəd"/>
    <n v="4"/>
    <m/>
    <n v="0"/>
    <x v="1"/>
    <x v="2"/>
    <n v="0"/>
    <n v="0"/>
  </r>
  <r>
    <n v="96"/>
    <d v="2026-06-01T00:00:00"/>
    <x v="95"/>
    <s v="0000077"/>
    <s v="ədəd"/>
    <n v="1"/>
    <m/>
    <n v="0"/>
    <x v="1"/>
    <x v="2"/>
    <n v="0"/>
    <n v="0"/>
  </r>
  <r>
    <n v="97"/>
    <d v="2026-06-01T00:00:00"/>
    <x v="96"/>
    <s v="0000078"/>
    <s v="ədəd"/>
    <n v="3"/>
    <m/>
    <n v="0"/>
    <x v="1"/>
    <x v="2"/>
    <n v="0"/>
    <n v="0"/>
  </r>
  <r>
    <n v="98"/>
    <d v="2026-06-01T00:00:00"/>
    <x v="97"/>
    <s v="0000079"/>
    <s v="ədəd"/>
    <n v="1"/>
    <m/>
    <n v="0"/>
    <x v="1"/>
    <x v="2"/>
    <n v="0"/>
    <n v="0"/>
  </r>
  <r>
    <n v="99"/>
    <d v="2026-06-01T00:00:00"/>
    <x v="98"/>
    <s v="0000080"/>
    <s v="ədəd"/>
    <n v="1"/>
    <m/>
    <n v="0"/>
    <x v="1"/>
    <x v="2"/>
    <n v="0"/>
    <n v="0"/>
  </r>
  <r>
    <n v="100"/>
    <d v="2026-06-01T00:00:00"/>
    <x v="99"/>
    <s v="0000081"/>
    <s v="ədəd"/>
    <n v="1"/>
    <m/>
    <n v="0"/>
    <x v="1"/>
    <x v="2"/>
    <n v="0"/>
    <n v="0"/>
  </r>
  <r>
    <n v="101"/>
    <d v="2026-06-01T00:00:00"/>
    <x v="100"/>
    <s v="0000082"/>
    <s v="ədəd"/>
    <n v="2"/>
    <m/>
    <n v="0"/>
    <x v="1"/>
    <x v="2"/>
    <n v="0"/>
    <n v="0"/>
  </r>
  <r>
    <n v="102"/>
    <d v="2026-06-01T00:00:00"/>
    <x v="101"/>
    <s v="0000083"/>
    <s v="ədəd"/>
    <n v="4"/>
    <m/>
    <n v="0"/>
    <x v="1"/>
    <x v="2"/>
    <n v="0"/>
    <n v="0"/>
  </r>
  <r>
    <n v="103"/>
    <d v="2026-06-01T00:00:00"/>
    <x v="102"/>
    <s v="0000084"/>
    <s v="ədəd"/>
    <n v="1"/>
    <m/>
    <n v="0"/>
    <x v="1"/>
    <x v="2"/>
    <n v="0"/>
    <n v="0"/>
  </r>
  <r>
    <n v="104"/>
    <d v="2026-06-01T00:00:00"/>
    <x v="103"/>
    <s v="0000085"/>
    <s v="ədəd"/>
    <n v="4"/>
    <m/>
    <n v="0"/>
    <x v="1"/>
    <x v="2"/>
    <n v="0"/>
    <n v="0"/>
  </r>
  <r>
    <n v="105"/>
    <d v="2026-06-01T00:00:00"/>
    <x v="104"/>
    <s v="0000086"/>
    <s v="ədəd"/>
    <n v="4"/>
    <m/>
    <n v="0"/>
    <x v="1"/>
    <x v="2"/>
    <n v="0"/>
    <n v="0"/>
  </r>
  <r>
    <n v="106"/>
    <d v="2026-06-01T00:00:00"/>
    <x v="105"/>
    <s v="0000087"/>
    <s v="ədəd"/>
    <n v="8"/>
    <m/>
    <n v="0"/>
    <x v="1"/>
    <x v="2"/>
    <n v="0"/>
    <n v="0"/>
  </r>
  <r>
    <n v="107"/>
    <d v="2026-06-01T00:00:00"/>
    <x v="106"/>
    <s v="0000088"/>
    <s v="ədəd"/>
    <n v="16"/>
    <m/>
    <n v="0"/>
    <x v="1"/>
    <x v="2"/>
    <n v="0"/>
    <n v="0"/>
  </r>
  <r>
    <n v="108"/>
    <d v="2026-06-01T00:00:00"/>
    <x v="107"/>
    <s v="0000089"/>
    <s v="ədəd"/>
    <n v="21"/>
    <m/>
    <n v="0"/>
    <x v="1"/>
    <x v="2"/>
    <n v="0"/>
    <n v="0"/>
  </r>
  <r>
    <n v="109"/>
    <d v="2026-06-01T00:00:00"/>
    <x v="108"/>
    <s v="0000090"/>
    <s v="ədəd"/>
    <n v="9"/>
    <m/>
    <n v="0"/>
    <x v="1"/>
    <x v="2"/>
    <n v="0"/>
    <n v="0"/>
  </r>
  <r>
    <n v="110"/>
    <d v="2026-06-01T00:00:00"/>
    <x v="109"/>
    <s v="0000091"/>
    <s v="ədəd"/>
    <n v="1"/>
    <m/>
    <n v="0"/>
    <x v="1"/>
    <x v="2"/>
    <n v="0"/>
    <n v="0"/>
  </r>
  <r>
    <n v="111"/>
    <d v="2026-06-01T00:00:00"/>
    <x v="110"/>
    <s v="0000092"/>
    <s v="ədəd"/>
    <n v="2"/>
    <m/>
    <n v="0"/>
    <x v="1"/>
    <x v="2"/>
    <n v="0"/>
    <n v="0"/>
  </r>
  <r>
    <n v="112"/>
    <d v="2026-06-01T00:00:00"/>
    <x v="111"/>
    <s v="0000093"/>
    <s v="ədəd"/>
    <n v="2"/>
    <m/>
    <n v="0"/>
    <x v="1"/>
    <x v="2"/>
    <n v="0"/>
    <n v="0"/>
  </r>
  <r>
    <n v="113"/>
    <d v="2026-06-01T00:00:00"/>
    <x v="112"/>
    <s v="0000094"/>
    <s v="ədəd"/>
    <n v="7"/>
    <m/>
    <n v="0"/>
    <x v="1"/>
    <x v="2"/>
    <n v="0"/>
    <n v="0"/>
  </r>
  <r>
    <n v="114"/>
    <d v="2026-06-01T00:00:00"/>
    <x v="113"/>
    <s v="0000095"/>
    <s v="ədəd"/>
    <n v="1"/>
    <m/>
    <n v="0"/>
    <x v="1"/>
    <x v="2"/>
    <n v="0"/>
    <n v="0"/>
  </r>
  <r>
    <n v="115"/>
    <d v="2026-06-01T00:00:00"/>
    <x v="114"/>
    <s v="0000096"/>
    <s v="ədəd"/>
    <n v="6"/>
    <m/>
    <n v="0"/>
    <x v="1"/>
    <x v="2"/>
    <n v="0"/>
    <n v="0"/>
  </r>
  <r>
    <n v="116"/>
    <d v="2026-06-01T00:00:00"/>
    <x v="115"/>
    <s v="0000097"/>
    <s v="ədəd"/>
    <n v="3"/>
    <m/>
    <n v="0"/>
    <x v="1"/>
    <x v="2"/>
    <n v="0"/>
    <n v="0"/>
  </r>
  <r>
    <n v="117"/>
    <d v="2026-06-01T00:00:00"/>
    <x v="116"/>
    <s v="0000098"/>
    <s v="ədəd"/>
    <n v="15"/>
    <m/>
    <n v="0"/>
    <x v="1"/>
    <x v="2"/>
    <n v="0"/>
    <n v="0"/>
  </r>
  <r>
    <n v="118"/>
    <d v="2026-06-01T00:00:00"/>
    <x v="117"/>
    <s v="0000099"/>
    <s v="ədəd"/>
    <n v="2"/>
    <m/>
    <n v="0"/>
    <x v="1"/>
    <x v="2"/>
    <n v="0"/>
    <n v="0"/>
  </r>
  <r>
    <n v="119"/>
    <d v="2026-06-01T00:00:00"/>
    <x v="118"/>
    <s v="0000100"/>
    <s v="ədəd"/>
    <n v="12"/>
    <m/>
    <n v="0"/>
    <x v="1"/>
    <x v="2"/>
    <n v="0"/>
    <n v="0"/>
  </r>
  <r>
    <n v="120"/>
    <d v="2026-06-01T00:00:00"/>
    <x v="119"/>
    <s v="0000101"/>
    <s v="ədəd"/>
    <n v="4"/>
    <m/>
    <n v="0"/>
    <x v="1"/>
    <x v="2"/>
    <n v="0"/>
    <n v="0"/>
  </r>
  <r>
    <n v="121"/>
    <d v="2026-06-01T00:00:00"/>
    <x v="120"/>
    <s v="0000102"/>
    <s v="ədəd"/>
    <n v="5"/>
    <m/>
    <n v="0"/>
    <x v="1"/>
    <x v="2"/>
    <n v="0"/>
    <n v="0"/>
  </r>
  <r>
    <n v="122"/>
    <d v="2026-06-01T00:00:00"/>
    <x v="121"/>
    <s v="0000103"/>
    <s v="ədəd"/>
    <n v="11"/>
    <m/>
    <n v="0"/>
    <x v="1"/>
    <x v="2"/>
    <n v="0"/>
    <n v="0"/>
  </r>
  <r>
    <n v="123"/>
    <d v="2026-06-01T00:00:00"/>
    <x v="122"/>
    <s v="0000104"/>
    <s v="ədəd"/>
    <n v="291"/>
    <m/>
    <n v="0"/>
    <x v="1"/>
    <x v="2"/>
    <n v="0"/>
    <n v="0"/>
  </r>
  <r>
    <n v="124"/>
    <d v="2026-06-01T00:00:00"/>
    <x v="123"/>
    <s v="0000105"/>
    <s v="ədəd"/>
    <n v="3"/>
    <m/>
    <n v="0"/>
    <x v="1"/>
    <x v="2"/>
    <n v="0"/>
    <n v="0"/>
  </r>
  <r>
    <n v="125"/>
    <d v="2026-06-01T00:00:00"/>
    <x v="124"/>
    <s v="0000106"/>
    <s v="ədəd"/>
    <n v="1"/>
    <m/>
    <n v="0"/>
    <x v="1"/>
    <x v="2"/>
    <n v="0"/>
    <n v="0"/>
  </r>
  <r>
    <n v="126"/>
    <d v="2026-06-01T00:00:00"/>
    <x v="125"/>
    <s v="0000107"/>
    <s v="paçka"/>
    <n v="2"/>
    <m/>
    <n v="0"/>
    <x v="1"/>
    <x v="2"/>
    <n v="0"/>
    <n v="0"/>
  </r>
  <r>
    <n v="127"/>
    <d v="2026-06-01T00:00:00"/>
    <x v="126"/>
    <s v="0000108"/>
    <s v="paçka"/>
    <n v="4"/>
    <m/>
    <n v="0"/>
    <x v="1"/>
    <x v="2"/>
    <n v="0"/>
    <n v="0"/>
  </r>
  <r>
    <n v="128"/>
    <d v="2026-06-01T00:00:00"/>
    <x v="127"/>
    <s v="0000109"/>
    <s v="ədəd"/>
    <n v="10"/>
    <m/>
    <n v="0"/>
    <x v="1"/>
    <x v="2"/>
    <n v="0"/>
    <n v="0"/>
  </r>
  <r>
    <n v="129"/>
    <d v="2026-06-01T00:00:00"/>
    <x v="128"/>
    <s v="0000110"/>
    <s v="ədəd"/>
    <n v="8"/>
    <m/>
    <n v="0"/>
    <x v="1"/>
    <x v="2"/>
    <n v="0"/>
    <n v="0"/>
  </r>
  <r>
    <n v="130"/>
    <d v="2026-06-01T00:00:00"/>
    <x v="129"/>
    <s v="0000111"/>
    <s v="ədəd"/>
    <n v="8"/>
    <m/>
    <n v="0"/>
    <x v="1"/>
    <x v="2"/>
    <n v="0"/>
    <n v="0"/>
  </r>
  <r>
    <n v="131"/>
    <d v="2026-06-01T00:00:00"/>
    <x v="130"/>
    <s v="0000112"/>
    <s v="ədəd"/>
    <n v="3"/>
    <m/>
    <n v="0"/>
    <x v="1"/>
    <x v="2"/>
    <n v="0"/>
    <n v="0"/>
  </r>
  <r>
    <n v="132"/>
    <d v="2026-06-01T00:00:00"/>
    <x v="131"/>
    <s v="0000113"/>
    <s v="ədəd"/>
    <n v="3"/>
    <m/>
    <n v="0"/>
    <x v="1"/>
    <x v="2"/>
    <n v="0"/>
    <n v="0"/>
  </r>
  <r>
    <n v="133"/>
    <d v="2026-06-01T00:00:00"/>
    <x v="132"/>
    <s v="0000114"/>
    <s v="ədəd"/>
    <n v="1"/>
    <m/>
    <n v="0"/>
    <x v="1"/>
    <x v="2"/>
    <n v="0"/>
    <n v="0"/>
  </r>
  <r>
    <n v="134"/>
    <d v="2026-06-01T00:00:00"/>
    <x v="133"/>
    <s v="0000115"/>
    <s v="dəst"/>
    <n v="1"/>
    <m/>
    <n v="0"/>
    <x v="1"/>
    <x v="2"/>
    <n v="0"/>
    <n v="0"/>
  </r>
  <r>
    <n v="135"/>
    <d v="2026-06-01T00:00:00"/>
    <x v="134"/>
    <s v="0000116"/>
    <s v="ədəd"/>
    <n v="10"/>
    <m/>
    <n v="0"/>
    <x v="1"/>
    <x v="2"/>
    <n v="0"/>
    <n v="0"/>
  </r>
  <r>
    <n v="136"/>
    <d v="2026-06-01T00:00:00"/>
    <x v="135"/>
    <s v="0000117"/>
    <s v="ədəd"/>
    <n v="1"/>
    <m/>
    <n v="0"/>
    <x v="1"/>
    <x v="2"/>
    <n v="0"/>
    <n v="0"/>
  </r>
  <r>
    <n v="137"/>
    <d v="2026-06-01T00:00:00"/>
    <x v="136"/>
    <s v="0000118"/>
    <s v="ədəd"/>
    <n v="1"/>
    <m/>
    <n v="0"/>
    <x v="1"/>
    <x v="2"/>
    <n v="0"/>
    <n v="0"/>
  </r>
  <r>
    <n v="138"/>
    <d v="2026-06-01T00:00:00"/>
    <x v="137"/>
    <s v="0000119"/>
    <s v="ədəd"/>
    <n v="1"/>
    <m/>
    <n v="0"/>
    <x v="1"/>
    <x v="2"/>
    <n v="0"/>
    <n v="0"/>
  </r>
  <r>
    <n v="139"/>
    <d v="2026-06-01T00:00:00"/>
    <x v="138"/>
    <s v="0000120"/>
    <s v="ədəd"/>
    <n v="1"/>
    <m/>
    <n v="0"/>
    <x v="1"/>
    <x v="2"/>
    <n v="0"/>
    <n v="0"/>
  </r>
  <r>
    <n v="140"/>
    <d v="2026-06-01T00:00:00"/>
    <x v="139"/>
    <s v="0000121"/>
    <s v="ədəd"/>
    <n v="1"/>
    <m/>
    <n v="0"/>
    <x v="1"/>
    <x v="2"/>
    <n v="0"/>
    <n v="0"/>
  </r>
  <r>
    <n v="141"/>
    <d v="2026-06-01T00:00:00"/>
    <x v="140"/>
    <s v="0000122"/>
    <s v="ədəd"/>
    <n v="1"/>
    <m/>
    <n v="0"/>
    <x v="1"/>
    <x v="2"/>
    <n v="0"/>
    <n v="0"/>
  </r>
  <r>
    <n v="142"/>
    <d v="2026-06-01T00:00:00"/>
    <x v="141"/>
    <s v="0000123"/>
    <s v="ədəd"/>
    <n v="1"/>
    <m/>
    <n v="0"/>
    <x v="1"/>
    <x v="2"/>
    <n v="0"/>
    <n v="0"/>
  </r>
  <r>
    <n v="143"/>
    <d v="2026-06-01T00:00:00"/>
    <x v="142"/>
    <s v="0000124"/>
    <s v="ədəd"/>
    <n v="1"/>
    <m/>
    <n v="0"/>
    <x v="1"/>
    <x v="2"/>
    <n v="0"/>
    <n v="0"/>
  </r>
  <r>
    <n v="144"/>
    <d v="2026-06-01T00:00:00"/>
    <x v="143"/>
    <s v="0000125"/>
    <s v="ədəd"/>
    <n v="1"/>
    <m/>
    <n v="0"/>
    <x v="1"/>
    <x v="2"/>
    <n v="0"/>
    <n v="0"/>
  </r>
  <r>
    <n v="145"/>
    <d v="2026-06-01T00:00:00"/>
    <x v="144"/>
    <s v="0000126"/>
    <s v="ədəd"/>
    <n v="1"/>
    <m/>
    <n v="0"/>
    <x v="1"/>
    <x v="2"/>
    <n v="0"/>
    <n v="0"/>
  </r>
  <r>
    <n v="146"/>
    <d v="2026-06-01T00:00:00"/>
    <x v="145"/>
    <s v="0000127"/>
    <s v="ədəd"/>
    <n v="1"/>
    <m/>
    <n v="0"/>
    <x v="1"/>
    <x v="2"/>
    <n v="0"/>
    <n v="0"/>
  </r>
  <r>
    <n v="147"/>
    <d v="2026-06-01T00:00:00"/>
    <x v="146"/>
    <s v="0000128"/>
    <s v="ədəd"/>
    <n v="1"/>
    <m/>
    <n v="0"/>
    <x v="1"/>
    <x v="2"/>
    <n v="0"/>
    <n v="0"/>
  </r>
  <r>
    <n v="148"/>
    <d v="2026-06-01T00:00:00"/>
    <x v="147"/>
    <s v="0000129"/>
    <s v="ədəd"/>
    <n v="2"/>
    <m/>
    <n v="0"/>
    <x v="1"/>
    <x v="2"/>
    <n v="0"/>
    <n v="0"/>
  </r>
  <r>
    <n v="149"/>
    <d v="2026-06-01T00:00:00"/>
    <x v="148"/>
    <s v="0000130"/>
    <s v="ədəd"/>
    <n v="2"/>
    <m/>
    <n v="0"/>
    <x v="1"/>
    <x v="2"/>
    <n v="0"/>
    <n v="0"/>
  </r>
  <r>
    <n v="150"/>
    <d v="2026-06-01T00:00:00"/>
    <x v="149"/>
    <s v="0000131"/>
    <s v="ədəd"/>
    <n v="1"/>
    <m/>
    <n v="0"/>
    <x v="1"/>
    <x v="2"/>
    <n v="0"/>
    <n v="0"/>
  </r>
  <r>
    <n v="151"/>
    <d v="2026-06-01T00:00:00"/>
    <x v="150"/>
    <s v="0000132"/>
    <s v="ədəd"/>
    <n v="1"/>
    <m/>
    <n v="0"/>
    <x v="1"/>
    <x v="2"/>
    <n v="0"/>
    <n v="0"/>
  </r>
  <r>
    <n v="152"/>
    <d v="2026-06-01T00:00:00"/>
    <x v="151"/>
    <s v="0000133"/>
    <s v="ədəd"/>
    <n v="1"/>
    <m/>
    <n v="0"/>
    <x v="1"/>
    <x v="2"/>
    <n v="0"/>
    <n v="0"/>
  </r>
  <r>
    <n v="153"/>
    <d v="2026-06-01T00:00:00"/>
    <x v="152"/>
    <s v="0000134"/>
    <s v="ədəd"/>
    <n v="1"/>
    <m/>
    <n v="0"/>
    <x v="1"/>
    <x v="2"/>
    <n v="0"/>
    <n v="0"/>
  </r>
  <r>
    <n v="154"/>
    <d v="2026-06-01T00:00:00"/>
    <x v="153"/>
    <s v="0000135"/>
    <s v="ədəd"/>
    <n v="8"/>
    <m/>
    <n v="0"/>
    <x v="1"/>
    <x v="2"/>
    <n v="0"/>
    <n v="0"/>
  </r>
  <r>
    <n v="155"/>
    <d v="2026-06-01T00:00:00"/>
    <x v="154"/>
    <s v="0000136"/>
    <s v="ədəd"/>
    <n v="2"/>
    <m/>
    <n v="0"/>
    <x v="1"/>
    <x v="2"/>
    <n v="0"/>
    <n v="0"/>
  </r>
  <r>
    <n v="156"/>
    <d v="2026-06-01T00:00:00"/>
    <x v="155"/>
    <s v="0000137"/>
    <s v="ədəd"/>
    <n v="2"/>
    <m/>
    <n v="0"/>
    <x v="1"/>
    <x v="2"/>
    <n v="0"/>
    <n v="0"/>
  </r>
  <r>
    <n v="157"/>
    <d v="2026-06-01T00:00:00"/>
    <x v="156"/>
    <s v="0000138"/>
    <s v="ədəd"/>
    <n v="1"/>
    <m/>
    <n v="0"/>
    <x v="1"/>
    <x v="2"/>
    <n v="0"/>
    <n v="0"/>
  </r>
  <r>
    <n v="158"/>
    <d v="2026-06-01T00:00:00"/>
    <x v="157"/>
    <s v="0000139"/>
    <s v="ədəd"/>
    <n v="1"/>
    <m/>
    <n v="0"/>
    <x v="1"/>
    <x v="2"/>
    <n v="0"/>
    <n v="0"/>
  </r>
  <r>
    <n v="159"/>
    <d v="2026-06-01T00:00:00"/>
    <x v="158"/>
    <s v="0000140"/>
    <s v="ədəd"/>
    <n v="1"/>
    <m/>
    <n v="0"/>
    <x v="1"/>
    <x v="2"/>
    <n v="0"/>
    <n v="0"/>
  </r>
  <r>
    <n v="160"/>
    <d v="2026-06-01T00:00:00"/>
    <x v="159"/>
    <s v="0000141"/>
    <s v="ədəd"/>
    <n v="1"/>
    <m/>
    <n v="0"/>
    <x v="1"/>
    <x v="2"/>
    <n v="0"/>
    <n v="0"/>
  </r>
  <r>
    <n v="161"/>
    <d v="2026-06-01T00:00:00"/>
    <x v="160"/>
    <s v="0000142"/>
    <s v="ədəd"/>
    <n v="2"/>
    <m/>
    <n v="0"/>
    <x v="1"/>
    <x v="2"/>
    <n v="0"/>
    <n v="0"/>
  </r>
  <r>
    <n v="162"/>
    <d v="2026-06-01T00:00:00"/>
    <x v="161"/>
    <s v="0000143"/>
    <s v="ədəd"/>
    <n v="1"/>
    <m/>
    <n v="0"/>
    <x v="1"/>
    <x v="2"/>
    <n v="0"/>
    <n v="0"/>
  </r>
  <r>
    <n v="163"/>
    <d v="2026-06-01T00:00:00"/>
    <x v="162"/>
    <s v="0000144"/>
    <s v="ədəd"/>
    <n v="1"/>
    <m/>
    <n v="0"/>
    <x v="1"/>
    <x v="2"/>
    <n v="0"/>
    <n v="0"/>
  </r>
  <r>
    <n v="164"/>
    <d v="2026-06-01T00:00:00"/>
    <x v="163"/>
    <s v="0000145"/>
    <s v="ədəd"/>
    <n v="1"/>
    <m/>
    <n v="0"/>
    <x v="1"/>
    <x v="2"/>
    <n v="0"/>
    <n v="0"/>
  </r>
  <r>
    <n v="165"/>
    <d v="2026-06-01T00:00:00"/>
    <x v="164"/>
    <s v="0000146"/>
    <s v="ədəd"/>
    <n v="1"/>
    <m/>
    <n v="0"/>
    <x v="1"/>
    <x v="2"/>
    <n v="0"/>
    <n v="0"/>
  </r>
  <r>
    <n v="166"/>
    <d v="2026-06-01T00:00:00"/>
    <x v="165"/>
    <s v="0000147"/>
    <s v="ədəd"/>
    <n v="1"/>
    <m/>
    <n v="0"/>
    <x v="1"/>
    <x v="2"/>
    <n v="0"/>
    <n v="0"/>
  </r>
  <r>
    <n v="167"/>
    <d v="2026-06-01T00:00:00"/>
    <x v="166"/>
    <s v="0000148"/>
    <s v="ədəd"/>
    <n v="1"/>
    <m/>
    <n v="0"/>
    <x v="1"/>
    <x v="2"/>
    <n v="0"/>
    <n v="0"/>
  </r>
  <r>
    <n v="168"/>
    <d v="2026-06-01T00:00:00"/>
    <x v="167"/>
    <s v="0000149"/>
    <s v="ədəd"/>
    <n v="1"/>
    <m/>
    <n v="0"/>
    <x v="1"/>
    <x v="2"/>
    <n v="0"/>
    <n v="0"/>
  </r>
  <r>
    <n v="169"/>
    <d v="2026-06-01T00:00:00"/>
    <x v="168"/>
    <s v="0000150"/>
    <s v="ədəd"/>
    <n v="1"/>
    <m/>
    <n v="0"/>
    <x v="1"/>
    <x v="2"/>
    <n v="0"/>
    <n v="0"/>
  </r>
  <r>
    <n v="170"/>
    <d v="2026-06-01T00:00:00"/>
    <x v="169"/>
    <s v="0000151"/>
    <s v="ədəd"/>
    <n v="1"/>
    <m/>
    <n v="0"/>
    <x v="1"/>
    <x v="2"/>
    <n v="0"/>
    <n v="0"/>
  </r>
  <r>
    <n v="171"/>
    <d v="2026-06-01T00:00:00"/>
    <x v="170"/>
    <s v="0000152"/>
    <s v="ədəd"/>
    <n v="1"/>
    <m/>
    <n v="0"/>
    <x v="1"/>
    <x v="2"/>
    <n v="0"/>
    <n v="0"/>
  </r>
  <r>
    <n v="172"/>
    <d v="2026-06-01T00:00:00"/>
    <x v="171"/>
    <s v="0000153"/>
    <s v="ədəd"/>
    <n v="2"/>
    <m/>
    <n v="0"/>
    <x v="1"/>
    <x v="2"/>
    <n v="0"/>
    <n v="0"/>
  </r>
  <r>
    <n v="173"/>
    <d v="2026-06-01T00:00:00"/>
    <x v="172"/>
    <s v="0000154"/>
    <s v="ədəd"/>
    <n v="1"/>
    <m/>
    <n v="0"/>
    <x v="1"/>
    <x v="2"/>
    <n v="0"/>
    <n v="0"/>
  </r>
  <r>
    <n v="174"/>
    <d v="2026-06-01T00:00:00"/>
    <x v="173"/>
    <s v="0000155"/>
    <s v="ədəd"/>
    <n v="3"/>
    <m/>
    <n v="0"/>
    <x v="1"/>
    <x v="2"/>
    <n v="0"/>
    <n v="0"/>
  </r>
  <r>
    <n v="175"/>
    <d v="2026-06-01T00:00:00"/>
    <x v="174"/>
    <s v="0000156"/>
    <s v="ədəd"/>
    <n v="1"/>
    <m/>
    <n v="0"/>
    <x v="1"/>
    <x v="2"/>
    <n v="0"/>
    <n v="0"/>
  </r>
  <r>
    <n v="176"/>
    <d v="2026-06-01T00:00:00"/>
    <x v="175"/>
    <s v="0000157"/>
    <s v="ədəd"/>
    <n v="5"/>
    <m/>
    <n v="0"/>
    <x v="1"/>
    <x v="2"/>
    <n v="0"/>
    <n v="0"/>
  </r>
  <r>
    <n v="177"/>
    <d v="2026-06-01T00:00:00"/>
    <x v="176"/>
    <s v="0000158"/>
    <s v="ədəd"/>
    <n v="1"/>
    <m/>
    <n v="0"/>
    <x v="1"/>
    <x v="2"/>
    <n v="0"/>
    <n v="0"/>
  </r>
  <r>
    <n v="178"/>
    <d v="2026-06-01T00:00:00"/>
    <x v="177"/>
    <s v="0000159"/>
    <s v="ədəd"/>
    <n v="1"/>
    <m/>
    <n v="0"/>
    <x v="1"/>
    <x v="2"/>
    <n v="0"/>
    <n v="0"/>
  </r>
  <r>
    <n v="179"/>
    <d v="2026-06-01T00:00:00"/>
    <x v="178"/>
    <s v="0000160"/>
    <s v="ədəd"/>
    <n v="1"/>
    <m/>
    <n v="0"/>
    <x v="1"/>
    <x v="2"/>
    <n v="0"/>
    <n v="0"/>
  </r>
  <r>
    <n v="180"/>
    <d v="2026-06-01T00:00:00"/>
    <x v="179"/>
    <s v="0000161"/>
    <s v="ədəd"/>
    <n v="1"/>
    <m/>
    <n v="0"/>
    <x v="1"/>
    <x v="2"/>
    <n v="0"/>
    <n v="0"/>
  </r>
  <r>
    <n v="181"/>
    <d v="2026-06-01T00:00:00"/>
    <x v="180"/>
    <s v="0000162"/>
    <s v="ədəd"/>
    <n v="1"/>
    <m/>
    <n v="0"/>
    <x v="1"/>
    <x v="2"/>
    <n v="0"/>
    <n v="0"/>
  </r>
  <r>
    <n v="182"/>
    <d v="2026-06-01T00:00:00"/>
    <x v="181"/>
    <s v="0000163"/>
    <s v="ədəd"/>
    <n v="1"/>
    <m/>
    <n v="0"/>
    <x v="1"/>
    <x v="2"/>
    <n v="0"/>
    <n v="0"/>
  </r>
  <r>
    <n v="183"/>
    <d v="2026-06-01T00:00:00"/>
    <x v="182"/>
    <s v="0000164"/>
    <s v="ədəd"/>
    <n v="1"/>
    <m/>
    <n v="0"/>
    <x v="1"/>
    <x v="2"/>
    <n v="0"/>
    <n v="0"/>
  </r>
  <r>
    <n v="184"/>
    <d v="2026-06-01T00:00:00"/>
    <x v="183"/>
    <s v="0000165"/>
    <s v="ədəd"/>
    <n v="1"/>
    <m/>
    <n v="0"/>
    <x v="1"/>
    <x v="2"/>
    <n v="0"/>
    <n v="0"/>
  </r>
  <r>
    <n v="185"/>
    <d v="2026-06-01T00:00:00"/>
    <x v="184"/>
    <s v="0000166"/>
    <s v="ədəd"/>
    <n v="1"/>
    <m/>
    <n v="0"/>
    <x v="1"/>
    <x v="2"/>
    <n v="0"/>
    <n v="0"/>
  </r>
  <r>
    <n v="186"/>
    <d v="2026-06-01T00:00:00"/>
    <x v="185"/>
    <s v="0000167"/>
    <s v="ədəd"/>
    <n v="1"/>
    <m/>
    <n v="0"/>
    <x v="1"/>
    <x v="2"/>
    <n v="0"/>
    <n v="0"/>
  </r>
  <r>
    <n v="187"/>
    <d v="2026-06-01T00:00:00"/>
    <x v="186"/>
    <s v="0000168"/>
    <s v="ədəd"/>
    <n v="7"/>
    <m/>
    <n v="0"/>
    <x v="1"/>
    <x v="2"/>
    <n v="0"/>
    <n v="0"/>
  </r>
  <r>
    <n v="188"/>
    <d v="2026-06-01T00:00:00"/>
    <x v="187"/>
    <s v="0000169"/>
    <s v="ədəd"/>
    <n v="1"/>
    <m/>
    <n v="0"/>
    <x v="1"/>
    <x v="2"/>
    <n v="0"/>
    <n v="0"/>
  </r>
  <r>
    <n v="189"/>
    <d v="2026-06-01T00:00:00"/>
    <x v="188"/>
    <s v="0000170"/>
    <s v="ədəd"/>
    <n v="1"/>
    <m/>
    <n v="0"/>
    <x v="1"/>
    <x v="2"/>
    <n v="0"/>
    <n v="0"/>
  </r>
  <r>
    <n v="190"/>
    <d v="2026-06-01T00:00:00"/>
    <x v="189"/>
    <s v="0000171"/>
    <s v="ədəd"/>
    <n v="1"/>
    <m/>
    <n v="0"/>
    <x v="1"/>
    <x v="2"/>
    <n v="0"/>
    <n v="0"/>
  </r>
  <r>
    <n v="191"/>
    <d v="2026-06-01T00:00:00"/>
    <x v="190"/>
    <s v="0000172"/>
    <s v="ədəd"/>
    <n v="4"/>
    <m/>
    <n v="0"/>
    <x v="1"/>
    <x v="2"/>
    <n v="0"/>
    <n v="0"/>
  </r>
  <r>
    <n v="192"/>
    <d v="2026-06-01T00:00:00"/>
    <x v="191"/>
    <s v="0000173"/>
    <s v="ədəd"/>
    <n v="1"/>
    <m/>
    <n v="0"/>
    <x v="1"/>
    <x v="2"/>
    <n v="0"/>
    <n v="0"/>
  </r>
  <r>
    <n v="193"/>
    <d v="2026-06-01T00:00:00"/>
    <x v="192"/>
    <s v="0000174"/>
    <s v="ədəd"/>
    <n v="3"/>
    <m/>
    <n v="0"/>
    <x v="1"/>
    <x v="2"/>
    <n v="0"/>
    <n v="0"/>
  </r>
  <r>
    <n v="194"/>
    <d v="2026-06-01T00:00:00"/>
    <x v="193"/>
    <s v="0000175"/>
    <s v="rulon"/>
    <n v="5"/>
    <m/>
    <n v="0"/>
    <x v="1"/>
    <x v="2"/>
    <n v="0"/>
    <n v="0"/>
  </r>
  <r>
    <n v="195"/>
    <d v="2026-06-01T00:00:00"/>
    <x v="194"/>
    <s v="0000176"/>
    <s v="ədəd"/>
    <n v="2"/>
    <m/>
    <n v="0"/>
    <x v="1"/>
    <x v="2"/>
    <n v="0"/>
    <n v="0"/>
  </r>
  <r>
    <n v="196"/>
    <d v="2026-06-01T00:00:00"/>
    <x v="195"/>
    <s v="0000177"/>
    <s v="ədəd"/>
    <n v="6"/>
    <m/>
    <n v="0"/>
    <x v="1"/>
    <x v="2"/>
    <n v="0"/>
    <n v="0"/>
  </r>
  <r>
    <n v="197"/>
    <d v="2026-06-01T00:00:00"/>
    <x v="196"/>
    <s v="0000178"/>
    <s v="ədəd"/>
    <n v="3"/>
    <m/>
    <n v="0"/>
    <x v="1"/>
    <x v="2"/>
    <n v="0"/>
    <n v="0"/>
  </r>
  <r>
    <n v="198"/>
    <d v="2026-06-01T00:00:00"/>
    <x v="197"/>
    <s v="0000179"/>
    <s v="ədəd"/>
    <n v="2"/>
    <m/>
    <n v="0"/>
    <x v="1"/>
    <x v="2"/>
    <n v="0"/>
    <n v="0"/>
  </r>
  <r>
    <n v="199"/>
    <d v="2026-06-01T00:00:00"/>
    <x v="198"/>
    <s v="0000180"/>
    <s v="ədəd"/>
    <n v="1"/>
    <m/>
    <n v="0"/>
    <x v="1"/>
    <x v="2"/>
    <n v="0"/>
    <n v="0"/>
  </r>
  <r>
    <n v="200"/>
    <d v="2026-06-01T00:00:00"/>
    <x v="199"/>
    <s v="0000181"/>
    <s v="ədəd"/>
    <n v="1"/>
    <m/>
    <n v="0"/>
    <x v="1"/>
    <x v="2"/>
    <n v="0"/>
    <n v="0"/>
  </r>
  <r>
    <n v="201"/>
    <d v="2026-06-01T00:00:00"/>
    <x v="200"/>
    <s v="0000182"/>
    <s v="ədəd"/>
    <n v="1"/>
    <m/>
    <n v="0"/>
    <x v="1"/>
    <x v="2"/>
    <n v="0"/>
    <n v="0"/>
  </r>
  <r>
    <n v="202"/>
    <d v="2026-06-01T00:00:00"/>
    <x v="201"/>
    <s v="0000183"/>
    <s v="ədəd"/>
    <n v="1"/>
    <m/>
    <n v="0"/>
    <x v="1"/>
    <x v="2"/>
    <n v="0"/>
    <n v="0"/>
  </r>
  <r>
    <n v="203"/>
    <d v="2026-06-01T00:00:00"/>
    <x v="202"/>
    <s v="0000184"/>
    <s v="ədəd"/>
    <n v="1"/>
    <m/>
    <n v="0"/>
    <x v="1"/>
    <x v="2"/>
    <n v="0"/>
    <n v="0"/>
  </r>
  <r>
    <n v="204"/>
    <d v="2026-06-01T00:00:00"/>
    <x v="203"/>
    <s v="0000185"/>
    <s v="ədəd"/>
    <n v="1"/>
    <m/>
    <n v="0"/>
    <x v="1"/>
    <x v="2"/>
    <n v="0"/>
    <n v="0"/>
  </r>
  <r>
    <n v="205"/>
    <d v="2026-06-01T00:00:00"/>
    <x v="204"/>
    <s v="0000186"/>
    <s v="ədəd"/>
    <n v="2"/>
    <m/>
    <n v="0"/>
    <x v="1"/>
    <x v="2"/>
    <n v="0"/>
    <n v="0"/>
  </r>
  <r>
    <n v="206"/>
    <d v="2026-06-01T00:00:00"/>
    <x v="205"/>
    <s v="0000187"/>
    <s v="ədəd"/>
    <n v="2"/>
    <m/>
    <n v="0"/>
    <x v="1"/>
    <x v="2"/>
    <n v="0"/>
    <n v="0"/>
  </r>
  <r>
    <n v="207"/>
    <d v="2026-06-01T00:00:00"/>
    <x v="206"/>
    <s v="0000188"/>
    <s v="ədəd"/>
    <n v="1"/>
    <m/>
    <n v="0"/>
    <x v="1"/>
    <x v="2"/>
    <n v="0"/>
    <n v="0"/>
  </r>
  <r>
    <n v="208"/>
    <d v="2026-06-01T00:00:00"/>
    <x v="207"/>
    <s v="0000189"/>
    <s v="ədəd"/>
    <n v="1"/>
    <m/>
    <n v="0"/>
    <x v="1"/>
    <x v="2"/>
    <n v="0"/>
    <n v="0"/>
  </r>
  <r>
    <n v="209"/>
    <d v="2026-06-01T00:00:00"/>
    <x v="208"/>
    <s v="0000190"/>
    <s v="ədəd"/>
    <n v="1"/>
    <m/>
    <n v="0"/>
    <x v="1"/>
    <x v="2"/>
    <n v="0"/>
    <n v="0"/>
  </r>
  <r>
    <n v="210"/>
    <d v="2026-06-01T00:00:00"/>
    <x v="209"/>
    <s v="0000191"/>
    <s v="ədəd"/>
    <n v="1"/>
    <m/>
    <n v="0"/>
    <x v="1"/>
    <x v="2"/>
    <n v="0"/>
    <n v="0"/>
  </r>
  <r>
    <n v="211"/>
    <d v="2026-06-01T00:00:00"/>
    <x v="210"/>
    <s v="0000192"/>
    <s v="ədəd"/>
    <n v="1"/>
    <m/>
    <n v="0"/>
    <x v="1"/>
    <x v="2"/>
    <n v="0"/>
    <n v="0"/>
  </r>
  <r>
    <n v="212"/>
    <d v="2026-06-01T00:00:00"/>
    <x v="211"/>
    <s v="0000193"/>
    <s v="ədəd"/>
    <n v="1"/>
    <m/>
    <n v="0"/>
    <x v="1"/>
    <x v="2"/>
    <n v="0"/>
    <n v="0"/>
  </r>
  <r>
    <n v="213"/>
    <d v="2026-06-01T00:00:00"/>
    <x v="212"/>
    <s v="0000194"/>
    <s v="ədəd"/>
    <n v="1"/>
    <m/>
    <n v="0"/>
    <x v="1"/>
    <x v="2"/>
    <n v="0"/>
    <n v="0"/>
  </r>
  <r>
    <n v="214"/>
    <d v="2026-06-01T00:00:00"/>
    <x v="213"/>
    <s v="0000195"/>
    <s v="ədəd"/>
    <n v="1"/>
    <m/>
    <n v="0"/>
    <x v="1"/>
    <x v="2"/>
    <n v="0"/>
    <n v="0"/>
  </r>
  <r>
    <n v="215"/>
    <d v="2026-06-01T00:00:00"/>
    <x v="214"/>
    <s v="0000196"/>
    <s v="ədəd"/>
    <n v="1"/>
    <m/>
    <n v="0"/>
    <x v="1"/>
    <x v="2"/>
    <n v="0"/>
    <n v="0"/>
  </r>
  <r>
    <n v="216"/>
    <d v="2026-06-01T00:00:00"/>
    <x v="215"/>
    <s v="0000197"/>
    <s v="ədəd"/>
    <n v="1"/>
    <m/>
    <n v="0"/>
    <x v="1"/>
    <x v="2"/>
    <n v="0"/>
    <n v="0"/>
  </r>
  <r>
    <n v="217"/>
    <d v="2026-06-01T00:00:00"/>
    <x v="216"/>
    <s v="0000198"/>
    <s v="ədəd"/>
    <n v="1"/>
    <m/>
    <n v="0"/>
    <x v="1"/>
    <x v="2"/>
    <n v="0"/>
    <n v="0"/>
  </r>
  <r>
    <n v="218"/>
    <d v="2026-06-01T00:00:00"/>
    <x v="217"/>
    <s v="0000199"/>
    <s v="ədəd"/>
    <n v="1"/>
    <m/>
    <n v="0"/>
    <x v="1"/>
    <x v="2"/>
    <n v="0"/>
    <n v="0"/>
  </r>
  <r>
    <n v="219"/>
    <d v="2026-06-01T00:00:00"/>
    <x v="218"/>
    <s v="0000200"/>
    <s v="ədəd"/>
    <n v="11"/>
    <m/>
    <n v="0"/>
    <x v="1"/>
    <x v="2"/>
    <n v="0"/>
    <n v="0"/>
  </r>
  <r>
    <n v="220"/>
    <d v="2026-06-01T00:00:00"/>
    <x v="219"/>
    <s v="0000201"/>
    <s v="ədəd"/>
    <n v="1"/>
    <m/>
    <n v="0"/>
    <x v="1"/>
    <x v="2"/>
    <n v="0"/>
    <n v="0"/>
  </r>
  <r>
    <n v="221"/>
    <d v="2026-06-01T00:00:00"/>
    <x v="220"/>
    <s v="0000202"/>
    <s v="ədəd"/>
    <n v="1"/>
    <m/>
    <n v="0"/>
    <x v="1"/>
    <x v="2"/>
    <n v="0"/>
    <n v="0"/>
  </r>
  <r>
    <n v="222"/>
    <d v="2026-06-01T00:00:00"/>
    <x v="221"/>
    <s v="0000203"/>
    <s v="ədəd"/>
    <n v="1"/>
    <m/>
    <n v="0"/>
    <x v="1"/>
    <x v="2"/>
    <n v="0"/>
    <n v="0"/>
  </r>
  <r>
    <n v="223"/>
    <d v="2026-06-01T00:00:00"/>
    <x v="222"/>
    <s v="0000204"/>
    <s v="ədəd"/>
    <n v="1"/>
    <m/>
    <n v="0"/>
    <x v="1"/>
    <x v="2"/>
    <n v="0"/>
    <n v="0"/>
  </r>
  <r>
    <n v="224"/>
    <d v="2026-06-01T00:00:00"/>
    <x v="223"/>
    <s v="0000205"/>
    <s v="ədəd"/>
    <n v="3"/>
    <m/>
    <n v="0"/>
    <x v="1"/>
    <x v="2"/>
    <n v="0"/>
    <n v="0"/>
  </r>
  <r>
    <n v="225"/>
    <d v="2026-06-01T00:00:00"/>
    <x v="224"/>
    <s v="0000206"/>
    <s v="ədəd"/>
    <n v="1"/>
    <m/>
    <n v="0"/>
    <x v="1"/>
    <x v="2"/>
    <n v="0"/>
    <n v="0"/>
  </r>
  <r>
    <n v="226"/>
    <d v="2026-06-01T00:00:00"/>
    <x v="225"/>
    <s v="0000207"/>
    <s v="ədəd"/>
    <n v="1"/>
    <m/>
    <n v="0"/>
    <x v="1"/>
    <x v="2"/>
    <n v="0"/>
    <n v="0"/>
  </r>
  <r>
    <n v="227"/>
    <d v="2026-06-01T00:00:00"/>
    <x v="226"/>
    <s v="0000208"/>
    <s v="ədəd"/>
    <n v="1"/>
    <m/>
    <n v="0"/>
    <x v="1"/>
    <x v="2"/>
    <n v="0"/>
    <n v="0"/>
  </r>
  <r>
    <n v="228"/>
    <d v="2026-06-01T00:00:00"/>
    <x v="227"/>
    <s v="0000209"/>
    <s v="ədəd"/>
    <n v="1"/>
    <m/>
    <n v="0"/>
    <x v="1"/>
    <x v="2"/>
    <n v="0"/>
    <n v="0"/>
  </r>
  <r>
    <n v="229"/>
    <d v="2026-06-01T00:00:00"/>
    <x v="228"/>
    <s v="0000210"/>
    <s v="ədəd"/>
    <n v="1"/>
    <m/>
    <n v="0"/>
    <x v="1"/>
    <x v="2"/>
    <n v="0"/>
    <n v="0"/>
  </r>
  <r>
    <n v="230"/>
    <d v="2026-06-01T00:00:00"/>
    <x v="229"/>
    <s v="0000211"/>
    <s v="ədəd"/>
    <n v="1"/>
    <m/>
    <n v="0"/>
    <x v="1"/>
    <x v="2"/>
    <n v="0"/>
    <n v="0"/>
  </r>
  <r>
    <n v="231"/>
    <d v="2026-06-01T00:00:00"/>
    <x v="230"/>
    <s v="0000212"/>
    <s v="ədəd"/>
    <n v="2"/>
    <m/>
    <n v="0"/>
    <x v="1"/>
    <x v="2"/>
    <n v="0"/>
    <n v="0"/>
  </r>
  <r>
    <n v="232"/>
    <d v="2026-06-01T00:00:00"/>
    <x v="231"/>
    <s v="0000213"/>
    <s v="ədəd"/>
    <n v="1"/>
    <m/>
    <n v="0"/>
    <x v="1"/>
    <x v="2"/>
    <n v="0"/>
    <n v="0"/>
  </r>
  <r>
    <n v="233"/>
    <d v="2026-06-01T00:00:00"/>
    <x v="232"/>
    <s v="0000214"/>
    <s v="ədəd"/>
    <n v="1"/>
    <m/>
    <n v="0"/>
    <x v="1"/>
    <x v="2"/>
    <n v="0"/>
    <n v="0"/>
  </r>
  <r>
    <n v="234"/>
    <d v="2026-06-01T00:00:00"/>
    <x v="233"/>
    <s v="0000215"/>
    <s v="ədəd"/>
    <n v="4"/>
    <m/>
    <n v="0"/>
    <x v="1"/>
    <x v="2"/>
    <n v="0"/>
    <n v="0"/>
  </r>
  <r>
    <n v="235"/>
    <d v="2026-06-01T00:00:00"/>
    <x v="234"/>
    <s v="0000216"/>
    <s v="ədəd"/>
    <n v="1"/>
    <m/>
    <n v="0"/>
    <x v="1"/>
    <x v="2"/>
    <n v="0"/>
    <n v="0"/>
  </r>
  <r>
    <n v="236"/>
    <d v="2026-06-01T00:00:00"/>
    <x v="235"/>
    <s v="0000217"/>
    <s v="ədəd"/>
    <n v="1"/>
    <m/>
    <n v="0"/>
    <x v="1"/>
    <x v="2"/>
    <n v="0"/>
    <n v="0"/>
  </r>
  <r>
    <n v="237"/>
    <d v="2026-06-01T00:00:00"/>
    <x v="236"/>
    <s v="0000218"/>
    <s v="ədəd"/>
    <n v="1"/>
    <m/>
    <n v="0"/>
    <x v="1"/>
    <x v="2"/>
    <n v="0"/>
    <n v="0"/>
  </r>
  <r>
    <n v="238"/>
    <d v="2026-06-01T00:00:00"/>
    <x v="237"/>
    <s v="0000219"/>
    <s v="ədəd"/>
    <n v="2"/>
    <m/>
    <n v="0"/>
    <x v="1"/>
    <x v="2"/>
    <n v="0"/>
    <n v="0"/>
  </r>
  <r>
    <n v="239"/>
    <d v="2026-06-01T00:00:00"/>
    <x v="238"/>
    <s v="0000220"/>
    <s v="ədəd"/>
    <n v="1"/>
    <m/>
    <n v="0"/>
    <x v="1"/>
    <x v="2"/>
    <n v="0"/>
    <n v="0"/>
  </r>
  <r>
    <n v="240"/>
    <d v="2026-06-01T00:00:00"/>
    <x v="239"/>
    <s v="0000221"/>
    <s v="ədəd"/>
    <n v="3"/>
    <m/>
    <n v="0"/>
    <x v="1"/>
    <x v="2"/>
    <n v="0"/>
    <n v="0"/>
  </r>
  <r>
    <n v="241"/>
    <d v="2026-06-01T00:00:00"/>
    <x v="240"/>
    <s v="0000222"/>
    <s v="ədəd"/>
    <n v="1"/>
    <m/>
    <n v="0"/>
    <x v="1"/>
    <x v="2"/>
    <n v="0"/>
    <n v="0"/>
  </r>
  <r>
    <n v="242"/>
    <d v="2026-06-01T00:00:00"/>
    <x v="241"/>
    <s v="0000223"/>
    <s v="ədəd"/>
    <n v="3"/>
    <m/>
    <n v="0"/>
    <x v="1"/>
    <x v="2"/>
    <n v="0"/>
    <n v="0"/>
  </r>
  <r>
    <n v="243"/>
    <d v="2026-06-01T00:00:00"/>
    <x v="242"/>
    <s v="0000224"/>
    <s v="ədəd"/>
    <n v="1"/>
    <m/>
    <n v="0"/>
    <x v="1"/>
    <x v="2"/>
    <n v="0"/>
    <n v="0"/>
  </r>
  <r>
    <n v="244"/>
    <d v="2026-06-01T00:00:00"/>
    <x v="243"/>
    <s v="0000225"/>
    <s v="ədəd"/>
    <n v="1"/>
    <m/>
    <n v="0"/>
    <x v="1"/>
    <x v="2"/>
    <n v="0"/>
    <n v="0"/>
  </r>
  <r>
    <n v="245"/>
    <d v="2026-06-01T00:00:00"/>
    <x v="244"/>
    <s v="0000226"/>
    <s v="ədəd"/>
    <n v="3"/>
    <m/>
    <n v="0"/>
    <x v="1"/>
    <x v="2"/>
    <n v="0"/>
    <n v="0"/>
  </r>
  <r>
    <n v="246"/>
    <d v="2026-06-01T00:00:00"/>
    <x v="245"/>
    <s v="0000227"/>
    <s v="ədəd"/>
    <n v="5"/>
    <m/>
    <n v="0"/>
    <x v="1"/>
    <x v="2"/>
    <n v="0"/>
    <n v="0"/>
  </r>
  <r>
    <n v="247"/>
    <d v="2026-06-01T00:00:00"/>
    <x v="246"/>
    <s v="0000228"/>
    <s v="ədəd"/>
    <n v="1"/>
    <m/>
    <n v="0"/>
    <x v="1"/>
    <x v="2"/>
    <n v="0"/>
    <n v="0"/>
  </r>
  <r>
    <n v="248"/>
    <d v="2026-06-01T00:00:00"/>
    <x v="247"/>
    <s v="0000229"/>
    <s v="ədəd"/>
    <n v="1"/>
    <m/>
    <n v="0"/>
    <x v="1"/>
    <x v="2"/>
    <n v="0"/>
    <n v="0"/>
  </r>
  <r>
    <n v="249"/>
    <d v="2026-06-01T00:00:00"/>
    <x v="248"/>
    <s v="0000230"/>
    <s v="ədəd"/>
    <n v="4"/>
    <m/>
    <n v="0"/>
    <x v="1"/>
    <x v="2"/>
    <n v="0"/>
    <n v="0"/>
  </r>
  <r>
    <n v="250"/>
    <d v="2026-06-01T00:00:00"/>
    <x v="249"/>
    <s v="0000231"/>
    <s v="ədəd"/>
    <n v="1"/>
    <m/>
    <n v="0"/>
    <x v="1"/>
    <x v="2"/>
    <n v="0"/>
    <n v="0"/>
  </r>
  <r>
    <n v="251"/>
    <d v="2026-06-01T00:00:00"/>
    <x v="250"/>
    <s v="0000232"/>
    <s v="ədəd"/>
    <n v="3"/>
    <m/>
    <n v="0"/>
    <x v="1"/>
    <x v="2"/>
    <n v="0"/>
    <n v="0"/>
  </r>
  <r>
    <n v="252"/>
    <d v="2026-06-01T00:00:00"/>
    <x v="251"/>
    <s v="0000233"/>
    <s v="ədəd"/>
    <n v="2"/>
    <m/>
    <n v="0"/>
    <x v="1"/>
    <x v="2"/>
    <n v="0"/>
    <n v="0"/>
  </r>
  <r>
    <n v="253"/>
    <d v="2026-06-01T00:00:00"/>
    <x v="252"/>
    <s v="0000234"/>
    <s v="ədəd"/>
    <n v="1"/>
    <m/>
    <n v="0"/>
    <x v="1"/>
    <x v="2"/>
    <n v="0"/>
    <n v="0"/>
  </r>
  <r>
    <n v="254"/>
    <d v="2026-06-01T00:00:00"/>
    <x v="253"/>
    <s v="0000235"/>
    <s v="ədəd"/>
    <n v="1"/>
    <m/>
    <n v="0"/>
    <x v="1"/>
    <x v="2"/>
    <n v="0"/>
    <n v="0"/>
  </r>
  <r>
    <n v="255"/>
    <d v="2026-06-01T00:00:00"/>
    <x v="254"/>
    <s v="0000236"/>
    <s v="ədəd"/>
    <n v="2"/>
    <m/>
    <n v="0"/>
    <x v="1"/>
    <x v="2"/>
    <n v="0"/>
    <n v="0"/>
  </r>
  <r>
    <n v="256"/>
    <d v="2026-06-01T00:00:00"/>
    <x v="255"/>
    <s v="0000237"/>
    <s v="ədəd"/>
    <n v="1"/>
    <m/>
    <n v="0"/>
    <x v="1"/>
    <x v="2"/>
    <n v="0"/>
    <n v="0"/>
  </r>
  <r>
    <n v="257"/>
    <d v="2026-06-01T00:00:00"/>
    <x v="256"/>
    <s v="0000238"/>
    <s v="ədəd"/>
    <n v="1"/>
    <m/>
    <n v="0"/>
    <x v="1"/>
    <x v="2"/>
    <n v="0"/>
    <n v="0"/>
  </r>
  <r>
    <n v="258"/>
    <d v="2026-06-01T00:00:00"/>
    <x v="257"/>
    <s v="0000239"/>
    <s v="ədəd"/>
    <n v="6"/>
    <m/>
    <n v="0"/>
    <x v="1"/>
    <x v="2"/>
    <n v="0"/>
    <n v="0"/>
  </r>
  <r>
    <n v="259"/>
    <d v="2026-06-01T00:00:00"/>
    <x v="258"/>
    <s v="0000240"/>
    <s v="ədəd"/>
    <n v="1"/>
    <m/>
    <n v="0"/>
    <x v="1"/>
    <x v="2"/>
    <n v="0"/>
    <n v="0"/>
  </r>
  <r>
    <n v="260"/>
    <d v="2026-06-01T00:00:00"/>
    <x v="259"/>
    <s v="0000241"/>
    <s v="ədəd"/>
    <n v="1"/>
    <m/>
    <n v="0"/>
    <x v="1"/>
    <x v="2"/>
    <n v="0"/>
    <n v="0"/>
  </r>
  <r>
    <n v="261"/>
    <d v="2026-06-01T00:00:00"/>
    <x v="260"/>
    <s v="0000242"/>
    <s v="ədəd"/>
    <n v="8"/>
    <m/>
    <n v="0"/>
    <x v="1"/>
    <x v="2"/>
    <n v="0"/>
    <n v="0"/>
  </r>
  <r>
    <n v="262"/>
    <d v="2026-06-01T00:00:00"/>
    <x v="261"/>
    <s v="0000243"/>
    <s v="ədəd"/>
    <n v="5"/>
    <m/>
    <n v="0"/>
    <x v="1"/>
    <x v="2"/>
    <n v="0"/>
    <n v="0"/>
  </r>
  <r>
    <n v="263"/>
    <d v="2026-06-01T00:00:00"/>
    <x v="262"/>
    <s v="0000244"/>
    <s v="ədəd"/>
    <n v="1"/>
    <m/>
    <n v="0"/>
    <x v="1"/>
    <x v="2"/>
    <n v="0"/>
    <n v="0"/>
  </r>
  <r>
    <n v="264"/>
    <d v="2026-06-01T00:00:00"/>
    <x v="263"/>
    <s v="0000245"/>
    <s v="ədəd"/>
    <n v="1"/>
    <m/>
    <n v="0"/>
    <x v="1"/>
    <x v="2"/>
    <n v="0"/>
    <n v="0"/>
  </r>
  <r>
    <n v="265"/>
    <d v="2026-06-01T00:00:00"/>
    <x v="264"/>
    <s v="0000246"/>
    <s v="ədəd"/>
    <n v="1"/>
    <m/>
    <n v="0"/>
    <x v="1"/>
    <x v="2"/>
    <n v="0"/>
    <n v="0"/>
  </r>
  <r>
    <n v="266"/>
    <d v="2026-06-01T00:00:00"/>
    <x v="265"/>
    <s v="0000247"/>
    <s v="ədəd"/>
    <n v="1"/>
    <m/>
    <n v="0"/>
    <x v="1"/>
    <x v="2"/>
    <n v="0"/>
    <n v="0"/>
  </r>
  <r>
    <n v="267"/>
    <d v="2026-06-01T00:00:00"/>
    <x v="266"/>
    <s v="0000248"/>
    <s v="ədəd"/>
    <n v="1"/>
    <m/>
    <n v="0"/>
    <x v="1"/>
    <x v="2"/>
    <n v="0"/>
    <n v="0"/>
  </r>
  <r>
    <n v="268"/>
    <d v="2026-06-01T00:00:00"/>
    <x v="267"/>
    <s v="0000249"/>
    <s v="ədəd"/>
    <n v="1"/>
    <m/>
    <n v="0"/>
    <x v="1"/>
    <x v="2"/>
    <n v="0"/>
    <n v="0"/>
  </r>
  <r>
    <n v="269"/>
    <d v="2026-06-01T00:00:00"/>
    <x v="268"/>
    <s v="0000250"/>
    <s v="ədəd"/>
    <n v="1"/>
    <m/>
    <n v="0"/>
    <x v="1"/>
    <x v="2"/>
    <n v="0"/>
    <n v="0"/>
  </r>
  <r>
    <n v="270"/>
    <d v="2026-06-01T00:00:00"/>
    <x v="269"/>
    <s v="0000251"/>
    <s v="ədəd"/>
    <n v="1"/>
    <m/>
    <n v="0"/>
    <x v="1"/>
    <x v="2"/>
    <n v="0"/>
    <n v="0"/>
  </r>
  <r>
    <n v="271"/>
    <d v="2026-06-01T00:00:00"/>
    <x v="270"/>
    <s v="0000252"/>
    <s v="ədəd"/>
    <n v="1"/>
    <m/>
    <n v="0"/>
    <x v="1"/>
    <x v="2"/>
    <n v="0"/>
    <n v="0"/>
  </r>
  <r>
    <n v="272"/>
    <d v="2026-06-01T00:00:00"/>
    <x v="271"/>
    <s v="0000253"/>
    <s v="ədəd"/>
    <n v="1"/>
    <m/>
    <n v="0"/>
    <x v="1"/>
    <x v="2"/>
    <n v="0"/>
    <n v="0"/>
  </r>
  <r>
    <n v="273"/>
    <d v="2026-06-01T00:00:00"/>
    <x v="272"/>
    <s v="0000254"/>
    <s v="ədəd"/>
    <n v="1"/>
    <m/>
    <n v="0"/>
    <x v="1"/>
    <x v="2"/>
    <n v="0"/>
    <n v="0"/>
  </r>
  <r>
    <n v="274"/>
    <d v="2026-06-01T00:00:00"/>
    <x v="273"/>
    <s v="0000255"/>
    <s v="ədəd"/>
    <n v="1"/>
    <m/>
    <n v="0"/>
    <x v="1"/>
    <x v="2"/>
    <n v="0"/>
    <n v="0"/>
  </r>
  <r>
    <n v="275"/>
    <d v="2026-06-01T00:00:00"/>
    <x v="274"/>
    <s v="0000256"/>
    <s v="ədəd"/>
    <n v="1"/>
    <m/>
    <n v="0"/>
    <x v="1"/>
    <x v="2"/>
    <n v="0"/>
    <n v="0"/>
  </r>
  <r>
    <n v="276"/>
    <d v="2026-06-01T00:00:00"/>
    <x v="275"/>
    <s v="0000257"/>
    <s v="ədəd"/>
    <n v="1"/>
    <m/>
    <n v="0"/>
    <x v="1"/>
    <x v="2"/>
    <n v="0"/>
    <n v="0"/>
  </r>
  <r>
    <n v="277"/>
    <d v="2026-06-01T00:00:00"/>
    <x v="276"/>
    <s v="0000258"/>
    <s v="ədəd"/>
    <n v="1"/>
    <m/>
    <n v="0"/>
    <x v="1"/>
    <x v="2"/>
    <n v="0"/>
    <n v="0"/>
  </r>
  <r>
    <n v="278"/>
    <d v="2026-06-01T00:00:00"/>
    <x v="277"/>
    <s v="0000259"/>
    <s v="ədəd"/>
    <n v="1"/>
    <m/>
    <n v="0"/>
    <x v="1"/>
    <x v="2"/>
    <n v="0"/>
    <n v="0"/>
  </r>
  <r>
    <n v="279"/>
    <d v="2026-06-01T00:00:00"/>
    <x v="278"/>
    <s v="0000260"/>
    <s v="ədəd"/>
    <n v="1"/>
    <m/>
    <n v="0"/>
    <x v="1"/>
    <x v="2"/>
    <n v="0"/>
    <n v="0"/>
  </r>
  <r>
    <n v="280"/>
    <d v="2026-06-01T00:00:00"/>
    <x v="279"/>
    <s v="0000261"/>
    <s v="ədəd"/>
    <n v="1"/>
    <m/>
    <n v="0"/>
    <x v="1"/>
    <x v="2"/>
    <n v="0"/>
    <n v="0"/>
  </r>
  <r>
    <n v="281"/>
    <d v="2026-06-01T00:00:00"/>
    <x v="280"/>
    <s v="0000262"/>
    <s v="ədəd"/>
    <n v="1"/>
    <m/>
    <n v="0"/>
    <x v="1"/>
    <x v="2"/>
    <n v="0"/>
    <n v="0"/>
  </r>
  <r>
    <n v="282"/>
    <d v="2026-06-01T00:00:00"/>
    <x v="281"/>
    <s v="0000263"/>
    <s v="ədəd"/>
    <n v="1"/>
    <m/>
    <n v="0"/>
    <x v="1"/>
    <x v="2"/>
    <n v="0"/>
    <n v="0"/>
  </r>
  <r>
    <n v="283"/>
    <d v="2026-06-01T00:00:00"/>
    <x v="282"/>
    <s v="0000264"/>
    <s v="ədəd"/>
    <n v="1"/>
    <m/>
    <n v="0"/>
    <x v="1"/>
    <x v="2"/>
    <n v="0"/>
    <n v="0"/>
  </r>
  <r>
    <n v="284"/>
    <d v="2026-06-01T00:00:00"/>
    <x v="283"/>
    <s v="0000265"/>
    <s v="ədəd"/>
    <n v="1"/>
    <m/>
    <n v="0"/>
    <x v="1"/>
    <x v="2"/>
    <n v="0"/>
    <n v="0"/>
  </r>
  <r>
    <n v="285"/>
    <d v="2026-06-01T00:00:00"/>
    <x v="284"/>
    <s v="0000266"/>
    <s v="ədəd"/>
    <n v="1"/>
    <m/>
    <n v="0"/>
    <x v="1"/>
    <x v="2"/>
    <n v="0"/>
    <n v="0"/>
  </r>
  <r>
    <n v="286"/>
    <d v="2026-06-01T00:00:00"/>
    <x v="285"/>
    <s v="0000267"/>
    <s v="ədəd"/>
    <n v="1"/>
    <m/>
    <n v="0"/>
    <x v="1"/>
    <x v="2"/>
    <n v="0"/>
    <n v="0"/>
  </r>
  <r>
    <n v="287"/>
    <d v="2026-06-01T00:00:00"/>
    <x v="286"/>
    <s v="0000268"/>
    <s v="ədəd"/>
    <n v="1"/>
    <m/>
    <n v="0"/>
    <x v="1"/>
    <x v="2"/>
    <n v="0"/>
    <n v="0"/>
  </r>
  <r>
    <n v="288"/>
    <d v="2026-06-01T00:00:00"/>
    <x v="287"/>
    <s v="0000269"/>
    <s v="ədəd"/>
    <n v="36"/>
    <m/>
    <n v="0"/>
    <x v="1"/>
    <x v="2"/>
    <n v="0"/>
    <n v="0"/>
  </r>
  <r>
    <n v="289"/>
    <d v="2026-06-01T00:00:00"/>
    <x v="288"/>
    <s v="0000270"/>
    <s v="ədəd"/>
    <n v="1"/>
    <m/>
    <n v="0"/>
    <x v="1"/>
    <x v="2"/>
    <n v="0"/>
    <n v="0"/>
  </r>
  <r>
    <n v="290"/>
    <d v="2026-06-01T00:00:00"/>
    <x v="289"/>
    <s v="0000271"/>
    <s v="ədəd"/>
    <n v="7"/>
    <m/>
    <n v="0"/>
    <x v="1"/>
    <x v="2"/>
    <n v="0"/>
    <n v="0"/>
  </r>
  <r>
    <n v="291"/>
    <d v="2026-06-01T00:00:00"/>
    <x v="290"/>
    <s v="0000272"/>
    <s v="ədəd"/>
    <n v="2"/>
    <m/>
    <n v="0"/>
    <x v="1"/>
    <x v="2"/>
    <n v="0"/>
    <n v="0"/>
  </r>
  <r>
    <n v="292"/>
    <d v="2026-06-01T00:00:00"/>
    <x v="291"/>
    <s v="0000273"/>
    <s v="ədəd"/>
    <n v="89"/>
    <m/>
    <n v="0"/>
    <x v="1"/>
    <x v="2"/>
    <n v="0"/>
    <n v="0"/>
  </r>
  <r>
    <n v="293"/>
    <d v="2026-06-01T00:00:00"/>
    <x v="292"/>
    <s v="0000274"/>
    <s v="ədəd"/>
    <n v="1"/>
    <m/>
    <n v="0"/>
    <x v="1"/>
    <x v="2"/>
    <n v="0"/>
    <n v="0"/>
  </r>
  <r>
    <n v="294"/>
    <d v="2026-06-01T00:00:00"/>
    <x v="293"/>
    <s v="0000275"/>
    <s v="ədəd"/>
    <n v="36"/>
    <m/>
    <n v="0"/>
    <x v="1"/>
    <x v="2"/>
    <n v="0"/>
    <n v="0"/>
  </r>
  <r>
    <n v="295"/>
    <d v="2026-06-01T00:00:00"/>
    <x v="294"/>
    <s v="0000276"/>
    <s v="ədəd"/>
    <n v="3"/>
    <m/>
    <n v="0"/>
    <x v="1"/>
    <x v="2"/>
    <n v="0"/>
    <n v="0"/>
  </r>
  <r>
    <n v="296"/>
    <d v="2026-06-01T00:00:00"/>
    <x v="295"/>
    <s v="0000277"/>
    <s v="ədəd"/>
    <n v="1"/>
    <m/>
    <n v="0"/>
    <x v="1"/>
    <x v="2"/>
    <n v="0"/>
    <n v="0"/>
  </r>
  <r>
    <n v="297"/>
    <d v="2026-06-01T00:00:00"/>
    <x v="296"/>
    <s v="0000278"/>
    <s v="ədəd"/>
    <n v="2"/>
    <m/>
    <n v="0"/>
    <x v="1"/>
    <x v="2"/>
    <n v="0"/>
    <n v="0"/>
  </r>
  <r>
    <n v="298"/>
    <d v="2026-06-01T00:00:00"/>
    <x v="297"/>
    <s v="0000279"/>
    <s v="ədəd"/>
    <n v="3"/>
    <m/>
    <n v="0"/>
    <x v="1"/>
    <x v="2"/>
    <n v="0"/>
    <n v="0"/>
  </r>
  <r>
    <n v="299"/>
    <d v="2026-06-01T00:00:00"/>
    <x v="298"/>
    <s v="0000280"/>
    <s v="ədəd"/>
    <n v="1"/>
    <m/>
    <n v="0"/>
    <x v="1"/>
    <x v="2"/>
    <n v="0"/>
    <n v="0"/>
  </r>
  <r>
    <n v="300"/>
    <d v="2026-06-01T00:00:00"/>
    <x v="299"/>
    <s v="0000281"/>
    <s v="ədəd"/>
    <n v="1"/>
    <m/>
    <n v="0"/>
    <x v="1"/>
    <x v="2"/>
    <n v="0"/>
    <n v="0"/>
  </r>
  <r>
    <n v="301"/>
    <d v="2026-06-01T00:00:00"/>
    <x v="300"/>
    <s v="0000282"/>
    <s v="ədəd"/>
    <n v="1"/>
    <m/>
    <n v="0"/>
    <x v="1"/>
    <x v="2"/>
    <n v="0"/>
    <n v="0"/>
  </r>
  <r>
    <n v="302"/>
    <d v="2026-06-01T00:00:00"/>
    <x v="301"/>
    <s v="0000283"/>
    <s v="ədəd"/>
    <n v="1"/>
    <m/>
    <n v="0"/>
    <x v="1"/>
    <x v="2"/>
    <n v="0"/>
    <n v="0"/>
  </r>
  <r>
    <n v="303"/>
    <d v="2026-06-01T00:00:00"/>
    <x v="302"/>
    <s v="0000284"/>
    <s v="ədəd"/>
    <n v="1"/>
    <m/>
    <n v="0"/>
    <x v="1"/>
    <x v="2"/>
    <n v="0"/>
    <n v="0"/>
  </r>
  <r>
    <n v="304"/>
    <d v="2026-06-01T00:00:00"/>
    <x v="303"/>
    <s v="0000285"/>
    <s v="ədəd"/>
    <n v="1"/>
    <m/>
    <n v="0"/>
    <x v="1"/>
    <x v="2"/>
    <n v="0"/>
    <n v="0"/>
  </r>
  <r>
    <n v="305"/>
    <d v="2026-06-01T00:00:00"/>
    <x v="304"/>
    <s v="0000286"/>
    <s v="ədəd"/>
    <n v="1"/>
    <m/>
    <n v="0"/>
    <x v="1"/>
    <x v="2"/>
    <n v="0"/>
    <n v="0"/>
  </r>
  <r>
    <n v="306"/>
    <d v="2026-06-01T00:00:00"/>
    <x v="305"/>
    <s v="0000287"/>
    <s v="ədəd"/>
    <n v="1"/>
    <m/>
    <n v="0"/>
    <x v="1"/>
    <x v="2"/>
    <n v="0"/>
    <n v="0"/>
  </r>
  <r>
    <n v="307"/>
    <d v="2026-06-01T00:00:00"/>
    <x v="306"/>
    <s v="0000288"/>
    <s v="ədəd"/>
    <n v="1"/>
    <m/>
    <n v="0"/>
    <x v="1"/>
    <x v="2"/>
    <n v="0"/>
    <n v="0"/>
  </r>
  <r>
    <n v="308"/>
    <d v="2026-06-01T00:00:00"/>
    <x v="307"/>
    <s v="0000289"/>
    <s v="ədəd"/>
    <n v="1"/>
    <m/>
    <n v="0"/>
    <x v="1"/>
    <x v="2"/>
    <n v="0"/>
    <n v="0"/>
  </r>
  <r>
    <n v="309"/>
    <d v="2026-06-01T00:00:00"/>
    <x v="308"/>
    <s v="0000290"/>
    <s v="ədəd"/>
    <n v="1"/>
    <m/>
    <n v="0"/>
    <x v="1"/>
    <x v="2"/>
    <n v="0"/>
    <n v="0"/>
  </r>
  <r>
    <n v="310"/>
    <d v="2026-06-01T00:00:00"/>
    <x v="309"/>
    <s v="0000291"/>
    <s v="ədəd"/>
    <n v="3"/>
    <m/>
    <n v="0"/>
    <x v="1"/>
    <x v="2"/>
    <n v="0"/>
    <n v="0"/>
  </r>
  <r>
    <n v="311"/>
    <d v="2026-06-01T00:00:00"/>
    <x v="310"/>
    <s v="0000292"/>
    <s v="ədəd"/>
    <n v="1"/>
    <m/>
    <n v="0"/>
    <x v="1"/>
    <x v="2"/>
    <n v="0"/>
    <n v="0"/>
  </r>
  <r>
    <n v="312"/>
    <d v="2026-06-01T00:00:00"/>
    <x v="311"/>
    <s v="0000293"/>
    <s v="ədəd"/>
    <n v="2"/>
    <m/>
    <n v="0"/>
    <x v="1"/>
    <x v="2"/>
    <n v="0"/>
    <n v="0"/>
  </r>
  <r>
    <n v="313"/>
    <d v="2026-06-01T00:00:00"/>
    <x v="312"/>
    <s v="0000294"/>
    <s v="ədəd"/>
    <n v="41"/>
    <m/>
    <n v="0"/>
    <x v="1"/>
    <x v="2"/>
    <n v="0"/>
    <n v="0"/>
  </r>
  <r>
    <n v="314"/>
    <d v="2026-06-01T00:00:00"/>
    <x v="313"/>
    <s v="0000295"/>
    <s v="ədəd"/>
    <n v="6"/>
    <m/>
    <n v="0"/>
    <x v="1"/>
    <x v="2"/>
    <n v="0"/>
    <n v="0"/>
  </r>
  <r>
    <n v="315"/>
    <d v="2026-06-01T00:00:00"/>
    <x v="314"/>
    <s v="0000296"/>
    <s v="ədəd"/>
    <n v="1"/>
    <m/>
    <n v="0"/>
    <x v="1"/>
    <x v="2"/>
    <n v="0"/>
    <n v="0"/>
  </r>
  <r>
    <n v="316"/>
    <d v="2026-06-01T00:00:00"/>
    <x v="315"/>
    <s v="0000297"/>
    <s v="ədəd"/>
    <n v="1"/>
    <m/>
    <n v="0"/>
    <x v="1"/>
    <x v="2"/>
    <n v="0"/>
    <n v="0"/>
  </r>
  <r>
    <n v="317"/>
    <d v="2026-06-01T00:00:00"/>
    <x v="316"/>
    <s v="0000298"/>
    <s v="ədəd"/>
    <n v="7"/>
    <m/>
    <n v="0"/>
    <x v="1"/>
    <x v="2"/>
    <n v="0"/>
    <n v="0"/>
  </r>
  <r>
    <n v="318"/>
    <d v="2026-06-01T00:00:00"/>
    <x v="317"/>
    <s v="0000299"/>
    <s v="ədəd"/>
    <n v="29"/>
    <m/>
    <n v="0"/>
    <x v="1"/>
    <x v="2"/>
    <n v="0"/>
    <n v="0"/>
  </r>
  <r>
    <n v="319"/>
    <d v="2026-06-01T00:00:00"/>
    <x v="318"/>
    <s v="0000300"/>
    <s v="ədəd"/>
    <n v="397"/>
    <m/>
    <n v="0"/>
    <x v="1"/>
    <x v="2"/>
    <n v="0"/>
    <n v="0"/>
  </r>
  <r>
    <n v="320"/>
    <d v="2026-06-01T00:00:00"/>
    <x v="319"/>
    <s v="0000301"/>
    <s v="ədəd"/>
    <n v="17"/>
    <m/>
    <n v="0"/>
    <x v="1"/>
    <x v="2"/>
    <n v="0"/>
    <n v="0"/>
  </r>
  <r>
    <n v="321"/>
    <d v="2026-06-01T00:00:00"/>
    <x v="320"/>
    <s v="0000302"/>
    <s v="ədəd"/>
    <n v="5"/>
    <m/>
    <n v="0"/>
    <x v="1"/>
    <x v="2"/>
    <n v="0"/>
    <n v="0"/>
  </r>
  <r>
    <n v="322"/>
    <d v="2026-06-01T00:00:00"/>
    <x v="321"/>
    <s v="0000303"/>
    <s v="dəst"/>
    <n v="1"/>
    <m/>
    <n v="0"/>
    <x v="1"/>
    <x v="2"/>
    <n v="0"/>
    <n v="0"/>
  </r>
  <r>
    <n v="323"/>
    <d v="2026-06-01T00:00:00"/>
    <x v="322"/>
    <s v="0000304"/>
    <s v="ədəd"/>
    <n v="3"/>
    <m/>
    <n v="0"/>
    <x v="1"/>
    <x v="2"/>
    <n v="0"/>
    <n v="0"/>
  </r>
  <r>
    <n v="324"/>
    <d v="2026-06-01T00:00:00"/>
    <x v="323"/>
    <s v="0000305"/>
    <s v="ədəd"/>
    <n v="5"/>
    <m/>
    <n v="0"/>
    <x v="1"/>
    <x v="2"/>
    <n v="0"/>
    <n v="0"/>
  </r>
  <r>
    <n v="325"/>
    <d v="2026-06-01T00:00:00"/>
    <x v="324"/>
    <s v="0000306"/>
    <s v="ədəd"/>
    <n v="5"/>
    <m/>
    <n v="0"/>
    <x v="1"/>
    <x v="2"/>
    <n v="0"/>
    <n v="0"/>
  </r>
  <r>
    <n v="326"/>
    <d v="2026-06-01T00:00:00"/>
    <x v="325"/>
    <s v="0000307"/>
    <s v="ədəd"/>
    <n v="13"/>
    <m/>
    <n v="0"/>
    <x v="1"/>
    <x v="2"/>
    <n v="0"/>
    <n v="0"/>
  </r>
  <r>
    <n v="327"/>
    <d v="2026-06-01T00:00:00"/>
    <x v="326"/>
    <s v="0000308"/>
    <s v="ədəd"/>
    <n v="1"/>
    <m/>
    <n v="0"/>
    <x v="1"/>
    <x v="2"/>
    <n v="0"/>
    <n v="0"/>
  </r>
  <r>
    <n v="328"/>
    <d v="2026-06-01T00:00:00"/>
    <x v="327"/>
    <s v="0000309"/>
    <s v="ədəd"/>
    <n v="1"/>
    <m/>
    <n v="0"/>
    <x v="1"/>
    <x v="2"/>
    <n v="0"/>
    <n v="0"/>
  </r>
  <r>
    <n v="329"/>
    <d v="2026-06-01T00:00:00"/>
    <x v="328"/>
    <s v="0000310"/>
    <s v="ədəd"/>
    <n v="1"/>
    <m/>
    <n v="0"/>
    <x v="1"/>
    <x v="2"/>
    <n v="0"/>
    <n v="0"/>
  </r>
  <r>
    <n v="330"/>
    <d v="2026-06-01T00:00:00"/>
    <x v="329"/>
    <s v="0000311"/>
    <s v="ədəd"/>
    <n v="4"/>
    <m/>
    <n v="0"/>
    <x v="1"/>
    <x v="2"/>
    <n v="0"/>
    <n v="0"/>
  </r>
  <r>
    <n v="331"/>
    <d v="2026-06-01T00:00:00"/>
    <x v="330"/>
    <s v="0000312"/>
    <s v="dəst"/>
    <n v="1"/>
    <m/>
    <n v="0"/>
    <x v="1"/>
    <x v="2"/>
    <n v="0"/>
    <n v="0"/>
  </r>
  <r>
    <n v="332"/>
    <d v="2026-06-01T00:00:00"/>
    <x v="331"/>
    <s v="0000313"/>
    <s v="ədəd"/>
    <n v="400"/>
    <m/>
    <n v="0"/>
    <x v="1"/>
    <x v="2"/>
    <n v="0"/>
    <n v="0"/>
  </r>
  <r>
    <n v="333"/>
    <d v="2026-06-01T00:00:00"/>
    <x v="332"/>
    <s v="0000314"/>
    <s v="ədəd"/>
    <n v="1"/>
    <m/>
    <n v="0"/>
    <x v="1"/>
    <x v="2"/>
    <n v="0"/>
    <n v="0"/>
  </r>
  <r>
    <n v="334"/>
    <d v="2026-06-01T00:00:00"/>
    <x v="333"/>
    <s v="0000315"/>
    <s v="dəst"/>
    <n v="1"/>
    <m/>
    <n v="0"/>
    <x v="1"/>
    <x v="2"/>
    <n v="0"/>
    <n v="0"/>
  </r>
  <r>
    <n v="335"/>
    <d v="2026-06-01T00:00:00"/>
    <x v="334"/>
    <s v="0000316"/>
    <s v="ədəd"/>
    <n v="8"/>
    <m/>
    <n v="0"/>
    <x v="1"/>
    <x v="2"/>
    <n v="0"/>
    <n v="0"/>
  </r>
  <r>
    <n v="336"/>
    <d v="2026-06-01T00:00:00"/>
    <x v="335"/>
    <s v="0000317"/>
    <s v="ədəd"/>
    <n v="1"/>
    <m/>
    <n v="0"/>
    <x v="1"/>
    <x v="2"/>
    <n v="0"/>
    <n v="0"/>
  </r>
  <r>
    <n v="337"/>
    <d v="2026-06-01T00:00:00"/>
    <x v="336"/>
    <s v="0000318"/>
    <s v="ədəd"/>
    <n v="1"/>
    <m/>
    <n v="0"/>
    <x v="1"/>
    <x v="2"/>
    <n v="0"/>
    <n v="0"/>
  </r>
  <r>
    <n v="338"/>
    <d v="2026-06-01T00:00:00"/>
    <x v="337"/>
    <s v="0000319"/>
    <s v="ədəd"/>
    <n v="1"/>
    <m/>
    <n v="0"/>
    <x v="1"/>
    <x v="2"/>
    <n v="0"/>
    <n v="0"/>
  </r>
  <r>
    <n v="339"/>
    <d v="2026-06-01T00:00:00"/>
    <x v="338"/>
    <s v="0000320"/>
    <s v="ədəd"/>
    <n v="1"/>
    <m/>
    <n v="0"/>
    <x v="1"/>
    <x v="2"/>
    <n v="0"/>
    <n v="0"/>
  </r>
  <r>
    <n v="340"/>
    <d v="2026-06-01T00:00:00"/>
    <x v="339"/>
    <s v="0000321"/>
    <s v="ədəd"/>
    <n v="3"/>
    <m/>
    <n v="0"/>
    <x v="1"/>
    <x v="2"/>
    <n v="0"/>
    <n v="0"/>
  </r>
  <r>
    <n v="341"/>
    <d v="2026-06-01T00:00:00"/>
    <x v="340"/>
    <s v="0000322"/>
    <s v="ədəd"/>
    <n v="1"/>
    <m/>
    <n v="0"/>
    <x v="1"/>
    <x v="2"/>
    <n v="0"/>
    <n v="0"/>
  </r>
  <r>
    <n v="342"/>
    <d v="2026-06-01T00:00:00"/>
    <x v="341"/>
    <s v="0000323"/>
    <s v="ədəd"/>
    <n v="1"/>
    <m/>
    <n v="0"/>
    <x v="1"/>
    <x v="2"/>
    <n v="0"/>
    <n v="0"/>
  </r>
  <r>
    <n v="343"/>
    <d v="2026-06-01T00:00:00"/>
    <x v="342"/>
    <s v="0000324"/>
    <s v="ədəd"/>
    <n v="2"/>
    <m/>
    <n v="0"/>
    <x v="1"/>
    <x v="2"/>
    <n v="0"/>
    <n v="0"/>
  </r>
  <r>
    <n v="344"/>
    <d v="2026-06-01T00:00:00"/>
    <x v="343"/>
    <s v="0000325"/>
    <s v="ədəd"/>
    <n v="1"/>
    <m/>
    <n v="0"/>
    <x v="1"/>
    <x v="2"/>
    <n v="0"/>
    <n v="0"/>
  </r>
  <r>
    <n v="345"/>
    <d v="2026-06-01T00:00:00"/>
    <x v="344"/>
    <s v="0000326"/>
    <s v="ədəd"/>
    <n v="1"/>
    <m/>
    <n v="0"/>
    <x v="1"/>
    <x v="2"/>
    <n v="0"/>
    <n v="0"/>
  </r>
  <r>
    <n v="346"/>
    <d v="2026-06-01T00:00:00"/>
    <x v="345"/>
    <s v="0000327"/>
    <s v="ədəd"/>
    <n v="1"/>
    <m/>
    <n v="0"/>
    <x v="1"/>
    <x v="2"/>
    <n v="0"/>
    <n v="0"/>
  </r>
  <r>
    <n v="347"/>
    <d v="2026-06-01T00:00:00"/>
    <x v="346"/>
    <s v="0000328"/>
    <s v="ədəd"/>
    <n v="1"/>
    <m/>
    <n v="0"/>
    <x v="1"/>
    <x v="2"/>
    <n v="0"/>
    <n v="0"/>
  </r>
  <r>
    <n v="348"/>
    <d v="2026-06-01T00:00:00"/>
    <x v="347"/>
    <s v="0000329"/>
    <s v="ədəd"/>
    <n v="51"/>
    <m/>
    <n v="0"/>
    <x v="1"/>
    <x v="2"/>
    <n v="0"/>
    <n v="0"/>
  </r>
  <r>
    <n v="349"/>
    <d v="2026-06-01T00:00:00"/>
    <x v="348"/>
    <s v="0000330"/>
    <s v="ədəd"/>
    <n v="3"/>
    <m/>
    <n v="0"/>
    <x v="1"/>
    <x v="2"/>
    <n v="0"/>
    <n v="0"/>
  </r>
  <r>
    <n v="350"/>
    <d v="2026-06-01T00:00:00"/>
    <x v="349"/>
    <s v="0000331"/>
    <s v="ədəd"/>
    <n v="3"/>
    <m/>
    <n v="0"/>
    <x v="1"/>
    <x v="2"/>
    <n v="0"/>
    <n v="0"/>
  </r>
  <r>
    <n v="351"/>
    <d v="2026-06-01T00:00:00"/>
    <x v="350"/>
    <s v="0000332"/>
    <s v="ədəd"/>
    <n v="1"/>
    <m/>
    <n v="0"/>
    <x v="1"/>
    <x v="2"/>
    <n v="0"/>
    <n v="0"/>
  </r>
  <r>
    <n v="352"/>
    <d v="2026-06-01T00:00:00"/>
    <x v="351"/>
    <s v="0000333"/>
    <s v="ədəd"/>
    <n v="5"/>
    <m/>
    <n v="0"/>
    <x v="1"/>
    <x v="2"/>
    <n v="0"/>
    <n v="0"/>
  </r>
  <r>
    <n v="353"/>
    <d v="2026-06-01T00:00:00"/>
    <x v="352"/>
    <s v="0000334"/>
    <s v="ədəd"/>
    <n v="1"/>
    <m/>
    <n v="0"/>
    <x v="1"/>
    <x v="2"/>
    <n v="0"/>
    <n v="0"/>
  </r>
  <r>
    <n v="354"/>
    <d v="2026-06-01T00:00:00"/>
    <x v="353"/>
    <s v="0000335"/>
    <s v="ədəd"/>
    <n v="2"/>
    <m/>
    <n v="0"/>
    <x v="1"/>
    <x v="2"/>
    <n v="0"/>
    <n v="0"/>
  </r>
  <r>
    <n v="355"/>
    <d v="2026-06-01T00:00:00"/>
    <x v="354"/>
    <s v="0000336"/>
    <s v="ədəd"/>
    <n v="1"/>
    <m/>
    <n v="0"/>
    <x v="1"/>
    <x v="2"/>
    <n v="0"/>
    <n v="0"/>
  </r>
  <r>
    <n v="356"/>
    <d v="2026-06-01T00:00:00"/>
    <x v="355"/>
    <s v="0000337"/>
    <s v="ədəd"/>
    <n v="1"/>
    <m/>
    <n v="0"/>
    <x v="1"/>
    <x v="2"/>
    <n v="0"/>
    <n v="0"/>
  </r>
  <r>
    <n v="357"/>
    <d v="2026-06-01T00:00:00"/>
    <x v="356"/>
    <s v="0000338"/>
    <s v="ədəd"/>
    <n v="1"/>
    <m/>
    <n v="0"/>
    <x v="1"/>
    <x v="2"/>
    <n v="0"/>
    <n v="0"/>
  </r>
  <r>
    <n v="358"/>
    <d v="2026-06-01T00:00:00"/>
    <x v="357"/>
    <s v="0000339"/>
    <s v="ədəd"/>
    <n v="1"/>
    <m/>
    <n v="0"/>
    <x v="1"/>
    <x v="2"/>
    <n v="0"/>
    <n v="0"/>
  </r>
  <r>
    <n v="359"/>
    <d v="2026-06-01T00:00:00"/>
    <x v="358"/>
    <s v="0000340"/>
    <s v="ədəd"/>
    <n v="1"/>
    <m/>
    <n v="0"/>
    <x v="1"/>
    <x v="2"/>
    <n v="0"/>
    <n v="0"/>
  </r>
  <r>
    <n v="360"/>
    <d v="2026-06-01T00:00:00"/>
    <x v="359"/>
    <s v="0000341"/>
    <s v="ədəd"/>
    <n v="1"/>
    <m/>
    <n v="0"/>
    <x v="1"/>
    <x v="2"/>
    <n v="0"/>
    <n v="0"/>
  </r>
  <r>
    <n v="361"/>
    <d v="2026-06-01T00:00:00"/>
    <x v="360"/>
    <s v="0000342"/>
    <s v="ədəd"/>
    <n v="1"/>
    <m/>
    <n v="0"/>
    <x v="1"/>
    <x v="2"/>
    <n v="0"/>
    <n v="0"/>
  </r>
  <r>
    <n v="362"/>
    <d v="2026-06-01T00:00:00"/>
    <x v="361"/>
    <s v="0000343"/>
    <s v="ədəd"/>
    <n v="1"/>
    <m/>
    <n v="0"/>
    <x v="1"/>
    <x v="2"/>
    <n v="0"/>
    <n v="0"/>
  </r>
  <r>
    <n v="363"/>
    <d v="2026-06-01T00:00:00"/>
    <x v="362"/>
    <s v="0000344"/>
    <s v="ədəd"/>
    <n v="1"/>
    <m/>
    <n v="0"/>
    <x v="1"/>
    <x v="2"/>
    <n v="0"/>
    <n v="0"/>
  </r>
  <r>
    <n v="364"/>
    <d v="2026-06-01T00:00:00"/>
    <x v="363"/>
    <s v="0000345"/>
    <s v="ədəd"/>
    <n v="2"/>
    <m/>
    <n v="0"/>
    <x v="1"/>
    <x v="2"/>
    <n v="0"/>
    <n v="0"/>
  </r>
  <r>
    <n v="365"/>
    <d v="2026-06-01T00:00:00"/>
    <x v="364"/>
    <s v="0000346"/>
    <s v="ədəd"/>
    <n v="23"/>
    <m/>
    <n v="0"/>
    <x v="1"/>
    <x v="2"/>
    <n v="0"/>
    <n v="0"/>
  </r>
  <r>
    <n v="366"/>
    <d v="2026-06-01T00:00:00"/>
    <x v="365"/>
    <s v="0000347"/>
    <s v="ədəd"/>
    <n v="2"/>
    <m/>
    <n v="0"/>
    <x v="1"/>
    <x v="2"/>
    <n v="0"/>
    <n v="0"/>
  </r>
  <r>
    <n v="367"/>
    <d v="2026-06-01T00:00:00"/>
    <x v="366"/>
    <s v="0000348"/>
    <s v="ədəd"/>
    <n v="1"/>
    <m/>
    <n v="0"/>
    <x v="1"/>
    <x v="2"/>
    <n v="0"/>
    <n v="0"/>
  </r>
  <r>
    <n v="368"/>
    <d v="2026-06-01T00:00:00"/>
    <x v="367"/>
    <s v="0000349"/>
    <s v="ədəd"/>
    <n v="1"/>
    <m/>
    <n v="0"/>
    <x v="1"/>
    <x v="2"/>
    <n v="0"/>
    <n v="0"/>
  </r>
  <r>
    <n v="369"/>
    <d v="2026-06-01T00:00:00"/>
    <x v="368"/>
    <s v="0000350"/>
    <s v="ədəd"/>
    <n v="2"/>
    <m/>
    <n v="0"/>
    <x v="1"/>
    <x v="2"/>
    <n v="0"/>
    <n v="0"/>
  </r>
  <r>
    <n v="370"/>
    <d v="2026-06-01T00:00:00"/>
    <x v="369"/>
    <s v="0000351"/>
    <s v="ədəd"/>
    <n v="1"/>
    <m/>
    <n v="0"/>
    <x v="1"/>
    <x v="2"/>
    <n v="0"/>
    <n v="0"/>
  </r>
  <r>
    <n v="371"/>
    <d v="2026-06-01T00:00:00"/>
    <x v="370"/>
    <s v="0000352"/>
    <s v="ədəd"/>
    <n v="3"/>
    <m/>
    <n v="0"/>
    <x v="1"/>
    <x v="2"/>
    <n v="0"/>
    <n v="0"/>
  </r>
  <r>
    <n v="372"/>
    <d v="2026-06-01T00:00:00"/>
    <x v="371"/>
    <s v="0000353"/>
    <s v="ədəd"/>
    <n v="1"/>
    <m/>
    <n v="0"/>
    <x v="1"/>
    <x v="2"/>
    <n v="0"/>
    <n v="0"/>
  </r>
  <r>
    <n v="373"/>
    <d v="2026-06-01T00:00:00"/>
    <x v="372"/>
    <s v="0000354"/>
    <s v="ədəd"/>
    <n v="2"/>
    <m/>
    <n v="0"/>
    <x v="1"/>
    <x v="2"/>
    <n v="0"/>
    <n v="0"/>
  </r>
  <r>
    <n v="374"/>
    <d v="2026-06-01T00:00:00"/>
    <x v="373"/>
    <s v="0000355"/>
    <s v="ədəd"/>
    <n v="1"/>
    <m/>
    <n v="0"/>
    <x v="1"/>
    <x v="2"/>
    <n v="0"/>
    <n v="0"/>
  </r>
  <r>
    <n v="375"/>
    <d v="2026-06-01T00:00:00"/>
    <x v="374"/>
    <s v="0000356"/>
    <s v="ədəd"/>
    <n v="1"/>
    <m/>
    <n v="0"/>
    <x v="1"/>
    <x v="2"/>
    <n v="0"/>
    <n v="0"/>
  </r>
  <r>
    <n v="376"/>
    <d v="2026-06-01T00:00:00"/>
    <x v="375"/>
    <s v="0000357"/>
    <s v="cüt"/>
    <n v="10"/>
    <m/>
    <n v="0"/>
    <x v="1"/>
    <x v="2"/>
    <n v="0"/>
    <n v="0"/>
  </r>
  <r>
    <n v="377"/>
    <d v="2026-06-01T00:00:00"/>
    <x v="376"/>
    <s v="0000358"/>
    <s v="ədəd"/>
    <n v="18"/>
    <m/>
    <n v="0"/>
    <x v="1"/>
    <x v="2"/>
    <n v="0"/>
    <n v="0"/>
  </r>
  <r>
    <n v="378"/>
    <d v="2026-06-01T00:00:00"/>
    <x v="377"/>
    <s v="0000359"/>
    <s v="ədəd"/>
    <n v="2"/>
    <m/>
    <n v="0"/>
    <x v="1"/>
    <x v="2"/>
    <n v="0"/>
    <n v="0"/>
  </r>
  <r>
    <n v="379"/>
    <d v="2026-06-01T00:00:00"/>
    <x v="378"/>
    <s v="0000360"/>
    <s v="ədəd"/>
    <n v="15"/>
    <m/>
    <n v="0"/>
    <x v="1"/>
    <x v="2"/>
    <n v="0"/>
    <n v="0"/>
  </r>
  <r>
    <n v="380"/>
    <d v="2026-06-01T00:00:00"/>
    <x v="379"/>
    <s v="0000361"/>
    <s v="metr"/>
    <n v="10"/>
    <m/>
    <n v="0"/>
    <x v="1"/>
    <x v="2"/>
    <n v="0"/>
    <n v="0"/>
  </r>
  <r>
    <n v="381"/>
    <d v="2026-06-01T00:00:00"/>
    <x v="380"/>
    <s v="0000362"/>
    <s v="ədəd"/>
    <n v="1"/>
    <m/>
    <n v="0"/>
    <x v="1"/>
    <x v="2"/>
    <n v="0"/>
    <n v="0"/>
  </r>
  <r>
    <n v="382"/>
    <d v="2026-06-01T00:00:00"/>
    <x v="381"/>
    <s v="0000363"/>
    <s v="ədəd"/>
    <n v="2"/>
    <m/>
    <n v="0"/>
    <x v="1"/>
    <x v="2"/>
    <n v="0"/>
    <n v="0"/>
  </r>
  <r>
    <n v="383"/>
    <d v="2026-06-01T00:00:00"/>
    <x v="382"/>
    <s v="0000364"/>
    <s v="ədəd"/>
    <n v="1"/>
    <m/>
    <n v="0"/>
    <x v="1"/>
    <x v="2"/>
    <n v="0"/>
    <n v="0"/>
  </r>
  <r>
    <n v="384"/>
    <d v="2026-06-01T00:00:00"/>
    <x v="383"/>
    <s v="0000365"/>
    <s v="ədəd"/>
    <n v="3"/>
    <m/>
    <n v="0"/>
    <x v="1"/>
    <x v="2"/>
    <n v="0"/>
    <n v="0"/>
  </r>
  <r>
    <n v="385"/>
    <d v="2026-06-01T00:00:00"/>
    <x v="384"/>
    <s v="0000366"/>
    <s v="ədəd"/>
    <n v="1"/>
    <m/>
    <n v="0"/>
    <x v="1"/>
    <x v="2"/>
    <n v="0"/>
    <n v="0"/>
  </r>
  <r>
    <n v="386"/>
    <d v="2026-06-01T00:00:00"/>
    <x v="385"/>
    <s v="0000367"/>
    <s v="ədəd"/>
    <n v="4"/>
    <m/>
    <n v="0"/>
    <x v="1"/>
    <x v="2"/>
    <n v="0"/>
    <n v="0"/>
  </r>
  <r>
    <n v="387"/>
    <d v="2026-06-01T00:00:00"/>
    <x v="386"/>
    <s v="0000368"/>
    <s v="ədəd"/>
    <n v="23"/>
    <m/>
    <n v="0"/>
    <x v="1"/>
    <x v="2"/>
    <n v="0"/>
    <n v="0"/>
  </r>
  <r>
    <n v="388"/>
    <d v="2026-06-01T00:00:00"/>
    <x v="387"/>
    <s v="0000369"/>
    <s v="ədəd"/>
    <n v="17"/>
    <m/>
    <n v="0"/>
    <x v="1"/>
    <x v="2"/>
    <n v="0"/>
    <n v="0"/>
  </r>
  <r>
    <n v="389"/>
    <d v="2026-06-01T00:00:00"/>
    <x v="388"/>
    <s v="0000370"/>
    <s v="ədəd"/>
    <n v="1"/>
    <m/>
    <n v="0"/>
    <x v="1"/>
    <x v="2"/>
    <n v="0"/>
    <n v="0"/>
  </r>
  <r>
    <n v="390"/>
    <d v="2026-06-01T00:00:00"/>
    <x v="389"/>
    <s v="0000371"/>
    <s v="ədəd"/>
    <n v="1"/>
    <m/>
    <n v="0"/>
    <x v="1"/>
    <x v="2"/>
    <n v="0"/>
    <n v="0"/>
  </r>
  <r>
    <n v="391"/>
    <d v="2026-06-01T00:00:00"/>
    <x v="390"/>
    <s v="0000372"/>
    <s v="ədəd"/>
    <n v="9"/>
    <m/>
    <n v="0"/>
    <x v="1"/>
    <x v="2"/>
    <n v="0"/>
    <n v="0"/>
  </r>
  <r>
    <n v="392"/>
    <d v="2026-06-01T00:00:00"/>
    <x v="391"/>
    <s v="0000373"/>
    <s v="ədəd"/>
    <n v="1"/>
    <m/>
    <n v="0"/>
    <x v="1"/>
    <x v="2"/>
    <n v="0"/>
    <n v="0"/>
  </r>
  <r>
    <n v="393"/>
    <d v="2026-06-01T00:00:00"/>
    <x v="392"/>
    <s v="0000374"/>
    <s v="ədəd"/>
    <n v="4"/>
    <m/>
    <n v="0"/>
    <x v="1"/>
    <x v="2"/>
    <n v="0"/>
    <n v="0"/>
  </r>
  <r>
    <n v="394"/>
    <d v="2026-06-01T00:00:00"/>
    <x v="393"/>
    <s v="0000375"/>
    <s v="ədəd"/>
    <n v="11"/>
    <m/>
    <n v="0"/>
    <x v="1"/>
    <x v="2"/>
    <n v="0"/>
    <n v="0"/>
  </r>
  <r>
    <n v="395"/>
    <d v="2026-06-01T00:00:00"/>
    <x v="394"/>
    <s v="0000376"/>
    <s v="ədəd"/>
    <n v="2"/>
    <m/>
    <n v="0"/>
    <x v="1"/>
    <x v="2"/>
    <n v="0"/>
    <n v="0"/>
  </r>
  <r>
    <n v="396"/>
    <d v="2026-06-01T00:00:00"/>
    <x v="395"/>
    <s v="0000377"/>
    <s v="ədəd"/>
    <n v="3"/>
    <m/>
    <n v="0"/>
    <x v="1"/>
    <x v="2"/>
    <n v="0"/>
    <n v="0"/>
  </r>
  <r>
    <n v="397"/>
    <d v="2026-06-01T00:00:00"/>
    <x v="396"/>
    <s v="0000378"/>
    <s v="ədəd"/>
    <n v="3"/>
    <m/>
    <n v="0"/>
    <x v="1"/>
    <x v="2"/>
    <n v="0"/>
    <n v="0"/>
  </r>
  <r>
    <n v="398"/>
    <d v="2026-06-01T00:00:00"/>
    <x v="397"/>
    <s v="0000379"/>
    <s v="ədəd"/>
    <n v="4"/>
    <m/>
    <n v="0"/>
    <x v="1"/>
    <x v="2"/>
    <n v="0"/>
    <n v="0"/>
  </r>
  <r>
    <n v="399"/>
    <d v="2026-06-01T00:00:00"/>
    <x v="398"/>
    <s v="0000380"/>
    <s v="ədəd"/>
    <n v="1"/>
    <m/>
    <n v="0"/>
    <x v="1"/>
    <x v="2"/>
    <n v="0"/>
    <n v="0"/>
  </r>
  <r>
    <n v="400"/>
    <d v="2026-06-01T00:00:00"/>
    <x v="399"/>
    <s v="0000381"/>
    <s v="dəst"/>
    <n v="19"/>
    <m/>
    <n v="0"/>
    <x v="1"/>
    <x v="2"/>
    <n v="0"/>
    <n v="0"/>
  </r>
  <r>
    <n v="401"/>
    <d v="2026-06-01T00:00:00"/>
    <x v="400"/>
    <s v="0000382"/>
    <s v="ədəd"/>
    <n v="53"/>
    <m/>
    <n v="0"/>
    <x v="1"/>
    <x v="2"/>
    <n v="0"/>
    <n v="0"/>
  </r>
  <r>
    <n v="402"/>
    <d v="2026-06-01T00:00:00"/>
    <x v="401"/>
    <s v="0000383"/>
    <s v="ədəd"/>
    <n v="86"/>
    <m/>
    <n v="0"/>
    <x v="1"/>
    <x v="2"/>
    <n v="0"/>
    <n v="0"/>
  </r>
  <r>
    <n v="403"/>
    <d v="2026-06-01T00:00:00"/>
    <x v="402"/>
    <s v="0000384"/>
    <s v="ədəd"/>
    <n v="15"/>
    <m/>
    <n v="0"/>
    <x v="1"/>
    <x v="2"/>
    <n v="0"/>
    <n v="0"/>
  </r>
  <r>
    <n v="404"/>
    <d v="2026-06-01T00:00:00"/>
    <x v="403"/>
    <s v="0000385"/>
    <s v="ədəd"/>
    <n v="1"/>
    <m/>
    <n v="0"/>
    <x v="1"/>
    <x v="2"/>
    <n v="0"/>
    <n v="0"/>
  </r>
  <r>
    <n v="405"/>
    <d v="2026-06-01T00:00:00"/>
    <x v="404"/>
    <s v="0000386"/>
    <s v="ədəd"/>
    <n v="6"/>
    <m/>
    <n v="0"/>
    <x v="1"/>
    <x v="2"/>
    <n v="0"/>
    <n v="0"/>
  </r>
  <r>
    <n v="406"/>
    <d v="2026-06-01T00:00:00"/>
    <x v="405"/>
    <s v="0000387"/>
    <s v="ədəd"/>
    <n v="2"/>
    <m/>
    <n v="0"/>
    <x v="1"/>
    <x v="2"/>
    <n v="0"/>
    <n v="0"/>
  </r>
  <r>
    <n v="407"/>
    <d v="2026-06-01T00:00:00"/>
    <x v="406"/>
    <s v="0000388"/>
    <s v="ədəd"/>
    <n v="4"/>
    <m/>
    <n v="0"/>
    <x v="1"/>
    <x v="2"/>
    <n v="0"/>
    <n v="0"/>
  </r>
  <r>
    <n v="408"/>
    <d v="2026-06-01T00:00:00"/>
    <x v="407"/>
    <s v="0000389"/>
    <s v="ədəd"/>
    <n v="1"/>
    <m/>
    <n v="0"/>
    <x v="1"/>
    <x v="2"/>
    <n v="0"/>
    <n v="0"/>
  </r>
  <r>
    <n v="409"/>
    <d v="2026-06-01T00:00:00"/>
    <x v="408"/>
    <s v="0000390"/>
    <s v="ədəd"/>
    <n v="1"/>
    <m/>
    <n v="0"/>
    <x v="1"/>
    <x v="2"/>
    <n v="0"/>
    <n v="0"/>
  </r>
  <r>
    <n v="410"/>
    <d v="2026-06-01T00:00:00"/>
    <x v="409"/>
    <s v="0000391"/>
    <s v="ədəd"/>
    <n v="1"/>
    <m/>
    <n v="0"/>
    <x v="1"/>
    <x v="2"/>
    <n v="0"/>
    <n v="0"/>
  </r>
  <r>
    <n v="411"/>
    <d v="2026-06-01T00:00:00"/>
    <x v="410"/>
    <s v="0000392"/>
    <s v="ədəd"/>
    <n v="1"/>
    <m/>
    <n v="0"/>
    <x v="1"/>
    <x v="2"/>
    <n v="0"/>
    <n v="0"/>
  </r>
  <r>
    <n v="412"/>
    <d v="2026-06-01T00:00:00"/>
    <x v="411"/>
    <s v="0000393"/>
    <s v="ədəd"/>
    <n v="1"/>
    <m/>
    <n v="0"/>
    <x v="1"/>
    <x v="2"/>
    <n v="0"/>
    <n v="0"/>
  </r>
  <r>
    <n v="413"/>
    <d v="2026-06-01T00:00:00"/>
    <x v="412"/>
    <s v="0000394"/>
    <s v="ədəd"/>
    <n v="2"/>
    <m/>
    <n v="0"/>
    <x v="1"/>
    <x v="2"/>
    <n v="0"/>
    <n v="0"/>
  </r>
  <r>
    <n v="414"/>
    <d v="2026-06-01T00:00:00"/>
    <x v="413"/>
    <s v="0000395"/>
    <s v="ədəd"/>
    <n v="10"/>
    <m/>
    <n v="0"/>
    <x v="1"/>
    <x v="2"/>
    <n v="0"/>
    <n v="0"/>
  </r>
  <r>
    <n v="415"/>
    <d v="2026-06-01T00:00:00"/>
    <x v="414"/>
    <s v="0000396"/>
    <s v="ədəd"/>
    <n v="2"/>
    <m/>
    <n v="0"/>
    <x v="1"/>
    <x v="2"/>
    <n v="0"/>
    <n v="0"/>
  </r>
  <r>
    <n v="416"/>
    <d v="2026-06-01T00:00:00"/>
    <x v="415"/>
    <s v="0000397"/>
    <s v="ədəd"/>
    <n v="1"/>
    <m/>
    <n v="0"/>
    <x v="1"/>
    <x v="2"/>
    <n v="0"/>
    <n v="0"/>
  </r>
  <r>
    <n v="417"/>
    <d v="2026-06-01T00:00:00"/>
    <x v="416"/>
    <s v="0000398"/>
    <s v="ədəd"/>
    <n v="1"/>
    <m/>
    <n v="0"/>
    <x v="1"/>
    <x v="2"/>
    <n v="0"/>
    <n v="0"/>
  </r>
  <r>
    <n v="418"/>
    <d v="2026-06-01T00:00:00"/>
    <x v="417"/>
    <s v="0000399"/>
    <s v="ədəd"/>
    <n v="1"/>
    <m/>
    <n v="0"/>
    <x v="1"/>
    <x v="2"/>
    <n v="0"/>
    <n v="0"/>
  </r>
  <r>
    <n v="419"/>
    <d v="2026-06-01T00:00:00"/>
    <x v="418"/>
    <s v="0000400"/>
    <s v="ədəd"/>
    <n v="1"/>
    <m/>
    <n v="0"/>
    <x v="1"/>
    <x v="2"/>
    <n v="0"/>
    <n v="0"/>
  </r>
  <r>
    <n v="420"/>
    <d v="2026-06-01T00:00:00"/>
    <x v="419"/>
    <s v="0000401"/>
    <s v="ədəd"/>
    <n v="1"/>
    <m/>
    <n v="0"/>
    <x v="1"/>
    <x v="2"/>
    <n v="0"/>
    <n v="0"/>
  </r>
  <r>
    <n v="421"/>
    <d v="2026-06-01T00:00:00"/>
    <x v="420"/>
    <s v="0000402"/>
    <s v="ədəd"/>
    <n v="1"/>
    <m/>
    <n v="0"/>
    <x v="1"/>
    <x v="2"/>
    <n v="0"/>
    <n v="0"/>
  </r>
  <r>
    <n v="422"/>
    <d v="2026-06-01T00:00:00"/>
    <x v="421"/>
    <s v="0000403"/>
    <s v="ədəd"/>
    <n v="1"/>
    <m/>
    <n v="0"/>
    <x v="1"/>
    <x v="2"/>
    <n v="0"/>
    <n v="0"/>
  </r>
  <r>
    <n v="423"/>
    <d v="2026-06-01T00:00:00"/>
    <x v="422"/>
    <s v="0000404"/>
    <s v="ədəd"/>
    <n v="1"/>
    <m/>
    <n v="0"/>
    <x v="1"/>
    <x v="2"/>
    <n v="0"/>
    <n v="0"/>
  </r>
  <r>
    <n v="424"/>
    <d v="2026-06-01T00:00:00"/>
    <x v="423"/>
    <s v="0000405"/>
    <s v="ədəd"/>
    <n v="1"/>
    <m/>
    <n v="0"/>
    <x v="1"/>
    <x v="2"/>
    <n v="0"/>
    <n v="0"/>
  </r>
  <r>
    <n v="425"/>
    <d v="2026-06-01T00:00:00"/>
    <x v="424"/>
    <s v="0000406"/>
    <s v="metr"/>
    <n v="115"/>
    <m/>
    <n v="0"/>
    <x v="1"/>
    <x v="2"/>
    <n v="0"/>
    <n v="0"/>
  </r>
  <r>
    <n v="426"/>
    <d v="2026-06-01T00:00:00"/>
    <x v="425"/>
    <s v="0000407"/>
    <s v="dəst"/>
    <n v="1"/>
    <m/>
    <n v="0"/>
    <x v="1"/>
    <x v="2"/>
    <n v="0"/>
    <n v="0"/>
  </r>
  <r>
    <n v="427"/>
    <d v="2026-06-01T00:00:00"/>
    <x v="426"/>
    <s v="0000408"/>
    <s v="ədəd"/>
    <n v="1"/>
    <m/>
    <n v="0"/>
    <x v="1"/>
    <x v="2"/>
    <n v="0"/>
    <n v="0"/>
  </r>
  <r>
    <n v="428"/>
    <d v="2026-06-01T00:00:00"/>
    <x v="427"/>
    <s v="0000409"/>
    <s v="paçka"/>
    <n v="1"/>
    <m/>
    <n v="0"/>
    <x v="1"/>
    <x v="2"/>
    <n v="0"/>
    <n v="0"/>
  </r>
  <r>
    <n v="429"/>
    <d v="2026-06-01T00:00:00"/>
    <x v="428"/>
    <s v="0000410"/>
    <s v="paçka"/>
    <n v="1"/>
    <m/>
    <n v="0"/>
    <x v="1"/>
    <x v="2"/>
    <n v="0"/>
    <n v="0"/>
  </r>
  <r>
    <n v="430"/>
    <d v="2026-06-01T00:00:00"/>
    <x v="429"/>
    <s v="0000411"/>
    <s v="ədəd"/>
    <n v="1"/>
    <m/>
    <n v="0"/>
    <x v="1"/>
    <x v="2"/>
    <n v="0"/>
    <n v="0"/>
  </r>
  <r>
    <n v="431"/>
    <d v="2026-06-01T00:00:00"/>
    <x v="430"/>
    <s v="0000412"/>
    <s v="dəst"/>
    <n v="65"/>
    <m/>
    <n v="0"/>
    <x v="1"/>
    <x v="2"/>
    <n v="0"/>
    <n v="0"/>
  </r>
  <r>
    <n v="432"/>
    <d v="2026-06-01T00:00:00"/>
    <x v="431"/>
    <s v="0000413"/>
    <s v="ədəd"/>
    <n v="2"/>
    <m/>
    <n v="0"/>
    <x v="1"/>
    <x v="2"/>
    <n v="0"/>
    <n v="0"/>
  </r>
  <r>
    <n v="433"/>
    <d v="2026-06-01T00:00:00"/>
    <x v="432"/>
    <s v="0000414"/>
    <s v="ədəd"/>
    <n v="1"/>
    <m/>
    <n v="0"/>
    <x v="1"/>
    <x v="2"/>
    <n v="0"/>
    <n v="0"/>
  </r>
  <r>
    <n v="434"/>
    <d v="2026-06-01T00:00:00"/>
    <x v="433"/>
    <s v="0000415"/>
    <s v="ədəd"/>
    <n v="2"/>
    <m/>
    <n v="0"/>
    <x v="1"/>
    <x v="2"/>
    <n v="0"/>
    <n v="0"/>
  </r>
  <r>
    <n v="435"/>
    <d v="2026-06-01T00:00:00"/>
    <x v="434"/>
    <s v="0000416"/>
    <s v="ədəd"/>
    <n v="77"/>
    <m/>
    <n v="0"/>
    <x v="1"/>
    <x v="2"/>
    <n v="0"/>
    <n v="0"/>
  </r>
  <r>
    <n v="436"/>
    <d v="2026-06-01T00:00:00"/>
    <x v="435"/>
    <s v="0000417"/>
    <s v="ədəd"/>
    <n v="10"/>
    <m/>
    <n v="0"/>
    <x v="1"/>
    <x v="2"/>
    <n v="0"/>
    <n v="0"/>
  </r>
  <r>
    <n v="437"/>
    <d v="2026-06-01T00:00:00"/>
    <x v="436"/>
    <s v="0000418"/>
    <s v="ədəd"/>
    <n v="293"/>
    <m/>
    <n v="0"/>
    <x v="1"/>
    <x v="2"/>
    <n v="0"/>
    <n v="0"/>
  </r>
  <r>
    <n v="438"/>
    <d v="2026-06-01T00:00:00"/>
    <x v="437"/>
    <s v="0000419"/>
    <s v="rulon"/>
    <n v="3"/>
    <m/>
    <n v="0"/>
    <x v="1"/>
    <x v="2"/>
    <n v="0"/>
    <n v="0"/>
  </r>
  <r>
    <n v="439"/>
    <d v="2026-06-01T00:00:00"/>
    <x v="438"/>
    <s v="0000420"/>
    <s v="ədəd"/>
    <n v="8"/>
    <m/>
    <n v="0"/>
    <x v="1"/>
    <x v="2"/>
    <n v="0"/>
    <n v="0"/>
  </r>
  <r>
    <n v="440"/>
    <d v="2026-06-01T00:00:00"/>
    <x v="439"/>
    <s v="0000421"/>
    <s v="kisə"/>
    <n v="1"/>
    <m/>
    <n v="0"/>
    <x v="1"/>
    <x v="2"/>
    <n v="0"/>
    <n v="0"/>
  </r>
  <r>
    <n v="441"/>
    <d v="2026-06-01T00:00:00"/>
    <x v="440"/>
    <s v="0000422"/>
    <s v="ədəd"/>
    <n v="2"/>
    <m/>
    <n v="0"/>
    <x v="1"/>
    <x v="2"/>
    <n v="0"/>
    <n v="0"/>
  </r>
  <r>
    <n v="442"/>
    <d v="2026-06-01T00:00:00"/>
    <x v="441"/>
    <s v="0000423"/>
    <s v="ədəd"/>
    <n v="1"/>
    <m/>
    <n v="0"/>
    <x v="1"/>
    <x v="2"/>
    <n v="0"/>
    <n v="0"/>
  </r>
  <r>
    <n v="443"/>
    <d v="2026-06-01T00:00:00"/>
    <x v="442"/>
    <s v="0000424"/>
    <s v="ədəd"/>
    <n v="2"/>
    <m/>
    <n v="0"/>
    <x v="1"/>
    <x v="2"/>
    <n v="0"/>
    <n v="0"/>
  </r>
  <r>
    <n v="444"/>
    <d v="2026-06-01T00:00:00"/>
    <x v="443"/>
    <s v="0000425"/>
    <s v="ədəd"/>
    <n v="1"/>
    <m/>
    <n v="0"/>
    <x v="1"/>
    <x v="2"/>
    <n v="0"/>
    <n v="0"/>
  </r>
  <r>
    <n v="445"/>
    <d v="2026-06-01T00:00:00"/>
    <x v="444"/>
    <s v="0000426"/>
    <s v="ədəd"/>
    <n v="1"/>
    <m/>
    <n v="0"/>
    <x v="1"/>
    <x v="2"/>
    <n v="0"/>
    <n v="0"/>
  </r>
  <r>
    <n v="446"/>
    <d v="2026-06-01T00:00:00"/>
    <x v="445"/>
    <s v="0000427"/>
    <s v="ədəd"/>
    <n v="1"/>
    <m/>
    <n v="0"/>
    <x v="1"/>
    <x v="2"/>
    <n v="0"/>
    <n v="0"/>
  </r>
  <r>
    <n v="447"/>
    <d v="2026-06-01T00:00:00"/>
    <x v="446"/>
    <s v="0000428"/>
    <s v="ədəd"/>
    <n v="2"/>
    <m/>
    <n v="0"/>
    <x v="1"/>
    <x v="2"/>
    <n v="0"/>
    <n v="0"/>
  </r>
  <r>
    <n v="448"/>
    <d v="2026-06-01T00:00:00"/>
    <x v="447"/>
    <s v="0000429"/>
    <s v="ədəd"/>
    <n v="1"/>
    <m/>
    <n v="0"/>
    <x v="1"/>
    <x v="2"/>
    <n v="0"/>
    <n v="0"/>
  </r>
  <r>
    <n v="449"/>
    <d v="2026-06-01T00:00:00"/>
    <x v="448"/>
    <s v="0000430"/>
    <s v="ədəd"/>
    <n v="1"/>
    <m/>
    <n v="0"/>
    <x v="1"/>
    <x v="2"/>
    <n v="0"/>
    <n v="0"/>
  </r>
  <r>
    <n v="450"/>
    <d v="2026-06-01T00:00:00"/>
    <x v="449"/>
    <s v="0000431"/>
    <s v="ədəd"/>
    <n v="10"/>
    <m/>
    <n v="0"/>
    <x v="1"/>
    <x v="2"/>
    <n v="0"/>
    <n v="0"/>
  </r>
  <r>
    <n v="451"/>
    <d v="2026-06-01T00:00:00"/>
    <x v="450"/>
    <s v="0000432"/>
    <s v="ədəd"/>
    <n v="1"/>
    <m/>
    <n v="0"/>
    <x v="1"/>
    <x v="2"/>
    <n v="0"/>
    <n v="0"/>
  </r>
  <r>
    <n v="452"/>
    <d v="2026-06-01T00:00:00"/>
    <x v="451"/>
    <s v="0000433"/>
    <s v="ədəd"/>
    <n v="1"/>
    <m/>
    <n v="0"/>
    <x v="1"/>
    <x v="2"/>
    <n v="0"/>
    <n v="0"/>
  </r>
  <r>
    <n v="453"/>
    <d v="2026-06-01T00:00:00"/>
    <x v="452"/>
    <s v="0000434"/>
    <s v="ədəd"/>
    <n v="2"/>
    <m/>
    <n v="0"/>
    <x v="1"/>
    <x v="2"/>
    <n v="0"/>
    <n v="0"/>
  </r>
  <r>
    <n v="454"/>
    <d v="2026-06-01T00:00:00"/>
    <x v="453"/>
    <s v="0000435"/>
    <s v="ədəd"/>
    <n v="1"/>
    <m/>
    <n v="0"/>
    <x v="1"/>
    <x v="2"/>
    <n v="0"/>
    <n v="0"/>
  </r>
  <r>
    <n v="455"/>
    <d v="2026-06-01T00:00:00"/>
    <x v="454"/>
    <s v="0000436"/>
    <s v="ədəd"/>
    <n v="1"/>
    <m/>
    <n v="0"/>
    <x v="1"/>
    <x v="2"/>
    <n v="0"/>
    <n v="0"/>
  </r>
  <r>
    <n v="456"/>
    <d v="2026-06-01T00:00:00"/>
    <x v="455"/>
    <s v="0000437"/>
    <s v="ədəd"/>
    <n v="2"/>
    <m/>
    <n v="0"/>
    <x v="1"/>
    <x v="2"/>
    <n v="0"/>
    <n v="0"/>
  </r>
  <r>
    <n v="457"/>
    <d v="2026-06-01T00:00:00"/>
    <x v="456"/>
    <s v="0000438"/>
    <s v="ədəd"/>
    <n v="1"/>
    <m/>
    <n v="0"/>
    <x v="1"/>
    <x v="2"/>
    <n v="0"/>
    <n v="0"/>
  </r>
  <r>
    <n v="458"/>
    <d v="2026-06-01T00:00:00"/>
    <x v="457"/>
    <s v="0000439"/>
    <s v="ədəd"/>
    <n v="2"/>
    <m/>
    <n v="0"/>
    <x v="1"/>
    <x v="2"/>
    <n v="0"/>
    <n v="0"/>
  </r>
  <r>
    <n v="459"/>
    <d v="2026-06-01T00:00:00"/>
    <x v="458"/>
    <s v="0000440"/>
    <s v="ədəd"/>
    <n v="3"/>
    <m/>
    <n v="0"/>
    <x v="1"/>
    <x v="2"/>
    <n v="0"/>
    <n v="0"/>
  </r>
  <r>
    <n v="460"/>
    <d v="2026-06-01T00:00:00"/>
    <x v="459"/>
    <s v="0000441"/>
    <s v="ədəd"/>
    <n v="2"/>
    <m/>
    <n v="0"/>
    <x v="1"/>
    <x v="2"/>
    <n v="0"/>
    <n v="0"/>
  </r>
  <r>
    <n v="461"/>
    <d v="2026-06-01T00:00:00"/>
    <x v="460"/>
    <s v="0000442"/>
    <s v="ədəd"/>
    <n v="2"/>
    <m/>
    <n v="0"/>
    <x v="1"/>
    <x v="2"/>
    <n v="0"/>
    <n v="0"/>
  </r>
  <r>
    <n v="462"/>
    <d v="2026-06-01T00:00:00"/>
    <x v="461"/>
    <s v="0000443"/>
    <s v="ədəd"/>
    <n v="11"/>
    <m/>
    <n v="0"/>
    <x v="1"/>
    <x v="2"/>
    <n v="0"/>
    <n v="0"/>
  </r>
  <r>
    <n v="463"/>
    <d v="2026-06-01T00:00:00"/>
    <x v="462"/>
    <s v="0000444"/>
    <s v="ədəd"/>
    <n v="1"/>
    <m/>
    <n v="0"/>
    <x v="1"/>
    <x v="2"/>
    <n v="0"/>
    <n v="0"/>
  </r>
  <r>
    <n v="464"/>
    <d v="2026-06-01T00:00:00"/>
    <x v="463"/>
    <s v="0000445"/>
    <s v="ədəd"/>
    <n v="1"/>
    <m/>
    <n v="0"/>
    <x v="1"/>
    <x v="2"/>
    <n v="0"/>
    <n v="0"/>
  </r>
  <r>
    <n v="465"/>
    <d v="2026-06-01T00:00:00"/>
    <x v="464"/>
    <s v="0000446"/>
    <s v="ədəd"/>
    <n v="1"/>
    <m/>
    <n v="0"/>
    <x v="1"/>
    <x v="2"/>
    <n v="0"/>
    <n v="0"/>
  </r>
  <r>
    <n v="466"/>
    <d v="2026-06-01T00:00:00"/>
    <x v="465"/>
    <s v="0000447"/>
    <s v="dəst"/>
    <n v="14"/>
    <m/>
    <n v="0"/>
    <x v="1"/>
    <x v="2"/>
    <n v="0"/>
    <n v="0"/>
  </r>
  <r>
    <n v="467"/>
    <d v="2026-06-01T00:00:00"/>
    <x v="466"/>
    <s v="0000448"/>
    <s v="ədəd"/>
    <n v="12"/>
    <m/>
    <n v="0"/>
    <x v="1"/>
    <x v="2"/>
    <n v="0"/>
    <n v="0"/>
  </r>
  <r>
    <n v="468"/>
    <d v="2026-06-01T00:00:00"/>
    <x v="467"/>
    <s v="0000449"/>
    <s v="ədəd"/>
    <n v="1"/>
    <m/>
    <n v="0"/>
    <x v="1"/>
    <x v="2"/>
    <n v="0"/>
    <n v="0"/>
  </r>
  <r>
    <n v="469"/>
    <d v="2026-06-01T00:00:00"/>
    <x v="468"/>
    <s v="0000450"/>
    <s v="ədəd"/>
    <n v="1"/>
    <m/>
    <n v="0"/>
    <x v="1"/>
    <x v="2"/>
    <n v="0"/>
    <n v="0"/>
  </r>
  <r>
    <n v="470"/>
    <d v="2026-06-01T00:00:00"/>
    <x v="469"/>
    <s v="0000451"/>
    <s v="ədəd"/>
    <n v="1"/>
    <m/>
    <n v="0"/>
    <x v="1"/>
    <x v="2"/>
    <n v="0"/>
    <n v="0"/>
  </r>
  <r>
    <n v="471"/>
    <d v="2026-06-01T00:00:00"/>
    <x v="470"/>
    <s v="0000452"/>
    <s v="dəst"/>
    <n v="2"/>
    <m/>
    <n v="0"/>
    <x v="1"/>
    <x v="2"/>
    <n v="0"/>
    <n v="0"/>
  </r>
  <r>
    <n v="472"/>
    <d v="2026-06-01T00:00:00"/>
    <x v="471"/>
    <s v="0000453"/>
    <s v="metr"/>
    <n v="3.75"/>
    <m/>
    <n v="0"/>
    <x v="1"/>
    <x v="2"/>
    <n v="0"/>
    <n v="0"/>
  </r>
  <r>
    <n v="473"/>
    <d v="2026-06-01T00:00:00"/>
    <x v="472"/>
    <s v="0000454"/>
    <s v="ədəd"/>
    <n v="1"/>
    <m/>
    <n v="0"/>
    <x v="1"/>
    <x v="2"/>
    <n v="0"/>
    <n v="0"/>
  </r>
  <r>
    <n v="474"/>
    <d v="2026-06-01T00:00:00"/>
    <x v="473"/>
    <s v="0000455"/>
    <s v="ədəd"/>
    <n v="1"/>
    <m/>
    <n v="0"/>
    <x v="1"/>
    <x v="2"/>
    <n v="0"/>
    <n v="0"/>
  </r>
  <r>
    <n v="475"/>
    <d v="2026-06-01T00:00:00"/>
    <x v="474"/>
    <s v="0000456"/>
    <s v="ədəd"/>
    <n v="8"/>
    <m/>
    <n v="0"/>
    <x v="1"/>
    <x v="2"/>
    <n v="0"/>
    <n v="0"/>
  </r>
  <r>
    <n v="476"/>
    <d v="2026-06-01T00:00:00"/>
    <x v="475"/>
    <s v="0000457"/>
    <s v="ədəd"/>
    <n v="2"/>
    <m/>
    <n v="0"/>
    <x v="1"/>
    <x v="2"/>
    <n v="0"/>
    <n v="0"/>
  </r>
  <r>
    <n v="477"/>
    <d v="2026-06-01T00:00:00"/>
    <x v="476"/>
    <s v="0000458"/>
    <s v="ədəd"/>
    <n v="1"/>
    <m/>
    <n v="0"/>
    <x v="1"/>
    <x v="2"/>
    <n v="0"/>
    <n v="0"/>
  </r>
  <r>
    <n v="478"/>
    <d v="2026-06-01T00:00:00"/>
    <x v="477"/>
    <s v="0000459"/>
    <s v="ədəd"/>
    <n v="3"/>
    <m/>
    <n v="0"/>
    <x v="1"/>
    <x v="2"/>
    <n v="0"/>
    <n v="0"/>
  </r>
  <r>
    <n v="479"/>
    <d v="2026-06-01T00:00:00"/>
    <x v="478"/>
    <s v="0000460"/>
    <s v="ədəd"/>
    <n v="2"/>
    <m/>
    <n v="0"/>
    <x v="1"/>
    <x v="2"/>
    <n v="0"/>
    <n v="0"/>
  </r>
  <r>
    <n v="480"/>
    <d v="2026-06-01T00:00:00"/>
    <x v="479"/>
    <s v="0000461"/>
    <s v="ədəd"/>
    <n v="25"/>
    <m/>
    <n v="0"/>
    <x v="1"/>
    <x v="2"/>
    <n v="0"/>
    <n v="0"/>
  </r>
  <r>
    <n v="481"/>
    <d v="2026-06-01T00:00:00"/>
    <x v="480"/>
    <s v="0000462"/>
    <s v="ədəd"/>
    <n v="1"/>
    <m/>
    <n v="0"/>
    <x v="1"/>
    <x v="2"/>
    <n v="0"/>
    <n v="0"/>
  </r>
  <r>
    <n v="482"/>
    <d v="2026-06-01T00:00:00"/>
    <x v="481"/>
    <s v="0000463"/>
    <s v="ədəd"/>
    <n v="2"/>
    <m/>
    <n v="0"/>
    <x v="1"/>
    <x v="2"/>
    <n v="0"/>
    <n v="0"/>
  </r>
  <r>
    <n v="483"/>
    <d v="2026-06-01T00:00:00"/>
    <x v="482"/>
    <s v="0000464"/>
    <s v="kq"/>
    <n v="4"/>
    <m/>
    <n v="0"/>
    <x v="1"/>
    <x v="2"/>
    <n v="0"/>
    <n v="0"/>
  </r>
  <r>
    <n v="484"/>
    <d v="2026-06-01T00:00:00"/>
    <x v="483"/>
    <s v="0000465"/>
    <s v="ədəd"/>
    <n v="2"/>
    <m/>
    <n v="0"/>
    <x v="1"/>
    <x v="2"/>
    <n v="0"/>
    <n v="0"/>
  </r>
  <r>
    <n v="485"/>
    <d v="2026-06-01T00:00:00"/>
    <x v="484"/>
    <s v="0000466"/>
    <s v="qab"/>
    <n v="1"/>
    <m/>
    <n v="0"/>
    <x v="1"/>
    <x v="2"/>
    <n v="0"/>
    <n v="0"/>
  </r>
  <r>
    <n v="486"/>
    <d v="2026-06-01T00:00:00"/>
    <x v="485"/>
    <s v="0000467"/>
    <s v="ədəd"/>
    <n v="1"/>
    <m/>
    <n v="0"/>
    <x v="1"/>
    <x v="2"/>
    <n v="0"/>
    <n v="0"/>
  </r>
  <r>
    <n v="487"/>
    <d v="2026-06-01T00:00:00"/>
    <x v="486"/>
    <s v="0000468"/>
    <s v="ədəd"/>
    <n v="1"/>
    <m/>
    <n v="0"/>
    <x v="1"/>
    <x v="2"/>
    <n v="0"/>
    <n v="0"/>
  </r>
  <r>
    <n v="488"/>
    <d v="2026-06-01T00:00:00"/>
    <x v="487"/>
    <s v="0000469"/>
    <s v="ədəd"/>
    <n v="1"/>
    <m/>
    <n v="0"/>
    <x v="1"/>
    <x v="2"/>
    <n v="0"/>
    <n v="0"/>
  </r>
  <r>
    <n v="489"/>
    <d v="2026-06-01T00:00:00"/>
    <x v="488"/>
    <s v="0000470"/>
    <s v="ədəd"/>
    <n v="1"/>
    <m/>
    <n v="0"/>
    <x v="1"/>
    <x v="2"/>
    <n v="0"/>
    <n v="0"/>
  </r>
  <r>
    <n v="490"/>
    <d v="2026-06-01T00:00:00"/>
    <x v="489"/>
    <s v="0000471"/>
    <s v="ədəd"/>
    <n v="2"/>
    <m/>
    <n v="0"/>
    <x v="1"/>
    <x v="2"/>
    <n v="0"/>
    <n v="0"/>
  </r>
  <r>
    <n v="491"/>
    <d v="2026-06-01T00:00:00"/>
    <x v="490"/>
    <s v="0000472"/>
    <s v="ədəd"/>
    <n v="3"/>
    <m/>
    <n v="0"/>
    <x v="1"/>
    <x v="2"/>
    <n v="0"/>
    <n v="0"/>
  </r>
  <r>
    <n v="492"/>
    <d v="2026-06-01T00:00:00"/>
    <x v="491"/>
    <s v="0000473"/>
    <s v="ədəd"/>
    <n v="2"/>
    <m/>
    <n v="0"/>
    <x v="1"/>
    <x v="2"/>
    <n v="0"/>
    <n v="0"/>
  </r>
  <r>
    <n v="493"/>
    <d v="2026-06-01T00:00:00"/>
    <x v="492"/>
    <s v="0000474"/>
    <s v="ədəd"/>
    <n v="1"/>
    <m/>
    <n v="0"/>
    <x v="1"/>
    <x v="2"/>
    <n v="0"/>
    <n v="0"/>
  </r>
  <r>
    <n v="494"/>
    <d v="2026-06-01T00:00:00"/>
    <x v="493"/>
    <s v="0000475"/>
    <s v="ədəd"/>
    <n v="1"/>
    <m/>
    <n v="0"/>
    <x v="1"/>
    <x v="2"/>
    <n v="0"/>
    <n v="0"/>
  </r>
  <r>
    <n v="495"/>
    <d v="2026-06-01T00:00:00"/>
    <x v="494"/>
    <s v="0000476"/>
    <s v="ədəd"/>
    <n v="1"/>
    <m/>
    <n v="0"/>
    <x v="1"/>
    <x v="2"/>
    <n v="0"/>
    <n v="0"/>
  </r>
  <r>
    <n v="496"/>
    <d v="2026-06-01T00:00:00"/>
    <x v="495"/>
    <s v="0000477"/>
    <s v="ədəd"/>
    <n v="1"/>
    <m/>
    <n v="0"/>
    <x v="1"/>
    <x v="2"/>
    <n v="0"/>
    <n v="0"/>
  </r>
  <r>
    <n v="497"/>
    <d v="2026-06-01T00:00:00"/>
    <x v="496"/>
    <s v="0000478"/>
    <s v="ədəd"/>
    <n v="2"/>
    <m/>
    <n v="0"/>
    <x v="1"/>
    <x v="2"/>
    <n v="0"/>
    <n v="0"/>
  </r>
  <r>
    <n v="498"/>
    <d v="2026-06-01T00:00:00"/>
    <x v="497"/>
    <s v="0000479"/>
    <s v="ədəd"/>
    <n v="1"/>
    <m/>
    <n v="0"/>
    <x v="1"/>
    <x v="2"/>
    <n v="0"/>
    <n v="0"/>
  </r>
  <r>
    <n v="499"/>
    <d v="2026-06-01T00:00:00"/>
    <x v="498"/>
    <s v="0000480"/>
    <s v="ədəd"/>
    <n v="1"/>
    <m/>
    <n v="0"/>
    <x v="1"/>
    <x v="2"/>
    <n v="0"/>
    <n v="0"/>
  </r>
  <r>
    <n v="500"/>
    <d v="2026-06-01T00:00:00"/>
    <x v="499"/>
    <s v="0000481"/>
    <s v="ədəd"/>
    <n v="1"/>
    <m/>
    <n v="0"/>
    <x v="1"/>
    <x v="2"/>
    <n v="0"/>
    <n v="0"/>
  </r>
  <r>
    <n v="501"/>
    <d v="2026-06-01T00:00:00"/>
    <x v="500"/>
    <s v="0000482"/>
    <s v="ədəd"/>
    <n v="2"/>
    <m/>
    <n v="0"/>
    <x v="1"/>
    <x v="2"/>
    <n v="0"/>
    <n v="0"/>
  </r>
  <r>
    <n v="502"/>
    <d v="2026-06-01T00:00:00"/>
    <x v="501"/>
    <s v="0000483"/>
    <s v="ədəd"/>
    <n v="1"/>
    <m/>
    <n v="0"/>
    <x v="1"/>
    <x v="2"/>
    <n v="0"/>
    <n v="0"/>
  </r>
  <r>
    <n v="503"/>
    <d v="2026-06-01T00:00:00"/>
    <x v="502"/>
    <s v="0000484"/>
    <s v="ədəd"/>
    <n v="29"/>
    <m/>
    <n v="0"/>
    <x v="1"/>
    <x v="2"/>
    <n v="0"/>
    <n v="0"/>
  </r>
  <r>
    <n v="504"/>
    <d v="2026-06-01T00:00:00"/>
    <x v="503"/>
    <s v="0000485"/>
    <s v="ədəd"/>
    <n v="1"/>
    <m/>
    <n v="0"/>
    <x v="1"/>
    <x v="2"/>
    <n v="0"/>
    <n v="0"/>
  </r>
  <r>
    <n v="505"/>
    <d v="2026-06-01T00:00:00"/>
    <x v="504"/>
    <s v="0000486"/>
    <s v="ədəd"/>
    <n v="1"/>
    <m/>
    <n v="0"/>
    <x v="1"/>
    <x v="2"/>
    <n v="0"/>
    <n v="0"/>
  </r>
  <r>
    <n v="506"/>
    <d v="2026-06-01T00:00:00"/>
    <x v="505"/>
    <s v="0000487"/>
    <s v="ədəd"/>
    <n v="6"/>
    <m/>
    <n v="0"/>
    <x v="1"/>
    <x v="2"/>
    <n v="0"/>
    <n v="0"/>
  </r>
  <r>
    <n v="507"/>
    <d v="2026-06-01T00:00:00"/>
    <x v="506"/>
    <s v="0000488"/>
    <s v="ədəd"/>
    <n v="22"/>
    <m/>
    <n v="0"/>
    <x v="1"/>
    <x v="2"/>
    <n v="0"/>
    <n v="0"/>
  </r>
  <r>
    <n v="508"/>
    <d v="2026-06-01T00:00:00"/>
    <x v="507"/>
    <s v="0000489"/>
    <s v="ədəd"/>
    <n v="4"/>
    <m/>
    <n v="0"/>
    <x v="1"/>
    <x v="2"/>
    <n v="0"/>
    <n v="0"/>
  </r>
  <r>
    <n v="509"/>
    <d v="2026-06-01T00:00:00"/>
    <x v="508"/>
    <s v="0000490"/>
    <s v="ədəd"/>
    <n v="9"/>
    <m/>
    <n v="0"/>
    <x v="1"/>
    <x v="2"/>
    <n v="0"/>
    <n v="0"/>
  </r>
  <r>
    <n v="510"/>
    <d v="2026-06-01T00:00:00"/>
    <x v="509"/>
    <s v="0000491"/>
    <s v="ədəd"/>
    <n v="1"/>
    <m/>
    <n v="0"/>
    <x v="1"/>
    <x v="2"/>
    <n v="0"/>
    <n v="0"/>
  </r>
  <r>
    <n v="511"/>
    <d v="2026-06-01T00:00:00"/>
    <x v="510"/>
    <s v="0000492"/>
    <s v="ədəd"/>
    <n v="2"/>
    <m/>
    <n v="0"/>
    <x v="1"/>
    <x v="2"/>
    <n v="0"/>
    <n v="0"/>
  </r>
  <r>
    <n v="512"/>
    <d v="2026-06-01T00:00:00"/>
    <x v="511"/>
    <s v="0000493"/>
    <s v="ədəd"/>
    <n v="1"/>
    <m/>
    <n v="0"/>
    <x v="1"/>
    <x v="2"/>
    <n v="0"/>
    <n v="0"/>
  </r>
  <r>
    <n v="513"/>
    <d v="2026-06-01T00:00:00"/>
    <x v="512"/>
    <s v="0000494"/>
    <s v="ədəd"/>
    <n v="1"/>
    <m/>
    <n v="0"/>
    <x v="1"/>
    <x v="2"/>
    <n v="0"/>
    <n v="0"/>
  </r>
  <r>
    <n v="514"/>
    <d v="2026-06-01T00:00:00"/>
    <x v="513"/>
    <s v="0000495"/>
    <s v="ədəd"/>
    <n v="3"/>
    <m/>
    <n v="0"/>
    <x v="1"/>
    <x v="2"/>
    <n v="0"/>
    <n v="0"/>
  </r>
  <r>
    <n v="515"/>
    <d v="2026-06-01T00:00:00"/>
    <x v="514"/>
    <s v="0000496"/>
    <s v="ədəd"/>
    <n v="1"/>
    <m/>
    <n v="0"/>
    <x v="1"/>
    <x v="2"/>
    <n v="0"/>
    <n v="0"/>
  </r>
  <r>
    <n v="516"/>
    <d v="2026-06-01T00:00:00"/>
    <x v="515"/>
    <s v="0000497"/>
    <s v="ədəd"/>
    <n v="1"/>
    <m/>
    <n v="0"/>
    <x v="1"/>
    <x v="2"/>
    <n v="0"/>
    <n v="0"/>
  </r>
  <r>
    <n v="517"/>
    <d v="2026-06-01T00:00:00"/>
    <x v="516"/>
    <s v="0000498"/>
    <s v="ədəd"/>
    <n v="1"/>
    <m/>
    <n v="0"/>
    <x v="1"/>
    <x v="2"/>
    <n v="0"/>
    <n v="0"/>
  </r>
  <r>
    <n v="518"/>
    <d v="2026-06-01T00:00:00"/>
    <x v="517"/>
    <s v="0000499"/>
    <s v="ədəd"/>
    <n v="1"/>
    <m/>
    <n v="0"/>
    <x v="1"/>
    <x v="2"/>
    <n v="0"/>
    <n v="0"/>
  </r>
  <r>
    <n v="519"/>
    <d v="2026-06-01T00:00:00"/>
    <x v="518"/>
    <s v="0000500"/>
    <s v="ədəd"/>
    <n v="1"/>
    <m/>
    <n v="0"/>
    <x v="1"/>
    <x v="2"/>
    <n v="0"/>
    <n v="0"/>
  </r>
  <r>
    <n v="520"/>
    <d v="2026-06-01T00:00:00"/>
    <x v="519"/>
    <s v="0000501"/>
    <s v="ədəd"/>
    <n v="2"/>
    <m/>
    <n v="0"/>
    <x v="1"/>
    <x v="2"/>
    <n v="0"/>
    <n v="0"/>
  </r>
  <r>
    <n v="521"/>
    <d v="2026-06-01T00:00:00"/>
    <x v="520"/>
    <s v="0000502"/>
    <s v="ədəd"/>
    <n v="1"/>
    <m/>
    <n v="0"/>
    <x v="1"/>
    <x v="2"/>
    <n v="0"/>
    <n v="0"/>
  </r>
  <r>
    <n v="522"/>
    <d v="2026-06-01T00:00:00"/>
    <x v="521"/>
    <s v="0000503"/>
    <s v="ədəd"/>
    <n v="2"/>
    <m/>
    <n v="0"/>
    <x v="1"/>
    <x v="2"/>
    <n v="0"/>
    <n v="0"/>
  </r>
  <r>
    <n v="523"/>
    <d v="2026-06-01T00:00:00"/>
    <x v="522"/>
    <s v="0000504"/>
    <s v="ədəd"/>
    <n v="1"/>
    <m/>
    <n v="0"/>
    <x v="1"/>
    <x v="2"/>
    <n v="0"/>
    <n v="0"/>
  </r>
  <r>
    <n v="524"/>
    <d v="2026-06-01T00:00:00"/>
    <x v="523"/>
    <s v="0000505"/>
    <s v="ədəd"/>
    <n v="2"/>
    <m/>
    <n v="0"/>
    <x v="1"/>
    <x v="2"/>
    <n v="0"/>
    <n v="0"/>
  </r>
  <r>
    <n v="525"/>
    <d v="2026-06-01T00:00:00"/>
    <x v="524"/>
    <s v="0000506"/>
    <s v="ədəd"/>
    <n v="2"/>
    <m/>
    <n v="0"/>
    <x v="1"/>
    <x v="2"/>
    <n v="0"/>
    <n v="0"/>
  </r>
  <r>
    <n v="526"/>
    <d v="2026-06-01T00:00:00"/>
    <x v="525"/>
    <s v="0000507"/>
    <s v="ədəd"/>
    <n v="1"/>
    <m/>
    <n v="0"/>
    <x v="1"/>
    <x v="2"/>
    <n v="0"/>
    <n v="0"/>
  </r>
  <r>
    <n v="527"/>
    <d v="2026-06-01T00:00:00"/>
    <x v="526"/>
    <s v="0000508"/>
    <s v="ədəd"/>
    <n v="2"/>
    <m/>
    <n v="0"/>
    <x v="1"/>
    <x v="2"/>
    <n v="0"/>
    <n v="0"/>
  </r>
  <r>
    <n v="528"/>
    <d v="2026-06-01T00:00:00"/>
    <x v="527"/>
    <s v="0000509"/>
    <s v="dəst"/>
    <n v="1"/>
    <m/>
    <n v="0"/>
    <x v="1"/>
    <x v="2"/>
    <n v="0"/>
    <n v="0"/>
  </r>
  <r>
    <n v="529"/>
    <d v="2026-06-01T00:00:00"/>
    <x v="528"/>
    <s v="0000510"/>
    <s v="ədəd"/>
    <n v="1"/>
    <m/>
    <n v="0"/>
    <x v="1"/>
    <x v="2"/>
    <n v="0"/>
    <n v="0"/>
  </r>
  <r>
    <n v="530"/>
    <d v="2026-06-01T00:00:00"/>
    <x v="529"/>
    <s v="0000511"/>
    <s v="dəst"/>
    <n v="1"/>
    <m/>
    <n v="0"/>
    <x v="1"/>
    <x v="2"/>
    <n v="0"/>
    <n v="0"/>
  </r>
  <r>
    <n v="531"/>
    <d v="2026-06-01T00:00:00"/>
    <x v="530"/>
    <s v="0000512"/>
    <s v="ədəd"/>
    <n v="1"/>
    <m/>
    <n v="0"/>
    <x v="1"/>
    <x v="2"/>
    <n v="0"/>
    <n v="0"/>
  </r>
  <r>
    <n v="532"/>
    <d v="2026-06-01T00:00:00"/>
    <x v="531"/>
    <s v="0000513"/>
    <s v="ədəd"/>
    <n v="1"/>
    <m/>
    <n v="0"/>
    <x v="1"/>
    <x v="2"/>
    <n v="0"/>
    <n v="0"/>
  </r>
  <r>
    <n v="533"/>
    <d v="2026-06-01T00:00:00"/>
    <x v="532"/>
    <s v="0000514"/>
    <s v="ədəd"/>
    <n v="1"/>
    <m/>
    <n v="0"/>
    <x v="1"/>
    <x v="2"/>
    <n v="0"/>
    <n v="0"/>
  </r>
  <r>
    <n v="534"/>
    <d v="2026-06-01T00:00:00"/>
    <x v="533"/>
    <s v="0000515"/>
    <s v="ədəd"/>
    <n v="2"/>
    <m/>
    <n v="0"/>
    <x v="1"/>
    <x v="2"/>
    <n v="0"/>
    <n v="0"/>
  </r>
  <r>
    <n v="535"/>
    <d v="2026-06-01T00:00:00"/>
    <x v="534"/>
    <s v="0000516"/>
    <s v="ədəd"/>
    <n v="2"/>
    <m/>
    <n v="0"/>
    <x v="1"/>
    <x v="2"/>
    <n v="0"/>
    <n v="0"/>
  </r>
  <r>
    <n v="536"/>
    <d v="2026-06-01T00:00:00"/>
    <x v="535"/>
    <s v="0000517"/>
    <s v="ədəd"/>
    <n v="2"/>
    <m/>
    <n v="0"/>
    <x v="1"/>
    <x v="2"/>
    <n v="0"/>
    <n v="0"/>
  </r>
  <r>
    <n v="537"/>
    <d v="2026-06-01T00:00:00"/>
    <x v="536"/>
    <s v="0000518"/>
    <s v="ədəd"/>
    <n v="2"/>
    <m/>
    <n v="0"/>
    <x v="1"/>
    <x v="2"/>
    <n v="0"/>
    <n v="0"/>
  </r>
  <r>
    <n v="538"/>
    <d v="2026-06-01T00:00:00"/>
    <x v="537"/>
    <s v="0000519"/>
    <s v="ədəd"/>
    <n v="46"/>
    <m/>
    <n v="0"/>
    <x v="1"/>
    <x v="2"/>
    <n v="0"/>
    <n v="0"/>
  </r>
  <r>
    <n v="539"/>
    <d v="2026-06-01T00:00:00"/>
    <x v="538"/>
    <s v="0000520"/>
    <s v="dəst"/>
    <n v="1"/>
    <m/>
    <n v="0"/>
    <x v="1"/>
    <x v="2"/>
    <n v="0"/>
    <n v="0"/>
  </r>
  <r>
    <n v="540"/>
    <d v="2026-06-01T00:00:00"/>
    <x v="539"/>
    <s v="0000521"/>
    <s v="top"/>
    <n v="1"/>
    <m/>
    <n v="0"/>
    <x v="1"/>
    <x v="2"/>
    <n v="0"/>
    <n v="0"/>
  </r>
  <r>
    <n v="541"/>
    <d v="2026-06-01T00:00:00"/>
    <x v="540"/>
    <s v="0000522"/>
    <s v="ədəd"/>
    <n v="1"/>
    <m/>
    <n v="0"/>
    <x v="1"/>
    <x v="2"/>
    <n v="0"/>
    <n v="0"/>
  </r>
  <r>
    <n v="542"/>
    <d v="2026-06-01T00:00:00"/>
    <x v="541"/>
    <s v="0000524"/>
    <s v="ədəd"/>
    <n v="1"/>
    <m/>
    <n v="0"/>
    <x v="1"/>
    <x v="2"/>
    <n v="0"/>
    <n v="0"/>
  </r>
  <r>
    <n v="543"/>
    <d v="2026-06-01T00:00:00"/>
    <x v="542"/>
    <s v="0000525"/>
    <s v="ədəd"/>
    <n v="1"/>
    <m/>
    <n v="0"/>
    <x v="1"/>
    <x v="2"/>
    <n v="0"/>
    <n v="0"/>
  </r>
  <r>
    <n v="544"/>
    <d v="2026-06-01T00:00:00"/>
    <x v="543"/>
    <s v="0000526"/>
    <s v="ədəd"/>
    <n v="1"/>
    <m/>
    <n v="0"/>
    <x v="1"/>
    <x v="2"/>
    <n v="0"/>
    <n v="0"/>
  </r>
  <r>
    <n v="545"/>
    <d v="2026-06-01T00:00:00"/>
    <x v="544"/>
    <s v="0000527"/>
    <s v="ədəd"/>
    <n v="2"/>
    <m/>
    <n v="0"/>
    <x v="1"/>
    <x v="2"/>
    <n v="0"/>
    <n v="0"/>
  </r>
  <r>
    <n v="546"/>
    <d v="2026-06-01T00:00:00"/>
    <x v="545"/>
    <s v="0000528"/>
    <s v="ədəd"/>
    <n v="2"/>
    <m/>
    <n v="0"/>
    <x v="1"/>
    <x v="2"/>
    <n v="0"/>
    <n v="0"/>
  </r>
  <r>
    <n v="547"/>
    <d v="2026-06-01T00:00:00"/>
    <x v="546"/>
    <s v="0000529"/>
    <s v="ədəd"/>
    <n v="1"/>
    <m/>
    <n v="0"/>
    <x v="1"/>
    <x v="2"/>
    <n v="0"/>
    <n v="0"/>
  </r>
  <r>
    <n v="548"/>
    <d v="2026-06-01T00:00:00"/>
    <x v="547"/>
    <s v="0000530"/>
    <s v="ədəd"/>
    <n v="1"/>
    <m/>
    <n v="0"/>
    <x v="1"/>
    <x v="2"/>
    <n v="0"/>
    <n v="0"/>
  </r>
  <r>
    <n v="549"/>
    <d v="2026-06-01T00:00:00"/>
    <x v="548"/>
    <s v="0000531"/>
    <s v="ədəd"/>
    <n v="3"/>
    <m/>
    <n v="0"/>
    <x v="1"/>
    <x v="2"/>
    <n v="0"/>
    <n v="0"/>
  </r>
  <r>
    <n v="550"/>
    <d v="2026-06-01T00:00:00"/>
    <x v="549"/>
    <s v="0000532"/>
    <s v="ədəd"/>
    <n v="1"/>
    <m/>
    <n v="0"/>
    <x v="1"/>
    <x v="2"/>
    <n v="0"/>
    <n v="0"/>
  </r>
  <r>
    <n v="551"/>
    <d v="2026-06-01T00:00:00"/>
    <x v="550"/>
    <s v="0000533"/>
    <s v="ədəd"/>
    <n v="1"/>
    <m/>
    <n v="0"/>
    <x v="1"/>
    <x v="2"/>
    <n v="0"/>
    <n v="0"/>
  </r>
  <r>
    <n v="552"/>
    <d v="2026-06-01T00:00:00"/>
    <x v="551"/>
    <s v="0000534"/>
    <s v="ədəd"/>
    <n v="1"/>
    <m/>
    <n v="0"/>
    <x v="1"/>
    <x v="2"/>
    <n v="0"/>
    <n v="0"/>
  </r>
  <r>
    <n v="553"/>
    <d v="2026-06-01T00:00:00"/>
    <x v="552"/>
    <s v="0000535"/>
    <s v="ədəd"/>
    <n v="3"/>
    <m/>
    <n v="0"/>
    <x v="1"/>
    <x v="2"/>
    <n v="0"/>
    <n v="0"/>
  </r>
  <r>
    <n v="554"/>
    <d v="2026-06-01T00:00:00"/>
    <x v="553"/>
    <s v="0000536"/>
    <s v="ədəd"/>
    <n v="4"/>
    <m/>
    <n v="0"/>
    <x v="1"/>
    <x v="2"/>
    <n v="0"/>
    <n v="0"/>
  </r>
  <r>
    <n v="555"/>
    <d v="2026-06-01T00:00:00"/>
    <x v="554"/>
    <s v="0000537"/>
    <s v="ədəd"/>
    <n v="1"/>
    <m/>
    <n v="0"/>
    <x v="1"/>
    <x v="2"/>
    <n v="0"/>
    <n v="0"/>
  </r>
  <r>
    <n v="556"/>
    <d v="2026-06-01T00:00:00"/>
    <x v="555"/>
    <s v="0000538"/>
    <s v="ədəd"/>
    <n v="2"/>
    <m/>
    <n v="0"/>
    <x v="1"/>
    <x v="2"/>
    <n v="0"/>
    <n v="0"/>
  </r>
  <r>
    <n v="557"/>
    <d v="2026-06-01T00:00:00"/>
    <x v="556"/>
    <s v="0000539"/>
    <s v="ədəd"/>
    <n v="1"/>
    <m/>
    <n v="0"/>
    <x v="1"/>
    <x v="2"/>
    <n v="0"/>
    <n v="0"/>
  </r>
  <r>
    <n v="558"/>
    <d v="2026-06-01T00:00:00"/>
    <x v="557"/>
    <s v="0000540"/>
    <s v="ədəd"/>
    <n v="1"/>
    <m/>
    <n v="0"/>
    <x v="1"/>
    <x v="2"/>
    <n v="0"/>
    <n v="0"/>
  </r>
  <r>
    <n v="559"/>
    <d v="2026-06-01T00:00:00"/>
    <x v="558"/>
    <s v="0000541"/>
    <s v="ədəd"/>
    <n v="5"/>
    <m/>
    <n v="0"/>
    <x v="1"/>
    <x v="2"/>
    <n v="0"/>
    <n v="0"/>
  </r>
  <r>
    <n v="560"/>
    <d v="2026-06-01T00:00:00"/>
    <x v="559"/>
    <s v="0000542"/>
    <s v="ədəd"/>
    <n v="3"/>
    <m/>
    <n v="0"/>
    <x v="1"/>
    <x v="2"/>
    <n v="0"/>
    <n v="0"/>
  </r>
  <r>
    <n v="561"/>
    <d v="2026-06-01T00:00:00"/>
    <x v="560"/>
    <s v="0000543"/>
    <s v="ədəd"/>
    <n v="1"/>
    <m/>
    <n v="0"/>
    <x v="1"/>
    <x v="2"/>
    <n v="0"/>
    <n v="0"/>
  </r>
  <r>
    <n v="562"/>
    <d v="2026-06-01T00:00:00"/>
    <x v="561"/>
    <s v="0000544"/>
    <s v="ədəd"/>
    <n v="1"/>
    <m/>
    <n v="0"/>
    <x v="1"/>
    <x v="2"/>
    <n v="0"/>
    <n v="0"/>
  </r>
  <r>
    <n v="563"/>
    <d v="2026-06-01T00:00:00"/>
    <x v="562"/>
    <s v="0000545"/>
    <s v="ədəd"/>
    <n v="1"/>
    <m/>
    <n v="0"/>
    <x v="1"/>
    <x v="2"/>
    <n v="0"/>
    <n v="0"/>
  </r>
  <r>
    <n v="564"/>
    <d v="2026-06-01T00:00:00"/>
    <x v="563"/>
    <s v="0000546"/>
    <s v="ədəd"/>
    <n v="1"/>
    <m/>
    <n v="0"/>
    <x v="1"/>
    <x v="2"/>
    <n v="0"/>
    <n v="0"/>
  </r>
  <r>
    <n v="565"/>
    <d v="2026-06-01T00:00:00"/>
    <x v="564"/>
    <s v="0000547"/>
    <s v="ədəd"/>
    <n v="1"/>
    <m/>
    <n v="0"/>
    <x v="1"/>
    <x v="2"/>
    <n v="0"/>
    <n v="0"/>
  </r>
  <r>
    <n v="566"/>
    <d v="2026-06-01T00:00:00"/>
    <x v="565"/>
    <s v="0000548"/>
    <s v="ədəd"/>
    <n v="1"/>
    <m/>
    <n v="0"/>
    <x v="1"/>
    <x v="2"/>
    <n v="0"/>
    <n v="0"/>
  </r>
  <r>
    <n v="567"/>
    <d v="2026-06-01T00:00:00"/>
    <x v="566"/>
    <s v="0000549"/>
    <s v="ədəd"/>
    <n v="69"/>
    <m/>
    <n v="0"/>
    <x v="1"/>
    <x v="2"/>
    <n v="0"/>
    <n v="0"/>
  </r>
  <r>
    <n v="568"/>
    <d v="2026-06-01T00:00:00"/>
    <x v="567"/>
    <s v="0000550"/>
    <s v="ədəd"/>
    <n v="7"/>
    <m/>
    <n v="0"/>
    <x v="1"/>
    <x v="2"/>
    <n v="0"/>
    <n v="0"/>
  </r>
  <r>
    <n v="569"/>
    <d v="2026-06-01T00:00:00"/>
    <x v="568"/>
    <s v="0000551"/>
    <s v="ədəd"/>
    <n v="2"/>
    <m/>
    <n v="0"/>
    <x v="1"/>
    <x v="2"/>
    <n v="0"/>
    <n v="0"/>
  </r>
  <r>
    <n v="570"/>
    <d v="2026-06-01T00:00:00"/>
    <x v="569"/>
    <s v="0000552"/>
    <s v="ədəd"/>
    <n v="17"/>
    <m/>
    <n v="0"/>
    <x v="1"/>
    <x v="2"/>
    <n v="0"/>
    <n v="0"/>
  </r>
  <r>
    <n v="571"/>
    <d v="2026-06-01T00:00:00"/>
    <x v="570"/>
    <s v="0000553"/>
    <s v="ədəd"/>
    <n v="226"/>
    <m/>
    <n v="0"/>
    <x v="1"/>
    <x v="2"/>
    <n v="0"/>
    <n v="0"/>
  </r>
  <r>
    <n v="572"/>
    <d v="2026-06-01T00:00:00"/>
    <x v="571"/>
    <s v="0000554"/>
    <s v="ədəd"/>
    <n v="1"/>
    <m/>
    <n v="0"/>
    <x v="1"/>
    <x v="2"/>
    <n v="0"/>
    <n v="0"/>
  </r>
  <r>
    <n v="573"/>
    <d v="2026-06-01T00:00:00"/>
    <x v="572"/>
    <s v="0000555"/>
    <s v="ədəd"/>
    <n v="1"/>
    <m/>
    <n v="0"/>
    <x v="1"/>
    <x v="2"/>
    <n v="0"/>
    <n v="0"/>
  </r>
  <r>
    <n v="574"/>
    <d v="2026-06-01T00:00:00"/>
    <x v="573"/>
    <s v="0000556"/>
    <s v="ədəd"/>
    <n v="1"/>
    <m/>
    <n v="0"/>
    <x v="1"/>
    <x v="2"/>
    <n v="0"/>
    <n v="0"/>
  </r>
  <r>
    <n v="575"/>
    <d v="2026-06-01T00:00:00"/>
    <x v="574"/>
    <s v="0000557"/>
    <s v="ədəd"/>
    <n v="1"/>
    <m/>
    <n v="0"/>
    <x v="1"/>
    <x v="2"/>
    <n v="0"/>
    <n v="0"/>
  </r>
  <r>
    <n v="576"/>
    <d v="2026-06-01T00:00:00"/>
    <x v="575"/>
    <s v="0000558"/>
    <s v="ədəd"/>
    <n v="1"/>
    <m/>
    <n v="0"/>
    <x v="1"/>
    <x v="2"/>
    <n v="0"/>
    <n v="0"/>
  </r>
  <r>
    <n v="577"/>
    <d v="2026-06-01T00:00:00"/>
    <x v="576"/>
    <s v="0000559"/>
    <s v="ədəd"/>
    <n v="1"/>
    <m/>
    <n v="0"/>
    <x v="1"/>
    <x v="2"/>
    <n v="0"/>
    <n v="0"/>
  </r>
  <r>
    <n v="578"/>
    <d v="2026-06-01T00:00:00"/>
    <x v="577"/>
    <s v="0000560"/>
    <s v="ədəd"/>
    <n v="4"/>
    <m/>
    <n v="0"/>
    <x v="1"/>
    <x v="2"/>
    <n v="0"/>
    <n v="0"/>
  </r>
  <r>
    <n v="579"/>
    <d v="2026-06-01T00:00:00"/>
    <x v="578"/>
    <s v="0000561"/>
    <s v="ədəd"/>
    <n v="1"/>
    <m/>
    <n v="0"/>
    <x v="1"/>
    <x v="2"/>
    <n v="0"/>
    <n v="0"/>
  </r>
  <r>
    <n v="580"/>
    <d v="2026-06-01T00:00:00"/>
    <x v="579"/>
    <s v="0000562"/>
    <s v="ədəd"/>
    <n v="2"/>
    <m/>
    <n v="0"/>
    <x v="1"/>
    <x v="2"/>
    <n v="0"/>
    <n v="0"/>
  </r>
  <r>
    <n v="581"/>
    <d v="2026-06-01T00:00:00"/>
    <x v="580"/>
    <s v="0000563"/>
    <s v="ədəd"/>
    <n v="2"/>
    <m/>
    <n v="0"/>
    <x v="1"/>
    <x v="2"/>
    <n v="0"/>
    <n v="0"/>
  </r>
  <r>
    <n v="582"/>
    <d v="2026-06-01T00:00:00"/>
    <x v="581"/>
    <s v="0000564"/>
    <s v="ədəd"/>
    <n v="1"/>
    <m/>
    <n v="0"/>
    <x v="1"/>
    <x v="2"/>
    <n v="0"/>
    <n v="0"/>
  </r>
  <r>
    <n v="583"/>
    <d v="2026-06-01T00:00:00"/>
    <x v="582"/>
    <s v="0000565"/>
    <s v="ədəd"/>
    <n v="1"/>
    <m/>
    <n v="0"/>
    <x v="1"/>
    <x v="2"/>
    <n v="0"/>
    <n v="0"/>
  </r>
  <r>
    <n v="584"/>
    <d v="2026-06-01T00:00:00"/>
    <x v="583"/>
    <s v="0000566"/>
    <s v="ədəd"/>
    <n v="1"/>
    <m/>
    <n v="0"/>
    <x v="1"/>
    <x v="2"/>
    <n v="0"/>
    <n v="0"/>
  </r>
  <r>
    <n v="585"/>
    <d v="2026-06-01T00:00:00"/>
    <x v="584"/>
    <s v="0000567"/>
    <s v="ədəd"/>
    <n v="8"/>
    <m/>
    <n v="0"/>
    <x v="1"/>
    <x v="2"/>
    <n v="0"/>
    <n v="0"/>
  </r>
  <r>
    <n v="586"/>
    <d v="2026-06-01T00:00:00"/>
    <x v="585"/>
    <s v="0000568"/>
    <s v="ədəd"/>
    <n v="3"/>
    <m/>
    <n v="0"/>
    <x v="1"/>
    <x v="2"/>
    <n v="0"/>
    <n v="0"/>
  </r>
  <r>
    <n v="587"/>
    <d v="2026-06-01T00:00:00"/>
    <x v="586"/>
    <s v="0000569"/>
    <s v="ədəd"/>
    <n v="1"/>
    <m/>
    <n v="0"/>
    <x v="1"/>
    <x v="2"/>
    <n v="0"/>
    <n v="0"/>
  </r>
  <r>
    <n v="588"/>
    <d v="2026-06-01T00:00:00"/>
    <x v="587"/>
    <s v="0000570"/>
    <s v="ədəd"/>
    <n v="1"/>
    <m/>
    <n v="0"/>
    <x v="1"/>
    <x v="2"/>
    <n v="0"/>
    <n v="0"/>
  </r>
  <r>
    <n v="589"/>
    <d v="2026-06-01T00:00:00"/>
    <x v="588"/>
    <s v="0000571"/>
    <s v="ədəd"/>
    <n v="1"/>
    <m/>
    <n v="0"/>
    <x v="1"/>
    <x v="2"/>
    <n v="0"/>
    <n v="0"/>
  </r>
  <r>
    <n v="590"/>
    <d v="2026-06-01T00:00:00"/>
    <x v="589"/>
    <s v="0000572"/>
    <s v="ədəd"/>
    <n v="1"/>
    <m/>
    <n v="0"/>
    <x v="1"/>
    <x v="2"/>
    <n v="0"/>
    <n v="0"/>
  </r>
  <r>
    <n v="591"/>
    <d v="2026-06-01T00:00:00"/>
    <x v="590"/>
    <s v="0000573"/>
    <s v="ədəd"/>
    <n v="1"/>
    <m/>
    <n v="0"/>
    <x v="1"/>
    <x v="2"/>
    <n v="0"/>
    <n v="0"/>
  </r>
  <r>
    <n v="592"/>
    <d v="2026-06-01T00:00:00"/>
    <x v="591"/>
    <s v="0000574"/>
    <s v="ədəd"/>
    <n v="1"/>
    <m/>
    <n v="0"/>
    <x v="1"/>
    <x v="2"/>
    <n v="0"/>
    <n v="0"/>
  </r>
  <r>
    <n v="593"/>
    <d v="2026-06-01T00:00:00"/>
    <x v="592"/>
    <s v="0000575"/>
    <s v="ədəd"/>
    <n v="1"/>
    <m/>
    <n v="0"/>
    <x v="1"/>
    <x v="2"/>
    <n v="0"/>
    <n v="0"/>
  </r>
  <r>
    <n v="594"/>
    <d v="2026-06-01T00:00:00"/>
    <x v="593"/>
    <s v="0000576"/>
    <s v="ədəd"/>
    <n v="2"/>
    <m/>
    <n v="0"/>
    <x v="1"/>
    <x v="2"/>
    <n v="0"/>
    <n v="0"/>
  </r>
  <r>
    <n v="595"/>
    <d v="2026-06-01T00:00:00"/>
    <x v="594"/>
    <s v="0000577"/>
    <s v="ədəd"/>
    <n v="1"/>
    <m/>
    <n v="0"/>
    <x v="1"/>
    <x v="2"/>
    <n v="0"/>
    <n v="0"/>
  </r>
  <r>
    <n v="596"/>
    <d v="2026-06-01T00:00:00"/>
    <x v="595"/>
    <s v="0000578"/>
    <s v="ədəd"/>
    <n v="1"/>
    <m/>
    <n v="0"/>
    <x v="1"/>
    <x v="2"/>
    <n v="0"/>
    <n v="0"/>
  </r>
  <r>
    <n v="597"/>
    <d v="2026-06-01T00:00:00"/>
    <x v="596"/>
    <s v="0000579"/>
    <s v="ədəd"/>
    <n v="1"/>
    <m/>
    <n v="0"/>
    <x v="1"/>
    <x v="2"/>
    <n v="0"/>
    <n v="0"/>
  </r>
  <r>
    <n v="598"/>
    <d v="2026-06-01T00:00:00"/>
    <x v="597"/>
    <s v="0000580"/>
    <s v="ədəd"/>
    <n v="1"/>
    <m/>
    <n v="0"/>
    <x v="1"/>
    <x v="2"/>
    <n v="0"/>
    <n v="0"/>
  </r>
  <r>
    <n v="599"/>
    <d v="2026-06-01T00:00:00"/>
    <x v="598"/>
    <s v="0000581"/>
    <s v="ədəd"/>
    <n v="1"/>
    <m/>
    <n v="0"/>
    <x v="1"/>
    <x v="2"/>
    <n v="0"/>
    <n v="0"/>
  </r>
  <r>
    <n v="600"/>
    <d v="2026-06-01T00:00:00"/>
    <x v="599"/>
    <s v="0000582"/>
    <s v="ədəd"/>
    <n v="1"/>
    <m/>
    <n v="0"/>
    <x v="1"/>
    <x v="2"/>
    <n v="0"/>
    <n v="0"/>
  </r>
  <r>
    <n v="601"/>
    <d v="2026-06-01T00:00:00"/>
    <x v="600"/>
    <s v="0000583"/>
    <s v="ədəd"/>
    <n v="1"/>
    <m/>
    <n v="0"/>
    <x v="1"/>
    <x v="2"/>
    <n v="0"/>
    <n v="0"/>
  </r>
  <r>
    <n v="602"/>
    <d v="2026-06-01T00:00:00"/>
    <x v="601"/>
    <s v="0000584"/>
    <s v="ədəd"/>
    <n v="1"/>
    <m/>
    <n v="0"/>
    <x v="1"/>
    <x v="2"/>
    <n v="0"/>
    <n v="0"/>
  </r>
  <r>
    <n v="603"/>
    <d v="2026-06-01T00:00:00"/>
    <x v="602"/>
    <s v="0000585"/>
    <s v="ədəd"/>
    <n v="1"/>
    <m/>
    <n v="0"/>
    <x v="1"/>
    <x v="2"/>
    <n v="0"/>
    <n v="0"/>
  </r>
  <r>
    <n v="604"/>
    <d v="2026-06-01T00:00:00"/>
    <x v="603"/>
    <s v="0000586"/>
    <s v="ədəd"/>
    <n v="1"/>
    <m/>
    <n v="0"/>
    <x v="1"/>
    <x v="2"/>
    <n v="0"/>
    <n v="0"/>
  </r>
  <r>
    <n v="605"/>
    <d v="2026-06-01T00:00:00"/>
    <x v="604"/>
    <s v="0000587"/>
    <s v="ədəd"/>
    <n v="1"/>
    <m/>
    <n v="0"/>
    <x v="1"/>
    <x v="2"/>
    <n v="0"/>
    <n v="0"/>
  </r>
  <r>
    <n v="606"/>
    <d v="2026-06-01T00:00:00"/>
    <x v="605"/>
    <s v="0000588"/>
    <s v="ədəd"/>
    <n v="5"/>
    <m/>
    <n v="0"/>
    <x v="1"/>
    <x v="2"/>
    <n v="0"/>
    <n v="0"/>
  </r>
  <r>
    <n v="607"/>
    <d v="2026-06-01T00:00:00"/>
    <x v="606"/>
    <s v="0000589"/>
    <s v="ədəd"/>
    <n v="14"/>
    <m/>
    <n v="0"/>
    <x v="1"/>
    <x v="2"/>
    <n v="0"/>
    <n v="0"/>
  </r>
  <r>
    <n v="608"/>
    <d v="2026-06-01T00:00:00"/>
    <x v="607"/>
    <s v="0000590"/>
    <s v="ədəd"/>
    <n v="5"/>
    <m/>
    <n v="0"/>
    <x v="1"/>
    <x v="2"/>
    <n v="0"/>
    <n v="0"/>
  </r>
  <r>
    <n v="609"/>
    <d v="2026-06-01T00:00:00"/>
    <x v="608"/>
    <s v="0000591"/>
    <s v="ədəd"/>
    <n v="2"/>
    <m/>
    <n v="0"/>
    <x v="1"/>
    <x v="2"/>
    <n v="0"/>
    <n v="0"/>
  </r>
  <r>
    <n v="610"/>
    <d v="2026-06-01T00:00:00"/>
    <x v="609"/>
    <s v="0000592"/>
    <s v="dəst"/>
    <n v="1"/>
    <m/>
    <n v="0"/>
    <x v="1"/>
    <x v="2"/>
    <n v="0"/>
    <n v="0"/>
  </r>
  <r>
    <n v="611"/>
    <d v="2026-06-01T00:00:00"/>
    <x v="610"/>
    <s v="0000593"/>
    <s v="ədəd"/>
    <n v="1"/>
    <m/>
    <n v="0"/>
    <x v="1"/>
    <x v="2"/>
    <n v="0"/>
    <n v="0"/>
  </r>
  <r>
    <n v="612"/>
    <d v="2026-06-01T00:00:00"/>
    <x v="611"/>
    <s v="0000594"/>
    <s v="ədəd"/>
    <n v="1"/>
    <m/>
    <n v="0"/>
    <x v="1"/>
    <x v="2"/>
    <n v="0"/>
    <n v="0"/>
  </r>
  <r>
    <n v="613"/>
    <d v="2026-06-01T00:00:00"/>
    <x v="612"/>
    <s v="0000595"/>
    <s v="ədəd"/>
    <n v="1"/>
    <m/>
    <n v="0"/>
    <x v="1"/>
    <x v="2"/>
    <n v="0"/>
    <n v="0"/>
  </r>
  <r>
    <n v="614"/>
    <d v="2026-06-01T00:00:00"/>
    <x v="613"/>
    <s v="0000596"/>
    <s v="ədəd"/>
    <n v="2"/>
    <m/>
    <n v="0"/>
    <x v="1"/>
    <x v="2"/>
    <n v="0"/>
    <n v="0"/>
  </r>
  <r>
    <n v="615"/>
    <d v="2026-06-01T00:00:00"/>
    <x v="614"/>
    <s v="0000597"/>
    <s v="ədəd"/>
    <n v="1"/>
    <m/>
    <n v="0"/>
    <x v="1"/>
    <x v="2"/>
    <n v="0"/>
    <n v="0"/>
  </r>
  <r>
    <n v="616"/>
    <d v="2026-06-01T00:00:00"/>
    <x v="615"/>
    <s v="0000598"/>
    <s v="ədəd"/>
    <n v="1"/>
    <m/>
    <n v="0"/>
    <x v="1"/>
    <x v="2"/>
    <n v="0"/>
    <n v="0"/>
  </r>
  <r>
    <n v="617"/>
    <d v="2026-06-01T00:00:00"/>
    <x v="616"/>
    <s v="0000599"/>
    <s v="ədəd"/>
    <n v="1"/>
    <m/>
    <n v="0"/>
    <x v="1"/>
    <x v="2"/>
    <n v="0"/>
    <n v="0"/>
  </r>
  <r>
    <n v="618"/>
    <d v="2026-06-01T00:00:00"/>
    <x v="617"/>
    <s v="0000600"/>
    <s v="ədəd"/>
    <n v="10"/>
    <m/>
    <n v="0"/>
    <x v="1"/>
    <x v="2"/>
    <n v="0"/>
    <n v="0"/>
  </r>
  <r>
    <n v="619"/>
    <d v="2026-06-01T00:00:00"/>
    <x v="618"/>
    <s v="0000601"/>
    <s v="dəst"/>
    <n v="1"/>
    <m/>
    <n v="0"/>
    <x v="1"/>
    <x v="2"/>
    <n v="0"/>
    <n v="0"/>
  </r>
  <r>
    <n v="620"/>
    <d v="2026-06-01T00:00:00"/>
    <x v="619"/>
    <s v="0000602"/>
    <s v="ədəd"/>
    <n v="1"/>
    <m/>
    <n v="0"/>
    <x v="1"/>
    <x v="2"/>
    <n v="0"/>
    <n v="0"/>
  </r>
  <r>
    <n v="621"/>
    <d v="2026-06-01T00:00:00"/>
    <x v="620"/>
    <s v="0000603"/>
    <s v="ədəd"/>
    <n v="1"/>
    <m/>
    <n v="0"/>
    <x v="1"/>
    <x v="2"/>
    <n v="0"/>
    <n v="0"/>
  </r>
  <r>
    <n v="622"/>
    <d v="2026-06-01T00:00:00"/>
    <x v="621"/>
    <s v="0000604"/>
    <s v="ədəd"/>
    <n v="1"/>
    <m/>
    <n v="0"/>
    <x v="1"/>
    <x v="2"/>
    <n v="0"/>
    <n v="0"/>
  </r>
  <r>
    <n v="623"/>
    <d v="2026-06-01T00:00:00"/>
    <x v="622"/>
    <s v="0000605"/>
    <s v="ədəd"/>
    <n v="1"/>
    <m/>
    <n v="0"/>
    <x v="1"/>
    <x v="2"/>
    <n v="0"/>
    <n v="0"/>
  </r>
  <r>
    <n v="624"/>
    <d v="2026-06-01T00:00:00"/>
    <x v="623"/>
    <s v="0000606"/>
    <s v="ədəd"/>
    <n v="1"/>
    <m/>
    <n v="0"/>
    <x v="1"/>
    <x v="2"/>
    <n v="0"/>
    <n v="0"/>
  </r>
  <r>
    <n v="625"/>
    <d v="2026-06-01T00:00:00"/>
    <x v="624"/>
    <s v="0000607"/>
    <s v="ədəd"/>
    <n v="1"/>
    <m/>
    <n v="0"/>
    <x v="1"/>
    <x v="2"/>
    <n v="0"/>
    <n v="0"/>
  </r>
  <r>
    <n v="626"/>
    <d v="2026-06-01T00:00:00"/>
    <x v="625"/>
    <s v="0000608"/>
    <s v="ədəd"/>
    <n v="1"/>
    <m/>
    <n v="0"/>
    <x v="1"/>
    <x v="2"/>
    <n v="0"/>
    <n v="0"/>
  </r>
  <r>
    <n v="627"/>
    <d v="2026-06-01T00:00:00"/>
    <x v="626"/>
    <s v="0000609"/>
    <s v="ədəd"/>
    <n v="1"/>
    <m/>
    <n v="0"/>
    <x v="1"/>
    <x v="2"/>
    <n v="0"/>
    <n v="0"/>
  </r>
  <r>
    <n v="628"/>
    <d v="2026-06-01T00:00:00"/>
    <x v="627"/>
    <s v="0000610"/>
    <s v="ədəd"/>
    <n v="1"/>
    <m/>
    <n v="0"/>
    <x v="1"/>
    <x v="2"/>
    <n v="0"/>
    <n v="0"/>
  </r>
  <r>
    <n v="629"/>
    <d v="2026-06-01T00:00:00"/>
    <x v="628"/>
    <s v="0000611"/>
    <s v="ədəd"/>
    <n v="3"/>
    <m/>
    <n v="0"/>
    <x v="1"/>
    <x v="2"/>
    <n v="0"/>
    <n v="0"/>
  </r>
  <r>
    <n v="630"/>
    <d v="2026-06-01T00:00:00"/>
    <x v="629"/>
    <s v="0000612"/>
    <s v="ədəd"/>
    <n v="1"/>
    <m/>
    <n v="0"/>
    <x v="1"/>
    <x v="2"/>
    <n v="0"/>
    <n v="0"/>
  </r>
  <r>
    <n v="631"/>
    <d v="2026-06-01T00:00:00"/>
    <x v="630"/>
    <s v="0000613"/>
    <s v="ədəd"/>
    <n v="1"/>
    <m/>
    <n v="0"/>
    <x v="1"/>
    <x v="2"/>
    <n v="0"/>
    <n v="0"/>
  </r>
  <r>
    <n v="632"/>
    <d v="2026-06-01T00:00:00"/>
    <x v="631"/>
    <s v="0000614"/>
    <s v="ədəd"/>
    <n v="1"/>
    <m/>
    <n v="0"/>
    <x v="1"/>
    <x v="2"/>
    <n v="0"/>
    <n v="0"/>
  </r>
  <r>
    <n v="633"/>
    <d v="2026-06-01T00:00:00"/>
    <x v="632"/>
    <s v="0000615"/>
    <s v="dəst"/>
    <n v="1"/>
    <m/>
    <n v="0"/>
    <x v="1"/>
    <x v="2"/>
    <n v="0"/>
    <n v="0"/>
  </r>
  <r>
    <n v="634"/>
    <d v="2026-06-01T00:00:00"/>
    <x v="633"/>
    <s v="0000616"/>
    <s v="ədəd"/>
    <n v="1"/>
    <m/>
    <n v="0"/>
    <x v="1"/>
    <x v="2"/>
    <n v="0"/>
    <n v="0"/>
  </r>
  <r>
    <n v="635"/>
    <d v="2026-06-01T00:00:00"/>
    <x v="634"/>
    <s v="0000617"/>
    <s v="ədəd"/>
    <n v="23"/>
    <m/>
    <n v="0"/>
    <x v="1"/>
    <x v="2"/>
    <n v="0"/>
    <n v="0"/>
  </r>
  <r>
    <n v="636"/>
    <d v="2026-06-01T00:00:00"/>
    <x v="635"/>
    <s v="0000618"/>
    <s v="ədəd"/>
    <n v="11"/>
    <m/>
    <n v="0"/>
    <x v="1"/>
    <x v="2"/>
    <n v="0"/>
    <n v="0"/>
  </r>
  <r>
    <n v="637"/>
    <d v="2026-06-01T00:00:00"/>
    <x v="636"/>
    <s v="0000619"/>
    <s v="ədəd"/>
    <n v="2"/>
    <m/>
    <n v="0"/>
    <x v="1"/>
    <x v="2"/>
    <n v="0"/>
    <n v="0"/>
  </r>
  <r>
    <n v="638"/>
    <d v="2026-06-01T00:00:00"/>
    <x v="637"/>
    <s v="0000620"/>
    <s v="ədəd"/>
    <n v="1"/>
    <m/>
    <n v="0"/>
    <x v="1"/>
    <x v="2"/>
    <n v="0"/>
    <n v="0"/>
  </r>
  <r>
    <n v="639"/>
    <d v="2026-06-01T00:00:00"/>
    <x v="638"/>
    <s v="0000621"/>
    <s v="ədəd"/>
    <n v="1"/>
    <m/>
    <n v="0"/>
    <x v="1"/>
    <x v="2"/>
    <n v="0"/>
    <n v="0"/>
  </r>
  <r>
    <n v="640"/>
    <d v="2026-06-01T00:00:00"/>
    <x v="639"/>
    <s v="0000622"/>
    <s v="ədəd"/>
    <n v="1"/>
    <m/>
    <n v="0"/>
    <x v="1"/>
    <x v="2"/>
    <n v="0"/>
    <n v="0"/>
  </r>
  <r>
    <n v="641"/>
    <d v="2026-06-01T00:00:00"/>
    <x v="640"/>
    <s v="0000623"/>
    <s v="ədəd"/>
    <n v="9"/>
    <m/>
    <n v="0"/>
    <x v="1"/>
    <x v="2"/>
    <n v="0"/>
    <n v="0"/>
  </r>
  <r>
    <n v="642"/>
    <d v="2026-06-01T00:00:00"/>
    <x v="641"/>
    <s v="0000624"/>
    <s v="ədəd"/>
    <n v="5"/>
    <m/>
    <n v="0"/>
    <x v="1"/>
    <x v="2"/>
    <n v="0"/>
    <n v="0"/>
  </r>
  <r>
    <n v="643"/>
    <d v="2026-06-01T00:00:00"/>
    <x v="642"/>
    <s v="0000625"/>
    <s v="ədəd"/>
    <n v="6"/>
    <m/>
    <n v="0"/>
    <x v="1"/>
    <x v="2"/>
    <n v="0"/>
    <n v="0"/>
  </r>
  <r>
    <n v="644"/>
    <d v="2026-06-01T00:00:00"/>
    <x v="643"/>
    <s v="0000626"/>
    <s v="ədəd"/>
    <n v="1"/>
    <m/>
    <n v="0"/>
    <x v="1"/>
    <x v="2"/>
    <n v="0"/>
    <n v="0"/>
  </r>
  <r>
    <n v="645"/>
    <d v="2026-06-01T00:00:00"/>
    <x v="644"/>
    <s v="0000627"/>
    <s v="ədəd"/>
    <n v="2"/>
    <m/>
    <n v="0"/>
    <x v="1"/>
    <x v="2"/>
    <n v="0"/>
    <n v="0"/>
  </r>
  <r>
    <n v="646"/>
    <d v="2026-06-01T00:00:00"/>
    <x v="645"/>
    <s v="0000628"/>
    <s v="ədəd"/>
    <n v="29"/>
    <m/>
    <n v="0"/>
    <x v="1"/>
    <x v="2"/>
    <n v="0"/>
    <n v="0"/>
  </r>
  <r>
    <n v="647"/>
    <d v="2026-06-01T00:00:00"/>
    <x v="646"/>
    <s v="0000629"/>
    <s v="ədəd"/>
    <n v="2"/>
    <m/>
    <n v="0"/>
    <x v="1"/>
    <x v="2"/>
    <n v="0"/>
    <n v="0"/>
  </r>
  <r>
    <n v="648"/>
    <d v="2026-06-01T00:00:00"/>
    <x v="647"/>
    <s v="0000630"/>
    <s v="ədəd"/>
    <n v="1"/>
    <m/>
    <n v="0"/>
    <x v="1"/>
    <x v="2"/>
    <n v="0"/>
    <n v="0"/>
  </r>
  <r>
    <n v="649"/>
    <d v="2026-06-01T00:00:00"/>
    <x v="648"/>
    <s v="0000631"/>
    <s v="ədəd"/>
    <n v="25"/>
    <m/>
    <n v="0"/>
    <x v="1"/>
    <x v="2"/>
    <n v="0"/>
    <n v="0"/>
  </r>
  <r>
    <n v="650"/>
    <d v="2026-06-01T00:00:00"/>
    <x v="649"/>
    <s v="0000632"/>
    <s v="top"/>
    <n v="1"/>
    <m/>
    <n v="0"/>
    <x v="1"/>
    <x v="2"/>
    <n v="0"/>
    <n v="0"/>
  </r>
  <r>
    <n v="651"/>
    <d v="2026-06-01T00:00:00"/>
    <x v="650"/>
    <s v="0000633"/>
    <s v="dəst"/>
    <n v="16"/>
    <m/>
    <n v="0"/>
    <x v="1"/>
    <x v="2"/>
    <n v="0"/>
    <n v="0"/>
  </r>
  <r>
    <n v="652"/>
    <d v="2026-06-01T00:00:00"/>
    <x v="651"/>
    <s v="0000634"/>
    <s v="ədəd"/>
    <n v="2"/>
    <m/>
    <n v="0"/>
    <x v="1"/>
    <x v="2"/>
    <n v="0"/>
    <n v="0"/>
  </r>
  <r>
    <n v="653"/>
    <d v="2026-06-01T00:00:00"/>
    <x v="652"/>
    <s v="0000635"/>
    <s v="ədəd"/>
    <n v="1"/>
    <m/>
    <n v="0"/>
    <x v="1"/>
    <x v="2"/>
    <n v="0"/>
    <n v="0"/>
  </r>
  <r>
    <n v="654"/>
    <d v="2026-06-01T00:00:00"/>
    <x v="653"/>
    <s v="0000636"/>
    <s v="ədəd"/>
    <n v="29"/>
    <m/>
    <n v="0"/>
    <x v="1"/>
    <x v="2"/>
    <n v="0"/>
    <n v="0"/>
  </r>
  <r>
    <n v="655"/>
    <d v="2026-06-01T00:00:00"/>
    <x v="654"/>
    <s v="0000637"/>
    <s v="ədəd"/>
    <n v="2"/>
    <m/>
    <n v="0"/>
    <x v="1"/>
    <x v="2"/>
    <n v="0"/>
    <n v="0"/>
  </r>
  <r>
    <n v="656"/>
    <d v="2026-06-01T00:00:00"/>
    <x v="655"/>
    <s v="0000638"/>
    <s v="ədəd"/>
    <n v="1"/>
    <m/>
    <n v="0"/>
    <x v="1"/>
    <x v="2"/>
    <n v="0"/>
    <n v="0"/>
  </r>
  <r>
    <n v="657"/>
    <d v="2026-06-01T00:00:00"/>
    <x v="656"/>
    <s v="0000639"/>
    <s v="top"/>
    <n v="1"/>
    <m/>
    <n v="0"/>
    <x v="1"/>
    <x v="2"/>
    <n v="0"/>
    <n v="0"/>
  </r>
  <r>
    <n v="658"/>
    <d v="2026-06-01T00:00:00"/>
    <x v="657"/>
    <s v="0000640"/>
    <s v="top"/>
    <n v="1"/>
    <m/>
    <n v="0"/>
    <x v="1"/>
    <x v="2"/>
    <n v="0"/>
    <n v="0"/>
  </r>
  <r>
    <n v="659"/>
    <d v="2026-06-01T00:00:00"/>
    <x v="658"/>
    <s v="0000641"/>
    <s v="top"/>
    <n v="1"/>
    <m/>
    <n v="0"/>
    <x v="1"/>
    <x v="2"/>
    <n v="0"/>
    <n v="0"/>
  </r>
  <r>
    <n v="660"/>
    <d v="2026-06-01T00:00:00"/>
    <x v="659"/>
    <s v="0000642"/>
    <s v="top"/>
    <n v="1"/>
    <m/>
    <n v="0"/>
    <x v="1"/>
    <x v="2"/>
    <n v="0"/>
    <n v="0"/>
  </r>
  <r>
    <n v="661"/>
    <d v="2026-06-01T00:00:00"/>
    <x v="660"/>
    <s v="0000643"/>
    <s v="metr"/>
    <n v="10"/>
    <m/>
    <n v="0"/>
    <x v="1"/>
    <x v="2"/>
    <n v="0"/>
    <n v="0"/>
  </r>
  <r>
    <n v="662"/>
    <d v="2026-06-01T00:00:00"/>
    <x v="661"/>
    <s v="0000644"/>
    <s v="ədəd"/>
    <n v="4"/>
    <m/>
    <n v="0"/>
    <x v="1"/>
    <x v="2"/>
    <n v="0"/>
    <n v="0"/>
  </r>
  <r>
    <n v="663"/>
    <d v="2026-06-01T00:00:00"/>
    <x v="662"/>
    <s v="0000645"/>
    <s v="ədəd"/>
    <n v="3"/>
    <m/>
    <n v="0"/>
    <x v="1"/>
    <x v="2"/>
    <n v="0"/>
    <n v="0"/>
  </r>
  <r>
    <n v="664"/>
    <d v="2026-06-01T00:00:00"/>
    <x v="663"/>
    <s v="0000646"/>
    <s v="ədəd"/>
    <n v="2"/>
    <m/>
    <n v="0"/>
    <x v="1"/>
    <x v="2"/>
    <n v="0"/>
    <n v="0"/>
  </r>
  <r>
    <n v="665"/>
    <d v="2026-06-01T00:00:00"/>
    <x v="664"/>
    <s v="0000647"/>
    <s v="ədəd"/>
    <n v="1"/>
    <m/>
    <n v="0"/>
    <x v="1"/>
    <x v="2"/>
    <n v="0"/>
    <n v="0"/>
  </r>
  <r>
    <n v="666"/>
    <d v="2026-06-01T00:00:00"/>
    <x v="665"/>
    <s v="0000648"/>
    <s v="ədəd"/>
    <n v="1"/>
    <m/>
    <n v="0"/>
    <x v="1"/>
    <x v="2"/>
    <n v="0"/>
    <n v="0"/>
  </r>
  <r>
    <n v="667"/>
    <d v="2026-06-01T00:00:00"/>
    <x v="666"/>
    <s v="0000649"/>
    <s v="ədəd"/>
    <n v="1"/>
    <m/>
    <n v="0"/>
    <x v="1"/>
    <x v="2"/>
    <n v="0"/>
    <n v="0"/>
  </r>
  <r>
    <n v="668"/>
    <d v="2026-06-01T00:00:00"/>
    <x v="667"/>
    <s v="0000650"/>
    <s v="ədəd"/>
    <n v="2"/>
    <m/>
    <n v="0"/>
    <x v="1"/>
    <x v="2"/>
    <n v="0"/>
    <n v="0"/>
  </r>
  <r>
    <n v="669"/>
    <d v="2026-06-01T00:00:00"/>
    <x v="668"/>
    <s v="0000651"/>
    <s v="ədəd"/>
    <n v="1"/>
    <m/>
    <n v="0"/>
    <x v="1"/>
    <x v="2"/>
    <n v="0"/>
    <n v="0"/>
  </r>
  <r>
    <n v="670"/>
    <d v="2026-06-01T00:00:00"/>
    <x v="669"/>
    <s v="0000652"/>
    <s v="ədəd"/>
    <n v="5"/>
    <m/>
    <n v="0"/>
    <x v="1"/>
    <x v="2"/>
    <n v="0"/>
    <n v="0"/>
  </r>
  <r>
    <n v="671"/>
    <d v="2026-06-01T00:00:00"/>
    <x v="670"/>
    <s v="0000653"/>
    <s v="ədəd"/>
    <n v="1"/>
    <m/>
    <n v="0"/>
    <x v="1"/>
    <x v="2"/>
    <n v="0"/>
    <n v="0"/>
  </r>
  <r>
    <n v="672"/>
    <d v="2026-06-01T00:00:00"/>
    <x v="671"/>
    <s v="0000654"/>
    <s v="top"/>
    <n v="4"/>
    <m/>
    <n v="0"/>
    <x v="1"/>
    <x v="2"/>
    <n v="0"/>
    <n v="0"/>
  </r>
  <r>
    <n v="673"/>
    <d v="2026-06-01T00:00:00"/>
    <x v="672"/>
    <s v="0000655"/>
    <s v="ədəd"/>
    <n v="1"/>
    <m/>
    <n v="0"/>
    <x v="1"/>
    <x v="2"/>
    <n v="0"/>
    <n v="0"/>
  </r>
  <r>
    <n v="674"/>
    <d v="2026-06-01T00:00:00"/>
    <x v="673"/>
    <s v="0000656"/>
    <s v="dəst"/>
    <n v="1"/>
    <m/>
    <n v="0"/>
    <x v="1"/>
    <x v="2"/>
    <n v="0"/>
    <n v="0"/>
  </r>
  <r>
    <n v="675"/>
    <d v="2026-06-01T00:00:00"/>
    <x v="674"/>
    <s v="0000657"/>
    <s v="dəst"/>
    <n v="1"/>
    <m/>
    <n v="0"/>
    <x v="1"/>
    <x v="2"/>
    <n v="0"/>
    <n v="0"/>
  </r>
  <r>
    <n v="676"/>
    <d v="2026-06-01T00:00:00"/>
    <x v="675"/>
    <s v="0000658"/>
    <s v="ədəd"/>
    <n v="1"/>
    <m/>
    <n v="0"/>
    <x v="1"/>
    <x v="2"/>
    <n v="0"/>
    <n v="0"/>
  </r>
  <r>
    <n v="677"/>
    <d v="2026-06-01T00:00:00"/>
    <x v="676"/>
    <s v="0000659"/>
    <s v="ədəd"/>
    <n v="1"/>
    <m/>
    <n v="0"/>
    <x v="1"/>
    <x v="2"/>
    <n v="0"/>
    <n v="0"/>
  </r>
  <r>
    <n v="678"/>
    <d v="2026-06-01T00:00:00"/>
    <x v="677"/>
    <s v="0000660"/>
    <s v="ədəd"/>
    <n v="1"/>
    <m/>
    <n v="0"/>
    <x v="1"/>
    <x v="2"/>
    <n v="0"/>
    <n v="0"/>
  </r>
  <r>
    <n v="679"/>
    <d v="2026-06-01T00:00:00"/>
    <x v="678"/>
    <s v="0000661"/>
    <s v="ədəd"/>
    <n v="1"/>
    <m/>
    <n v="0"/>
    <x v="1"/>
    <x v="2"/>
    <n v="0"/>
    <n v="0"/>
  </r>
  <r>
    <n v="680"/>
    <d v="2026-06-01T00:00:00"/>
    <x v="679"/>
    <s v="0000662"/>
    <s v="ədəd"/>
    <n v="1"/>
    <m/>
    <n v="0"/>
    <x v="1"/>
    <x v="2"/>
    <n v="0"/>
    <n v="0"/>
  </r>
  <r>
    <n v="681"/>
    <d v="2026-06-01T00:00:00"/>
    <x v="680"/>
    <s v="0000663"/>
    <s v="ədəd"/>
    <n v="2"/>
    <m/>
    <n v="0"/>
    <x v="1"/>
    <x v="2"/>
    <n v="0"/>
    <n v="0"/>
  </r>
  <r>
    <n v="682"/>
    <d v="2026-06-01T00:00:00"/>
    <x v="681"/>
    <s v="0000664"/>
    <s v="ədəd"/>
    <n v="5"/>
    <m/>
    <n v="0"/>
    <x v="1"/>
    <x v="2"/>
    <n v="0"/>
    <n v="0"/>
  </r>
  <r>
    <n v="683"/>
    <d v="2026-06-01T00:00:00"/>
    <x v="682"/>
    <s v="0000666"/>
    <s v="ədəd"/>
    <n v="107"/>
    <m/>
    <n v="0"/>
    <x v="1"/>
    <x v="2"/>
    <n v="0"/>
    <n v="0"/>
  </r>
  <r>
    <n v="684"/>
    <d v="2026-06-01T00:00:00"/>
    <x v="683"/>
    <s v="0000667"/>
    <s v="ədəd"/>
    <n v="22"/>
    <m/>
    <n v="0"/>
    <x v="1"/>
    <x v="2"/>
    <n v="0"/>
    <n v="0"/>
  </r>
  <r>
    <n v="685"/>
    <d v="2026-06-01T00:00:00"/>
    <x v="684"/>
    <s v="0000668"/>
    <s v="ədəd"/>
    <n v="6"/>
    <m/>
    <n v="0"/>
    <x v="1"/>
    <x v="2"/>
    <n v="0"/>
    <n v="0"/>
  </r>
  <r>
    <n v="686"/>
    <d v="2026-06-01T00:00:00"/>
    <x v="685"/>
    <s v="0000669"/>
    <s v="ədəd"/>
    <n v="1"/>
    <m/>
    <n v="0"/>
    <x v="1"/>
    <x v="2"/>
    <n v="0"/>
    <n v="0"/>
  </r>
  <r>
    <n v="687"/>
    <d v="2026-06-01T00:00:00"/>
    <x v="686"/>
    <s v="0000670"/>
    <s v="ədəd"/>
    <n v="1"/>
    <m/>
    <n v="0"/>
    <x v="1"/>
    <x v="2"/>
    <n v="0"/>
    <n v="0"/>
  </r>
  <r>
    <n v="688"/>
    <d v="2026-06-01T00:00:00"/>
    <x v="687"/>
    <s v="0000671"/>
    <s v="ədəd"/>
    <n v="1"/>
    <m/>
    <n v="0"/>
    <x v="1"/>
    <x v="2"/>
    <n v="0"/>
    <n v="0"/>
  </r>
  <r>
    <n v="689"/>
    <d v="2026-06-01T00:00:00"/>
    <x v="688"/>
    <s v="0000672"/>
    <s v="ədəd"/>
    <n v="4"/>
    <m/>
    <n v="0"/>
    <x v="1"/>
    <x v="2"/>
    <n v="0"/>
    <n v="0"/>
  </r>
  <r>
    <n v="690"/>
    <d v="2026-06-01T00:00:00"/>
    <x v="689"/>
    <s v="0000673"/>
    <s v="ədəd"/>
    <n v="3"/>
    <m/>
    <n v="0"/>
    <x v="1"/>
    <x v="2"/>
    <n v="0"/>
    <n v="0"/>
  </r>
  <r>
    <n v="691"/>
    <d v="2026-06-01T00:00:00"/>
    <x v="690"/>
    <s v="0000674"/>
    <s v="ədəd"/>
    <n v="2"/>
    <m/>
    <n v="0"/>
    <x v="1"/>
    <x v="2"/>
    <n v="0"/>
    <n v="0"/>
  </r>
  <r>
    <n v="692"/>
    <d v="2026-06-01T00:00:00"/>
    <x v="691"/>
    <s v="0000675"/>
    <s v="ədəd"/>
    <n v="2"/>
    <m/>
    <n v="0"/>
    <x v="1"/>
    <x v="2"/>
    <n v="0"/>
    <n v="0"/>
  </r>
  <r>
    <n v="693"/>
    <d v="2026-06-01T00:00:00"/>
    <x v="692"/>
    <s v="0000676"/>
    <s v="ədəd"/>
    <n v="17"/>
    <m/>
    <n v="0"/>
    <x v="1"/>
    <x v="2"/>
    <n v="0"/>
    <n v="0"/>
  </r>
  <r>
    <n v="694"/>
    <d v="2026-06-01T00:00:00"/>
    <x v="693"/>
    <s v="0000677"/>
    <s v="ədəd"/>
    <n v="2"/>
    <m/>
    <n v="0"/>
    <x v="1"/>
    <x v="2"/>
    <n v="0"/>
    <n v="0"/>
  </r>
  <r>
    <n v="695"/>
    <d v="2026-06-01T00:00:00"/>
    <x v="694"/>
    <s v="0000678"/>
    <s v="ədəd"/>
    <n v="8"/>
    <m/>
    <n v="0"/>
    <x v="1"/>
    <x v="2"/>
    <n v="0"/>
    <n v="0"/>
  </r>
  <r>
    <n v="696"/>
    <d v="2026-06-01T00:00:00"/>
    <x v="695"/>
    <s v="0000679"/>
    <s v="ədəd"/>
    <n v="10"/>
    <m/>
    <n v="0"/>
    <x v="1"/>
    <x v="2"/>
    <n v="0"/>
    <n v="0"/>
  </r>
  <r>
    <n v="697"/>
    <d v="2026-06-01T00:00:00"/>
    <x v="696"/>
    <s v="0000680"/>
    <s v="ədəd"/>
    <n v="6"/>
    <m/>
    <n v="0"/>
    <x v="1"/>
    <x v="2"/>
    <n v="0"/>
    <n v="0"/>
  </r>
  <r>
    <n v="698"/>
    <d v="2026-06-01T00:00:00"/>
    <x v="697"/>
    <s v="0000681"/>
    <s v="ədəd"/>
    <n v="2"/>
    <m/>
    <n v="0"/>
    <x v="1"/>
    <x v="2"/>
    <n v="0"/>
    <n v="0"/>
  </r>
  <r>
    <n v="699"/>
    <d v="2026-06-01T00:00:00"/>
    <x v="698"/>
    <s v="0000682"/>
    <s v="ədəd"/>
    <n v="5"/>
    <m/>
    <n v="0"/>
    <x v="1"/>
    <x v="2"/>
    <n v="0"/>
    <n v="0"/>
  </r>
  <r>
    <n v="700"/>
    <d v="2026-06-01T00:00:00"/>
    <x v="699"/>
    <s v="0000683"/>
    <s v="ədəd"/>
    <n v="1"/>
    <m/>
    <n v="0"/>
    <x v="1"/>
    <x v="2"/>
    <n v="0"/>
    <n v="0"/>
  </r>
  <r>
    <n v="701"/>
    <d v="2026-06-01T00:00:00"/>
    <x v="700"/>
    <s v="0000684"/>
    <s v="ədəd"/>
    <n v="4"/>
    <m/>
    <n v="0"/>
    <x v="1"/>
    <x v="2"/>
    <n v="0"/>
    <n v="0"/>
  </r>
  <r>
    <n v="702"/>
    <d v="2026-06-01T00:00:00"/>
    <x v="701"/>
    <s v="0000685"/>
    <s v="ədəd"/>
    <n v="5"/>
    <m/>
    <n v="0"/>
    <x v="1"/>
    <x v="2"/>
    <n v="0"/>
    <n v="0"/>
  </r>
  <r>
    <n v="703"/>
    <d v="2026-06-01T00:00:00"/>
    <x v="702"/>
    <s v="0000686"/>
    <s v="ədəd"/>
    <n v="2"/>
    <m/>
    <n v="0"/>
    <x v="1"/>
    <x v="2"/>
    <n v="0"/>
    <n v="0"/>
  </r>
  <r>
    <n v="704"/>
    <d v="2026-06-01T00:00:00"/>
    <x v="703"/>
    <s v="0000687"/>
    <s v="ədəd"/>
    <n v="1"/>
    <m/>
    <n v="0"/>
    <x v="1"/>
    <x v="2"/>
    <n v="0"/>
    <n v="0"/>
  </r>
  <r>
    <n v="705"/>
    <d v="2026-06-01T00:00:00"/>
    <x v="704"/>
    <s v="0000688"/>
    <s v="ədəd"/>
    <n v="1"/>
    <m/>
    <n v="0"/>
    <x v="1"/>
    <x v="2"/>
    <n v="0"/>
    <n v="0"/>
  </r>
  <r>
    <n v="706"/>
    <d v="2026-06-01T00:00:00"/>
    <x v="705"/>
    <s v="0000689"/>
    <s v="ədəd"/>
    <n v="2"/>
    <m/>
    <n v="0"/>
    <x v="1"/>
    <x v="2"/>
    <n v="0"/>
    <n v="0"/>
  </r>
  <r>
    <n v="707"/>
    <d v="2026-06-01T00:00:00"/>
    <x v="706"/>
    <s v="0000690"/>
    <s v="ədəd"/>
    <n v="1"/>
    <m/>
    <n v="0"/>
    <x v="1"/>
    <x v="2"/>
    <n v="0"/>
    <n v="0"/>
  </r>
  <r>
    <n v="708"/>
    <d v="2026-06-01T00:00:00"/>
    <x v="707"/>
    <s v="0000691"/>
    <s v="ədəd"/>
    <n v="6"/>
    <m/>
    <n v="0"/>
    <x v="1"/>
    <x v="2"/>
    <n v="0"/>
    <n v="0"/>
  </r>
  <r>
    <n v="709"/>
    <d v="2026-06-01T00:00:00"/>
    <x v="708"/>
    <s v="0000692"/>
    <s v="ədəd"/>
    <n v="2"/>
    <m/>
    <n v="0"/>
    <x v="1"/>
    <x v="2"/>
    <n v="0"/>
    <n v="0"/>
  </r>
  <r>
    <n v="710"/>
    <d v="2026-06-01T00:00:00"/>
    <x v="709"/>
    <s v="0000693"/>
    <s v="ədəd"/>
    <n v="6"/>
    <m/>
    <n v="0"/>
    <x v="1"/>
    <x v="2"/>
    <n v="0"/>
    <n v="0"/>
  </r>
  <r>
    <n v="711"/>
    <d v="2026-06-01T00:00:00"/>
    <x v="710"/>
    <s v="0000694"/>
    <s v="ədəd"/>
    <n v="2"/>
    <m/>
    <n v="0"/>
    <x v="1"/>
    <x v="2"/>
    <n v="0"/>
    <n v="0"/>
  </r>
  <r>
    <n v="712"/>
    <d v="2026-06-01T00:00:00"/>
    <x v="711"/>
    <s v="0000695"/>
    <s v="ədəd"/>
    <n v="1"/>
    <m/>
    <n v="0"/>
    <x v="1"/>
    <x v="2"/>
    <n v="0"/>
    <n v="0"/>
  </r>
  <r>
    <n v="713"/>
    <d v="2026-06-01T00:00:00"/>
    <x v="712"/>
    <s v="0000696"/>
    <s v="ədəd"/>
    <n v="1"/>
    <m/>
    <n v="0"/>
    <x v="1"/>
    <x v="2"/>
    <n v="0"/>
    <n v="0"/>
  </r>
  <r>
    <n v="714"/>
    <d v="2026-06-01T00:00:00"/>
    <x v="713"/>
    <s v="0000697"/>
    <s v="ədəd"/>
    <n v="1"/>
    <m/>
    <n v="0"/>
    <x v="1"/>
    <x v="2"/>
    <n v="0"/>
    <n v="0"/>
  </r>
  <r>
    <n v="715"/>
    <d v="2026-06-01T00:00:00"/>
    <x v="714"/>
    <s v="0000698"/>
    <s v="ədəd"/>
    <n v="1"/>
    <m/>
    <n v="0"/>
    <x v="1"/>
    <x v="2"/>
    <n v="0"/>
    <n v="0"/>
  </r>
  <r>
    <n v="716"/>
    <d v="2026-06-01T00:00:00"/>
    <x v="715"/>
    <s v="0000699"/>
    <s v="ədəd"/>
    <n v="1"/>
    <m/>
    <n v="0"/>
    <x v="1"/>
    <x v="2"/>
    <n v="0"/>
    <n v="0"/>
  </r>
  <r>
    <n v="717"/>
    <d v="2026-06-01T00:00:00"/>
    <x v="716"/>
    <s v="0000700"/>
    <s v="ədəd"/>
    <n v="1"/>
    <m/>
    <n v="0"/>
    <x v="1"/>
    <x v="2"/>
    <n v="0"/>
    <n v="0"/>
  </r>
  <r>
    <n v="718"/>
    <d v="2026-06-01T00:00:00"/>
    <x v="717"/>
    <s v="0000701"/>
    <s v="ədəd"/>
    <n v="1"/>
    <m/>
    <n v="0"/>
    <x v="1"/>
    <x v="2"/>
    <n v="0"/>
    <n v="0"/>
  </r>
  <r>
    <n v="719"/>
    <d v="2026-06-01T00:00:00"/>
    <x v="718"/>
    <s v="0000702"/>
    <s v="ədəd"/>
    <n v="1"/>
    <m/>
    <n v="0"/>
    <x v="1"/>
    <x v="2"/>
    <n v="0"/>
    <n v="0"/>
  </r>
  <r>
    <n v="720"/>
    <d v="2026-06-01T00:00:00"/>
    <x v="719"/>
    <s v="0000703"/>
    <s v="ədəd"/>
    <n v="7"/>
    <m/>
    <n v="0"/>
    <x v="1"/>
    <x v="2"/>
    <n v="0"/>
    <n v="0"/>
  </r>
  <r>
    <n v="721"/>
    <d v="2026-06-01T00:00:00"/>
    <x v="720"/>
    <s v="0000704"/>
    <s v="ədəd"/>
    <n v="1"/>
    <m/>
    <n v="0"/>
    <x v="1"/>
    <x v="2"/>
    <n v="0"/>
    <n v="0"/>
  </r>
  <r>
    <n v="722"/>
    <d v="2026-06-01T00:00:00"/>
    <x v="721"/>
    <s v="0000705"/>
    <s v="ədəd"/>
    <n v="6"/>
    <m/>
    <n v="0"/>
    <x v="1"/>
    <x v="2"/>
    <n v="0"/>
    <n v="0"/>
  </r>
  <r>
    <n v="723"/>
    <d v="2026-06-01T00:00:00"/>
    <x v="722"/>
    <s v="0000706"/>
    <s v="ədəd"/>
    <n v="1"/>
    <m/>
    <n v="0"/>
    <x v="1"/>
    <x v="2"/>
    <n v="0"/>
    <n v="0"/>
  </r>
  <r>
    <n v="724"/>
    <d v="2026-06-01T00:00:00"/>
    <x v="723"/>
    <s v="0000707"/>
    <s v="ədəd"/>
    <n v="1"/>
    <m/>
    <n v="0"/>
    <x v="1"/>
    <x v="2"/>
    <n v="0"/>
    <n v="0"/>
  </r>
  <r>
    <n v="725"/>
    <d v="2026-06-01T00:00:00"/>
    <x v="724"/>
    <s v="0000708"/>
    <s v="ədəd"/>
    <n v="1"/>
    <m/>
    <n v="0"/>
    <x v="1"/>
    <x v="2"/>
    <n v="0"/>
    <n v="0"/>
  </r>
  <r>
    <n v="726"/>
    <d v="2026-06-01T00:00:00"/>
    <x v="725"/>
    <s v="0000709"/>
    <s v="ədəd"/>
    <n v="1"/>
    <m/>
    <n v="0"/>
    <x v="1"/>
    <x v="2"/>
    <n v="0"/>
    <n v="0"/>
  </r>
  <r>
    <n v="727"/>
    <d v="2026-06-01T00:00:00"/>
    <x v="726"/>
    <s v="0000710"/>
    <s v="ədəd"/>
    <n v="1"/>
    <m/>
    <n v="0"/>
    <x v="1"/>
    <x v="2"/>
    <n v="0"/>
    <n v="0"/>
  </r>
  <r>
    <n v="728"/>
    <d v="2026-06-01T00:00:00"/>
    <x v="727"/>
    <s v="0000711"/>
    <s v="ədəd"/>
    <n v="2"/>
    <m/>
    <n v="0"/>
    <x v="1"/>
    <x v="2"/>
    <n v="0"/>
    <n v="0"/>
  </r>
  <r>
    <n v="729"/>
    <d v="2026-06-01T00:00:00"/>
    <x v="728"/>
    <s v="0000712"/>
    <s v="ədəd"/>
    <n v="2"/>
    <m/>
    <n v="0"/>
    <x v="1"/>
    <x v="2"/>
    <n v="0"/>
    <n v="0"/>
  </r>
  <r>
    <n v="730"/>
    <d v="2026-06-01T00:00:00"/>
    <x v="729"/>
    <s v="0000713"/>
    <s v="ədəd"/>
    <n v="1"/>
    <m/>
    <n v="0"/>
    <x v="1"/>
    <x v="2"/>
    <n v="0"/>
    <n v="0"/>
  </r>
  <r>
    <n v="731"/>
    <d v="2026-06-01T00:00:00"/>
    <x v="730"/>
    <s v="0000714"/>
    <s v="ədəd"/>
    <n v="1"/>
    <m/>
    <n v="0"/>
    <x v="1"/>
    <x v="2"/>
    <n v="0"/>
    <n v="0"/>
  </r>
  <r>
    <n v="732"/>
    <d v="2026-06-01T00:00:00"/>
    <x v="731"/>
    <s v="0000715"/>
    <s v="ədəd"/>
    <n v="1"/>
    <m/>
    <n v="0"/>
    <x v="1"/>
    <x v="2"/>
    <n v="0"/>
    <n v="0"/>
  </r>
  <r>
    <n v="733"/>
    <d v="2026-06-01T00:00:00"/>
    <x v="732"/>
    <s v="0000716"/>
    <s v="ədəd"/>
    <n v="1"/>
    <m/>
    <n v="0"/>
    <x v="1"/>
    <x v="2"/>
    <n v="0"/>
    <n v="0"/>
  </r>
  <r>
    <n v="734"/>
    <d v="2026-06-01T00:00:00"/>
    <x v="733"/>
    <s v="0000717"/>
    <s v="ədəd"/>
    <n v="1"/>
    <m/>
    <n v="0"/>
    <x v="1"/>
    <x v="2"/>
    <n v="0"/>
    <n v="0"/>
  </r>
  <r>
    <n v="735"/>
    <d v="2026-06-01T00:00:00"/>
    <x v="734"/>
    <s v="0000718"/>
    <s v="ədəd"/>
    <n v="1"/>
    <m/>
    <n v="0"/>
    <x v="1"/>
    <x v="2"/>
    <n v="0"/>
    <n v="0"/>
  </r>
  <r>
    <n v="736"/>
    <d v="2026-06-01T00:00:00"/>
    <x v="735"/>
    <s v="0000719"/>
    <s v="ədəd"/>
    <n v="1"/>
    <m/>
    <n v="0"/>
    <x v="1"/>
    <x v="2"/>
    <n v="0"/>
    <n v="0"/>
  </r>
  <r>
    <n v="737"/>
    <d v="2026-06-01T00:00:00"/>
    <x v="736"/>
    <s v="0000720"/>
    <s v="ədəd"/>
    <n v="1"/>
    <m/>
    <n v="0"/>
    <x v="1"/>
    <x v="2"/>
    <n v="0"/>
    <n v="0"/>
  </r>
  <r>
    <n v="738"/>
    <d v="2026-06-01T00:00:00"/>
    <x v="737"/>
    <s v="0000721"/>
    <s v="ədəd"/>
    <n v="1"/>
    <m/>
    <n v="0"/>
    <x v="1"/>
    <x v="2"/>
    <n v="0"/>
    <n v="0"/>
  </r>
  <r>
    <n v="739"/>
    <d v="2026-06-01T00:00:00"/>
    <x v="738"/>
    <s v="0000722"/>
    <s v="ədəd"/>
    <n v="1"/>
    <m/>
    <n v="0"/>
    <x v="1"/>
    <x v="2"/>
    <n v="0"/>
    <n v="0"/>
  </r>
  <r>
    <n v="740"/>
    <d v="2026-06-01T00:00:00"/>
    <x v="739"/>
    <s v="0000723"/>
    <s v="ədəd"/>
    <n v="2"/>
    <m/>
    <n v="0"/>
    <x v="1"/>
    <x v="2"/>
    <n v="0"/>
    <n v="0"/>
  </r>
  <r>
    <n v="741"/>
    <d v="2026-06-01T00:00:00"/>
    <x v="740"/>
    <s v="0000724"/>
    <s v="ədəd"/>
    <n v="1"/>
    <m/>
    <n v="0"/>
    <x v="1"/>
    <x v="2"/>
    <n v="0"/>
    <n v="0"/>
  </r>
  <r>
    <n v="742"/>
    <d v="2026-06-01T00:00:00"/>
    <x v="741"/>
    <s v="0000725"/>
    <s v="ədəd"/>
    <n v="1"/>
    <m/>
    <n v="0"/>
    <x v="1"/>
    <x v="2"/>
    <n v="0"/>
    <n v="0"/>
  </r>
  <r>
    <n v="743"/>
    <d v="2026-06-01T00:00:00"/>
    <x v="742"/>
    <s v="0000726"/>
    <s v="ədəd"/>
    <n v="80"/>
    <m/>
    <n v="0"/>
    <x v="1"/>
    <x v="2"/>
    <n v="0"/>
    <n v="0"/>
  </r>
  <r>
    <n v="744"/>
    <d v="2026-06-01T00:00:00"/>
    <x v="743"/>
    <s v="0000727"/>
    <s v="ədəd"/>
    <n v="1"/>
    <m/>
    <n v="0"/>
    <x v="1"/>
    <x v="2"/>
    <n v="0"/>
    <n v="0"/>
  </r>
  <r>
    <n v="745"/>
    <d v="2026-06-01T00:00:00"/>
    <x v="744"/>
    <s v="0000728"/>
    <s v="ədəd"/>
    <n v="9"/>
    <m/>
    <n v="0"/>
    <x v="1"/>
    <x v="2"/>
    <n v="0"/>
    <n v="0"/>
  </r>
  <r>
    <n v="746"/>
    <d v="2026-06-01T00:00:00"/>
    <x v="745"/>
    <s v="0000729"/>
    <s v="ədəd"/>
    <n v="1"/>
    <m/>
    <n v="0"/>
    <x v="1"/>
    <x v="2"/>
    <n v="0"/>
    <n v="0"/>
  </r>
  <r>
    <n v="747"/>
    <d v="2026-06-01T00:00:00"/>
    <x v="746"/>
    <s v="0000730"/>
    <s v="ədəd"/>
    <n v="1"/>
    <m/>
    <n v="0"/>
    <x v="1"/>
    <x v="2"/>
    <n v="0"/>
    <n v="0"/>
  </r>
  <r>
    <n v="748"/>
    <d v="2026-06-01T00:00:00"/>
    <x v="747"/>
    <s v="0000731"/>
    <s v="ədəd"/>
    <n v="12"/>
    <m/>
    <n v="0"/>
    <x v="1"/>
    <x v="2"/>
    <n v="0"/>
    <n v="0"/>
  </r>
  <r>
    <n v="749"/>
    <d v="2026-06-01T00:00:00"/>
    <x v="748"/>
    <s v="0000732"/>
    <s v="top"/>
    <n v="1"/>
    <m/>
    <n v="0"/>
    <x v="1"/>
    <x v="2"/>
    <n v="0"/>
    <n v="0"/>
  </r>
  <r>
    <n v="750"/>
    <d v="2026-06-01T00:00:00"/>
    <x v="749"/>
    <s v="0000733"/>
    <s v="ədəd"/>
    <n v="7"/>
    <m/>
    <n v="0"/>
    <x v="1"/>
    <x v="2"/>
    <n v="0"/>
    <n v="0"/>
  </r>
  <r>
    <n v="751"/>
    <d v="2026-06-01T00:00:00"/>
    <x v="750"/>
    <s v="0000734"/>
    <s v="ədəd"/>
    <n v="17"/>
    <m/>
    <n v="0"/>
    <x v="1"/>
    <x v="2"/>
    <n v="0"/>
    <n v="0"/>
  </r>
  <r>
    <n v="752"/>
    <d v="2026-06-01T00:00:00"/>
    <x v="751"/>
    <s v="0000735"/>
    <s v="ədəd"/>
    <n v="1"/>
    <m/>
    <n v="0"/>
    <x v="1"/>
    <x v="2"/>
    <n v="0"/>
    <n v="0"/>
  </r>
  <r>
    <n v="753"/>
    <d v="2026-06-01T00:00:00"/>
    <x v="752"/>
    <s v="0000736"/>
    <s v="ədəd"/>
    <n v="1"/>
    <m/>
    <n v="0"/>
    <x v="1"/>
    <x v="2"/>
    <n v="0"/>
    <n v="0"/>
  </r>
  <r>
    <n v="754"/>
    <d v="2026-06-01T00:00:00"/>
    <x v="753"/>
    <s v="0000737"/>
    <s v="ədəd"/>
    <n v="1"/>
    <m/>
    <n v="0"/>
    <x v="1"/>
    <x v="2"/>
    <n v="0"/>
    <n v="0"/>
  </r>
  <r>
    <n v="755"/>
    <d v="2026-06-01T00:00:00"/>
    <x v="754"/>
    <s v="0000738"/>
    <s v="ədəd"/>
    <n v="2"/>
    <m/>
    <n v="0"/>
    <x v="1"/>
    <x v="2"/>
    <n v="0"/>
    <n v="0"/>
  </r>
  <r>
    <n v="756"/>
    <d v="2026-06-01T00:00:00"/>
    <x v="755"/>
    <s v="0000739"/>
    <s v="ədəd"/>
    <n v="1"/>
    <m/>
    <n v="0"/>
    <x v="1"/>
    <x v="2"/>
    <n v="0"/>
    <n v="0"/>
  </r>
  <r>
    <n v="757"/>
    <d v="2026-06-01T00:00:00"/>
    <x v="756"/>
    <s v="0000740"/>
    <s v="ədəd"/>
    <n v="1"/>
    <m/>
    <n v="0"/>
    <x v="1"/>
    <x v="2"/>
    <n v="0"/>
    <n v="0"/>
  </r>
  <r>
    <n v="758"/>
    <d v="2026-06-01T00:00:00"/>
    <x v="757"/>
    <s v="0000741"/>
    <s v="ədəd"/>
    <n v="2"/>
    <m/>
    <n v="0"/>
    <x v="1"/>
    <x v="2"/>
    <n v="0"/>
    <n v="0"/>
  </r>
  <r>
    <n v="759"/>
    <d v="2026-06-01T00:00:00"/>
    <x v="758"/>
    <s v="0000742"/>
    <s v="kisə"/>
    <n v="3"/>
    <m/>
    <n v="0"/>
    <x v="1"/>
    <x v="2"/>
    <n v="0"/>
    <n v="0"/>
  </r>
  <r>
    <n v="760"/>
    <d v="2026-06-01T00:00:00"/>
    <x v="759"/>
    <s v="0000743"/>
    <s v="ədəd"/>
    <n v="2"/>
    <m/>
    <n v="0"/>
    <x v="1"/>
    <x v="2"/>
    <n v="0"/>
    <n v="0"/>
  </r>
  <r>
    <n v="761"/>
    <d v="2026-06-01T00:00:00"/>
    <x v="760"/>
    <s v="0000744"/>
    <s v="ədəd"/>
    <n v="1"/>
    <m/>
    <n v="0"/>
    <x v="1"/>
    <x v="2"/>
    <n v="0"/>
    <n v="0"/>
  </r>
  <r>
    <n v="762"/>
    <d v="2026-06-01T00:00:00"/>
    <x v="761"/>
    <s v="0000745"/>
    <s v="ədəd"/>
    <n v="1"/>
    <m/>
    <n v="0"/>
    <x v="1"/>
    <x v="2"/>
    <n v="0"/>
    <n v="0"/>
  </r>
  <r>
    <n v="763"/>
    <d v="2026-06-01T00:00:00"/>
    <x v="762"/>
    <s v="0000746"/>
    <s v="ədəd"/>
    <n v="420"/>
    <m/>
    <n v="0"/>
    <x v="1"/>
    <x v="2"/>
    <n v="0"/>
    <n v="0"/>
  </r>
  <r>
    <n v="764"/>
    <d v="2026-06-01T00:00:00"/>
    <x v="763"/>
    <s v="0000747"/>
    <s v="ədəd"/>
    <n v="553"/>
    <m/>
    <n v="0"/>
    <x v="1"/>
    <x v="2"/>
    <n v="0"/>
    <n v="0"/>
  </r>
  <r>
    <n v="765"/>
    <d v="2026-06-01T00:00:00"/>
    <x v="764"/>
    <s v="0000748"/>
    <s v="ədəd"/>
    <n v="127"/>
    <m/>
    <n v="0"/>
    <x v="1"/>
    <x v="2"/>
    <n v="0"/>
    <n v="0"/>
  </r>
  <r>
    <n v="766"/>
    <d v="2026-06-01T00:00:00"/>
    <x v="765"/>
    <s v="0000749"/>
    <s v="ədəd"/>
    <n v="8"/>
    <m/>
    <n v="0"/>
    <x v="1"/>
    <x v="2"/>
    <n v="0"/>
    <n v="0"/>
  </r>
  <r>
    <n v="767"/>
    <d v="2026-06-01T00:00:00"/>
    <x v="766"/>
    <s v="0000750"/>
    <s v="ədəd"/>
    <n v="45"/>
    <m/>
    <n v="0"/>
    <x v="1"/>
    <x v="2"/>
    <n v="0"/>
    <n v="0"/>
  </r>
  <r>
    <n v="768"/>
    <d v="2026-06-01T00:00:00"/>
    <x v="767"/>
    <s v="0000751"/>
    <s v="ədəd"/>
    <n v="464"/>
    <m/>
    <n v="0"/>
    <x v="1"/>
    <x v="2"/>
    <n v="0"/>
    <n v="0"/>
  </r>
  <r>
    <n v="769"/>
    <d v="2026-06-01T00:00:00"/>
    <x v="768"/>
    <s v="0000752"/>
    <s v="ədəd"/>
    <n v="104"/>
    <m/>
    <n v="0"/>
    <x v="1"/>
    <x v="2"/>
    <n v="0"/>
    <n v="0"/>
  </r>
  <r>
    <n v="770"/>
    <d v="2026-06-01T00:00:00"/>
    <x v="769"/>
    <s v="0000753"/>
    <s v="ədəd"/>
    <n v="94"/>
    <m/>
    <n v="0"/>
    <x v="1"/>
    <x v="2"/>
    <n v="0"/>
    <n v="0"/>
  </r>
  <r>
    <n v="771"/>
    <d v="2026-06-01T00:00:00"/>
    <x v="770"/>
    <s v="0000754"/>
    <s v="ədəd"/>
    <n v="2"/>
    <m/>
    <n v="0"/>
    <x v="1"/>
    <x v="2"/>
    <n v="0"/>
    <n v="0"/>
  </r>
  <r>
    <n v="772"/>
    <d v="2026-06-01T00:00:00"/>
    <x v="771"/>
    <s v="0000755"/>
    <s v="top"/>
    <n v="1"/>
    <m/>
    <n v="0"/>
    <x v="1"/>
    <x v="2"/>
    <n v="0"/>
    <n v="0"/>
  </r>
  <r>
    <n v="773"/>
    <d v="2026-06-01T00:00:00"/>
    <x v="772"/>
    <s v="0000756"/>
    <s v="top"/>
    <n v="1"/>
    <m/>
    <n v="0"/>
    <x v="1"/>
    <x v="2"/>
    <n v="0"/>
    <n v="0"/>
  </r>
  <r>
    <n v="774"/>
    <d v="2026-06-01T00:00:00"/>
    <x v="773"/>
    <s v="0000757"/>
    <s v="top"/>
    <n v="1"/>
    <m/>
    <n v="0"/>
    <x v="1"/>
    <x v="2"/>
    <n v="0"/>
    <n v="0"/>
  </r>
  <r>
    <n v="775"/>
    <d v="2026-06-01T00:00:00"/>
    <x v="774"/>
    <s v="0000758"/>
    <s v="top"/>
    <n v="1"/>
    <m/>
    <n v="0"/>
    <x v="1"/>
    <x v="2"/>
    <n v="0"/>
    <n v="0"/>
  </r>
  <r>
    <n v="776"/>
    <d v="2026-06-01T00:00:00"/>
    <x v="775"/>
    <s v="0000759"/>
    <s v="top"/>
    <n v="1"/>
    <m/>
    <n v="0"/>
    <x v="1"/>
    <x v="2"/>
    <n v="0"/>
    <n v="0"/>
  </r>
  <r>
    <n v="777"/>
    <d v="2026-06-01T00:00:00"/>
    <x v="776"/>
    <s v="0000760"/>
    <s v="top"/>
    <n v="1"/>
    <m/>
    <n v="0"/>
    <x v="1"/>
    <x v="2"/>
    <n v="0"/>
    <n v="0"/>
  </r>
  <r>
    <n v="778"/>
    <d v="2026-06-01T00:00:00"/>
    <x v="777"/>
    <s v="0000761"/>
    <s v="top"/>
    <n v="1"/>
    <m/>
    <n v="0"/>
    <x v="1"/>
    <x v="2"/>
    <n v="0"/>
    <n v="0"/>
  </r>
  <r>
    <n v="779"/>
    <d v="2026-06-01T00:00:00"/>
    <x v="778"/>
    <s v="0000762"/>
    <s v="ədəd"/>
    <n v="10"/>
    <m/>
    <n v="0"/>
    <x v="1"/>
    <x v="2"/>
    <n v="0"/>
    <n v="0"/>
  </r>
  <r>
    <n v="780"/>
    <d v="2026-06-01T00:00:00"/>
    <x v="779"/>
    <s v="0000764"/>
    <s v="ədəd"/>
    <n v="1"/>
    <m/>
    <n v="0"/>
    <x v="1"/>
    <x v="2"/>
    <n v="0"/>
    <n v="0"/>
  </r>
  <r>
    <n v="781"/>
    <d v="2026-06-01T00:00:00"/>
    <x v="780"/>
    <s v="0000765"/>
    <s v="ədəd"/>
    <n v="1"/>
    <m/>
    <n v="0"/>
    <x v="1"/>
    <x v="2"/>
    <n v="0"/>
    <n v="0"/>
  </r>
  <r>
    <n v="782"/>
    <d v="2026-06-01T00:00:00"/>
    <x v="781"/>
    <s v="0000766"/>
    <s v="ədəd"/>
    <n v="1"/>
    <m/>
    <n v="0"/>
    <x v="1"/>
    <x v="2"/>
    <n v="0"/>
    <n v="0"/>
  </r>
  <r>
    <n v="783"/>
    <d v="2026-06-01T00:00:00"/>
    <x v="782"/>
    <s v="0000767"/>
    <s v="paçka"/>
    <n v="1"/>
    <m/>
    <n v="0"/>
    <x v="1"/>
    <x v="2"/>
    <n v="0"/>
    <n v="0"/>
  </r>
  <r>
    <n v="784"/>
    <d v="2026-06-01T00:00:00"/>
    <x v="783"/>
    <s v="0000768"/>
    <s v="ədəd"/>
    <n v="1"/>
    <m/>
    <n v="0"/>
    <x v="1"/>
    <x v="2"/>
    <n v="0"/>
    <n v="0"/>
  </r>
  <r>
    <n v="785"/>
    <d v="2026-06-01T00:00:00"/>
    <x v="784"/>
    <s v="0000769"/>
    <s v="ədəd"/>
    <n v="4"/>
    <m/>
    <n v="0"/>
    <x v="1"/>
    <x v="2"/>
    <n v="0"/>
    <n v="0"/>
  </r>
  <r>
    <n v="786"/>
    <d v="2026-06-01T00:00:00"/>
    <x v="785"/>
    <s v="0000770"/>
    <s v="ədəd"/>
    <n v="1"/>
    <m/>
    <n v="0"/>
    <x v="1"/>
    <x v="2"/>
    <n v="0"/>
    <n v="0"/>
  </r>
  <r>
    <n v="787"/>
    <d v="2026-06-01T00:00:00"/>
    <x v="786"/>
    <s v="0000771"/>
    <s v="ədəd"/>
    <n v="1"/>
    <m/>
    <n v="0"/>
    <x v="1"/>
    <x v="2"/>
    <n v="0"/>
    <n v="0"/>
  </r>
  <r>
    <n v="788"/>
    <d v="2026-06-01T00:00:00"/>
    <x v="787"/>
    <s v="0000772"/>
    <s v="ədəd"/>
    <n v="1"/>
    <m/>
    <n v="0"/>
    <x v="1"/>
    <x v="2"/>
    <n v="0"/>
    <n v="0"/>
  </r>
  <r>
    <n v="789"/>
    <d v="2026-06-01T00:00:00"/>
    <x v="788"/>
    <s v="0000773"/>
    <s v="kisə"/>
    <n v="1"/>
    <m/>
    <n v="0"/>
    <x v="1"/>
    <x v="2"/>
    <n v="0"/>
    <n v="0"/>
  </r>
  <r>
    <n v="790"/>
    <d v="2026-06-01T00:00:00"/>
    <x v="789"/>
    <s v="0000774"/>
    <s v="ədəd"/>
    <n v="10"/>
    <m/>
    <n v="0"/>
    <x v="1"/>
    <x v="2"/>
    <n v="0"/>
    <n v="0"/>
  </r>
  <r>
    <n v="791"/>
    <d v="2026-06-01T00:00:00"/>
    <x v="790"/>
    <s v="0000775"/>
    <s v="ədəd"/>
    <n v="94"/>
    <m/>
    <n v="0"/>
    <x v="1"/>
    <x v="2"/>
    <n v="0"/>
    <n v="0"/>
  </r>
  <r>
    <n v="792"/>
    <d v="2026-06-01T00:00:00"/>
    <x v="791"/>
    <s v="0000776"/>
    <s v="ədəd"/>
    <n v="50"/>
    <m/>
    <n v="0"/>
    <x v="1"/>
    <x v="2"/>
    <n v="0"/>
    <n v="0"/>
  </r>
  <r>
    <n v="793"/>
    <d v="2026-06-01T00:00:00"/>
    <x v="792"/>
    <s v="0000777"/>
    <s v="ədəd"/>
    <n v="1"/>
    <m/>
    <n v="0"/>
    <x v="1"/>
    <x v="2"/>
    <n v="0"/>
    <n v="0"/>
  </r>
  <r>
    <n v="794"/>
    <d v="2026-06-01T00:00:00"/>
    <x v="793"/>
    <s v="0000778"/>
    <s v="ədəd"/>
    <n v="1"/>
    <m/>
    <n v="0"/>
    <x v="1"/>
    <x v="2"/>
    <n v="0"/>
    <n v="0"/>
  </r>
  <r>
    <n v="795"/>
    <d v="2026-06-01T00:00:00"/>
    <x v="794"/>
    <s v="0000779"/>
    <s v="ədəd"/>
    <n v="1"/>
    <m/>
    <n v="0"/>
    <x v="1"/>
    <x v="2"/>
    <n v="0"/>
    <n v="0"/>
  </r>
  <r>
    <n v="796"/>
    <d v="2026-06-01T00:00:00"/>
    <x v="795"/>
    <s v="0000780"/>
    <s v="ədəd"/>
    <n v="1"/>
    <m/>
    <n v="0"/>
    <x v="1"/>
    <x v="2"/>
    <n v="0"/>
    <n v="0"/>
  </r>
  <r>
    <n v="797"/>
    <d v="2026-06-01T00:00:00"/>
    <x v="796"/>
    <s v="0000781"/>
    <s v="ədəd"/>
    <n v="12"/>
    <m/>
    <n v="0"/>
    <x v="1"/>
    <x v="2"/>
    <n v="0"/>
    <n v="0"/>
  </r>
  <r>
    <n v="798"/>
    <d v="2026-06-01T00:00:00"/>
    <x v="797"/>
    <s v="0000782"/>
    <s v="ədəd"/>
    <n v="142"/>
    <m/>
    <n v="0"/>
    <x v="1"/>
    <x v="2"/>
    <n v="0"/>
    <n v="0"/>
  </r>
  <r>
    <n v="799"/>
    <d v="2026-06-01T00:00:00"/>
    <x v="798"/>
    <s v="0000783"/>
    <s v="ədəd"/>
    <n v="4"/>
    <m/>
    <n v="0"/>
    <x v="1"/>
    <x v="2"/>
    <n v="0"/>
    <n v="0"/>
  </r>
  <r>
    <n v="800"/>
    <d v="2026-06-01T00:00:00"/>
    <x v="799"/>
    <s v="0000784"/>
    <s v="ədəd"/>
    <n v="4"/>
    <m/>
    <n v="0"/>
    <x v="1"/>
    <x v="2"/>
    <n v="0"/>
    <n v="0"/>
  </r>
  <r>
    <n v="801"/>
    <d v="2026-06-01T00:00:00"/>
    <x v="800"/>
    <s v="0000785"/>
    <s v="ədəd"/>
    <n v="2"/>
    <m/>
    <n v="0"/>
    <x v="1"/>
    <x v="2"/>
    <n v="0"/>
    <n v="0"/>
  </r>
  <r>
    <n v="802"/>
    <d v="2026-06-01T00:00:00"/>
    <x v="801"/>
    <s v="0000786"/>
    <s v="ədəd"/>
    <n v="1"/>
    <m/>
    <n v="0"/>
    <x v="1"/>
    <x v="2"/>
    <n v="0"/>
    <n v="0"/>
  </r>
  <r>
    <n v="803"/>
    <d v="2026-06-01T00:00:00"/>
    <x v="802"/>
    <s v="0000787"/>
    <s v="ədəd"/>
    <n v="1"/>
    <m/>
    <n v="0"/>
    <x v="1"/>
    <x v="2"/>
    <n v="0"/>
    <n v="0"/>
  </r>
  <r>
    <n v="804"/>
    <d v="2026-06-01T00:00:00"/>
    <x v="803"/>
    <s v="0000788"/>
    <s v="ədəd"/>
    <n v="1"/>
    <m/>
    <n v="0"/>
    <x v="1"/>
    <x v="2"/>
    <n v="0"/>
    <n v="0"/>
  </r>
  <r>
    <n v="805"/>
    <d v="2026-06-01T00:00:00"/>
    <x v="804"/>
    <s v="0000789"/>
    <s v="ədəd"/>
    <n v="40"/>
    <m/>
    <n v="0"/>
    <x v="1"/>
    <x v="2"/>
    <n v="0"/>
    <n v="0"/>
  </r>
  <r>
    <n v="806"/>
    <d v="2026-06-01T00:00:00"/>
    <x v="805"/>
    <s v="0000790"/>
    <s v="metr"/>
    <n v="6"/>
    <m/>
    <n v="0"/>
    <x v="1"/>
    <x v="2"/>
    <n v="0"/>
    <n v="0"/>
  </r>
  <r>
    <n v="807"/>
    <d v="2026-06-01T00:00:00"/>
    <x v="806"/>
    <s v="0000791"/>
    <s v="ədəd"/>
    <n v="1"/>
    <m/>
    <n v="0"/>
    <x v="1"/>
    <x v="2"/>
    <n v="0"/>
    <n v="0"/>
  </r>
  <r>
    <n v="808"/>
    <d v="2026-06-01T00:00:00"/>
    <x v="807"/>
    <s v="0000792"/>
    <s v="ədəd"/>
    <n v="10"/>
    <m/>
    <n v="0"/>
    <x v="1"/>
    <x v="2"/>
    <n v="0"/>
    <n v="0"/>
  </r>
  <r>
    <n v="809"/>
    <d v="2026-06-01T00:00:00"/>
    <x v="808"/>
    <s v="0000793"/>
    <s v="ədəd"/>
    <n v="8"/>
    <m/>
    <n v="0"/>
    <x v="1"/>
    <x v="2"/>
    <n v="0"/>
    <n v="0"/>
  </r>
  <r>
    <n v="810"/>
    <d v="2026-06-01T00:00:00"/>
    <x v="809"/>
    <s v="0000794"/>
    <s v="ədəd"/>
    <n v="2"/>
    <m/>
    <n v="0"/>
    <x v="1"/>
    <x v="2"/>
    <n v="0"/>
    <n v="0"/>
  </r>
  <r>
    <n v="811"/>
    <d v="2026-06-01T00:00:00"/>
    <x v="810"/>
    <s v="0000795"/>
    <s v="ədəd"/>
    <n v="6"/>
    <m/>
    <n v="0"/>
    <x v="1"/>
    <x v="2"/>
    <n v="0"/>
    <n v="0"/>
  </r>
  <r>
    <n v="812"/>
    <d v="2026-06-01T00:00:00"/>
    <x v="811"/>
    <s v="0000796"/>
    <s v="ədəd"/>
    <n v="3"/>
    <m/>
    <n v="0"/>
    <x v="1"/>
    <x v="2"/>
    <n v="0"/>
    <n v="0"/>
  </r>
  <r>
    <n v="813"/>
    <d v="2026-06-01T00:00:00"/>
    <x v="812"/>
    <s v="0000797"/>
    <s v="ədəd"/>
    <n v="3"/>
    <m/>
    <n v="0"/>
    <x v="1"/>
    <x v="2"/>
    <n v="0"/>
    <n v="0"/>
  </r>
  <r>
    <n v="814"/>
    <d v="2026-06-01T00:00:00"/>
    <x v="813"/>
    <s v="0000798"/>
    <s v="ədəd"/>
    <n v="1"/>
    <m/>
    <n v="0"/>
    <x v="1"/>
    <x v="2"/>
    <n v="0"/>
    <n v="0"/>
  </r>
  <r>
    <n v="815"/>
    <d v="2026-06-01T00:00:00"/>
    <x v="814"/>
    <s v="0000799"/>
    <s v="ədəd"/>
    <n v="1"/>
    <m/>
    <n v="0"/>
    <x v="1"/>
    <x v="2"/>
    <n v="0"/>
    <n v="0"/>
  </r>
  <r>
    <n v="816"/>
    <d v="2026-06-01T00:00:00"/>
    <x v="815"/>
    <s v="0000800"/>
    <s v="ədəd"/>
    <n v="1"/>
    <m/>
    <n v="0"/>
    <x v="1"/>
    <x v="2"/>
    <n v="0"/>
    <n v="0"/>
  </r>
  <r>
    <n v="817"/>
    <d v="2026-06-01T00:00:00"/>
    <x v="816"/>
    <s v="0000801"/>
    <s v="ədəd"/>
    <n v="1"/>
    <m/>
    <n v="0"/>
    <x v="1"/>
    <x v="2"/>
    <n v="0"/>
    <n v="0"/>
  </r>
  <r>
    <n v="818"/>
    <d v="2026-06-01T00:00:00"/>
    <x v="817"/>
    <s v="0000802"/>
    <s v="ədəd"/>
    <n v="1"/>
    <m/>
    <n v="0"/>
    <x v="1"/>
    <x v="2"/>
    <n v="0"/>
    <n v="0"/>
  </r>
  <r>
    <n v="819"/>
    <d v="2026-06-01T00:00:00"/>
    <x v="818"/>
    <s v="0000803"/>
    <s v="ədəd"/>
    <n v="1"/>
    <m/>
    <n v="0"/>
    <x v="1"/>
    <x v="2"/>
    <n v="0"/>
    <n v="0"/>
  </r>
  <r>
    <n v="820"/>
    <d v="2026-06-01T00:00:00"/>
    <x v="819"/>
    <s v="0000804"/>
    <s v="ədəd"/>
    <n v="3"/>
    <m/>
    <n v="0"/>
    <x v="1"/>
    <x v="2"/>
    <n v="0"/>
    <n v="0"/>
  </r>
  <r>
    <n v="821"/>
    <d v="2026-06-01T00:00:00"/>
    <x v="820"/>
    <s v="0000805"/>
    <s v="ədəd"/>
    <n v="6"/>
    <m/>
    <n v="0"/>
    <x v="1"/>
    <x v="2"/>
    <n v="0"/>
    <n v="0"/>
  </r>
  <r>
    <n v="822"/>
    <d v="2026-06-01T00:00:00"/>
    <x v="821"/>
    <s v="0000806"/>
    <s v="ədəd"/>
    <n v="1"/>
    <m/>
    <n v="0"/>
    <x v="1"/>
    <x v="2"/>
    <n v="0"/>
    <n v="0"/>
  </r>
  <r>
    <n v="823"/>
    <d v="2026-06-01T00:00:00"/>
    <x v="822"/>
    <s v="0000807"/>
    <s v="ədəd"/>
    <n v="1"/>
    <m/>
    <n v="0"/>
    <x v="1"/>
    <x v="2"/>
    <n v="0"/>
    <n v="0"/>
  </r>
  <r>
    <n v="824"/>
    <d v="2026-06-01T00:00:00"/>
    <x v="823"/>
    <s v="0000808"/>
    <s v="ədəd"/>
    <n v="1"/>
    <m/>
    <n v="0"/>
    <x v="1"/>
    <x v="2"/>
    <n v="0"/>
    <n v="0"/>
  </r>
  <r>
    <n v="825"/>
    <d v="2026-06-01T00:00:00"/>
    <x v="824"/>
    <s v="0000809"/>
    <s v="ədəd"/>
    <n v="44"/>
    <m/>
    <n v="0"/>
    <x v="1"/>
    <x v="2"/>
    <n v="0"/>
    <n v="0"/>
  </r>
  <r>
    <n v="826"/>
    <d v="2026-06-01T00:00:00"/>
    <x v="825"/>
    <s v="0000810"/>
    <s v="ədəd"/>
    <n v="3"/>
    <m/>
    <n v="0"/>
    <x v="1"/>
    <x v="2"/>
    <n v="0"/>
    <n v="0"/>
  </r>
  <r>
    <n v="827"/>
    <d v="2026-06-01T00:00:00"/>
    <x v="826"/>
    <s v="0000811"/>
    <s v="ədəd"/>
    <n v="54"/>
    <m/>
    <n v="0"/>
    <x v="1"/>
    <x v="2"/>
    <n v="0"/>
    <n v="0"/>
  </r>
  <r>
    <n v="828"/>
    <d v="2026-06-01T00:00:00"/>
    <x v="827"/>
    <s v="0000812"/>
    <s v="ədəd"/>
    <n v="54"/>
    <m/>
    <n v="0"/>
    <x v="1"/>
    <x v="2"/>
    <n v="0"/>
    <n v="0"/>
  </r>
  <r>
    <n v="829"/>
    <d v="2026-06-01T00:00:00"/>
    <x v="828"/>
    <s v="0000813"/>
    <s v="ədəd"/>
    <n v="11"/>
    <m/>
    <n v="0"/>
    <x v="1"/>
    <x v="2"/>
    <n v="0"/>
    <n v="0"/>
  </r>
  <r>
    <n v="830"/>
    <d v="2026-06-01T00:00:00"/>
    <x v="829"/>
    <s v="0000814"/>
    <s v="ədəd"/>
    <n v="2"/>
    <m/>
    <n v="0"/>
    <x v="1"/>
    <x v="2"/>
    <n v="0"/>
    <n v="0"/>
  </r>
  <r>
    <n v="831"/>
    <d v="2026-06-01T00:00:00"/>
    <x v="830"/>
    <s v="0000815"/>
    <s v="ədəd"/>
    <n v="3"/>
    <m/>
    <n v="0"/>
    <x v="1"/>
    <x v="2"/>
    <n v="0"/>
    <n v="0"/>
  </r>
  <r>
    <n v="832"/>
    <d v="2026-06-01T00:00:00"/>
    <x v="831"/>
    <s v="0000816"/>
    <s v="ədəd"/>
    <n v="93"/>
    <m/>
    <n v="0"/>
    <x v="1"/>
    <x v="2"/>
    <n v="0"/>
    <n v="0"/>
  </r>
  <r>
    <n v="833"/>
    <d v="2026-06-01T00:00:00"/>
    <x v="832"/>
    <s v="0000817"/>
    <s v="ədəd"/>
    <n v="94"/>
    <m/>
    <n v="0"/>
    <x v="1"/>
    <x v="2"/>
    <n v="0"/>
    <n v="0"/>
  </r>
  <r>
    <n v="834"/>
    <d v="2026-06-01T00:00:00"/>
    <x v="833"/>
    <s v="0000818"/>
    <s v="ədəd"/>
    <n v="10"/>
    <m/>
    <n v="0"/>
    <x v="1"/>
    <x v="2"/>
    <n v="0"/>
    <n v="0"/>
  </r>
  <r>
    <n v="835"/>
    <d v="2026-06-01T00:00:00"/>
    <x v="834"/>
    <s v="0000819"/>
    <s v="ədəd"/>
    <n v="14"/>
    <m/>
    <n v="0"/>
    <x v="1"/>
    <x v="2"/>
    <n v="0"/>
    <n v="0"/>
  </r>
  <r>
    <n v="836"/>
    <d v="2026-06-01T00:00:00"/>
    <x v="835"/>
    <s v="0000820"/>
    <s v="ədəd"/>
    <n v="6"/>
    <m/>
    <n v="0"/>
    <x v="1"/>
    <x v="2"/>
    <n v="0"/>
    <n v="0"/>
  </r>
  <r>
    <n v="837"/>
    <d v="2026-06-01T00:00:00"/>
    <x v="836"/>
    <s v="0000821"/>
    <s v="ədəd"/>
    <n v="2"/>
    <m/>
    <n v="0"/>
    <x v="1"/>
    <x v="2"/>
    <n v="0"/>
    <n v="0"/>
  </r>
  <r>
    <n v="838"/>
    <d v="2026-06-01T00:00:00"/>
    <x v="837"/>
    <s v="0000822"/>
    <s v="ədəd"/>
    <n v="3"/>
    <m/>
    <n v="0"/>
    <x v="1"/>
    <x v="2"/>
    <n v="0"/>
    <n v="0"/>
  </r>
  <r>
    <n v="839"/>
    <d v="2026-06-01T00:00:00"/>
    <x v="838"/>
    <s v="0000823"/>
    <s v="ədəd"/>
    <n v="1"/>
    <m/>
    <n v="0"/>
    <x v="1"/>
    <x v="2"/>
    <n v="0"/>
    <n v="0"/>
  </r>
  <r>
    <n v="840"/>
    <d v="2026-06-01T00:00:00"/>
    <x v="839"/>
    <s v="0000824"/>
    <s v="ədəd"/>
    <n v="2"/>
    <m/>
    <n v="0"/>
    <x v="1"/>
    <x v="2"/>
    <n v="0"/>
    <n v="0"/>
  </r>
  <r>
    <n v="841"/>
    <d v="2026-06-01T00:00:00"/>
    <x v="840"/>
    <s v="0000825"/>
    <s v="ədəd"/>
    <n v="1"/>
    <m/>
    <n v="0"/>
    <x v="1"/>
    <x v="2"/>
    <n v="0"/>
    <n v="0"/>
  </r>
  <r>
    <n v="842"/>
    <d v="2026-06-01T00:00:00"/>
    <x v="841"/>
    <s v="0000826"/>
    <s v="ədəd"/>
    <n v="2"/>
    <m/>
    <n v="0"/>
    <x v="1"/>
    <x v="2"/>
    <n v="0"/>
    <n v="0"/>
  </r>
  <r>
    <n v="843"/>
    <d v="2026-06-01T00:00:00"/>
    <x v="842"/>
    <s v="0000827"/>
    <s v="ədəd"/>
    <n v="3"/>
    <m/>
    <n v="0"/>
    <x v="1"/>
    <x v="2"/>
    <n v="0"/>
    <n v="0"/>
  </r>
  <r>
    <n v="844"/>
    <d v="2026-06-01T00:00:00"/>
    <x v="843"/>
    <s v="0000828"/>
    <s v="ədəd"/>
    <n v="1"/>
    <m/>
    <n v="0"/>
    <x v="1"/>
    <x v="2"/>
    <n v="0"/>
    <n v="0"/>
  </r>
  <r>
    <n v="845"/>
    <d v="2026-06-01T00:00:00"/>
    <x v="844"/>
    <s v="0000829"/>
    <s v="ədəd"/>
    <n v="140"/>
    <m/>
    <n v="0"/>
    <x v="1"/>
    <x v="2"/>
    <n v="0"/>
    <n v="0"/>
  </r>
  <r>
    <n v="846"/>
    <d v="2026-06-01T00:00:00"/>
    <x v="845"/>
    <s v="0000830"/>
    <s v="ədəd"/>
    <n v="85"/>
    <m/>
    <n v="0"/>
    <x v="1"/>
    <x v="2"/>
    <n v="0"/>
    <n v="0"/>
  </r>
  <r>
    <n v="847"/>
    <d v="2026-06-01T00:00:00"/>
    <x v="846"/>
    <s v="0000831"/>
    <s v="ədəd"/>
    <n v="4"/>
    <m/>
    <n v="0"/>
    <x v="1"/>
    <x v="2"/>
    <n v="0"/>
    <n v="0"/>
  </r>
  <r>
    <n v="848"/>
    <d v="2026-06-01T00:00:00"/>
    <x v="847"/>
    <s v="0000832"/>
    <s v="ədəd"/>
    <n v="7"/>
    <m/>
    <n v="0"/>
    <x v="1"/>
    <x v="2"/>
    <n v="0"/>
    <n v="0"/>
  </r>
  <r>
    <n v="849"/>
    <d v="2026-06-01T00:00:00"/>
    <x v="848"/>
    <s v="0000833"/>
    <s v="ədəd"/>
    <n v="2"/>
    <m/>
    <n v="0"/>
    <x v="1"/>
    <x v="2"/>
    <n v="0"/>
    <n v="0"/>
  </r>
  <r>
    <n v="850"/>
    <d v="2026-06-01T00:00:00"/>
    <x v="849"/>
    <s v="0000834"/>
    <s v="ədəd"/>
    <n v="1"/>
    <m/>
    <n v="0"/>
    <x v="1"/>
    <x v="2"/>
    <n v="0"/>
    <n v="0"/>
  </r>
  <r>
    <n v="851"/>
    <d v="2026-06-01T00:00:00"/>
    <x v="850"/>
    <s v="0000835"/>
    <s v="ədəd"/>
    <n v="1"/>
    <m/>
    <n v="0"/>
    <x v="1"/>
    <x v="2"/>
    <n v="0"/>
    <n v="0"/>
  </r>
  <r>
    <n v="852"/>
    <d v="2026-06-01T00:00:00"/>
    <x v="851"/>
    <s v="0000836"/>
    <s v="ədəd"/>
    <n v="1"/>
    <m/>
    <n v="0"/>
    <x v="1"/>
    <x v="2"/>
    <n v="0"/>
    <n v="0"/>
  </r>
  <r>
    <n v="853"/>
    <d v="2026-06-01T00:00:00"/>
    <x v="852"/>
    <s v="0000837"/>
    <s v="ədəd"/>
    <n v="1"/>
    <m/>
    <n v="0"/>
    <x v="1"/>
    <x v="2"/>
    <n v="0"/>
    <n v="0"/>
  </r>
  <r>
    <n v="854"/>
    <d v="2026-06-01T00:00:00"/>
    <x v="853"/>
    <s v="0000838"/>
    <s v="ədəd"/>
    <n v="1"/>
    <m/>
    <n v="0"/>
    <x v="1"/>
    <x v="2"/>
    <n v="0"/>
    <n v="0"/>
  </r>
  <r>
    <n v="855"/>
    <d v="2026-06-01T00:00:00"/>
    <x v="854"/>
    <s v="0000839"/>
    <s v="ədəd"/>
    <n v="2"/>
    <m/>
    <n v="0"/>
    <x v="1"/>
    <x v="2"/>
    <n v="0"/>
    <n v="0"/>
  </r>
  <r>
    <n v="856"/>
    <d v="2026-06-01T00:00:00"/>
    <x v="855"/>
    <s v="0000840"/>
    <s v="ədəd"/>
    <n v="1"/>
    <m/>
    <n v="0"/>
    <x v="1"/>
    <x v="2"/>
    <n v="0"/>
    <n v="0"/>
  </r>
  <r>
    <n v="857"/>
    <d v="2026-06-01T00:00:00"/>
    <x v="856"/>
    <s v="0000841"/>
    <s v="ədəd"/>
    <n v="2"/>
    <m/>
    <n v="0"/>
    <x v="1"/>
    <x v="2"/>
    <n v="0"/>
    <n v="0"/>
  </r>
  <r>
    <n v="858"/>
    <d v="2026-06-01T00:00:00"/>
    <x v="857"/>
    <s v="0000842"/>
    <s v="ədəd"/>
    <n v="1"/>
    <m/>
    <n v="0"/>
    <x v="1"/>
    <x v="2"/>
    <n v="0"/>
    <n v="0"/>
  </r>
  <r>
    <n v="859"/>
    <d v="2026-06-01T00:00:00"/>
    <x v="858"/>
    <s v="0000843"/>
    <s v="ədəd"/>
    <n v="7"/>
    <m/>
    <n v="0"/>
    <x v="1"/>
    <x v="2"/>
    <n v="0"/>
    <n v="0"/>
  </r>
  <r>
    <n v="860"/>
    <d v="2026-06-01T00:00:00"/>
    <x v="859"/>
    <s v="0000844"/>
    <s v="ədəd"/>
    <n v="2"/>
    <m/>
    <n v="0"/>
    <x v="1"/>
    <x v="2"/>
    <n v="0"/>
    <n v="0"/>
  </r>
  <r>
    <n v="861"/>
    <d v="2026-06-01T00:00:00"/>
    <x v="860"/>
    <s v="0000845"/>
    <s v="ədəd"/>
    <n v="44"/>
    <m/>
    <n v="0"/>
    <x v="1"/>
    <x v="2"/>
    <n v="0"/>
    <n v="0"/>
  </r>
  <r>
    <n v="862"/>
    <d v="2026-06-01T00:00:00"/>
    <x v="861"/>
    <s v="0000846"/>
    <s v="ədəd"/>
    <n v="18"/>
    <m/>
    <n v="0"/>
    <x v="1"/>
    <x v="2"/>
    <n v="0"/>
    <n v="0"/>
  </r>
  <r>
    <n v="863"/>
    <d v="2026-06-01T00:00:00"/>
    <x v="862"/>
    <s v="0000847"/>
    <s v="ədəd"/>
    <n v="44"/>
    <m/>
    <n v="0"/>
    <x v="1"/>
    <x v="2"/>
    <n v="0"/>
    <n v="0"/>
  </r>
  <r>
    <n v="864"/>
    <d v="2026-06-01T00:00:00"/>
    <x v="863"/>
    <s v="0000848"/>
    <s v="ədəd"/>
    <n v="12"/>
    <m/>
    <n v="0"/>
    <x v="1"/>
    <x v="2"/>
    <n v="0"/>
    <n v="0"/>
  </r>
  <r>
    <n v="865"/>
    <d v="2026-06-01T00:00:00"/>
    <x v="864"/>
    <s v="0000849"/>
    <s v="ədəd"/>
    <n v="4"/>
    <m/>
    <n v="0"/>
    <x v="1"/>
    <x v="2"/>
    <n v="0"/>
    <n v="0"/>
  </r>
  <r>
    <n v="866"/>
    <d v="2026-06-01T00:00:00"/>
    <x v="865"/>
    <s v="0000850"/>
    <s v="ədəd"/>
    <n v="9"/>
    <m/>
    <n v="0"/>
    <x v="1"/>
    <x v="2"/>
    <n v="0"/>
    <n v="0"/>
  </r>
  <r>
    <n v="867"/>
    <d v="2026-06-01T00:00:00"/>
    <x v="866"/>
    <s v="0000851"/>
    <s v="ədəd"/>
    <n v="100"/>
    <m/>
    <n v="0"/>
    <x v="1"/>
    <x v="2"/>
    <n v="0"/>
    <n v="0"/>
  </r>
  <r>
    <n v="868"/>
    <d v="2026-06-01T00:00:00"/>
    <x v="867"/>
    <s v="0000852"/>
    <s v="ədəd"/>
    <n v="8"/>
    <m/>
    <n v="0"/>
    <x v="1"/>
    <x v="2"/>
    <n v="0"/>
    <n v="0"/>
  </r>
  <r>
    <n v="869"/>
    <d v="2026-06-01T00:00:00"/>
    <x v="868"/>
    <s v="0000853"/>
    <s v="ədəd"/>
    <n v="14"/>
    <m/>
    <n v="0"/>
    <x v="1"/>
    <x v="2"/>
    <n v="0"/>
    <n v="0"/>
  </r>
  <r>
    <n v="870"/>
    <d v="2026-06-01T00:00:00"/>
    <x v="869"/>
    <s v="0000854"/>
    <s v="ədəd"/>
    <n v="7"/>
    <m/>
    <n v="0"/>
    <x v="1"/>
    <x v="2"/>
    <n v="0"/>
    <n v="0"/>
  </r>
  <r>
    <n v="871"/>
    <d v="2026-06-01T00:00:00"/>
    <x v="870"/>
    <s v="0000855"/>
    <s v="paçka"/>
    <n v="1"/>
    <m/>
    <n v="0"/>
    <x v="1"/>
    <x v="2"/>
    <n v="0"/>
    <n v="0"/>
  </r>
  <r>
    <n v="872"/>
    <d v="2026-06-01T00:00:00"/>
    <x v="871"/>
    <s v="0000856"/>
    <s v="top"/>
    <n v="1"/>
    <m/>
    <n v="0"/>
    <x v="1"/>
    <x v="2"/>
    <n v="0"/>
    <n v="0"/>
  </r>
  <r>
    <n v="873"/>
    <d v="2026-06-01T00:00:00"/>
    <x v="872"/>
    <s v="0000857"/>
    <s v="ədəd"/>
    <n v="9"/>
    <m/>
    <n v="0"/>
    <x v="1"/>
    <x v="2"/>
    <n v="0"/>
    <n v="0"/>
  </r>
  <r>
    <n v="874"/>
    <d v="2026-06-01T00:00:00"/>
    <x v="873"/>
    <s v="0000858"/>
    <s v="ədəd"/>
    <n v="1"/>
    <m/>
    <n v="0"/>
    <x v="1"/>
    <x v="2"/>
    <n v="0"/>
    <n v="0"/>
  </r>
  <r>
    <n v="875"/>
    <d v="2026-06-01T00:00:00"/>
    <x v="874"/>
    <s v="0000859"/>
    <s v="ədəd"/>
    <n v="1"/>
    <m/>
    <n v="0"/>
    <x v="1"/>
    <x v="2"/>
    <n v="0"/>
    <n v="0"/>
  </r>
  <r>
    <n v="876"/>
    <d v="2026-06-01T00:00:00"/>
    <x v="875"/>
    <s v="0000860"/>
    <s v="paçka"/>
    <n v="1"/>
    <m/>
    <n v="0"/>
    <x v="1"/>
    <x v="2"/>
    <n v="0"/>
    <n v="0"/>
  </r>
  <r>
    <n v="877"/>
    <d v="2026-06-01T00:00:00"/>
    <x v="876"/>
    <s v="0000861"/>
    <s v="paçka"/>
    <n v="3"/>
    <m/>
    <n v="0"/>
    <x v="1"/>
    <x v="2"/>
    <n v="0"/>
    <n v="0"/>
  </r>
  <r>
    <n v="878"/>
    <d v="2026-06-01T00:00:00"/>
    <x v="877"/>
    <s v="0000862"/>
    <s v="ədəd"/>
    <n v="3"/>
    <m/>
    <n v="0"/>
    <x v="1"/>
    <x v="2"/>
    <n v="0"/>
    <n v="0"/>
  </r>
  <r>
    <n v="879"/>
    <d v="2026-06-01T00:00:00"/>
    <x v="878"/>
    <s v="0000863"/>
    <s v="ədəd"/>
    <n v="59"/>
    <m/>
    <n v="0"/>
    <x v="1"/>
    <x v="2"/>
    <n v="0"/>
    <n v="0"/>
  </r>
  <r>
    <n v="880"/>
    <d v="2026-06-01T00:00:00"/>
    <x v="879"/>
    <s v="0000864"/>
    <s v="ədəd"/>
    <n v="40"/>
    <m/>
    <n v="0"/>
    <x v="1"/>
    <x v="2"/>
    <n v="0"/>
    <n v="0"/>
  </r>
  <r>
    <n v="881"/>
    <d v="2026-06-01T00:00:00"/>
    <x v="880"/>
    <s v="0000865"/>
    <s v="ədəd"/>
    <n v="1"/>
    <m/>
    <n v="0"/>
    <x v="1"/>
    <x v="2"/>
    <n v="0"/>
    <n v="0"/>
  </r>
  <r>
    <n v="882"/>
    <d v="2026-06-01T00:00:00"/>
    <x v="881"/>
    <s v="0000866"/>
    <s v="ədəd"/>
    <n v="7"/>
    <m/>
    <n v="0"/>
    <x v="1"/>
    <x v="2"/>
    <n v="0"/>
    <n v="0"/>
  </r>
  <r>
    <n v="883"/>
    <d v="2026-06-01T00:00:00"/>
    <x v="882"/>
    <s v="0000867"/>
    <s v="ədəd"/>
    <n v="2"/>
    <m/>
    <n v="0"/>
    <x v="1"/>
    <x v="2"/>
    <n v="0"/>
    <n v="0"/>
  </r>
  <r>
    <n v="884"/>
    <d v="2026-06-01T00:00:00"/>
    <x v="883"/>
    <s v="0000868"/>
    <s v="ədəd"/>
    <n v="2"/>
    <m/>
    <n v="0"/>
    <x v="1"/>
    <x v="2"/>
    <n v="0"/>
    <n v="0"/>
  </r>
  <r>
    <n v="885"/>
    <d v="2026-06-01T00:00:00"/>
    <x v="884"/>
    <s v="0000869"/>
    <s v="ədəd"/>
    <n v="2"/>
    <m/>
    <n v="0"/>
    <x v="1"/>
    <x v="2"/>
    <n v="0"/>
    <n v="0"/>
  </r>
  <r>
    <n v="886"/>
    <d v="2026-06-01T00:00:00"/>
    <x v="885"/>
    <s v="0000870"/>
    <s v="ədəd"/>
    <n v="1"/>
    <m/>
    <n v="0"/>
    <x v="1"/>
    <x v="2"/>
    <n v="0"/>
    <n v="0"/>
  </r>
  <r>
    <n v="887"/>
    <d v="2026-06-01T00:00:00"/>
    <x v="886"/>
    <s v="0000871"/>
    <s v="ədəd"/>
    <n v="1"/>
    <m/>
    <n v="0"/>
    <x v="1"/>
    <x v="2"/>
    <n v="0"/>
    <n v="0"/>
  </r>
  <r>
    <n v="888"/>
    <d v="2026-06-01T00:00:00"/>
    <x v="887"/>
    <s v="0000872"/>
    <s v="ədəd"/>
    <n v="5"/>
    <m/>
    <n v="0"/>
    <x v="1"/>
    <x v="2"/>
    <n v="0"/>
    <n v="0"/>
  </r>
  <r>
    <n v="889"/>
    <d v="2026-06-01T00:00:00"/>
    <x v="888"/>
    <s v="0000873"/>
    <s v="ədəd"/>
    <n v="10"/>
    <m/>
    <n v="0"/>
    <x v="1"/>
    <x v="2"/>
    <n v="0"/>
    <n v="0"/>
  </r>
  <r>
    <n v="890"/>
    <d v="2026-06-01T00:00:00"/>
    <x v="889"/>
    <s v="0000874"/>
    <s v="ədəd"/>
    <n v="3"/>
    <m/>
    <n v="0"/>
    <x v="1"/>
    <x v="2"/>
    <n v="0"/>
    <n v="0"/>
  </r>
  <r>
    <n v="891"/>
    <d v="2026-06-01T00:00:00"/>
    <x v="890"/>
    <s v="0000875"/>
    <s v="ədəd"/>
    <n v="1"/>
    <m/>
    <n v="0"/>
    <x v="1"/>
    <x v="2"/>
    <n v="0"/>
    <n v="0"/>
  </r>
  <r>
    <n v="892"/>
    <d v="2026-06-01T00:00:00"/>
    <x v="891"/>
    <s v="0000876"/>
    <s v="ədəd"/>
    <n v="1"/>
    <m/>
    <n v="0"/>
    <x v="1"/>
    <x v="2"/>
    <n v="0"/>
    <n v="0"/>
  </r>
  <r>
    <n v="893"/>
    <d v="2026-06-01T00:00:00"/>
    <x v="892"/>
    <s v="0000877"/>
    <s v="ədəd"/>
    <n v="1"/>
    <m/>
    <n v="0"/>
    <x v="1"/>
    <x v="2"/>
    <n v="0"/>
    <n v="0"/>
  </r>
  <r>
    <n v="894"/>
    <d v="2026-06-01T00:00:00"/>
    <x v="893"/>
    <s v="0000878"/>
    <s v="ədəd"/>
    <n v="4"/>
    <m/>
    <n v="0"/>
    <x v="1"/>
    <x v="2"/>
    <n v="0"/>
    <n v="0"/>
  </r>
  <r>
    <n v="895"/>
    <d v="2026-06-01T00:00:00"/>
    <x v="894"/>
    <s v="0000879"/>
    <s v="ədəd"/>
    <n v="1"/>
    <m/>
    <n v="0"/>
    <x v="1"/>
    <x v="2"/>
    <n v="0"/>
    <n v="0"/>
  </r>
  <r>
    <n v="896"/>
    <d v="2026-06-01T00:00:00"/>
    <x v="895"/>
    <s v="0000880"/>
    <s v="ədəd"/>
    <n v="1"/>
    <m/>
    <n v="0"/>
    <x v="1"/>
    <x v="2"/>
    <n v="0"/>
    <n v="0"/>
  </r>
  <r>
    <n v="897"/>
    <d v="2026-06-01T00:00:00"/>
    <x v="896"/>
    <s v="0000881"/>
    <s v="ədəd"/>
    <n v="1"/>
    <m/>
    <n v="0"/>
    <x v="1"/>
    <x v="2"/>
    <n v="0"/>
    <n v="0"/>
  </r>
  <r>
    <n v="898"/>
    <d v="2026-06-01T00:00:00"/>
    <x v="897"/>
    <s v="0000882"/>
    <s v="ədəd"/>
    <n v="1"/>
    <m/>
    <n v="0"/>
    <x v="1"/>
    <x v="2"/>
    <n v="0"/>
    <n v="0"/>
  </r>
  <r>
    <n v="899"/>
    <d v="2026-06-01T00:00:00"/>
    <x v="898"/>
    <s v="0000883"/>
    <s v="ədəd"/>
    <n v="1"/>
    <m/>
    <n v="0"/>
    <x v="1"/>
    <x v="2"/>
    <n v="0"/>
    <n v="0"/>
  </r>
  <r>
    <n v="900"/>
    <d v="2026-06-01T00:00:00"/>
    <x v="899"/>
    <s v="0000884"/>
    <s v="top"/>
    <n v="5"/>
    <m/>
    <n v="0"/>
    <x v="1"/>
    <x v="2"/>
    <n v="0"/>
    <n v="0"/>
  </r>
  <r>
    <n v="901"/>
    <d v="2026-06-01T00:00:00"/>
    <x v="900"/>
    <s v="0000885"/>
    <s v="ədəd"/>
    <n v="9"/>
    <m/>
    <n v="0"/>
    <x v="1"/>
    <x v="2"/>
    <n v="0"/>
    <n v="0"/>
  </r>
  <r>
    <n v="902"/>
    <d v="2026-06-01T00:00:00"/>
    <x v="901"/>
    <s v="0000886"/>
    <s v="ədəd"/>
    <n v="6"/>
    <m/>
    <n v="0"/>
    <x v="1"/>
    <x v="2"/>
    <n v="0"/>
    <n v="0"/>
  </r>
  <r>
    <n v="903"/>
    <d v="2026-06-01T00:00:00"/>
    <x v="902"/>
    <s v="0000887"/>
    <s v="ədəd"/>
    <n v="6"/>
    <m/>
    <n v="0"/>
    <x v="1"/>
    <x v="2"/>
    <n v="0"/>
    <n v="0"/>
  </r>
  <r>
    <n v="904"/>
    <d v="2026-06-01T00:00:00"/>
    <x v="903"/>
    <s v="0000888"/>
    <s v="ədəd"/>
    <n v="1"/>
    <m/>
    <n v="0"/>
    <x v="1"/>
    <x v="2"/>
    <n v="0"/>
    <n v="0"/>
  </r>
  <r>
    <n v="905"/>
    <d v="2026-06-01T00:00:00"/>
    <x v="904"/>
    <s v="0000889"/>
    <s v="ədəd"/>
    <n v="1"/>
    <m/>
    <n v="0"/>
    <x v="1"/>
    <x v="2"/>
    <n v="0"/>
    <n v="0"/>
  </r>
  <r>
    <n v="906"/>
    <d v="2026-06-01T00:00:00"/>
    <x v="905"/>
    <s v="0000890"/>
    <s v="metr"/>
    <n v="28"/>
    <m/>
    <n v="0"/>
    <x v="1"/>
    <x v="2"/>
    <n v="0"/>
    <n v="0"/>
  </r>
  <r>
    <n v="907"/>
    <d v="2026-06-01T00:00:00"/>
    <x v="906"/>
    <s v="0000891"/>
    <s v="ədəd"/>
    <n v="2"/>
    <m/>
    <n v="0"/>
    <x v="1"/>
    <x v="2"/>
    <n v="0"/>
    <n v="0"/>
  </r>
  <r>
    <n v="908"/>
    <d v="2026-06-01T00:00:00"/>
    <x v="907"/>
    <s v="0000892"/>
    <s v="ədəd"/>
    <n v="1"/>
    <m/>
    <n v="0"/>
    <x v="1"/>
    <x v="2"/>
    <n v="0"/>
    <n v="0"/>
  </r>
  <r>
    <n v="909"/>
    <d v="2026-06-01T00:00:00"/>
    <x v="908"/>
    <s v="0000894"/>
    <s v="ədəd"/>
    <n v="16"/>
    <m/>
    <n v="0"/>
    <x v="1"/>
    <x v="2"/>
    <n v="0"/>
    <n v="0"/>
  </r>
  <r>
    <n v="910"/>
    <d v="2026-06-01T00:00:00"/>
    <x v="909"/>
    <s v="0000895"/>
    <s v="ədəd"/>
    <n v="63"/>
    <m/>
    <n v="0"/>
    <x v="1"/>
    <x v="2"/>
    <n v="0"/>
    <n v="0"/>
  </r>
  <r>
    <n v="911"/>
    <d v="2026-06-01T00:00:00"/>
    <x v="910"/>
    <s v="0000896"/>
    <s v="ədəd"/>
    <n v="2"/>
    <m/>
    <n v="0"/>
    <x v="1"/>
    <x v="2"/>
    <n v="0"/>
    <n v="0"/>
  </r>
  <r>
    <n v="912"/>
    <d v="2026-06-01T00:00:00"/>
    <x v="911"/>
    <s v="0000897"/>
    <s v="ədəd"/>
    <n v="2"/>
    <m/>
    <n v="0"/>
    <x v="1"/>
    <x v="2"/>
    <n v="0"/>
    <n v="0"/>
  </r>
  <r>
    <n v="913"/>
    <d v="2026-06-01T00:00:00"/>
    <x v="912"/>
    <s v="0000898"/>
    <s v="ədəd"/>
    <n v="2"/>
    <m/>
    <n v="0"/>
    <x v="1"/>
    <x v="2"/>
    <n v="0"/>
    <n v="0"/>
  </r>
  <r>
    <n v="914"/>
    <d v="2026-06-01T00:00:00"/>
    <x v="913"/>
    <s v="0000899"/>
    <s v="ədəd"/>
    <n v="1"/>
    <m/>
    <n v="0"/>
    <x v="1"/>
    <x v="2"/>
    <n v="0"/>
    <n v="0"/>
  </r>
  <r>
    <n v="915"/>
    <d v="2026-06-01T00:00:00"/>
    <x v="914"/>
    <s v="0000900"/>
    <s v="ədəd"/>
    <n v="2"/>
    <m/>
    <n v="0"/>
    <x v="1"/>
    <x v="2"/>
    <n v="0"/>
    <n v="0"/>
  </r>
  <r>
    <n v="916"/>
    <d v="2026-06-01T00:00:00"/>
    <x v="915"/>
    <s v="0000901"/>
    <s v="ədəd"/>
    <n v="1"/>
    <m/>
    <n v="0"/>
    <x v="1"/>
    <x v="2"/>
    <n v="0"/>
    <n v="0"/>
  </r>
  <r>
    <n v="917"/>
    <d v="2026-06-01T00:00:00"/>
    <x v="916"/>
    <s v="0000902"/>
    <s v="ədəd"/>
    <n v="1"/>
    <m/>
    <n v="0"/>
    <x v="1"/>
    <x v="2"/>
    <n v="0"/>
    <n v="0"/>
  </r>
  <r>
    <n v="918"/>
    <d v="2026-06-01T00:00:00"/>
    <x v="917"/>
    <s v="0000903"/>
    <s v="ədəd"/>
    <n v="1"/>
    <m/>
    <n v="0"/>
    <x v="1"/>
    <x v="2"/>
    <n v="0"/>
    <n v="0"/>
  </r>
  <r>
    <n v="919"/>
    <d v="2026-06-01T00:00:00"/>
    <x v="918"/>
    <s v="0000904"/>
    <s v="ədəd"/>
    <n v="1"/>
    <m/>
    <n v="0"/>
    <x v="1"/>
    <x v="2"/>
    <n v="0"/>
    <n v="0"/>
  </r>
  <r>
    <n v="920"/>
    <d v="2026-06-01T00:00:00"/>
    <x v="919"/>
    <s v="0000905"/>
    <s v="ədəd"/>
    <n v="1"/>
    <m/>
    <n v="0"/>
    <x v="1"/>
    <x v="2"/>
    <n v="0"/>
    <n v="0"/>
  </r>
  <r>
    <n v="921"/>
    <d v="2026-06-01T00:00:00"/>
    <x v="920"/>
    <s v="0000906"/>
    <s v="ədəd"/>
    <n v="1"/>
    <m/>
    <n v="0"/>
    <x v="1"/>
    <x v="2"/>
    <n v="0"/>
    <n v="0"/>
  </r>
  <r>
    <n v="922"/>
    <d v="2026-06-01T00:00:00"/>
    <x v="921"/>
    <s v="0000907"/>
    <s v="ədəd"/>
    <n v="1"/>
    <m/>
    <n v="0"/>
    <x v="1"/>
    <x v="2"/>
    <n v="0"/>
    <n v="0"/>
  </r>
  <r>
    <n v="923"/>
    <d v="2026-06-01T00:00:00"/>
    <x v="922"/>
    <s v="0000908"/>
    <s v="ədəd"/>
    <n v="1"/>
    <m/>
    <n v="0"/>
    <x v="1"/>
    <x v="2"/>
    <n v="0"/>
    <n v="0"/>
  </r>
  <r>
    <n v="924"/>
    <d v="2026-06-01T00:00:00"/>
    <x v="923"/>
    <s v="0000909"/>
    <s v="ədəd"/>
    <n v="1"/>
    <m/>
    <n v="0"/>
    <x v="1"/>
    <x v="2"/>
    <n v="0"/>
    <n v="0"/>
  </r>
  <r>
    <n v="925"/>
    <d v="2026-06-01T00:00:00"/>
    <x v="924"/>
    <s v="0000910"/>
    <s v="ədəd"/>
    <n v="1"/>
    <m/>
    <n v="0"/>
    <x v="1"/>
    <x v="2"/>
    <n v="0"/>
    <n v="0"/>
  </r>
  <r>
    <n v="926"/>
    <d v="2026-06-01T00:00:00"/>
    <x v="925"/>
    <s v="0000911"/>
    <s v="ədəd"/>
    <n v="1"/>
    <m/>
    <n v="0"/>
    <x v="1"/>
    <x v="2"/>
    <n v="0"/>
    <n v="0"/>
  </r>
  <r>
    <n v="927"/>
    <d v="2026-06-01T00:00:00"/>
    <x v="926"/>
    <s v="0000912"/>
    <s v="ədəd"/>
    <n v="1"/>
    <m/>
    <n v="0"/>
    <x v="1"/>
    <x v="2"/>
    <n v="0"/>
    <n v="0"/>
  </r>
  <r>
    <n v="928"/>
    <d v="2026-06-01T00:00:00"/>
    <x v="927"/>
    <s v="0000913"/>
    <s v="ədəd"/>
    <n v="2"/>
    <m/>
    <n v="0"/>
    <x v="1"/>
    <x v="2"/>
    <n v="0"/>
    <n v="0"/>
  </r>
  <r>
    <n v="929"/>
    <d v="2026-06-01T00:00:00"/>
    <x v="928"/>
    <s v="0000915"/>
    <s v="ədəd"/>
    <n v="3"/>
    <m/>
    <n v="0"/>
    <x v="1"/>
    <x v="2"/>
    <n v="0"/>
    <n v="0"/>
  </r>
  <r>
    <n v="930"/>
    <d v="2026-06-01T00:00:00"/>
    <x v="929"/>
    <s v="0000916"/>
    <s v="ədəd"/>
    <n v="5"/>
    <m/>
    <n v="0"/>
    <x v="1"/>
    <x v="2"/>
    <n v="0"/>
    <n v="0"/>
  </r>
  <r>
    <n v="931"/>
    <d v="2026-06-01T00:00:00"/>
    <x v="930"/>
    <s v="0000917"/>
    <s v="ədəd"/>
    <n v="1"/>
    <m/>
    <n v="0"/>
    <x v="1"/>
    <x v="2"/>
    <n v="0"/>
    <n v="0"/>
  </r>
  <r>
    <n v="932"/>
    <d v="2026-06-01T00:00:00"/>
    <x v="931"/>
    <s v="0000918"/>
    <s v="ədəd"/>
    <n v="1"/>
    <m/>
    <n v="0"/>
    <x v="1"/>
    <x v="2"/>
    <n v="0"/>
    <n v="0"/>
  </r>
  <r>
    <n v="933"/>
    <d v="2026-06-01T00:00:00"/>
    <x v="932"/>
    <s v="0000919"/>
    <s v="ədəd"/>
    <n v="6"/>
    <m/>
    <n v="0"/>
    <x v="1"/>
    <x v="2"/>
    <n v="0"/>
    <n v="0"/>
  </r>
  <r>
    <n v="934"/>
    <d v="2026-06-01T00:00:00"/>
    <x v="933"/>
    <s v="0000920"/>
    <s v="ədəd"/>
    <n v="2"/>
    <m/>
    <n v="0"/>
    <x v="1"/>
    <x v="2"/>
    <n v="0"/>
    <n v="0"/>
  </r>
  <r>
    <n v="935"/>
    <d v="2026-06-01T00:00:00"/>
    <x v="934"/>
    <s v="0000921"/>
    <s v="ədəd"/>
    <n v="1"/>
    <m/>
    <n v="0"/>
    <x v="1"/>
    <x v="2"/>
    <n v="0"/>
    <n v="0"/>
  </r>
  <r>
    <n v="936"/>
    <d v="2026-06-01T00:00:00"/>
    <x v="935"/>
    <s v="0000922"/>
    <s v="ədəd"/>
    <n v="1"/>
    <m/>
    <n v="0"/>
    <x v="1"/>
    <x v="2"/>
    <n v="0"/>
    <n v="0"/>
  </r>
  <r>
    <n v="937"/>
    <d v="2026-06-01T00:00:00"/>
    <x v="936"/>
    <s v="0000923"/>
    <s v="ədəd"/>
    <n v="1"/>
    <m/>
    <n v="0"/>
    <x v="1"/>
    <x v="2"/>
    <n v="0"/>
    <n v="0"/>
  </r>
  <r>
    <n v="938"/>
    <d v="2026-06-01T00:00:00"/>
    <x v="937"/>
    <s v="0000924"/>
    <s v="ədəd"/>
    <n v="1"/>
    <m/>
    <n v="0"/>
    <x v="1"/>
    <x v="2"/>
    <n v="0"/>
    <n v="0"/>
  </r>
  <r>
    <n v="939"/>
    <d v="2026-06-01T00:00:00"/>
    <x v="938"/>
    <s v="0000925"/>
    <s v="ədəd"/>
    <n v="1"/>
    <m/>
    <n v="0"/>
    <x v="1"/>
    <x v="2"/>
    <n v="0"/>
    <n v="0"/>
  </r>
  <r>
    <n v="940"/>
    <d v="2026-06-01T00:00:00"/>
    <x v="939"/>
    <s v="0000926"/>
    <s v="ədəd"/>
    <n v="1"/>
    <m/>
    <n v="0"/>
    <x v="1"/>
    <x v="2"/>
    <n v="0"/>
    <n v="0"/>
  </r>
  <r>
    <n v="941"/>
    <d v="2026-06-01T00:00:00"/>
    <x v="940"/>
    <s v="0000927"/>
    <s v="ədəd"/>
    <n v="1"/>
    <m/>
    <n v="0"/>
    <x v="1"/>
    <x v="2"/>
    <n v="0"/>
    <n v="0"/>
  </r>
  <r>
    <n v="942"/>
    <d v="2026-06-01T00:00:00"/>
    <x v="941"/>
    <s v="0000928"/>
    <s v="ədəd"/>
    <n v="2"/>
    <m/>
    <n v="0"/>
    <x v="1"/>
    <x v="2"/>
    <n v="0"/>
    <n v="0"/>
  </r>
  <r>
    <n v="943"/>
    <d v="2026-06-01T00:00:00"/>
    <x v="942"/>
    <s v="0000929"/>
    <s v="ədəd"/>
    <n v="1"/>
    <m/>
    <n v="0"/>
    <x v="1"/>
    <x v="2"/>
    <n v="0"/>
    <n v="0"/>
  </r>
  <r>
    <n v="944"/>
    <d v="2026-06-01T00:00:00"/>
    <x v="943"/>
    <s v="0000930"/>
    <s v="ədəd"/>
    <n v="1"/>
    <m/>
    <n v="0"/>
    <x v="1"/>
    <x v="2"/>
    <n v="0"/>
    <n v="0"/>
  </r>
  <r>
    <n v="945"/>
    <d v="2026-06-01T00:00:00"/>
    <x v="944"/>
    <s v="0000931"/>
    <s v="ədəd"/>
    <n v="3"/>
    <m/>
    <n v="0"/>
    <x v="1"/>
    <x v="2"/>
    <n v="0"/>
    <n v="0"/>
  </r>
  <r>
    <n v="946"/>
    <d v="2026-06-01T00:00:00"/>
    <x v="945"/>
    <s v="0000932"/>
    <s v="metr"/>
    <n v="167"/>
    <m/>
    <n v="0"/>
    <x v="1"/>
    <x v="2"/>
    <n v="0"/>
    <n v="0"/>
  </r>
  <r>
    <n v="947"/>
    <d v="2026-06-01T00:00:00"/>
    <x v="946"/>
    <s v="0000934"/>
    <s v="ədəd"/>
    <n v="1"/>
    <m/>
    <n v="0"/>
    <x v="1"/>
    <x v="2"/>
    <n v="0"/>
    <n v="0"/>
  </r>
  <r>
    <n v="948"/>
    <d v="2026-06-01T00:00:00"/>
    <x v="947"/>
    <s v="0000935"/>
    <s v="ədəd"/>
    <n v="1"/>
    <m/>
    <n v="0"/>
    <x v="1"/>
    <x v="2"/>
    <n v="0"/>
    <n v="0"/>
  </r>
  <r>
    <n v="949"/>
    <d v="2026-06-01T00:00:00"/>
    <x v="948"/>
    <s v="0000936"/>
    <s v="ədəd"/>
    <n v="2"/>
    <m/>
    <n v="0"/>
    <x v="1"/>
    <x v="2"/>
    <n v="0"/>
    <n v="0"/>
  </r>
  <r>
    <n v="950"/>
    <d v="2026-06-01T00:00:00"/>
    <x v="949"/>
    <s v="0000937"/>
    <s v="ədəd"/>
    <n v="1"/>
    <m/>
    <n v="0"/>
    <x v="1"/>
    <x v="2"/>
    <n v="0"/>
    <n v="0"/>
  </r>
  <r>
    <n v="951"/>
    <d v="2026-06-01T00:00:00"/>
    <x v="950"/>
    <s v="0000938"/>
    <s v="ədəd"/>
    <n v="1"/>
    <m/>
    <n v="0"/>
    <x v="1"/>
    <x v="2"/>
    <n v="0"/>
    <n v="0"/>
  </r>
  <r>
    <n v="952"/>
    <d v="2026-06-01T00:00:00"/>
    <x v="951"/>
    <s v="0000939"/>
    <s v="ədəd"/>
    <n v="1"/>
    <m/>
    <n v="0"/>
    <x v="1"/>
    <x v="2"/>
    <n v="0"/>
    <n v="0"/>
  </r>
  <r>
    <n v="953"/>
    <d v="2026-06-01T00:00:00"/>
    <x v="952"/>
    <s v="0000940"/>
    <s v="ədəd"/>
    <n v="1"/>
    <m/>
    <n v="0"/>
    <x v="1"/>
    <x v="2"/>
    <n v="0"/>
    <n v="0"/>
  </r>
  <r>
    <n v="954"/>
    <d v="2026-06-01T00:00:00"/>
    <x v="953"/>
    <s v="0000941"/>
    <s v="ədəd"/>
    <n v="1"/>
    <m/>
    <n v="0"/>
    <x v="1"/>
    <x v="2"/>
    <n v="0"/>
    <n v="0"/>
  </r>
  <r>
    <n v="955"/>
    <d v="2026-06-01T00:00:00"/>
    <x v="954"/>
    <s v="0000942"/>
    <s v="ədəd"/>
    <n v="1"/>
    <m/>
    <n v="0"/>
    <x v="1"/>
    <x v="2"/>
    <n v="0"/>
    <n v="0"/>
  </r>
  <r>
    <n v="956"/>
    <d v="2026-06-01T00:00:00"/>
    <x v="955"/>
    <s v="0000943"/>
    <s v="ədəd"/>
    <n v="6"/>
    <m/>
    <n v="0"/>
    <x v="1"/>
    <x v="2"/>
    <n v="0"/>
    <n v="0"/>
  </r>
  <r>
    <n v="957"/>
    <d v="2026-06-01T00:00:00"/>
    <x v="956"/>
    <s v="0000944"/>
    <s v="ədəd"/>
    <n v="2"/>
    <m/>
    <n v="0"/>
    <x v="1"/>
    <x v="2"/>
    <n v="0"/>
    <n v="0"/>
  </r>
  <r>
    <n v="958"/>
    <d v="2026-06-01T00:00:00"/>
    <x v="957"/>
    <s v="0000945"/>
    <s v="ədəd"/>
    <n v="1"/>
    <m/>
    <n v="0"/>
    <x v="1"/>
    <x v="2"/>
    <n v="0"/>
    <n v="0"/>
  </r>
  <r>
    <n v="959"/>
    <d v="2026-06-01T00:00:00"/>
    <x v="958"/>
    <s v="0000946"/>
    <s v="ədəd"/>
    <n v="1"/>
    <m/>
    <n v="0"/>
    <x v="1"/>
    <x v="2"/>
    <n v="0"/>
    <n v="0"/>
  </r>
  <r>
    <n v="960"/>
    <d v="2026-06-01T00:00:00"/>
    <x v="959"/>
    <s v="0000947"/>
    <s v="ədəd"/>
    <n v="1"/>
    <m/>
    <n v="0"/>
    <x v="1"/>
    <x v="2"/>
    <n v="0"/>
    <n v="0"/>
  </r>
  <r>
    <n v="961"/>
    <d v="2026-06-01T00:00:00"/>
    <x v="960"/>
    <s v="0000948"/>
    <s v="ədəd"/>
    <n v="1"/>
    <m/>
    <n v="0"/>
    <x v="1"/>
    <x v="2"/>
    <n v="0"/>
    <n v="0"/>
  </r>
  <r>
    <n v="962"/>
    <d v="2026-06-01T00:00:00"/>
    <x v="961"/>
    <s v="0000949"/>
    <s v="ədəd"/>
    <n v="1"/>
    <m/>
    <n v="0"/>
    <x v="1"/>
    <x v="2"/>
    <n v="0"/>
    <n v="0"/>
  </r>
  <r>
    <n v="963"/>
    <d v="2026-06-01T00:00:00"/>
    <x v="962"/>
    <s v="0000950"/>
    <s v="ədəd"/>
    <n v="1"/>
    <m/>
    <n v="0"/>
    <x v="1"/>
    <x v="2"/>
    <n v="0"/>
    <n v="0"/>
  </r>
  <r>
    <n v="964"/>
    <d v="2026-06-01T00:00:00"/>
    <x v="963"/>
    <s v="0000951"/>
    <s v="ədəd"/>
    <n v="1"/>
    <m/>
    <n v="0"/>
    <x v="1"/>
    <x v="2"/>
    <n v="0"/>
    <n v="0"/>
  </r>
  <r>
    <n v="965"/>
    <d v="2026-06-01T00:00:00"/>
    <x v="964"/>
    <s v="0000952"/>
    <s v="ədəd"/>
    <n v="1"/>
    <m/>
    <n v="0"/>
    <x v="1"/>
    <x v="2"/>
    <n v="0"/>
    <n v="0"/>
  </r>
  <r>
    <n v="966"/>
    <d v="2026-06-01T00:00:00"/>
    <x v="965"/>
    <s v="0000953"/>
    <s v="ədəd"/>
    <n v="1"/>
    <m/>
    <n v="0"/>
    <x v="1"/>
    <x v="2"/>
    <n v="0"/>
    <n v="0"/>
  </r>
  <r>
    <n v="967"/>
    <d v="2026-06-01T00:00:00"/>
    <x v="966"/>
    <s v="0000954"/>
    <s v="ədəd"/>
    <n v="1"/>
    <m/>
    <n v="0"/>
    <x v="1"/>
    <x v="2"/>
    <n v="0"/>
    <n v="0"/>
  </r>
  <r>
    <n v="968"/>
    <d v="2026-06-01T00:00:00"/>
    <x v="967"/>
    <s v="0000955"/>
    <s v="ədəd"/>
    <n v="1"/>
    <m/>
    <n v="0"/>
    <x v="1"/>
    <x v="2"/>
    <n v="0"/>
    <n v="0"/>
  </r>
  <r>
    <n v="969"/>
    <d v="2026-06-01T00:00:00"/>
    <x v="968"/>
    <s v="0000956"/>
    <s v="ədəd"/>
    <n v="1"/>
    <m/>
    <n v="0"/>
    <x v="1"/>
    <x v="2"/>
    <n v="0"/>
    <n v="0"/>
  </r>
  <r>
    <n v="970"/>
    <d v="2026-06-01T00:00:00"/>
    <x v="969"/>
    <s v="0000957"/>
    <s v="ədəd"/>
    <n v="1"/>
    <m/>
    <n v="0"/>
    <x v="1"/>
    <x v="2"/>
    <n v="0"/>
    <n v="0"/>
  </r>
  <r>
    <n v="971"/>
    <d v="2026-06-01T00:00:00"/>
    <x v="970"/>
    <s v="0000958"/>
    <s v="ədəd"/>
    <n v="1"/>
    <m/>
    <n v="0"/>
    <x v="1"/>
    <x v="2"/>
    <n v="0"/>
    <n v="0"/>
  </r>
  <r>
    <n v="972"/>
    <d v="2026-06-01T00:00:00"/>
    <x v="971"/>
    <s v="0000959"/>
    <s v="ədəd"/>
    <n v="1"/>
    <m/>
    <n v="0"/>
    <x v="1"/>
    <x v="2"/>
    <n v="0"/>
    <n v="0"/>
  </r>
  <r>
    <n v="973"/>
    <d v="2026-06-01T00:00:00"/>
    <x v="972"/>
    <s v="0000960"/>
    <s v="ədəd"/>
    <n v="1"/>
    <m/>
    <n v="0"/>
    <x v="1"/>
    <x v="2"/>
    <n v="0"/>
    <n v="0"/>
  </r>
  <r>
    <n v="974"/>
    <d v="2026-06-01T00:00:00"/>
    <x v="973"/>
    <s v="0000961"/>
    <s v="ədəd"/>
    <n v="1"/>
    <m/>
    <n v="0"/>
    <x v="1"/>
    <x v="2"/>
    <n v="0"/>
    <n v="0"/>
  </r>
  <r>
    <n v="975"/>
    <d v="2026-06-01T00:00:00"/>
    <x v="974"/>
    <s v="0000962"/>
    <s v="ədəd"/>
    <n v="1"/>
    <m/>
    <n v="0"/>
    <x v="1"/>
    <x v="2"/>
    <n v="0"/>
    <n v="0"/>
  </r>
  <r>
    <n v="976"/>
    <d v="2026-06-01T00:00:00"/>
    <x v="975"/>
    <s v="0000963"/>
    <s v="ədəd"/>
    <n v="1"/>
    <m/>
    <n v="0"/>
    <x v="1"/>
    <x v="2"/>
    <n v="0"/>
    <n v="0"/>
  </r>
  <r>
    <n v="977"/>
    <d v="2026-06-01T00:00:00"/>
    <x v="976"/>
    <s v="0000964"/>
    <s v="ədəd"/>
    <n v="2"/>
    <m/>
    <n v="0"/>
    <x v="1"/>
    <x v="2"/>
    <n v="0"/>
    <n v="0"/>
  </r>
  <r>
    <n v="978"/>
    <d v="2026-06-01T00:00:00"/>
    <x v="977"/>
    <s v="0001016"/>
    <s v="ədəd"/>
    <n v="1"/>
    <m/>
    <n v="0"/>
    <x v="1"/>
    <x v="2"/>
    <n v="0"/>
    <n v="0"/>
  </r>
  <r>
    <n v="979"/>
    <d v="2026-06-01T00:00:00"/>
    <x v="978"/>
    <s v="0001047"/>
    <s v="ədəd"/>
    <n v="2"/>
    <m/>
    <n v="0"/>
    <x v="1"/>
    <x v="2"/>
    <n v="0"/>
    <n v="0"/>
  </r>
  <r>
    <n v="980"/>
    <d v="2026-06-01T00:00:00"/>
    <x v="979"/>
    <s v="0001075"/>
    <s v="ədəd"/>
    <n v="1"/>
    <m/>
    <n v="0"/>
    <x v="1"/>
    <x v="2"/>
    <n v="0"/>
    <n v="0"/>
  </r>
  <r>
    <n v="981"/>
    <d v="2026-06-06T00:00:00"/>
    <x v="980"/>
    <s v="0000966"/>
    <s v="dəst"/>
    <n v="1"/>
    <n v="57.5"/>
    <n v="57.5"/>
    <x v="0"/>
    <x v="3"/>
    <s v="№050626-1"/>
    <s v="№050626-1"/>
  </r>
  <r>
    <n v="982"/>
    <d v="2026-06-06T00:00:00"/>
    <x v="981"/>
    <s v="0000967"/>
    <s v="ədəd"/>
    <n v="1"/>
    <n v="1737"/>
    <n v="1737"/>
    <x v="0"/>
    <x v="3"/>
    <s v="№050626-1"/>
    <s v="№050626-1"/>
  </r>
  <r>
    <n v="983"/>
    <d v="2026-06-06T00:00:00"/>
    <x v="982"/>
    <s v="0000968"/>
    <s v="ədəd"/>
    <n v="1"/>
    <n v="39.799999999999997"/>
    <n v="39.799999999999997"/>
    <x v="0"/>
    <x v="3"/>
    <s v="№050626-1"/>
    <s v="№050626-1"/>
  </r>
  <r>
    <n v="984"/>
    <d v="2026-06-08T00:00:00"/>
    <x v="237"/>
    <s v="0000219"/>
    <s v="ədəd"/>
    <n v="1"/>
    <n v="1"/>
    <n v="1"/>
    <x v="0"/>
    <x v="0"/>
    <s v="№ 24-060"/>
    <s v="4466"/>
  </r>
  <r>
    <n v="985"/>
    <d v="2026-06-08T00:00:00"/>
    <x v="983"/>
    <s v="0000993"/>
    <s v="ədəd"/>
    <n v="5"/>
    <n v="1.7"/>
    <n v="8.5"/>
    <x v="0"/>
    <x v="0"/>
    <s v="№ 24-060"/>
    <s v="4466"/>
  </r>
  <r>
    <n v="986"/>
    <d v="2026-06-08T00:00:00"/>
    <x v="984"/>
    <s v="0000995"/>
    <s v="paçka"/>
    <n v="2"/>
    <n v="16"/>
    <n v="32"/>
    <x v="0"/>
    <x v="0"/>
    <s v="№ 24-060"/>
    <s v="4466"/>
  </r>
  <r>
    <n v="987"/>
    <d v="2026-06-08T00:00:00"/>
    <x v="985"/>
    <s v="0000996"/>
    <s v="ədəd"/>
    <n v="50"/>
    <n v="3.5"/>
    <n v="175"/>
    <x v="0"/>
    <x v="0"/>
    <s v="№ 24-060"/>
    <s v="4466"/>
  </r>
  <r>
    <n v="988"/>
    <d v="2026-06-08T00:00:00"/>
    <x v="986"/>
    <s v="0001033"/>
    <s v="ədəd"/>
    <n v="3"/>
    <n v="2"/>
    <n v="6"/>
    <x v="0"/>
    <x v="0"/>
    <s v="№ 24-060"/>
    <s v="4466"/>
  </r>
  <r>
    <n v="989"/>
    <d v="2026-06-08T00:00:00"/>
    <x v="987"/>
    <s v="0001090"/>
    <s v="ədəd"/>
    <n v="2"/>
    <n v="1"/>
    <n v="2"/>
    <x v="0"/>
    <x v="0"/>
    <s v="№ 24-060"/>
    <s v="4466"/>
  </r>
  <r>
    <n v="990"/>
    <d v="2026-06-08T00:00:00"/>
    <x v="988"/>
    <s v="0001131"/>
    <s v="ədəd"/>
    <n v="10"/>
    <n v="2"/>
    <n v="20"/>
    <x v="0"/>
    <x v="0"/>
    <s v="№ 24-060"/>
    <s v="4466"/>
  </r>
  <r>
    <n v="991"/>
    <d v="2026-06-08T00:00:00"/>
    <x v="989"/>
    <s v="0001133"/>
    <s v="ədəd"/>
    <n v="15"/>
    <n v="1.3"/>
    <n v="19.5"/>
    <x v="0"/>
    <x v="0"/>
    <s v="№ 24-060"/>
    <s v="4466"/>
  </r>
  <r>
    <n v="992"/>
    <d v="2026-06-08T00:00:00"/>
    <x v="990"/>
    <s v="0001148"/>
    <s v="ədəd"/>
    <n v="1"/>
    <n v="7.5"/>
    <n v="7.5"/>
    <x v="0"/>
    <x v="0"/>
    <s v="№ 24-060"/>
    <s v="4466"/>
  </r>
  <r>
    <n v="993"/>
    <d v="2026-06-08T00:00:00"/>
    <x v="991"/>
    <s v="0001175"/>
    <s v="ədəd"/>
    <n v="25"/>
    <n v="3.8"/>
    <n v="95"/>
    <x v="0"/>
    <x v="0"/>
    <s v="№ 24-060"/>
    <s v="4466"/>
  </r>
  <r>
    <n v="994"/>
    <d v="2026-06-08T00:00:00"/>
    <x v="992"/>
    <s v="0001184"/>
    <s v="ədəd"/>
    <n v="10"/>
    <n v="0.7"/>
    <n v="7"/>
    <x v="0"/>
    <x v="0"/>
    <s v="№ 24-060"/>
    <s v="4478"/>
  </r>
  <r>
    <n v="995"/>
    <d v="2026-06-08T00:00:00"/>
    <x v="993"/>
    <s v="0001185"/>
    <s v="kq"/>
    <n v="100"/>
    <n v="1.6"/>
    <n v="160"/>
    <x v="0"/>
    <x v="0"/>
    <s v="№ 24-060"/>
    <s v="4466"/>
  </r>
  <r>
    <n v="996"/>
    <d v="2026-06-08T00:00:00"/>
    <x v="994"/>
    <s v="0001186"/>
    <s v="ədəd"/>
    <n v="1"/>
    <n v="4"/>
    <n v="4"/>
    <x v="0"/>
    <x v="0"/>
    <s v="№ 24-060"/>
    <s v="4466"/>
  </r>
  <r>
    <n v="997"/>
    <d v="2026-06-08T00:00:00"/>
    <x v="995"/>
    <s v="0001187"/>
    <s v="ədəd"/>
    <n v="2"/>
    <n v="5"/>
    <n v="10"/>
    <x v="0"/>
    <x v="0"/>
    <s v="№ 24-060"/>
    <s v="4466"/>
  </r>
  <r>
    <n v="998"/>
    <d v="2026-06-08T00:00:00"/>
    <x v="996"/>
    <s v="0001188"/>
    <s v="ədəd"/>
    <n v="2"/>
    <n v="1.2"/>
    <n v="2.4"/>
    <x v="0"/>
    <x v="0"/>
    <s v="№ 24-060"/>
    <s v="4466"/>
  </r>
  <r>
    <n v="999"/>
    <d v="2026-06-08T00:00:00"/>
    <x v="997"/>
    <s v="0001189"/>
    <s v="ədəd"/>
    <n v="1"/>
    <n v="10"/>
    <n v="10"/>
    <x v="0"/>
    <x v="0"/>
    <s v="№ 24-060"/>
    <s v="4466"/>
  </r>
  <r>
    <n v="1000"/>
    <d v="2026-06-08T00:00:00"/>
    <x v="998"/>
    <s v="0001190"/>
    <s v="ədəd"/>
    <n v="1"/>
    <n v="5"/>
    <n v="5"/>
    <x v="0"/>
    <x v="0"/>
    <s v="№ 24-060"/>
    <s v="4466"/>
  </r>
  <r>
    <n v="1001"/>
    <d v="2026-06-08T00:00:00"/>
    <x v="999"/>
    <s v="0001191"/>
    <s v="ədəd"/>
    <n v="5"/>
    <n v="2.5"/>
    <n v="12.5"/>
    <x v="0"/>
    <x v="0"/>
    <s v="№ 24-060"/>
    <s v="4466"/>
  </r>
  <r>
    <n v="1002"/>
    <d v="2026-06-08T00:00:00"/>
    <x v="1000"/>
    <s v="0001192"/>
    <s v="ədəd"/>
    <n v="3"/>
    <n v="2.5"/>
    <n v="7.5"/>
    <x v="0"/>
    <x v="0"/>
    <s v="№ 24-060"/>
    <s v="4466"/>
  </r>
  <r>
    <n v="1003"/>
    <d v="2026-06-08T00:00:00"/>
    <x v="1001"/>
    <s v="0001194"/>
    <s v="ədəd"/>
    <n v="2"/>
    <n v="3"/>
    <n v="6"/>
    <x v="0"/>
    <x v="0"/>
    <s v="№ 24-060"/>
    <s v="4466"/>
  </r>
  <r>
    <n v="1004"/>
    <d v="2026-06-08T00:00:00"/>
    <x v="1002"/>
    <s v="0001195"/>
    <s v="ədəd"/>
    <n v="1"/>
    <n v="3.5"/>
    <n v="3.5"/>
    <x v="0"/>
    <x v="0"/>
    <s v="№ 24-060"/>
    <s v="4466"/>
  </r>
  <r>
    <n v="1005"/>
    <d v="2026-06-08T00:00:00"/>
    <x v="1003"/>
    <s v="0001196"/>
    <s v="ədəd"/>
    <n v="1"/>
    <n v="8"/>
    <n v="8"/>
    <x v="0"/>
    <x v="0"/>
    <s v="№ 24-060"/>
    <s v="4466"/>
  </r>
  <r>
    <n v="1006"/>
    <d v="2026-06-08T00:00:00"/>
    <x v="1004"/>
    <s v="0001197"/>
    <s v="ədəd"/>
    <n v="5"/>
    <n v="0.25"/>
    <n v="1.25"/>
    <x v="0"/>
    <x v="0"/>
    <s v="№ 24-060"/>
    <s v="4466"/>
  </r>
  <r>
    <n v="1007"/>
    <d v="2026-06-08T00:00:00"/>
    <x v="1005"/>
    <s v="0001199"/>
    <s v="ədəd"/>
    <n v="5"/>
    <n v="3"/>
    <n v="15"/>
    <x v="0"/>
    <x v="0"/>
    <s v="№ 24-060"/>
    <s v="4466"/>
  </r>
  <r>
    <n v="1008"/>
    <d v="2026-06-10T00:00:00"/>
    <x v="218"/>
    <s v="0000200"/>
    <s v="ədəd"/>
    <n v="10"/>
    <n v="3"/>
    <n v="30"/>
    <x v="0"/>
    <x v="0"/>
    <s v="№ 24-060"/>
    <s v="4555"/>
  </r>
  <r>
    <n v="1009"/>
    <d v="2026-06-10T00:00:00"/>
    <x v="874"/>
    <s v="0000859"/>
    <s v="ədəd"/>
    <n v="3"/>
    <n v="1.8"/>
    <n v="5.4"/>
    <x v="0"/>
    <x v="0"/>
    <s v="№ 24-060"/>
    <s v="4550"/>
  </r>
  <r>
    <n v="1010"/>
    <d v="2026-06-10T00:00:00"/>
    <x v="1006"/>
    <s v="0000969"/>
    <s v="ədəd"/>
    <n v="1"/>
    <n v="62"/>
    <n v="62"/>
    <x v="2"/>
    <x v="1"/>
    <s v="№198AMP/2026."/>
    <s v="28472"/>
  </r>
  <r>
    <n v="1011"/>
    <d v="2026-06-10T00:00:00"/>
    <x v="2"/>
    <s v="0001039"/>
    <s v="ədəd"/>
    <n v="1"/>
    <n v="5"/>
    <n v="5"/>
    <x v="0"/>
    <x v="0"/>
    <s v="№ 24-060"/>
    <s v="4550"/>
  </r>
  <r>
    <n v="1012"/>
    <d v="2026-06-10T00:00:00"/>
    <x v="1007"/>
    <s v="0001136"/>
    <s v="ədəd"/>
    <n v="10"/>
    <n v="3.5"/>
    <n v="35"/>
    <x v="0"/>
    <x v="0"/>
    <s v="№ 24-060"/>
    <s v="4550"/>
  </r>
  <r>
    <n v="1013"/>
    <d v="2026-06-10T00:00:00"/>
    <x v="1008"/>
    <s v="0001142"/>
    <s v="metr"/>
    <n v="100"/>
    <n v="5.0999999999999996"/>
    <n v="509.99999999999994"/>
    <x v="0"/>
    <x v="4"/>
    <s v="№21"/>
    <s v="016280"/>
  </r>
  <r>
    <n v="1014"/>
    <d v="2026-06-10T00:00:00"/>
    <x v="1009"/>
    <s v="0001170"/>
    <s v="ədəd"/>
    <n v="3"/>
    <n v="3.5"/>
    <n v="10.5"/>
    <x v="0"/>
    <x v="0"/>
    <s v="№ 24-060"/>
    <s v="№ 24-060"/>
  </r>
  <r>
    <n v="1015"/>
    <d v="2026-06-10T00:00:00"/>
    <x v="1010"/>
    <s v="0001171"/>
    <s v="ədəd"/>
    <n v="1"/>
    <n v="17"/>
    <n v="17"/>
    <x v="0"/>
    <x v="0"/>
    <s v="№ 24-060"/>
    <s v="4550"/>
  </r>
  <r>
    <n v="1016"/>
    <d v="2026-06-10T00:00:00"/>
    <x v="1011"/>
    <s v="0001172"/>
    <s v="ədəd"/>
    <n v="3"/>
    <n v="4.5"/>
    <n v="13.5"/>
    <x v="0"/>
    <x v="0"/>
    <s v="№ 24-060"/>
    <s v="4550"/>
  </r>
  <r>
    <n v="1017"/>
    <d v="2026-06-10T00:00:00"/>
    <x v="1012"/>
    <s v="0001173"/>
    <s v="ədəd"/>
    <n v="2"/>
    <n v="1.5"/>
    <n v="3"/>
    <x v="0"/>
    <x v="0"/>
    <s v="№ 24-060"/>
    <s v="4550"/>
  </r>
  <r>
    <n v="1018"/>
    <d v="2026-06-10T00:00:00"/>
    <x v="1013"/>
    <s v="0001174"/>
    <s v="ədəd"/>
    <n v="2"/>
    <n v="0.6"/>
    <n v="1.2"/>
    <x v="0"/>
    <x v="0"/>
    <s v="№ 24-060"/>
    <s v="4550"/>
  </r>
  <r>
    <n v="1019"/>
    <d v="2026-06-10T00:00:00"/>
    <x v="991"/>
    <s v="0001175"/>
    <s v="ədəd"/>
    <n v="15"/>
    <n v="3.8"/>
    <n v="57"/>
    <x v="0"/>
    <x v="0"/>
    <s v="№ 24-060"/>
    <s v="4550"/>
  </r>
  <r>
    <n v="1020"/>
    <d v="2026-06-10T00:00:00"/>
    <x v="1014"/>
    <s v="0001177"/>
    <s v="ədəd"/>
    <n v="5"/>
    <n v="1.3"/>
    <n v="6.5"/>
    <x v="0"/>
    <x v="0"/>
    <s v="№ 24-060"/>
    <s v="4550"/>
  </r>
  <r>
    <n v="1021"/>
    <d v="2026-06-10T00:00:00"/>
    <x v="1015"/>
    <s v="0001178"/>
    <s v="ədəd"/>
    <n v="2"/>
    <n v="2"/>
    <n v="4"/>
    <x v="0"/>
    <x v="0"/>
    <s v="№ 24-060"/>
    <s v="4550"/>
  </r>
  <r>
    <n v="1022"/>
    <d v="2026-06-10T00:00:00"/>
    <x v="1016"/>
    <s v="0001179"/>
    <s v="ədəd"/>
    <n v="1"/>
    <n v="15"/>
    <n v="15"/>
    <x v="0"/>
    <x v="0"/>
    <s v="№ 24-060"/>
    <s v="4550"/>
  </r>
  <r>
    <n v="1023"/>
    <d v="2026-06-10T00:00:00"/>
    <x v="1017"/>
    <s v="0001180"/>
    <s v="ədəd"/>
    <n v="1"/>
    <n v="1"/>
    <n v="1"/>
    <x v="0"/>
    <x v="0"/>
    <s v="№ 24-060"/>
    <s v="4550"/>
  </r>
  <r>
    <n v="1024"/>
    <d v="2026-06-10T00:00:00"/>
    <x v="1018"/>
    <s v="0001181"/>
    <s v="ədəd"/>
    <n v="8"/>
    <n v="3"/>
    <n v="24"/>
    <x v="0"/>
    <x v="0"/>
    <s v="№ 24-060"/>
    <s v="4550"/>
  </r>
  <r>
    <n v="1025"/>
    <d v="2026-06-10T00:00:00"/>
    <x v="1019"/>
    <s v="0001182"/>
    <s v="ədəd"/>
    <n v="1"/>
    <n v="6"/>
    <n v="6"/>
    <x v="0"/>
    <x v="0"/>
    <s v="№ 24-060"/>
    <s v="4550"/>
  </r>
  <r>
    <n v="1026"/>
    <d v="2026-06-10T00:00:00"/>
    <x v="1020"/>
    <s v="0001183"/>
    <s v="ədəd"/>
    <n v="5"/>
    <n v="1"/>
    <n v="5"/>
    <x v="0"/>
    <x v="0"/>
    <s v="№ 24-060"/>
    <s v="4550"/>
  </r>
  <r>
    <n v="1027"/>
    <d v="2026-06-10T00:00:00"/>
    <x v="1020"/>
    <s v="0001183"/>
    <s v="ədəd"/>
    <n v="5"/>
    <n v="1"/>
    <n v="5"/>
    <x v="0"/>
    <x v="0"/>
    <s v="№ 24-060"/>
    <s v="4555"/>
  </r>
  <r>
    <n v="1028"/>
    <d v="2026-06-10T00:00:00"/>
    <x v="992"/>
    <s v="0001184"/>
    <s v="ədəd"/>
    <n v="10"/>
    <n v="0.7"/>
    <n v="7"/>
    <x v="0"/>
    <x v="0"/>
    <s v="№ 24-060"/>
    <s v="4550"/>
  </r>
  <r>
    <n v="1029"/>
    <d v="2026-06-11T00:00:00"/>
    <x v="1021"/>
    <s v="0001051"/>
    <s v="ədəd"/>
    <n v="2"/>
    <n v="5.9"/>
    <n v="11.8"/>
    <x v="2"/>
    <x v="5"/>
    <n v="0"/>
    <n v="0"/>
  </r>
  <r>
    <n v="1030"/>
    <d v="2026-06-12T00:00:00"/>
    <x v="1022"/>
    <s v="0001052"/>
    <s v="ədəd"/>
    <n v="1"/>
    <n v="0.5"/>
    <n v="0.5"/>
    <x v="2"/>
    <x v="5"/>
    <n v="0"/>
    <n v="0"/>
  </r>
  <r>
    <n v="1031"/>
    <d v="2026-06-13T00:00:00"/>
    <x v="1023"/>
    <s v="0001063"/>
    <s v="ədəd"/>
    <n v="1"/>
    <n v="10.99"/>
    <n v="10.99"/>
    <x v="2"/>
    <x v="5"/>
    <n v="0"/>
    <s v="87380"/>
  </r>
  <r>
    <n v="1032"/>
    <d v="2026-06-13T00:00:00"/>
    <x v="1024"/>
    <s v="0001064"/>
    <s v="ədəd"/>
    <n v="1"/>
    <n v="11.76"/>
    <n v="11.76"/>
    <x v="2"/>
    <x v="5"/>
    <n v="0"/>
    <s v="87380"/>
  </r>
  <r>
    <n v="1033"/>
    <d v="2026-06-13T00:00:00"/>
    <x v="1025"/>
    <s v="0001065"/>
    <s v="ədəd"/>
    <n v="2"/>
    <n v="0.14000000000000001"/>
    <n v="0.28000000000000003"/>
    <x v="2"/>
    <x v="5"/>
    <n v="0"/>
    <s v="87380"/>
  </r>
  <r>
    <n v="1034"/>
    <d v="2026-06-13T00:00:00"/>
    <x v="1026"/>
    <s v="0001066"/>
    <s v="ədəd"/>
    <n v="1"/>
    <n v="0.14000000000000001"/>
    <n v="0.14000000000000001"/>
    <x v="2"/>
    <x v="5"/>
    <n v="0"/>
    <s v="87380"/>
  </r>
  <r>
    <n v="1035"/>
    <d v="2026-06-13T00:00:00"/>
    <x v="1027"/>
    <s v="0001067"/>
    <s v="ədəd"/>
    <n v="6"/>
    <n v="0.17"/>
    <n v="1.02"/>
    <x v="2"/>
    <x v="5"/>
    <n v="0"/>
    <s v="87380"/>
  </r>
  <r>
    <n v="1036"/>
    <d v="2026-06-13T00:00:00"/>
    <x v="1028"/>
    <s v="0001068"/>
    <s v="ədəd"/>
    <n v="1"/>
    <n v="0.21"/>
    <n v="0.21"/>
    <x v="2"/>
    <x v="5"/>
    <n v="0"/>
    <s v="87380"/>
  </r>
  <r>
    <n v="1037"/>
    <d v="2026-06-13T00:00:00"/>
    <x v="1029"/>
    <s v="0001069"/>
    <s v="ədəd"/>
    <n v="1"/>
    <n v="2.59"/>
    <n v="2.59"/>
    <x v="2"/>
    <x v="5"/>
    <n v="0"/>
    <s v="87380"/>
  </r>
  <r>
    <n v="1038"/>
    <d v="2026-06-13T00:00:00"/>
    <x v="1030"/>
    <s v="0001070"/>
    <s v="ədəd"/>
    <n v="10"/>
    <n v="0.54"/>
    <n v="5.4"/>
    <x v="2"/>
    <x v="5"/>
    <n v="0"/>
    <s v="87380"/>
  </r>
  <r>
    <n v="1039"/>
    <d v="2026-06-13T00:00:00"/>
    <x v="1031"/>
    <s v="0001071"/>
    <s v="ədəd"/>
    <n v="1"/>
    <n v="0.15"/>
    <n v="0.15"/>
    <x v="2"/>
    <x v="5"/>
    <n v="0"/>
    <s v="87380"/>
  </r>
  <r>
    <n v="1040"/>
    <d v="2026-06-13T00:00:00"/>
    <x v="1032"/>
    <s v="0001072"/>
    <s v="ədəd"/>
    <n v="1"/>
    <n v="3.53"/>
    <n v="3.53"/>
    <x v="2"/>
    <x v="5"/>
    <n v="0"/>
    <s v="87380"/>
  </r>
  <r>
    <n v="1041"/>
    <d v="2026-06-13T00:00:00"/>
    <x v="1033"/>
    <s v="0001073"/>
    <s v="ədəd"/>
    <n v="5"/>
    <n v="0.09"/>
    <n v="0.44999999999999996"/>
    <x v="2"/>
    <x v="5"/>
    <n v="0"/>
    <s v="87380"/>
  </r>
  <r>
    <n v="1042"/>
    <d v="2026-06-13T00:00:00"/>
    <x v="1034"/>
    <s v="0001074"/>
    <s v="ədəd"/>
    <n v="12"/>
    <n v="7.0000000000000007E-2"/>
    <n v="0.84000000000000008"/>
    <x v="2"/>
    <x v="5"/>
    <n v="0"/>
    <s v="87380"/>
  </r>
  <r>
    <n v="1043"/>
    <d v="2026-06-14T00:00:00"/>
    <x v="1035"/>
    <s v="0001053"/>
    <s v="kvm"/>
    <n v="1.5"/>
    <n v="20"/>
    <n v="30"/>
    <x v="2"/>
    <x v="5"/>
    <n v="0"/>
    <s v="202899"/>
  </r>
  <r>
    <n v="1044"/>
    <d v="2026-06-15T00:00:00"/>
    <x v="928"/>
    <s v="0000915"/>
    <s v="ədəd"/>
    <n v="4"/>
    <n v="40"/>
    <n v="160"/>
    <x v="2"/>
    <x v="5"/>
    <n v="0"/>
    <n v="0"/>
  </r>
  <r>
    <n v="1045"/>
    <d v="2026-06-15T00:00:00"/>
    <x v="1036"/>
    <s v="0001048"/>
    <s v="kq"/>
    <n v="3.5"/>
    <n v="5"/>
    <n v="17.5"/>
    <x v="2"/>
    <x v="5"/>
    <n v="0"/>
    <s v="41239"/>
  </r>
  <r>
    <n v="1046"/>
    <d v="2026-06-15T00:00:00"/>
    <x v="1037"/>
    <s v="0001049"/>
    <s v="kq"/>
    <n v="1"/>
    <n v="10"/>
    <n v="10"/>
    <x v="2"/>
    <x v="5"/>
    <n v="0"/>
    <s v="41239"/>
  </r>
  <r>
    <n v="1047"/>
    <d v="2026-06-15T00:00:00"/>
    <x v="1038"/>
    <s v="0001050"/>
    <s v="ədəd"/>
    <n v="4"/>
    <n v="2"/>
    <n v="8"/>
    <x v="2"/>
    <x v="5"/>
    <n v="0"/>
    <n v="0"/>
  </r>
  <r>
    <n v="1048"/>
    <d v="2026-06-18T00:00:00"/>
    <x v="1039"/>
    <s v="0000970"/>
    <s v="ədəd"/>
    <n v="1"/>
    <n v="110"/>
    <n v="110"/>
    <x v="0"/>
    <x v="6"/>
    <s v="№72/2026"/>
    <s v="79423"/>
  </r>
  <r>
    <n v="1049"/>
    <d v="2026-06-18T00:00:00"/>
    <x v="1040"/>
    <s v="0000971"/>
    <s v="ədəd"/>
    <n v="1"/>
    <n v="60"/>
    <n v="60"/>
    <x v="0"/>
    <x v="6"/>
    <s v="№72/2026"/>
    <s v="79423"/>
  </r>
  <r>
    <n v="1050"/>
    <d v="2026-06-18T00:00:00"/>
    <x v="1041"/>
    <s v="0000972"/>
    <s v="ədəd"/>
    <n v="10"/>
    <n v="2.2000000000000002"/>
    <n v="22"/>
    <x v="0"/>
    <x v="6"/>
    <s v="№72/2026"/>
    <s v="79423"/>
  </r>
  <r>
    <n v="1051"/>
    <d v="2026-06-18T00:00:00"/>
    <x v="1042"/>
    <s v="0000973"/>
    <s v="ədəd"/>
    <n v="10"/>
    <n v="1.2"/>
    <n v="12"/>
    <x v="0"/>
    <x v="6"/>
    <s v="№72/2026"/>
    <s v="79423"/>
  </r>
  <r>
    <n v="1052"/>
    <d v="2026-06-18T00:00:00"/>
    <x v="1043"/>
    <s v="0000974"/>
    <s v="ədəd"/>
    <n v="1"/>
    <n v="55"/>
    <n v="55"/>
    <x v="0"/>
    <x v="6"/>
    <s v="№72/2026"/>
    <s v="79423"/>
  </r>
  <r>
    <n v="1053"/>
    <d v="2026-06-18T00:00:00"/>
    <x v="1044"/>
    <s v="0000975"/>
    <s v="ədəd"/>
    <n v="3"/>
    <n v="2"/>
    <n v="6"/>
    <x v="0"/>
    <x v="6"/>
    <s v="№72/2026"/>
    <s v="79423"/>
  </r>
  <r>
    <n v="1054"/>
    <d v="2026-06-18T00:00:00"/>
    <x v="1045"/>
    <s v="0000976"/>
    <s v="ədəd"/>
    <n v="20"/>
    <n v="1.5"/>
    <n v="30"/>
    <x v="0"/>
    <x v="6"/>
    <s v="№72/2026"/>
    <s v="79423"/>
  </r>
  <r>
    <n v="1055"/>
    <d v="2026-06-18T00:00:00"/>
    <x v="1046"/>
    <s v="0000977"/>
    <s v="cüt"/>
    <n v="2"/>
    <n v="30"/>
    <n v="60"/>
    <x v="0"/>
    <x v="6"/>
    <s v="№72/2026"/>
    <s v="79423"/>
  </r>
  <r>
    <n v="1056"/>
    <d v="2026-06-18T00:00:00"/>
    <x v="1047"/>
    <s v="0000978"/>
    <s v="cüt"/>
    <n v="3"/>
    <n v="30"/>
    <n v="90"/>
    <x v="0"/>
    <x v="6"/>
    <s v="№72/2026"/>
    <s v="79423"/>
  </r>
  <r>
    <n v="1057"/>
    <d v="2026-06-18T00:00:00"/>
    <x v="1047"/>
    <s v="0000978"/>
    <s v="cüt"/>
    <n v="2"/>
    <n v="30"/>
    <n v="60"/>
    <x v="0"/>
    <x v="6"/>
    <s v="№72/2026"/>
    <s v="79423"/>
  </r>
  <r>
    <n v="1058"/>
    <d v="2026-06-18T00:00:00"/>
    <x v="1048"/>
    <s v="0000979"/>
    <s v="cüt"/>
    <n v="6"/>
    <n v="30"/>
    <n v="180"/>
    <x v="0"/>
    <x v="6"/>
    <s v="№72/2026"/>
    <s v="79423"/>
  </r>
  <r>
    <n v="1059"/>
    <d v="2026-06-18T00:00:00"/>
    <x v="1049"/>
    <s v="0000980"/>
    <s v="cüt"/>
    <n v="3"/>
    <n v="30"/>
    <n v="90"/>
    <x v="0"/>
    <x v="6"/>
    <s v="№72/2026"/>
    <s v="79423"/>
  </r>
  <r>
    <n v="1060"/>
    <d v="2026-06-18T00:00:00"/>
    <x v="1050"/>
    <s v="0000981"/>
    <s v="cüt"/>
    <n v="2"/>
    <n v="47"/>
    <n v="94"/>
    <x v="0"/>
    <x v="6"/>
    <s v="№72/2026"/>
    <s v="79423"/>
  </r>
  <r>
    <n v="1061"/>
    <d v="2026-06-18T00:00:00"/>
    <x v="1051"/>
    <s v="0000982"/>
    <s v="cüt"/>
    <n v="1"/>
    <n v="47"/>
    <n v="47"/>
    <x v="0"/>
    <x v="6"/>
    <s v="№72/2026"/>
    <s v="79423"/>
  </r>
  <r>
    <n v="1062"/>
    <d v="2026-06-18T00:00:00"/>
    <x v="1052"/>
    <s v="0000983"/>
    <s v="cüt"/>
    <n v="1"/>
    <n v="43"/>
    <n v="43"/>
    <x v="0"/>
    <x v="6"/>
    <s v="№72/2026"/>
    <s v="79423"/>
  </r>
  <r>
    <n v="1063"/>
    <d v="2026-06-18T00:00:00"/>
    <x v="1053"/>
    <s v="0000984"/>
    <s v="ədəd"/>
    <n v="12"/>
    <n v="1"/>
    <n v="12"/>
    <x v="0"/>
    <x v="6"/>
    <s v="№72/2026"/>
    <s v="79423"/>
  </r>
  <r>
    <n v="1064"/>
    <d v="2026-06-18T00:00:00"/>
    <x v="1053"/>
    <s v="0000984"/>
    <s v="ədəd"/>
    <n v="8"/>
    <n v="1"/>
    <n v="8"/>
    <x v="0"/>
    <x v="6"/>
    <s v="№72/2026"/>
    <s v="79423"/>
  </r>
  <r>
    <n v="1065"/>
    <d v="2026-06-18T00:00:00"/>
    <x v="1054"/>
    <s v="0000985"/>
    <s v="ədəd"/>
    <n v="1"/>
    <n v="8.5"/>
    <n v="8.5"/>
    <x v="0"/>
    <x v="6"/>
    <s v="№72/2026"/>
    <s v="79423"/>
  </r>
  <r>
    <n v="1066"/>
    <d v="2026-06-18T00:00:00"/>
    <x v="1055"/>
    <s v="0000986"/>
    <s v="ədəd"/>
    <n v="1"/>
    <n v="7"/>
    <n v="7"/>
    <x v="0"/>
    <x v="6"/>
    <s v="№72/2026"/>
    <s v="79423"/>
  </r>
  <r>
    <n v="1067"/>
    <d v="2026-06-18T00:00:00"/>
    <x v="1056"/>
    <s v="0000987"/>
    <s v="ədəd"/>
    <n v="3"/>
    <n v="5"/>
    <n v="15"/>
    <x v="0"/>
    <x v="6"/>
    <s v="№72/2026"/>
    <s v="79423"/>
  </r>
  <r>
    <n v="1068"/>
    <d v="2026-06-18T00:00:00"/>
    <x v="1057"/>
    <s v="0000988"/>
    <s v="ədəd"/>
    <n v="2"/>
    <n v="66"/>
    <n v="132"/>
    <x v="0"/>
    <x v="6"/>
    <s v="№72/2026"/>
    <s v="79423"/>
  </r>
  <r>
    <n v="1069"/>
    <d v="2026-06-18T00:00:00"/>
    <x v="1058"/>
    <s v="0000989"/>
    <s v="dəst"/>
    <n v="1"/>
    <n v="15"/>
    <n v="15"/>
    <x v="0"/>
    <x v="6"/>
    <s v="№72/2026"/>
    <s v="79423"/>
  </r>
  <r>
    <n v="1070"/>
    <d v="2026-06-18T00:00:00"/>
    <x v="1059"/>
    <s v="0000990"/>
    <s v="ədəd"/>
    <n v="5"/>
    <n v="2"/>
    <n v="10"/>
    <x v="0"/>
    <x v="0"/>
    <s v="№ 24-060"/>
    <s v="4775"/>
  </r>
  <r>
    <n v="1071"/>
    <d v="2026-06-18T00:00:00"/>
    <x v="1060"/>
    <s v="0000991"/>
    <s v="ədəd"/>
    <n v="5"/>
    <n v="1.7"/>
    <n v="8.5"/>
    <x v="0"/>
    <x v="0"/>
    <s v="№ 24-060"/>
    <s v="4775"/>
  </r>
  <r>
    <n v="1072"/>
    <d v="2026-06-18T00:00:00"/>
    <x v="1061"/>
    <s v="0000992"/>
    <s v="ədəd"/>
    <n v="10"/>
    <n v="2"/>
    <n v="20"/>
    <x v="0"/>
    <x v="0"/>
    <s v="№ 24-060"/>
    <s v="4775"/>
  </r>
  <r>
    <n v="1073"/>
    <d v="2026-06-18T00:00:00"/>
    <x v="983"/>
    <s v="0000993"/>
    <s v="ədəd"/>
    <n v="10"/>
    <n v="1.8"/>
    <n v="18"/>
    <x v="0"/>
    <x v="0"/>
    <s v="№ 24-060"/>
    <s v="4775"/>
  </r>
  <r>
    <n v="1074"/>
    <d v="2026-06-18T00:00:00"/>
    <x v="1062"/>
    <s v="0000994"/>
    <s v="ədəd"/>
    <n v="2"/>
    <n v="1.2"/>
    <n v="2.4"/>
    <x v="0"/>
    <x v="0"/>
    <s v="№ 24-060"/>
    <s v="4775"/>
  </r>
  <r>
    <n v="1075"/>
    <d v="2026-06-18T00:00:00"/>
    <x v="984"/>
    <s v="0000995"/>
    <s v="paçka"/>
    <n v="2"/>
    <n v="16"/>
    <n v="32"/>
    <x v="0"/>
    <x v="0"/>
    <s v="№ 24-060"/>
    <s v="4775"/>
  </r>
  <r>
    <n v="1076"/>
    <d v="2026-06-18T00:00:00"/>
    <x v="985"/>
    <s v="0000996"/>
    <s v="ədəd"/>
    <n v="20"/>
    <n v="3.5"/>
    <n v="70"/>
    <x v="0"/>
    <x v="0"/>
    <s v="№ 24-060"/>
    <s v="4775"/>
  </r>
  <r>
    <n v="1077"/>
    <d v="2026-06-18T00:00:00"/>
    <x v="0"/>
    <s v="0000997"/>
    <s v="ədəd"/>
    <n v="5"/>
    <n v="0.8"/>
    <n v="4"/>
    <x v="0"/>
    <x v="0"/>
    <s v="№ 24-060"/>
    <s v="4775"/>
  </r>
  <r>
    <n v="1078"/>
    <d v="2026-06-18T00:00:00"/>
    <x v="1063"/>
    <s v="0000998"/>
    <s v="ədəd"/>
    <n v="4"/>
    <n v="1"/>
    <n v="4"/>
    <x v="0"/>
    <x v="0"/>
    <s v="№ 24-060"/>
    <s v="4775"/>
  </r>
  <r>
    <n v="1079"/>
    <d v="2026-06-18T00:00:00"/>
    <x v="1064"/>
    <s v="0000999"/>
    <s v="ədəd"/>
    <n v="2"/>
    <n v="1.2"/>
    <n v="2.4"/>
    <x v="0"/>
    <x v="0"/>
    <s v="№ 24-060"/>
    <s v="4775"/>
  </r>
  <r>
    <n v="1080"/>
    <d v="2026-06-18T00:00:00"/>
    <x v="1065"/>
    <s v="0001000"/>
    <s v="ədəd"/>
    <n v="3"/>
    <n v="0.7"/>
    <n v="2.0999999999999996"/>
    <x v="0"/>
    <x v="0"/>
    <s v="№ 24-060"/>
    <s v="4775"/>
  </r>
  <r>
    <n v="1081"/>
    <d v="2026-06-18T00:00:00"/>
    <x v="1066"/>
    <s v="0001001"/>
    <s v="ədəd"/>
    <n v="3"/>
    <n v="1.3"/>
    <n v="3.9000000000000004"/>
    <x v="0"/>
    <x v="0"/>
    <s v="№ 24-060"/>
    <s v="4775"/>
  </r>
  <r>
    <n v="1082"/>
    <d v="2026-06-18T00:00:00"/>
    <x v="1067"/>
    <s v="0001002"/>
    <s v="cüt"/>
    <n v="1"/>
    <n v="4"/>
    <n v="4"/>
    <x v="0"/>
    <x v="0"/>
    <s v="№ 24-060"/>
    <s v="4775"/>
  </r>
  <r>
    <n v="1083"/>
    <d v="2026-06-18T00:00:00"/>
    <x v="1068"/>
    <s v="0001003"/>
    <s v="ədəd"/>
    <n v="1"/>
    <n v="6"/>
    <n v="6"/>
    <x v="0"/>
    <x v="0"/>
    <s v="№ 24-060"/>
    <s v="4775"/>
  </r>
  <r>
    <n v="1084"/>
    <d v="2026-06-18T00:00:00"/>
    <x v="1069"/>
    <s v="0001004"/>
    <s v="ədəd"/>
    <n v="2"/>
    <n v="19.149999999999999"/>
    <n v="38.299999999999997"/>
    <x v="0"/>
    <x v="7"/>
    <n v="0"/>
    <s v="D18-T20260617-181-S173624"/>
  </r>
  <r>
    <n v="1085"/>
    <d v="2026-06-18T00:00:00"/>
    <x v="1070"/>
    <s v="0001005"/>
    <s v="ədəd"/>
    <n v="1"/>
    <n v="19.149999999999999"/>
    <n v="19.149999999999999"/>
    <x v="0"/>
    <x v="7"/>
    <n v="0"/>
    <s v="D18-T20260617-181-S173624"/>
  </r>
  <r>
    <n v="1086"/>
    <d v="2026-06-18T00:00:00"/>
    <x v="1071"/>
    <s v="0001006"/>
    <s v="ədəd"/>
    <n v="2"/>
    <n v="81.44"/>
    <n v="162.88"/>
    <x v="0"/>
    <x v="7"/>
    <n v="0"/>
    <s v="D18-T20260617-181-S173624"/>
  </r>
  <r>
    <n v="1087"/>
    <d v="2026-06-18T00:00:00"/>
    <x v="1072"/>
    <s v="0001007"/>
    <s v="ədəd"/>
    <n v="2"/>
    <n v="20.34"/>
    <n v="40.68"/>
    <x v="0"/>
    <x v="7"/>
    <n v="0"/>
    <s v="D18-T20260617-181-S173624"/>
  </r>
  <r>
    <n v="1088"/>
    <d v="2026-06-18T00:00:00"/>
    <x v="1073"/>
    <s v="0001008"/>
    <s v="ədəd"/>
    <n v="3"/>
    <n v="5"/>
    <n v="15"/>
    <x v="0"/>
    <x v="7"/>
    <n v="0"/>
    <s v="D18-T20260617-181-S173624"/>
  </r>
  <r>
    <n v="1089"/>
    <d v="2026-06-18T00:00:00"/>
    <x v="1074"/>
    <s v="0001009"/>
    <s v="ədəd"/>
    <n v="2"/>
    <n v="17.71"/>
    <n v="35.42"/>
    <x v="0"/>
    <x v="7"/>
    <n v="0"/>
    <s v="D18-T20260617-181-S173624"/>
  </r>
  <r>
    <n v="1090"/>
    <d v="2026-06-18T00:00:00"/>
    <x v="1075"/>
    <s v="0001010"/>
    <s v="ədəd"/>
    <n v="6"/>
    <n v="6.86"/>
    <n v="41.160000000000004"/>
    <x v="0"/>
    <x v="7"/>
    <n v="0"/>
    <s v="D18-T20260617-181-S173624"/>
  </r>
  <r>
    <n v="1091"/>
    <d v="2026-06-18T00:00:00"/>
    <x v="1076"/>
    <s v="0001011"/>
    <s v="ədəd"/>
    <n v="1"/>
    <n v="116.8"/>
    <n v="116.8"/>
    <x v="0"/>
    <x v="7"/>
    <n v="0"/>
    <s v="D18-T20260617-181-S173624"/>
  </r>
  <r>
    <n v="1092"/>
    <d v="2026-06-18T00:00:00"/>
    <x v="1077"/>
    <s v="0001012"/>
    <s v="ədəd"/>
    <n v="1"/>
    <n v="10"/>
    <n v="10"/>
    <x v="2"/>
    <x v="5"/>
    <n v="0"/>
    <s v="41234"/>
  </r>
  <r>
    <n v="1093"/>
    <d v="2026-06-18T00:00:00"/>
    <x v="1078"/>
    <s v="0001013"/>
    <s v="ədəd"/>
    <n v="1"/>
    <n v="13"/>
    <n v="13"/>
    <x v="2"/>
    <x v="5"/>
    <n v="0"/>
    <s v="41234"/>
  </r>
  <r>
    <n v="1094"/>
    <d v="2026-06-18T00:00:00"/>
    <x v="1079"/>
    <s v="0001014"/>
    <s v="ədəd"/>
    <n v="1"/>
    <n v="12"/>
    <n v="12"/>
    <x v="2"/>
    <x v="5"/>
    <n v="0"/>
    <s v="41234"/>
  </r>
  <r>
    <n v="1095"/>
    <d v="2026-06-18T00:00:00"/>
    <x v="1080"/>
    <s v="0001015"/>
    <s v="ədəd"/>
    <n v="1"/>
    <n v="8"/>
    <n v="8"/>
    <x v="2"/>
    <x v="5"/>
    <n v="0"/>
    <s v="41234"/>
  </r>
  <r>
    <n v="1096"/>
    <d v="2026-06-18T00:00:00"/>
    <x v="1081"/>
    <s v="0001104"/>
    <s v="kq"/>
    <n v="1"/>
    <n v="14"/>
    <n v="14"/>
    <x v="2"/>
    <x v="5"/>
    <n v="0"/>
    <s v="41238"/>
  </r>
  <r>
    <n v="1097"/>
    <d v="2026-06-18T00:00:00"/>
    <x v="1082"/>
    <s v="0001105"/>
    <s v="ədəd"/>
    <n v="2"/>
    <n v="9"/>
    <n v="18"/>
    <x v="2"/>
    <x v="5"/>
    <n v="0"/>
    <s v="41234"/>
  </r>
  <r>
    <n v="1098"/>
    <d v="2026-06-18T00:00:00"/>
    <x v="1083"/>
    <s v="0001106"/>
    <s v="ədəd"/>
    <n v="50"/>
    <n v="0.2"/>
    <n v="10"/>
    <x v="2"/>
    <x v="5"/>
    <n v="0"/>
    <s v="41238"/>
  </r>
  <r>
    <n v="1099"/>
    <d v="2026-06-19T00:00:00"/>
    <x v="1084"/>
    <s v="0001107"/>
    <s v="ədəd"/>
    <n v="3"/>
    <n v="10.5"/>
    <n v="31.5"/>
    <x v="2"/>
    <x v="8"/>
    <s v="LG-150/26"/>
    <s v="20106"/>
  </r>
  <r>
    <n v="1100"/>
    <d v="2026-06-20T00:00:00"/>
    <x v="1085"/>
    <s v="0001103"/>
    <s v="ədəd"/>
    <n v="2"/>
    <n v="45"/>
    <n v="90"/>
    <x v="2"/>
    <x v="9"/>
    <n v="0"/>
    <s v="71072"/>
  </r>
  <r>
    <n v="1101"/>
    <d v="2026-06-21T00:00:00"/>
    <x v="1086"/>
    <s v="0001092"/>
    <s v="ədəd"/>
    <n v="3"/>
    <n v="3.5"/>
    <n v="10.5"/>
    <x v="2"/>
    <x v="10"/>
    <s v="OY-215/37"/>
    <s v="140"/>
  </r>
  <r>
    <n v="1102"/>
    <d v="2026-06-21T00:00:00"/>
    <x v="1087"/>
    <s v="0001093"/>
    <s v="ədəd"/>
    <n v="1"/>
    <n v="17"/>
    <n v="17"/>
    <x v="2"/>
    <x v="10"/>
    <s v="OY-215/37"/>
    <s v="140"/>
  </r>
  <r>
    <n v="1103"/>
    <d v="2026-06-21T00:00:00"/>
    <x v="1088"/>
    <s v="0001094"/>
    <s v="ədəd"/>
    <n v="1"/>
    <n v="1.2"/>
    <n v="1.2"/>
    <x v="2"/>
    <x v="10"/>
    <s v="OY-215/37"/>
    <s v="140"/>
  </r>
  <r>
    <n v="1104"/>
    <d v="2026-06-21T00:00:00"/>
    <x v="1089"/>
    <s v="0001095"/>
    <s v="ədəd"/>
    <n v="1"/>
    <n v="1.2"/>
    <n v="1.2"/>
    <x v="2"/>
    <x v="10"/>
    <s v="OY-215/37"/>
    <s v="140"/>
  </r>
  <r>
    <n v="1105"/>
    <d v="2026-06-21T00:00:00"/>
    <x v="1090"/>
    <s v="0001096"/>
    <s v="ədəd"/>
    <n v="1"/>
    <n v="1.2"/>
    <n v="1.2"/>
    <x v="2"/>
    <x v="10"/>
    <s v="OY-215/37"/>
    <s v="140"/>
  </r>
  <r>
    <n v="1106"/>
    <d v="2026-06-21T00:00:00"/>
    <x v="1091"/>
    <s v="0001097"/>
    <s v="ədəd"/>
    <n v="1"/>
    <n v="1.2"/>
    <n v="1.2"/>
    <x v="2"/>
    <x v="10"/>
    <s v="OY-215/37"/>
    <s v="140"/>
  </r>
  <r>
    <n v="1107"/>
    <d v="2026-06-21T00:00:00"/>
    <x v="1092"/>
    <s v="0001098"/>
    <s v="ədəd"/>
    <n v="1"/>
    <n v="3.6"/>
    <n v="3.6"/>
    <x v="2"/>
    <x v="10"/>
    <s v="OY-215/37"/>
    <s v="140"/>
  </r>
  <r>
    <n v="1108"/>
    <d v="2026-06-21T00:00:00"/>
    <x v="1093"/>
    <s v="0001099"/>
    <s v="ədəd"/>
    <n v="3"/>
    <n v="0.4"/>
    <n v="1.2000000000000002"/>
    <x v="2"/>
    <x v="10"/>
    <s v="OY-215/37"/>
    <s v="140"/>
  </r>
  <r>
    <n v="1109"/>
    <d v="2026-06-21T00:00:00"/>
    <x v="1094"/>
    <s v="0001100"/>
    <s v="ədəd"/>
    <n v="3"/>
    <n v="0.4"/>
    <n v="1.2000000000000002"/>
    <x v="2"/>
    <x v="10"/>
    <s v="OY-215/37"/>
    <s v="140"/>
  </r>
  <r>
    <n v="1110"/>
    <d v="2026-06-21T00:00:00"/>
    <x v="1095"/>
    <s v="0001101"/>
    <s v="ədəd"/>
    <n v="1"/>
    <n v="16"/>
    <n v="16"/>
    <x v="2"/>
    <x v="5"/>
    <n v="0"/>
    <s v="90471"/>
  </r>
  <r>
    <n v="1111"/>
    <d v="2026-06-21T00:00:00"/>
    <x v="1096"/>
    <s v="0001102"/>
    <s v="ədəd"/>
    <n v="1"/>
    <n v="20"/>
    <n v="20"/>
    <x v="2"/>
    <x v="5"/>
    <n v="0"/>
    <s v="90471"/>
  </r>
  <r>
    <n v="1112"/>
    <d v="2026-06-22T00:00:00"/>
    <x v="1097"/>
    <s v="0001017"/>
    <s v="ədəd"/>
    <n v="12"/>
    <n v="4.5"/>
    <n v="54"/>
    <x v="0"/>
    <x v="11"/>
    <s v="№06/2026"/>
    <s v="83951"/>
  </r>
  <r>
    <n v="1113"/>
    <d v="2026-06-22T00:00:00"/>
    <x v="1098"/>
    <s v="0001018"/>
    <s v="ədəd"/>
    <n v="24"/>
    <n v="3.5"/>
    <n v="84"/>
    <x v="0"/>
    <x v="11"/>
    <s v="№06/2026"/>
    <s v="83951"/>
  </r>
  <r>
    <n v="1114"/>
    <d v="2026-06-22T00:00:00"/>
    <x v="1099"/>
    <s v="0001019"/>
    <s v="ədəd"/>
    <n v="12"/>
    <n v="2.5"/>
    <n v="30"/>
    <x v="0"/>
    <x v="11"/>
    <s v="№06/2026"/>
    <s v="83951"/>
  </r>
  <r>
    <n v="1115"/>
    <d v="2026-06-22T00:00:00"/>
    <x v="1100"/>
    <s v="0001020"/>
    <s v="ədəd"/>
    <n v="25"/>
    <n v="1"/>
    <n v="25"/>
    <x v="0"/>
    <x v="11"/>
    <s v="№06/2026"/>
    <s v="83951"/>
  </r>
  <r>
    <n v="1116"/>
    <d v="2026-06-22T00:00:00"/>
    <x v="1101"/>
    <s v="0001021"/>
    <s v="ədəd"/>
    <n v="8"/>
    <n v="3"/>
    <n v="24"/>
    <x v="0"/>
    <x v="11"/>
    <s v="№06/2026"/>
    <s v="83951"/>
  </r>
  <r>
    <n v="1117"/>
    <d v="2026-06-22T00:00:00"/>
    <x v="1102"/>
    <s v="0001022"/>
    <s v="ədəd"/>
    <n v="2"/>
    <n v="2"/>
    <n v="4"/>
    <x v="0"/>
    <x v="11"/>
    <s v="№06/2026"/>
    <s v="83951"/>
  </r>
  <r>
    <n v="1118"/>
    <d v="2026-06-22T00:00:00"/>
    <x v="1103"/>
    <s v="0001023"/>
    <s v="ədəd"/>
    <n v="2"/>
    <n v="2"/>
    <n v="4"/>
    <x v="0"/>
    <x v="11"/>
    <s v="№06/2026"/>
    <s v="83951"/>
  </r>
  <r>
    <n v="1119"/>
    <d v="2026-06-22T00:00:00"/>
    <x v="1104"/>
    <s v="0001024"/>
    <s v="ədəd"/>
    <n v="1"/>
    <n v="25"/>
    <n v="25"/>
    <x v="0"/>
    <x v="11"/>
    <s v="№06/2026"/>
    <s v="83951"/>
  </r>
  <r>
    <n v="1120"/>
    <d v="2026-06-22T00:00:00"/>
    <x v="1105"/>
    <s v="0001025"/>
    <s v="ədəd"/>
    <n v="1"/>
    <n v="5"/>
    <n v="5"/>
    <x v="0"/>
    <x v="11"/>
    <s v="№06/2026"/>
    <s v="83951"/>
  </r>
  <r>
    <n v="1121"/>
    <d v="2026-06-22T00:00:00"/>
    <x v="1106"/>
    <s v="0001026"/>
    <s v="ədəd"/>
    <n v="5"/>
    <n v="90"/>
    <n v="450"/>
    <x v="0"/>
    <x v="11"/>
    <s v="№06/2026"/>
    <s v="83954"/>
  </r>
  <r>
    <n v="1122"/>
    <d v="2026-06-22T00:00:00"/>
    <x v="1107"/>
    <s v="0001027"/>
    <s v="ədəd"/>
    <n v="22"/>
    <n v="10"/>
    <n v="220"/>
    <x v="0"/>
    <x v="11"/>
    <s v="№06/2026"/>
    <s v="83954"/>
  </r>
  <r>
    <n v="1123"/>
    <d v="2026-06-22T00:00:00"/>
    <x v="1108"/>
    <s v="0001028"/>
    <s v="ədəd"/>
    <n v="1"/>
    <n v="3.5"/>
    <n v="3.5"/>
    <x v="0"/>
    <x v="11"/>
    <s v="№06/2026"/>
    <s v="83952"/>
  </r>
  <r>
    <n v="1124"/>
    <d v="2026-06-22T00:00:00"/>
    <x v="1109"/>
    <s v="0001029"/>
    <s v="ədəd"/>
    <n v="4"/>
    <n v="2"/>
    <n v="8"/>
    <x v="0"/>
    <x v="11"/>
    <s v="№06/2026"/>
    <s v="83952"/>
  </r>
  <r>
    <n v="1125"/>
    <d v="2026-06-22T00:00:00"/>
    <x v="1110"/>
    <s v="0001030"/>
    <s v="ədəd"/>
    <n v="2"/>
    <n v="2.2999999999999998"/>
    <n v="4.5999999999999996"/>
    <x v="0"/>
    <x v="11"/>
    <s v="№06/2026"/>
    <s v="83952"/>
  </r>
  <r>
    <n v="1126"/>
    <d v="2026-06-22T00:00:00"/>
    <x v="1111"/>
    <s v="0001031"/>
    <s v="ədəd"/>
    <n v="3"/>
    <n v="3.5"/>
    <n v="10.5"/>
    <x v="0"/>
    <x v="11"/>
    <s v="№06/2026"/>
    <s v="83952"/>
  </r>
  <r>
    <n v="1127"/>
    <d v="2026-06-22T00:00:00"/>
    <x v="1112"/>
    <s v="0001032"/>
    <s v="ədəd"/>
    <n v="1"/>
    <n v="50"/>
    <n v="50"/>
    <x v="0"/>
    <x v="11"/>
    <s v="№06/2026"/>
    <s v="83952"/>
  </r>
  <r>
    <n v="1128"/>
    <d v="2026-06-22T00:00:00"/>
    <x v="986"/>
    <s v="0001033"/>
    <s v="ədəd"/>
    <n v="1"/>
    <n v="4"/>
    <n v="4"/>
    <x v="0"/>
    <x v="11"/>
    <s v="№06/2026"/>
    <s v="83952"/>
  </r>
  <r>
    <n v="1129"/>
    <d v="2026-06-22T00:00:00"/>
    <x v="1113"/>
    <s v="0001034"/>
    <s v="ədəd"/>
    <n v="2"/>
    <n v="18"/>
    <n v="36"/>
    <x v="0"/>
    <x v="11"/>
    <s v="№06/2026"/>
    <s v="83952"/>
  </r>
  <r>
    <n v="1130"/>
    <d v="2026-06-22T00:00:00"/>
    <x v="1114"/>
    <s v="0001035"/>
    <s v="ədəd"/>
    <n v="2"/>
    <n v="4"/>
    <n v="8"/>
    <x v="0"/>
    <x v="11"/>
    <s v="№06/2026"/>
    <s v="83955"/>
  </r>
  <r>
    <n v="1131"/>
    <d v="2026-06-22T00:00:00"/>
    <x v="1115"/>
    <s v="0001036"/>
    <s v="ədəd"/>
    <n v="1"/>
    <n v="3.5"/>
    <n v="3.5"/>
    <x v="0"/>
    <x v="11"/>
    <s v="№06/2026"/>
    <s v="83952"/>
  </r>
  <r>
    <n v="1132"/>
    <d v="2026-06-22T00:00:00"/>
    <x v="1116"/>
    <s v="0001037"/>
    <s v="ədəd"/>
    <n v="2"/>
    <n v="1.5"/>
    <n v="3"/>
    <x v="0"/>
    <x v="11"/>
    <s v="№06/2026"/>
    <s v="83952"/>
  </r>
  <r>
    <n v="1133"/>
    <d v="2026-06-22T00:00:00"/>
    <x v="1117"/>
    <s v="0001077"/>
    <s v="ədəd"/>
    <n v="1"/>
    <n v="18"/>
    <n v="18"/>
    <x v="0"/>
    <x v="11"/>
    <s v="№06/2026"/>
    <s v="83956"/>
  </r>
  <r>
    <n v="1134"/>
    <d v="2026-06-22T00:00:00"/>
    <x v="1118"/>
    <s v="0001078"/>
    <s v="ədəd"/>
    <n v="2"/>
    <n v="8"/>
    <n v="16"/>
    <x v="0"/>
    <x v="11"/>
    <s v="№06/2026"/>
    <s v="83956"/>
  </r>
  <r>
    <n v="1135"/>
    <d v="2026-06-22T00:00:00"/>
    <x v="1119"/>
    <s v="0001108"/>
    <s v="ədəd"/>
    <n v="1"/>
    <n v="15"/>
    <n v="15"/>
    <x v="2"/>
    <x v="5"/>
    <n v="0"/>
    <s v="N1790"/>
  </r>
  <r>
    <n v="1136"/>
    <d v="2026-06-23T00:00:00"/>
    <x v="1120"/>
    <s v="0001079"/>
    <s v="ədəd"/>
    <n v="11"/>
    <n v="5.5"/>
    <n v="60.5"/>
    <x v="0"/>
    <x v="11"/>
    <s v="№06/2026"/>
    <s v="83958"/>
  </r>
  <r>
    <n v="1137"/>
    <d v="2026-06-23T00:00:00"/>
    <x v="1121"/>
    <s v="0001080"/>
    <s v="ədəd"/>
    <n v="5"/>
    <n v="1.5"/>
    <n v="7.5"/>
    <x v="0"/>
    <x v="11"/>
    <s v="№06/2026"/>
    <s v="83958"/>
  </r>
  <r>
    <n v="1138"/>
    <d v="2026-06-23T00:00:00"/>
    <x v="1122"/>
    <s v="0001081"/>
    <s v="ədəd"/>
    <n v="1"/>
    <n v="28"/>
    <n v="28"/>
    <x v="0"/>
    <x v="11"/>
    <s v="№06/2026"/>
    <s v="83958"/>
  </r>
  <r>
    <n v="1139"/>
    <d v="2026-06-23T00:00:00"/>
    <x v="1123"/>
    <s v="0001082"/>
    <s v="ədəd"/>
    <n v="1"/>
    <n v="3"/>
    <n v="3"/>
    <x v="0"/>
    <x v="11"/>
    <s v="№06/2026"/>
    <s v="83957"/>
  </r>
  <r>
    <n v="1140"/>
    <d v="2026-06-23T00:00:00"/>
    <x v="1124"/>
    <s v="0001083"/>
    <s v="ədəd"/>
    <n v="2"/>
    <n v="4"/>
    <n v="8"/>
    <x v="0"/>
    <x v="11"/>
    <s v="№06/2026"/>
    <s v="83957"/>
  </r>
  <r>
    <n v="1141"/>
    <d v="2026-06-24T00:00:00"/>
    <x v="377"/>
    <s v="0000359"/>
    <s v="ədəd"/>
    <n v="4"/>
    <n v="4.5"/>
    <n v="18"/>
    <x v="0"/>
    <x v="11"/>
    <s v="№06/2026"/>
    <s v="83959"/>
  </r>
  <r>
    <n v="1142"/>
    <d v="2026-06-24T00:00:00"/>
    <x v="433"/>
    <s v="0000415"/>
    <s v="ədəd"/>
    <n v="5"/>
    <n v="3"/>
    <n v="15"/>
    <x v="0"/>
    <x v="11"/>
    <s v="№06/2026"/>
    <s v="83959"/>
  </r>
  <r>
    <n v="1143"/>
    <d v="2026-06-26T00:00:00"/>
    <x v="1125"/>
    <s v="0001109"/>
    <s v="ədəd"/>
    <n v="5"/>
    <n v="2.5"/>
    <n v="12.5"/>
    <x v="2"/>
    <x v="5"/>
    <n v="0"/>
    <n v="0"/>
  </r>
  <r>
    <n v="1144"/>
    <d v="2026-06-26T00:00:00"/>
    <x v="1126"/>
    <s v="0001110"/>
    <s v="metr"/>
    <n v="30"/>
    <n v="1"/>
    <n v="30"/>
    <x v="2"/>
    <x v="5"/>
    <n v="0"/>
    <n v="0"/>
  </r>
  <r>
    <n v="1145"/>
    <d v="2026-06-26T00:00:00"/>
    <x v="1127"/>
    <s v="0001111"/>
    <s v="ədəd"/>
    <n v="3"/>
    <n v="1"/>
    <n v="3"/>
    <x v="2"/>
    <x v="5"/>
    <n v="0"/>
    <n v="0"/>
  </r>
  <r>
    <n v="1146"/>
    <d v="2026-06-26T00:00:00"/>
    <x v="1128"/>
    <s v="0001112"/>
    <s v="ədəd"/>
    <n v="2"/>
    <n v="1"/>
    <n v="2"/>
    <x v="2"/>
    <x v="5"/>
    <n v="0"/>
    <n v="0"/>
  </r>
  <r>
    <n v="1147"/>
    <d v="2026-06-26T00:00:00"/>
    <x v="1129"/>
    <s v="0001113"/>
    <s v="ədəd"/>
    <n v="1"/>
    <n v="16"/>
    <n v="16"/>
    <x v="2"/>
    <x v="5"/>
    <n v="0"/>
    <n v="0"/>
  </r>
  <r>
    <n v="1148"/>
    <d v="2026-06-26T00:00:00"/>
    <x v="1130"/>
    <s v="0001114"/>
    <s v="ədəd"/>
    <n v="1"/>
    <n v="180"/>
    <n v="180"/>
    <x v="0"/>
    <x v="6"/>
    <s v="№72/2026"/>
    <s v="2297"/>
  </r>
  <r>
    <n v="1149"/>
    <d v="2026-06-26T00:00:00"/>
    <x v="1131"/>
    <s v="0001125"/>
    <s v="ədəd"/>
    <n v="1"/>
    <n v="45"/>
    <n v="45"/>
    <x v="0"/>
    <x v="6"/>
    <s v="№72/2026"/>
    <s v="2297"/>
  </r>
  <r>
    <n v="1150"/>
    <d v="2026-06-26T00:00:00"/>
    <x v="1132"/>
    <s v="0001126"/>
    <s v="ədəd"/>
    <n v="2"/>
    <n v="1"/>
    <n v="2"/>
    <x v="0"/>
    <x v="6"/>
    <s v="№72/2026"/>
    <s v="2297"/>
  </r>
  <r>
    <n v="1151"/>
    <d v="2026-06-27T00:00:00"/>
    <x v="483"/>
    <s v="0000465"/>
    <s v="ədəd"/>
    <n v="2"/>
    <n v="4"/>
    <n v="8"/>
    <x v="0"/>
    <x v="11"/>
    <s v="№06/2026"/>
    <s v="83960"/>
  </r>
  <r>
    <n v="1152"/>
    <d v="2026-06-27T00:00:00"/>
    <x v="1100"/>
    <s v="0001020"/>
    <s v="ədəd"/>
    <n v="10"/>
    <n v="1"/>
    <n v="10"/>
    <x v="0"/>
    <x v="11"/>
    <s v="№06/2026"/>
    <s v="83960"/>
  </r>
  <r>
    <n v="1153"/>
    <d v="2026-06-27T00:00:00"/>
    <x v="1101"/>
    <s v="0001021"/>
    <s v="ədəd"/>
    <n v="4"/>
    <n v="3"/>
    <n v="12"/>
    <x v="0"/>
    <x v="11"/>
    <s v="№06/2026"/>
    <s v="83960"/>
  </r>
  <r>
    <n v="1154"/>
    <d v="2026-06-27T00:00:00"/>
    <x v="1106"/>
    <s v="0001026"/>
    <s v="ədəd"/>
    <n v="1"/>
    <n v="90"/>
    <n v="90"/>
    <x v="0"/>
    <x v="11"/>
    <s v="№06/2026"/>
    <s v="83961"/>
  </r>
  <r>
    <n v="1155"/>
    <d v="2026-06-27T00:00:00"/>
    <x v="1111"/>
    <s v="0001031"/>
    <s v="ədəd"/>
    <n v="1"/>
    <n v="3.5"/>
    <n v="3.5"/>
    <x v="0"/>
    <x v="11"/>
    <s v="№06/2026"/>
    <s v="83960"/>
  </r>
  <r>
    <n v="1156"/>
    <d v="2026-06-27T00:00:00"/>
    <x v="1118"/>
    <s v="0001078"/>
    <s v="ədəd"/>
    <n v="2"/>
    <n v="7"/>
    <n v="14"/>
    <x v="0"/>
    <x v="11"/>
    <s v="№06/2026"/>
    <s v="83960"/>
  </r>
  <r>
    <n v="1157"/>
    <d v="2026-06-27T00:00:00"/>
    <x v="987"/>
    <s v="0001090"/>
    <s v="ədəd"/>
    <n v="1"/>
    <n v="4"/>
    <n v="4"/>
    <x v="0"/>
    <x v="11"/>
    <s v="№06/2026"/>
    <s v="83960"/>
  </r>
  <r>
    <n v="1158"/>
    <d v="2026-06-27T00:00:00"/>
    <x v="1133"/>
    <s v="0001115"/>
    <s v="ədəd"/>
    <n v="1"/>
    <n v="14"/>
    <n v="14"/>
    <x v="0"/>
    <x v="11"/>
    <s v="№06/2026"/>
    <s v="83960"/>
  </r>
  <r>
    <n v="1159"/>
    <d v="2026-06-27T00:00:00"/>
    <x v="1134"/>
    <s v="0001116"/>
    <s v="ədəd"/>
    <n v="1"/>
    <n v="4"/>
    <n v="4"/>
    <x v="0"/>
    <x v="11"/>
    <s v="№06/2026"/>
    <s v="83960"/>
  </r>
  <r>
    <n v="1160"/>
    <d v="2026-06-27T00:00:00"/>
    <x v="1135"/>
    <s v="0001117"/>
    <s v="ədəd"/>
    <n v="1"/>
    <n v="6"/>
    <n v="6"/>
    <x v="0"/>
    <x v="11"/>
    <s v="№06/2026"/>
    <s v="83960"/>
  </r>
  <r>
    <n v="1161"/>
    <d v="2026-06-27T00:00:00"/>
    <x v="1136"/>
    <s v="0001121"/>
    <s v="ədəd"/>
    <n v="1"/>
    <n v="9"/>
    <n v="9"/>
    <x v="0"/>
    <x v="11"/>
    <s v="№06/2026"/>
    <s v="83960"/>
  </r>
  <r>
    <n v="1162"/>
    <d v="2026-06-28T00:00:00"/>
    <x v="1106"/>
    <s v="0001026"/>
    <s v="ədəd"/>
    <n v="1"/>
    <n v="90"/>
    <n v="90"/>
    <x v="0"/>
    <x v="11"/>
    <s v="№06/2026"/>
    <s v="83962"/>
  </r>
  <r>
    <n v="1163"/>
    <d v="2026-06-28T00:00:00"/>
    <x v="1137"/>
    <s v="0001118"/>
    <s v="ədəd"/>
    <n v="3"/>
    <n v="1.5"/>
    <n v="4.5"/>
    <x v="0"/>
    <x v="11"/>
    <s v="№06/2026"/>
    <s v="83962"/>
  </r>
  <r>
    <n v="1164"/>
    <d v="2026-06-28T00:00:00"/>
    <x v="1138"/>
    <s v="0001119"/>
    <s v="ədəd"/>
    <n v="2"/>
    <n v="2"/>
    <n v="4"/>
    <x v="0"/>
    <x v="11"/>
    <s v="№06/2026"/>
    <s v="83962"/>
  </r>
  <r>
    <n v="1165"/>
    <d v="2026-06-28T00:00:00"/>
    <x v="1139"/>
    <s v="0001120"/>
    <s v="ədəd"/>
    <n v="2"/>
    <n v="0.5"/>
    <n v="1"/>
    <x v="0"/>
    <x v="11"/>
    <s v="№06/2026"/>
    <s v="83962"/>
  </r>
  <r>
    <n v="1166"/>
    <d v="2026-06-30T00:00:00"/>
    <x v="1140"/>
    <s v="0001076"/>
    <s v="ədəd"/>
    <n v="5"/>
    <n v="2000"/>
    <n v="10000"/>
    <x v="0"/>
    <x v="12"/>
    <s v="№ 26-052"/>
    <s v="№ 26-052"/>
  </r>
  <r>
    <n v="1167"/>
    <d v="2026-06-30T00:00:00"/>
    <x v="1141"/>
    <s v="0001084"/>
    <s v="ədəd"/>
    <n v="2"/>
    <n v="25"/>
    <n v="50"/>
    <x v="2"/>
    <x v="9"/>
    <n v="0"/>
    <s v="84785"/>
  </r>
  <r>
    <n v="1168"/>
    <d v="2026-06-30T00:00:00"/>
    <x v="1142"/>
    <s v="0001085"/>
    <s v="ədəd"/>
    <n v="1"/>
    <n v="6"/>
    <n v="6"/>
    <x v="2"/>
    <x v="9"/>
    <n v="0"/>
    <s v="84786"/>
  </r>
  <r>
    <n v="1169"/>
    <d v="2026-06-30T00:00:00"/>
    <x v="1143"/>
    <s v="0001086"/>
    <s v="ədəd"/>
    <n v="1"/>
    <n v="4"/>
    <n v="4"/>
    <x v="2"/>
    <x v="9"/>
    <n v="0"/>
    <s v="84787"/>
  </r>
  <r>
    <n v="1170"/>
    <d v="2026-06-30T00:00:00"/>
    <x v="1144"/>
    <s v="0001087"/>
    <s v="ədəd"/>
    <n v="1"/>
    <n v="5"/>
    <n v="5"/>
    <x v="2"/>
    <x v="9"/>
    <n v="0"/>
    <s v="84788"/>
  </r>
  <r>
    <n v="1171"/>
    <d v="2026-06-30T00:00:00"/>
    <x v="1145"/>
    <s v="0001088"/>
    <s v="ədəd"/>
    <n v="1"/>
    <n v="5"/>
    <n v="5"/>
    <x v="2"/>
    <x v="9"/>
    <n v="0"/>
    <s v="84789"/>
  </r>
  <r>
    <n v="1172"/>
    <d v="2026-06-30T00:00:00"/>
    <x v="1146"/>
    <s v="0001089"/>
    <s v="ədəd"/>
    <n v="1"/>
    <n v="6.5"/>
    <n v="6.5"/>
    <x v="2"/>
    <x v="9"/>
    <n v="0"/>
    <s v="84790"/>
  </r>
  <r>
    <n v="1173"/>
    <d v="2026-06-30T00:00:00"/>
    <x v="987"/>
    <s v="0001090"/>
    <s v="ədəd"/>
    <n v="1"/>
    <n v="5"/>
    <n v="5"/>
    <x v="2"/>
    <x v="9"/>
    <n v="0"/>
    <s v="84791"/>
  </r>
  <r>
    <n v="1174"/>
    <d v="2026-06-30T00:00:00"/>
    <x v="1147"/>
    <s v="0001091"/>
    <s v="ədəd"/>
    <n v="1"/>
    <n v="6"/>
    <n v="6"/>
    <x v="2"/>
    <x v="9"/>
    <n v="0"/>
    <s v="84792"/>
  </r>
  <r>
    <n v="1175"/>
    <d v="2026-07-06T00:00:00"/>
    <x v="1106"/>
    <s v="0001026"/>
    <s v="ədəd"/>
    <n v="1"/>
    <n v="90"/>
    <n v="90"/>
    <x v="0"/>
    <x v="11"/>
    <s v="№06/2026"/>
    <s v="83963"/>
  </r>
  <r>
    <n v="1176"/>
    <d v="2026-07-06T00:00:00"/>
    <x v="1107"/>
    <s v="0001027"/>
    <s v="ədəd"/>
    <n v="3"/>
    <n v="10"/>
    <n v="30"/>
    <x v="0"/>
    <x v="11"/>
    <s v="№06/2026"/>
    <s v="83963"/>
  </r>
  <r>
    <n v="1177"/>
    <d v="2026-07-06T00:00:00"/>
    <x v="1141"/>
    <s v="0001084"/>
    <s v="ədəd"/>
    <n v="1"/>
    <n v="25"/>
    <n v="25"/>
    <x v="2"/>
    <x v="9"/>
    <n v="0"/>
    <s v="271451"/>
  </r>
  <r>
    <n v="1178"/>
    <d v="2026-07-06T00:00:00"/>
    <x v="1148"/>
    <s v="0001122"/>
    <s v="ədəd"/>
    <n v="1"/>
    <n v="90"/>
    <n v="90"/>
    <x v="0"/>
    <x v="11"/>
    <s v="№06/2026"/>
    <s v="83963"/>
  </r>
  <r>
    <n v="1179"/>
    <d v="2026-07-06T00:00:00"/>
    <x v="1149"/>
    <s v="0001123"/>
    <s v="ədəd"/>
    <n v="1"/>
    <n v="6"/>
    <n v="6"/>
    <x v="0"/>
    <x v="11"/>
    <s v="№06/2026"/>
    <s v="83963"/>
  </r>
  <r>
    <n v="1180"/>
    <d v="2026-07-07T00:00:00"/>
    <x v="1100"/>
    <s v="0001020"/>
    <s v="ədəd"/>
    <n v="2"/>
    <n v="1.5"/>
    <n v="3"/>
    <x v="0"/>
    <x v="11"/>
    <s v="№06/2026"/>
    <s v="83964"/>
  </r>
  <r>
    <n v="1181"/>
    <d v="2026-07-07T00:00:00"/>
    <x v="1101"/>
    <s v="0001021"/>
    <s v="ədəd"/>
    <n v="1"/>
    <n v="3"/>
    <n v="3"/>
    <x v="0"/>
    <x v="11"/>
    <s v="№06/2026"/>
    <s v="83964"/>
  </r>
  <r>
    <n v="1182"/>
    <d v="2026-07-07T00:00:00"/>
    <x v="1107"/>
    <s v="0001027"/>
    <s v="ədəd"/>
    <n v="1"/>
    <n v="10"/>
    <n v="10"/>
    <x v="0"/>
    <x v="11"/>
    <s v="№06/2026"/>
    <s v="83964"/>
  </r>
  <r>
    <n v="1183"/>
    <d v="2026-07-07T00:00:00"/>
    <x v="1150"/>
    <s v="0001140"/>
    <s v="kq"/>
    <n v="1"/>
    <n v="5"/>
    <n v="5"/>
    <x v="2"/>
    <x v="13"/>
    <n v="0"/>
    <n v="0"/>
  </r>
  <r>
    <n v="1184"/>
    <d v="2026-07-07T00:00:00"/>
    <x v="1008"/>
    <s v="0001142"/>
    <s v="metr"/>
    <n v="80"/>
    <n v="5.0999999999999996"/>
    <n v="408"/>
    <x v="0"/>
    <x v="4"/>
    <s v="№21"/>
    <s v="16387"/>
  </r>
  <r>
    <n v="1185"/>
    <d v="2026-07-08T00:00:00"/>
    <x v="983"/>
    <s v="0000993"/>
    <s v="ədəd"/>
    <n v="5"/>
    <n v="1.8"/>
    <n v="9"/>
    <x v="0"/>
    <x v="0"/>
    <s v="№ 24-060"/>
    <s v="5567"/>
  </r>
  <r>
    <n v="1186"/>
    <d v="2026-07-08T00:00:00"/>
    <x v="984"/>
    <s v="0000995"/>
    <s v="paçka"/>
    <n v="8"/>
    <n v="16"/>
    <n v="128"/>
    <x v="0"/>
    <x v="0"/>
    <s v="№ 24-060"/>
    <s v="5567"/>
  </r>
  <r>
    <n v="1187"/>
    <d v="2026-07-08T00:00:00"/>
    <x v="984"/>
    <s v="0000995"/>
    <s v="paçka"/>
    <n v="4"/>
    <n v="16"/>
    <n v="64"/>
    <x v="0"/>
    <x v="0"/>
    <s v="№ 24-060"/>
    <s v="5567"/>
  </r>
  <r>
    <n v="1188"/>
    <d v="2026-07-08T00:00:00"/>
    <x v="985"/>
    <s v="0000996"/>
    <s v="ədəd"/>
    <n v="50"/>
    <n v="3.5"/>
    <n v="175"/>
    <x v="0"/>
    <x v="0"/>
    <s v="№ 24-060"/>
    <s v="5567"/>
  </r>
  <r>
    <n v="1189"/>
    <d v="2026-07-08T00:00:00"/>
    <x v="1125"/>
    <s v="0001109"/>
    <s v="ədəd"/>
    <n v="40"/>
    <n v="1.5"/>
    <n v="60"/>
    <x v="0"/>
    <x v="0"/>
    <s v="№ 24-060"/>
    <s v="5567"/>
  </r>
  <r>
    <n v="1190"/>
    <d v="2026-07-08T00:00:00"/>
    <x v="1151"/>
    <s v="0001127"/>
    <s v="paçka"/>
    <n v="6"/>
    <n v="20"/>
    <n v="120"/>
    <x v="0"/>
    <x v="0"/>
    <s v="№ 24-060"/>
    <s v="5567"/>
  </r>
  <r>
    <n v="1191"/>
    <d v="2026-07-08T00:00:00"/>
    <x v="1151"/>
    <s v="0001127"/>
    <s v="paçka"/>
    <n v="3"/>
    <n v="20"/>
    <n v="60"/>
    <x v="0"/>
    <x v="0"/>
    <s v="№ 24-060"/>
    <s v="5567"/>
  </r>
  <r>
    <n v="1192"/>
    <d v="2026-07-08T00:00:00"/>
    <x v="1152"/>
    <s v="0001128"/>
    <s v="ədəd"/>
    <n v="5"/>
    <n v="7"/>
    <n v="35"/>
    <x v="0"/>
    <x v="0"/>
    <s v="№ 24-060"/>
    <s v="5567"/>
  </r>
  <r>
    <n v="1193"/>
    <d v="2026-07-08T00:00:00"/>
    <x v="1153"/>
    <s v="0001129"/>
    <s v="ədəd"/>
    <n v="10"/>
    <n v="2.5"/>
    <n v="25"/>
    <x v="0"/>
    <x v="0"/>
    <s v="№ 24-060"/>
    <s v="5567"/>
  </r>
  <r>
    <n v="1194"/>
    <d v="2026-07-08T00:00:00"/>
    <x v="1154"/>
    <s v="0001130"/>
    <s v="ədəd"/>
    <n v="5"/>
    <n v="2.5"/>
    <n v="12.5"/>
    <x v="0"/>
    <x v="0"/>
    <s v="№ 24-060"/>
    <s v="5567"/>
  </r>
  <r>
    <n v="1195"/>
    <d v="2026-07-08T00:00:00"/>
    <x v="988"/>
    <s v="0001131"/>
    <s v="ədəd"/>
    <n v="20"/>
    <n v="2"/>
    <n v="40"/>
    <x v="0"/>
    <x v="0"/>
    <s v="№ 24-060"/>
    <s v="5567"/>
  </r>
  <r>
    <n v="1196"/>
    <d v="2026-07-08T00:00:00"/>
    <x v="1155"/>
    <s v="0001132"/>
    <s v="ədəd"/>
    <n v="1"/>
    <n v="5"/>
    <n v="5"/>
    <x v="0"/>
    <x v="0"/>
    <s v="№ 24-060"/>
    <s v="5567"/>
  </r>
  <r>
    <n v="1197"/>
    <d v="2026-07-08T00:00:00"/>
    <x v="989"/>
    <s v="0001133"/>
    <s v="ədəd"/>
    <n v="20"/>
    <n v="1.3"/>
    <n v="26"/>
    <x v="0"/>
    <x v="0"/>
    <s v="№ 24-060"/>
    <s v="5567"/>
  </r>
  <r>
    <n v="1198"/>
    <d v="2026-07-08T00:00:00"/>
    <x v="1156"/>
    <s v="0001134"/>
    <s v="ədəd"/>
    <n v="5"/>
    <n v="15"/>
    <n v="75"/>
    <x v="0"/>
    <x v="0"/>
    <s v="№ 24-060"/>
    <s v="5567"/>
  </r>
  <r>
    <n v="1199"/>
    <d v="2026-07-08T00:00:00"/>
    <x v="1157"/>
    <s v="0001135"/>
    <s v="ədəd"/>
    <n v="2"/>
    <n v="8"/>
    <n v="16"/>
    <x v="0"/>
    <x v="0"/>
    <s v="№ 24-060"/>
    <s v="5567"/>
  </r>
  <r>
    <n v="1200"/>
    <d v="2026-07-08T00:00:00"/>
    <x v="1007"/>
    <s v="0001136"/>
    <s v="ədəd"/>
    <n v="15"/>
    <n v="3.2"/>
    <n v="48"/>
    <x v="0"/>
    <x v="0"/>
    <s v="№ 24-060"/>
    <s v="5567"/>
  </r>
  <r>
    <n v="1201"/>
    <d v="2026-07-08T00:00:00"/>
    <x v="1158"/>
    <s v="0001137"/>
    <s v="ədəd"/>
    <n v="10"/>
    <n v="0.7"/>
    <n v="7"/>
    <x v="0"/>
    <x v="0"/>
    <s v="№ 24-060"/>
    <s v="5567"/>
  </r>
  <r>
    <n v="1202"/>
    <d v="2026-07-08T00:00:00"/>
    <x v="1159"/>
    <s v="0001138"/>
    <s v="ədəd"/>
    <n v="1"/>
    <n v="5"/>
    <n v="5"/>
    <x v="0"/>
    <x v="0"/>
    <s v="№ 24-060"/>
    <s v="5567"/>
  </r>
  <r>
    <n v="1203"/>
    <d v="2026-07-08T00:00:00"/>
    <x v="1160"/>
    <s v="0001139"/>
    <s v="ədəd"/>
    <n v="15"/>
    <n v="1.1000000000000001"/>
    <n v="16.5"/>
    <x v="0"/>
    <x v="0"/>
    <s v="№ 24-060"/>
    <s v="5567"/>
  </r>
  <r>
    <n v="1204"/>
    <d v="2026-07-08T00:00:00"/>
    <x v="1161"/>
    <s v="0001141"/>
    <s v="ədəd"/>
    <n v="3"/>
    <n v="4"/>
    <n v="12"/>
    <x v="2"/>
    <x v="14"/>
    <n v="0"/>
    <s v="10804"/>
  </r>
  <r>
    <n v="1205"/>
    <d v="2026-07-09T00:00:00"/>
    <x v="1067"/>
    <s v="0001002"/>
    <s v="cüt"/>
    <n v="1"/>
    <n v="5"/>
    <n v="5"/>
    <x v="0"/>
    <x v="11"/>
    <s v="№06/2026"/>
    <s v="83965"/>
  </r>
  <r>
    <n v="1206"/>
    <d v="2026-07-09T00:00:00"/>
    <x v="1162"/>
    <s v="0001124"/>
    <s v="ədəd"/>
    <n v="6"/>
    <n v="20"/>
    <n v="120"/>
    <x v="2"/>
    <x v="5"/>
    <n v="0"/>
    <s v="47423"/>
  </r>
  <r>
    <n v="1207"/>
    <d v="2026-07-09T00:00:00"/>
    <x v="1163"/>
    <s v="0001145"/>
    <s v="ədəd"/>
    <n v="10"/>
    <n v="5"/>
    <n v="50"/>
    <x v="0"/>
    <x v="11"/>
    <s v="№06/2026"/>
    <s v="83965"/>
  </r>
  <r>
    <n v="1208"/>
    <d v="2026-07-09T00:00:00"/>
    <x v="1164"/>
    <s v="0001146"/>
    <s v="ədəd"/>
    <n v="2"/>
    <n v="8"/>
    <n v="16"/>
    <x v="0"/>
    <x v="11"/>
    <s v="№06/2026"/>
    <s v="83965"/>
  </r>
  <r>
    <n v="1209"/>
    <d v="2026-07-09T00:00:00"/>
    <x v="990"/>
    <s v="0001148"/>
    <s v="ədəd"/>
    <n v="1"/>
    <n v="16"/>
    <n v="16"/>
    <x v="0"/>
    <x v="11"/>
    <s v="№06/2026"/>
    <s v="83965"/>
  </r>
  <r>
    <n v="1210"/>
    <d v="2026-07-09T00:00:00"/>
    <x v="1165"/>
    <s v="0001164"/>
    <s v="paçka"/>
    <n v="6"/>
    <n v="30"/>
    <n v="180"/>
    <x v="2"/>
    <x v="5"/>
    <n v="0"/>
    <s v="47423"/>
  </r>
  <r>
    <n v="1211"/>
    <d v="2026-07-10T00:00:00"/>
    <x v="1107"/>
    <s v="0001027"/>
    <s v="ədəd"/>
    <n v="1"/>
    <n v="5"/>
    <n v="5"/>
    <x v="2"/>
    <x v="5"/>
    <n v="0"/>
    <s v="47428"/>
  </r>
  <r>
    <n v="1212"/>
    <d v="2026-07-10T00:00:00"/>
    <x v="1166"/>
    <s v="0001143"/>
    <s v="ədəd"/>
    <n v="1"/>
    <n v="990"/>
    <n v="990"/>
    <x v="2"/>
    <x v="15"/>
    <n v="0"/>
    <s v="Qəbz 22600"/>
  </r>
  <r>
    <n v="1213"/>
    <d v="2026-07-10T00:00:00"/>
    <x v="1167"/>
    <s v="0001144"/>
    <s v="ədəd"/>
    <n v="1"/>
    <n v="210"/>
    <n v="210"/>
    <x v="2"/>
    <x v="15"/>
    <n v="0"/>
    <s v="Qəbz 22600"/>
  </r>
  <r>
    <n v="1214"/>
    <d v="2026-07-10T00:00:00"/>
    <x v="1168"/>
    <s v="0001150"/>
    <s v="metr"/>
    <n v="25"/>
    <n v="24.5"/>
    <n v="612.5"/>
    <x v="0"/>
    <x v="1"/>
    <s v="№198AMP/2026."/>
    <s v="34464"/>
  </r>
  <r>
    <n v="1215"/>
    <d v="2026-07-10T00:00:00"/>
    <x v="1169"/>
    <s v="0001151"/>
    <s v="ədəd"/>
    <n v="8"/>
    <n v="1"/>
    <n v="8"/>
    <x v="0"/>
    <x v="1"/>
    <s v="№198AMP/2026."/>
    <s v="34464"/>
  </r>
  <r>
    <n v="1216"/>
    <d v="2026-07-10T00:00:00"/>
    <x v="1170"/>
    <s v="0001152"/>
    <s v="ədəd"/>
    <n v="3"/>
    <n v="94.13"/>
    <n v="282.39"/>
    <x v="0"/>
    <x v="1"/>
    <s v="№198AMP/2026."/>
    <s v="34464"/>
  </r>
  <r>
    <n v="1217"/>
    <d v="2026-07-10T00:00:00"/>
    <x v="1171"/>
    <s v="0001153"/>
    <s v="ədəd"/>
    <n v="3"/>
    <n v="60"/>
    <n v="180"/>
    <x v="0"/>
    <x v="1"/>
    <s v="№198AMP/2026."/>
    <s v="34464"/>
  </r>
  <r>
    <n v="1218"/>
    <d v="2026-07-10T00:00:00"/>
    <x v="1172"/>
    <s v="0001154"/>
    <s v="ədəd"/>
    <n v="1"/>
    <n v="180"/>
    <n v="180"/>
    <x v="0"/>
    <x v="1"/>
    <s v="№198AMP/2026."/>
    <s v="34464"/>
  </r>
  <r>
    <n v="1219"/>
    <d v="2026-07-10T00:00:00"/>
    <x v="1173"/>
    <s v="0001155"/>
    <s v="ədəd"/>
    <n v="3"/>
    <n v="24"/>
    <n v="72"/>
    <x v="0"/>
    <x v="1"/>
    <s v="№198AMP/2026."/>
    <s v="34464"/>
  </r>
  <r>
    <n v="1220"/>
    <d v="2026-07-10T00:00:00"/>
    <x v="1174"/>
    <s v="0001156"/>
    <s v="ədəd"/>
    <n v="3"/>
    <n v="35"/>
    <n v="105"/>
    <x v="0"/>
    <x v="1"/>
    <s v="№198AMP/2026."/>
    <s v="34464"/>
  </r>
  <r>
    <n v="1221"/>
    <d v="2026-07-10T00:00:00"/>
    <x v="1175"/>
    <s v="0001157"/>
    <s v="ədəd"/>
    <n v="1"/>
    <n v="25"/>
    <n v="25"/>
    <x v="0"/>
    <x v="1"/>
    <s v="№198AMP/2026."/>
    <s v="34464"/>
  </r>
  <r>
    <n v="1222"/>
    <d v="2026-07-10T00:00:00"/>
    <x v="1176"/>
    <s v="0001158"/>
    <s v="ədəd"/>
    <n v="1"/>
    <n v="25"/>
    <n v="25"/>
    <x v="0"/>
    <x v="1"/>
    <s v="№198AMP/2026."/>
    <s v="34464"/>
  </r>
  <r>
    <n v="1223"/>
    <d v="2026-07-10T00:00:00"/>
    <x v="1177"/>
    <s v="0001159"/>
    <s v="metr"/>
    <n v="30"/>
    <n v="6"/>
    <n v="180"/>
    <x v="0"/>
    <x v="1"/>
    <s v="№198AMP/2026."/>
    <s v="34462"/>
  </r>
  <r>
    <n v="1224"/>
    <d v="2026-07-10T00:00:00"/>
    <x v="1178"/>
    <s v="0001160"/>
    <s v="ədəd"/>
    <n v="1"/>
    <n v="6"/>
    <n v="6"/>
    <x v="0"/>
    <x v="1"/>
    <s v="№198AMP/2026."/>
    <s v="34462"/>
  </r>
  <r>
    <n v="1225"/>
    <d v="2026-07-10T00:00:00"/>
    <x v="1179"/>
    <s v="0001161"/>
    <s v="ədəd"/>
    <n v="1"/>
    <n v="15"/>
    <n v="15"/>
    <x v="0"/>
    <x v="1"/>
    <s v="№198AMP/2026."/>
    <s v="34462"/>
  </r>
  <r>
    <n v="1226"/>
    <d v="2026-07-10T00:00:00"/>
    <x v="1180"/>
    <s v="0001162"/>
    <s v="ədəd"/>
    <n v="1"/>
    <n v="10"/>
    <n v="10"/>
    <x v="0"/>
    <x v="1"/>
    <s v="№198AMP/2026."/>
    <s v="34462"/>
  </r>
  <r>
    <n v="1227"/>
    <d v="2026-07-10T00:00:00"/>
    <x v="1181"/>
    <s v="0001163"/>
    <s v="ədəd"/>
    <n v="2"/>
    <n v="5"/>
    <n v="10"/>
    <x v="2"/>
    <x v="5"/>
    <n v="0"/>
    <s v="47428"/>
  </r>
  <r>
    <n v="1228"/>
    <d v="2026-07-11T00:00:00"/>
    <x v="1036"/>
    <s v="0001048"/>
    <s v="kq"/>
    <n v="6"/>
    <n v="2"/>
    <n v="12"/>
    <x v="2"/>
    <x v="16"/>
    <n v="0"/>
    <s v="5350"/>
  </r>
  <r>
    <n v="1229"/>
    <d v="2026-07-11T00:00:00"/>
    <x v="1182"/>
    <s v="0001200"/>
    <s v="ədəd"/>
    <n v="3"/>
    <n v="14"/>
    <n v="42"/>
    <x v="2"/>
    <x v="16"/>
    <n v="0"/>
    <s v="5350"/>
  </r>
  <r>
    <n v="1230"/>
    <d v="2026-07-12T00:00:00"/>
    <x v="1183"/>
    <s v="0001147"/>
    <s v="ədəd"/>
    <n v="1"/>
    <n v="6"/>
    <n v="6"/>
    <x v="0"/>
    <x v="11"/>
    <s v="№06/2026"/>
    <s v="83966"/>
  </r>
  <r>
    <n v="1231"/>
    <d v="2026-07-12T00:00:00"/>
    <x v="1184"/>
    <s v="0001149"/>
    <s v="ədəd"/>
    <n v="2"/>
    <n v="0.5"/>
    <n v="1"/>
    <x v="0"/>
    <x v="11"/>
    <s v="№06/2026"/>
    <s v="83966"/>
  </r>
  <r>
    <n v="1232"/>
    <d v="2026-07-16T00:00:00"/>
    <x v="1165"/>
    <s v="0001164"/>
    <s v="paçka"/>
    <n v="2"/>
    <n v="30"/>
    <n v="60"/>
    <x v="0"/>
    <x v="11"/>
    <s v="№06/2026"/>
    <s v="83967"/>
  </r>
  <r>
    <n v="1233"/>
    <d v="2026-07-17T00:00:00"/>
    <x v="483"/>
    <s v="0000465"/>
    <s v="ədəd"/>
    <n v="5"/>
    <n v="5"/>
    <n v="25"/>
    <x v="0"/>
    <x v="17"/>
    <s v="№M08077/26"/>
    <s v="0050608"/>
  </r>
  <r>
    <n v="1234"/>
    <d v="2026-07-17T00:00:00"/>
    <x v="741"/>
    <s v="0000725"/>
    <s v="ədəd"/>
    <n v="5"/>
    <n v="2.5"/>
    <n v="12.5"/>
    <x v="0"/>
    <x v="17"/>
    <s v="№M08077/26"/>
    <s v="0050608"/>
  </r>
  <r>
    <n v="1235"/>
    <d v="2026-07-17T00:00:00"/>
    <x v="1120"/>
    <s v="0001079"/>
    <s v="ədəd"/>
    <n v="25"/>
    <n v="4"/>
    <n v="100"/>
    <x v="0"/>
    <x v="17"/>
    <s v="№M08077/26"/>
    <s v="0050608"/>
  </r>
  <r>
    <n v="1236"/>
    <d v="2026-07-17T00:00:00"/>
    <x v="1165"/>
    <s v="0001164"/>
    <s v="paçka"/>
    <n v="6"/>
    <n v="30"/>
    <n v="180"/>
    <x v="0"/>
    <x v="17"/>
    <s v="№M08077/26"/>
    <s v="0050608"/>
  </r>
  <r>
    <n v="1237"/>
    <d v="2026-07-17T00:00:00"/>
    <x v="1185"/>
    <s v="0001165"/>
    <s v="ədəd"/>
    <n v="3"/>
    <n v="7"/>
    <n v="21"/>
    <x v="0"/>
    <x v="17"/>
    <s v="№M08077/26"/>
    <s v="0050608"/>
  </r>
  <r>
    <n v="1238"/>
    <d v="2026-07-17T00:00:00"/>
    <x v="1186"/>
    <s v="0001166"/>
    <s v="ədəd"/>
    <n v="1"/>
    <n v="65"/>
    <n v="65"/>
    <x v="0"/>
    <x v="17"/>
    <s v="№M08077/26"/>
    <s v="0050608"/>
  </r>
  <r>
    <n v="1239"/>
    <d v="2026-07-17T00:00:00"/>
    <x v="1187"/>
    <s v="0001167"/>
    <s v="ədəd"/>
    <n v="1"/>
    <n v="50"/>
    <n v="50"/>
    <x v="0"/>
    <x v="17"/>
    <s v="№M08077/26"/>
    <s v="0050608"/>
  </r>
  <r>
    <n v="1240"/>
    <d v="2026-07-17T00:00:00"/>
    <x v="1188"/>
    <s v="0001168"/>
    <s v="metr"/>
    <n v="20"/>
    <n v="0.5"/>
    <n v="10"/>
    <x v="0"/>
    <x v="17"/>
    <s v="№M08077/26"/>
    <s v="0050608"/>
  </r>
  <r>
    <n v="1241"/>
    <d v="2026-07-17T00:00:00"/>
    <x v="1189"/>
    <s v="0001169"/>
    <s v="metr"/>
    <n v="6"/>
    <n v="7.5"/>
    <n v="45"/>
    <x v="0"/>
    <x v="12"/>
    <s v="№ 26-052"/>
    <s v="0146059"/>
  </r>
  <r>
    <n v="1242"/>
    <d v="2026-07-19T00:00:00"/>
    <x v="1190"/>
    <s v="0001202"/>
    <s v="ədəd"/>
    <n v="1"/>
    <n v="25"/>
    <n v="25"/>
    <x v="2"/>
    <x v="5"/>
    <m/>
    <s v="56447"/>
  </r>
  <r>
    <n v="1243"/>
    <d v="2026-07-19T00:00:00"/>
    <x v="1191"/>
    <s v="0001204"/>
    <s v="ədəd"/>
    <n v="3"/>
    <n v="20"/>
    <n v="60"/>
    <x v="2"/>
    <x v="5"/>
    <m/>
    <s v="0033234"/>
  </r>
  <r>
    <n v="1244"/>
    <d v="2026-07-19T00:00:00"/>
    <x v="1192"/>
    <s v="0001205"/>
    <s v="ədəd"/>
    <n v="3"/>
    <n v="10"/>
    <n v="30"/>
    <x v="2"/>
    <x v="5"/>
    <m/>
    <s v="0033234"/>
  </r>
  <r>
    <n v="1245"/>
    <d v="2026-07-19T00:00:00"/>
    <x v="1193"/>
    <s v="0001206"/>
    <s v="ədəd"/>
    <n v="8"/>
    <n v="8"/>
    <n v="64"/>
    <x v="2"/>
    <x v="5"/>
    <m/>
    <s v="0033234"/>
  </r>
  <r>
    <n v="1246"/>
    <d v="2026-07-19T00:00:00"/>
    <x v="1194"/>
    <s v="0001207"/>
    <s v="ədəd"/>
    <n v="8"/>
    <n v="5"/>
    <n v="40"/>
    <x v="2"/>
    <x v="5"/>
    <m/>
    <s v="0033234"/>
  </r>
  <r>
    <n v="1247"/>
    <d v="2026-07-19T00:00:00"/>
    <x v="1195"/>
    <s v="0001208"/>
    <s v="ədəd"/>
    <n v="165"/>
    <n v="2"/>
    <n v="330"/>
    <x v="2"/>
    <x v="5"/>
    <m/>
    <s v="0057225"/>
  </r>
  <r>
    <n v="1248"/>
    <d v="2026-07-19T00:00:00"/>
    <x v="1196"/>
    <s v="0001209"/>
    <s v="ədəd"/>
    <n v="110"/>
    <n v="2"/>
    <n v="220"/>
    <x v="2"/>
    <x v="5"/>
    <m/>
    <s v="0057225"/>
  </r>
  <r>
    <n v="1249"/>
    <d v="2026-07-19T00:00:00"/>
    <x v="1197"/>
    <s v="0001210"/>
    <s v="ədəd"/>
    <n v="80"/>
    <n v="4"/>
    <n v="320"/>
    <x v="2"/>
    <x v="5"/>
    <m/>
    <s v="0057225"/>
  </r>
  <r>
    <n v="1250"/>
    <d v="2026-07-19T00:00:00"/>
    <x v="1198"/>
    <s v="0001211"/>
    <s v="metr"/>
    <n v="1.6"/>
    <n v="25"/>
    <n v="40"/>
    <x v="2"/>
    <x v="5"/>
    <m/>
    <s v="0057225"/>
  </r>
  <r>
    <n v="1251"/>
    <d v="2026-07-19T00:00:00"/>
    <x v="1199"/>
    <s v="0001212"/>
    <s v="ədəd"/>
    <n v="25"/>
    <n v="4"/>
    <n v="100"/>
    <x v="2"/>
    <x v="5"/>
    <m/>
    <s v="0057225"/>
  </r>
  <r>
    <n v="1252"/>
    <d v="2026-07-19T00:00:00"/>
    <x v="1200"/>
    <s v="0001213"/>
    <s v="ədəd"/>
    <n v="10"/>
    <n v="8"/>
    <n v="80"/>
    <x v="2"/>
    <x v="5"/>
    <m/>
    <s v="0057225"/>
  </r>
  <r>
    <n v="1253"/>
    <d v="2026-07-19T00:00:00"/>
    <x v="1201"/>
    <s v="0001214"/>
    <s v="ədəd"/>
    <n v="12"/>
    <n v="8"/>
    <n v="96"/>
    <x v="2"/>
    <x v="5"/>
    <m/>
    <s v="0057225"/>
  </r>
  <r>
    <n v="1254"/>
    <d v="2026-07-19T00:00:00"/>
    <x v="1202"/>
    <s v="0001215"/>
    <s v="ədəd"/>
    <n v="80"/>
    <n v="2.6749999999999998"/>
    <n v="214"/>
    <x v="2"/>
    <x v="5"/>
    <m/>
    <s v="0057225"/>
  </r>
  <r>
    <n v="1255"/>
    <d v="2026-07-20T00:00:00"/>
    <x v="1203"/>
    <s v="0001203"/>
    <s v="ədəd"/>
    <n v="2"/>
    <n v="10"/>
    <n v="20"/>
    <x v="2"/>
    <x v="5"/>
    <m/>
    <m/>
  </r>
  <r>
    <n v="1256"/>
    <d v="2026-06-10T00:00:00"/>
    <x v="1204"/>
    <s v="0001176"/>
    <s v="ədəd"/>
    <n v="3"/>
    <n v="1.8"/>
    <n v="5.4"/>
    <x v="0"/>
    <x v="0"/>
    <s v="№ 24-060"/>
    <n v="4550"/>
  </r>
  <r>
    <n v="1257"/>
    <d v="2026-06-08T00:00:00"/>
    <x v="1205"/>
    <s v="0001193"/>
    <s v="ədəd"/>
    <n v="3"/>
    <n v="2"/>
    <n v="6"/>
    <x v="0"/>
    <x v="0"/>
    <s v="№ 24-060"/>
    <n v="4466"/>
  </r>
  <r>
    <n v="1258"/>
    <d v="2026-06-08T00:00:00"/>
    <x v="1206"/>
    <s v="0001198"/>
    <s v="ədəd"/>
    <n v="1"/>
    <n v="1"/>
    <n v="1"/>
    <x v="0"/>
    <x v="0"/>
    <s v="№ 24-060"/>
    <n v="4466"/>
  </r>
  <r>
    <n v="1259"/>
    <d v="2026-07-11T00:00:00"/>
    <x v="1207"/>
    <s v="0001201"/>
    <s v="ədəd"/>
    <n v="6"/>
    <n v="2"/>
    <n v="12"/>
    <x v="0"/>
    <x v="16"/>
    <m/>
    <n v="5350"/>
  </r>
  <r>
    <n v="1260"/>
    <d v="2026-07-20T00:00:00"/>
    <x v="1208"/>
    <s v="0001216"/>
    <s v="litr"/>
    <n v="390"/>
    <n v="8.6"/>
    <n v="3354"/>
    <x v="0"/>
    <x v="18"/>
    <s v="TSN/XH/SA/07-26/006"/>
    <n v="41238"/>
  </r>
  <r>
    <n v="1261"/>
    <d v="2026-07-21T00:00:00"/>
    <x v="1209"/>
    <s v="0001217"/>
    <s v="ədəd"/>
    <n v="2"/>
    <n v="5"/>
    <n v="10"/>
    <x v="2"/>
    <x v="8"/>
    <s v="LG-150/26"/>
    <n v="24090"/>
  </r>
  <r>
    <n v="1262"/>
    <d v="2026-07-22T00:00:00"/>
    <x v="1210"/>
    <s v="0001218"/>
    <s v="ədəd"/>
    <n v="1"/>
    <n v="45"/>
    <n v="45"/>
    <x v="2"/>
    <x v="5"/>
    <m/>
    <m/>
  </r>
  <r>
    <n v="1263"/>
    <d v="2026-07-22T00:00:00"/>
    <x v="1211"/>
    <s v="0001219"/>
    <s v="ədəd"/>
    <n v="1"/>
    <n v="60"/>
    <n v="60"/>
    <x v="2"/>
    <x v="5"/>
    <m/>
    <m/>
  </r>
  <r>
    <n v="1264"/>
    <d v="2026-07-22T00:00:00"/>
    <x v="1212"/>
    <s v="0001220"/>
    <s v="ədəd"/>
    <n v="1"/>
    <n v="8.5"/>
    <n v="8.5"/>
    <x v="2"/>
    <x v="5"/>
    <m/>
    <m/>
  </r>
  <r>
    <n v="1265"/>
    <d v="2026-07-22T00:00:00"/>
    <x v="1213"/>
    <s v="0001221"/>
    <s v="ədəd"/>
    <n v="1"/>
    <n v="3"/>
    <n v="3"/>
    <x v="2"/>
    <x v="5"/>
    <m/>
    <m/>
  </r>
  <r>
    <n v="1266"/>
    <d v="2026-07-22T00:00:00"/>
    <x v="1214"/>
    <s v="0001222"/>
    <s v="ədəd"/>
    <n v="2"/>
    <n v="3"/>
    <n v="6"/>
    <x v="2"/>
    <x v="5"/>
    <m/>
    <m/>
  </r>
  <r>
    <n v="1267"/>
    <d v="2026-06-08T00:00:00"/>
    <x v="1215"/>
    <s v="0001223"/>
    <s v="ton"/>
    <n v="0.5"/>
    <n v="1120"/>
    <n v="560"/>
    <x v="0"/>
    <x v="19"/>
    <n v="0"/>
    <s v="MT2606 №10705313"/>
  </r>
  <r>
    <n v="1268"/>
    <d v="2026-06-08T00:00:00"/>
    <x v="1216"/>
    <s v="0001224"/>
    <s v="ton"/>
    <n v="5.9649999999999999"/>
    <n v="1050"/>
    <n v="6263.25"/>
    <x v="0"/>
    <x v="19"/>
    <n v="0"/>
    <s v="MT2606 №10705313"/>
  </r>
  <r>
    <n v="1269"/>
    <d v="2026-06-08T00:00:00"/>
    <x v="1217"/>
    <s v="0001225"/>
    <s v="ton"/>
    <n v="9.9550000000000001"/>
    <n v="1050"/>
    <n v="10452.75"/>
    <x v="0"/>
    <x v="19"/>
    <n v="0"/>
    <s v="MT2606 №10705313"/>
  </r>
  <r>
    <n v="1270"/>
    <d v="2026-06-08T00:00:00"/>
    <x v="1218"/>
    <s v="0001226"/>
    <s v="ton"/>
    <n v="6.48"/>
    <n v="1050"/>
    <n v="6804"/>
    <x v="0"/>
    <x v="19"/>
    <n v="0"/>
    <s v="MT2606 №10705313"/>
  </r>
  <r>
    <n v="1271"/>
    <d v="2026-07-20T00:00:00"/>
    <x v="1219"/>
    <s v="0001227"/>
    <s v="ədəd"/>
    <n v="7"/>
    <n v="35"/>
    <n v="245"/>
    <x v="2"/>
    <x v="5"/>
    <n v="0"/>
    <n v="14744"/>
  </r>
  <r>
    <n v="1272"/>
    <d v="2026-07-20T00:00:00"/>
    <x v="1220"/>
    <s v="0001228"/>
    <s v="ədəd"/>
    <n v="1"/>
    <n v="10"/>
    <n v="10"/>
    <x v="2"/>
    <x v="5"/>
    <n v="0"/>
    <n v="14744"/>
  </r>
  <r>
    <n v="1273"/>
    <d v="2026-06-01T00:00:00"/>
    <x v="1221"/>
    <s v="0001229"/>
    <s v="ədəd"/>
    <n v="1"/>
    <n v="0"/>
    <n v="0"/>
    <x v="1"/>
    <x v="2"/>
    <n v="0"/>
    <n v="0"/>
  </r>
  <r>
    <n v="1274"/>
    <d v="2026-07-23T00:00:00"/>
    <x v="1222"/>
    <s v="0001230"/>
    <s v="ədəd"/>
    <n v="1"/>
    <n v="5"/>
    <n v="5"/>
    <x v="2"/>
    <x v="5"/>
    <n v="0"/>
    <n v="0"/>
  </r>
  <r>
    <n v="1275"/>
    <d v="2026-07-23T00:00:00"/>
    <x v="1223"/>
    <s v="0001231"/>
    <s v="ədəd"/>
    <n v="1"/>
    <n v="3300"/>
    <n v="3300"/>
    <x v="2"/>
    <x v="5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6">
  <r>
    <n v="1"/>
    <d v="2026-05-06T00:00:00"/>
    <x v="0"/>
    <x v="0"/>
    <n v="3"/>
    <x v="0"/>
    <x v="0"/>
    <x v="0"/>
    <x v="0"/>
    <n v="3"/>
  </r>
  <r>
    <n v="2"/>
    <d v="2026-05-06T00:00:00"/>
    <x v="1"/>
    <x v="1"/>
    <n v="2"/>
    <x v="0"/>
    <x v="0"/>
    <x v="0"/>
    <x v="0"/>
    <n v="2"/>
  </r>
  <r>
    <n v="3"/>
    <d v="2026-05-06T00:00:00"/>
    <x v="2"/>
    <x v="2"/>
    <n v="3"/>
    <x v="0"/>
    <x v="0"/>
    <x v="0"/>
    <x v="0"/>
    <n v="3"/>
  </r>
  <r>
    <n v="4"/>
    <d v="2026-05-06T00:00:00"/>
    <x v="3"/>
    <x v="3"/>
    <n v="10"/>
    <x v="0"/>
    <x v="0"/>
    <x v="0"/>
    <x v="0"/>
    <n v="10"/>
  </r>
  <r>
    <n v="5"/>
    <d v="2026-05-06T00:00:00"/>
    <x v="4"/>
    <x v="4"/>
    <n v="2"/>
    <x v="0"/>
    <x v="0"/>
    <x v="0"/>
    <x v="0"/>
    <n v="2"/>
  </r>
  <r>
    <n v="6"/>
    <d v="2026-05-06T00:00:00"/>
    <x v="5"/>
    <x v="5"/>
    <n v="1"/>
    <x v="0"/>
    <x v="0"/>
    <x v="0"/>
    <x v="0"/>
    <n v="1"/>
  </r>
  <r>
    <n v="7"/>
    <d v="2026-05-06T00:00:00"/>
    <x v="6"/>
    <x v="6"/>
    <n v="1"/>
    <x v="0"/>
    <x v="0"/>
    <x v="0"/>
    <x v="0"/>
    <n v="1"/>
  </r>
  <r>
    <n v="8"/>
    <d v="2026-06-01T00:00:00"/>
    <x v="7"/>
    <x v="7"/>
    <n v="1"/>
    <x v="0"/>
    <x v="1"/>
    <x v="1"/>
    <x v="0"/>
    <n v="1"/>
  </r>
  <r>
    <n v="9"/>
    <d v="2026-06-01T00:00:00"/>
    <x v="8"/>
    <x v="8"/>
    <n v="1"/>
    <x v="0"/>
    <x v="1"/>
    <x v="1"/>
    <x v="0"/>
    <n v="1"/>
  </r>
  <r>
    <n v="10"/>
    <d v="2026-06-01T00:00:00"/>
    <x v="9"/>
    <x v="9"/>
    <n v="17"/>
    <x v="0"/>
    <x v="1"/>
    <x v="1"/>
    <x v="0"/>
    <n v="17"/>
  </r>
  <r>
    <n v="11"/>
    <d v="2026-06-01T00:00:00"/>
    <x v="10"/>
    <x v="10"/>
    <n v="1"/>
    <x v="0"/>
    <x v="1"/>
    <x v="1"/>
    <x v="0"/>
    <n v="1"/>
  </r>
  <r>
    <n v="12"/>
    <d v="2026-06-01T00:00:00"/>
    <x v="11"/>
    <x v="11"/>
    <n v="1"/>
    <x v="0"/>
    <x v="1"/>
    <x v="1"/>
    <x v="0"/>
    <n v="1"/>
  </r>
  <r>
    <n v="13"/>
    <d v="2026-06-01T00:00:00"/>
    <x v="12"/>
    <x v="12"/>
    <n v="6"/>
    <x v="0"/>
    <x v="1"/>
    <x v="1"/>
    <x v="0"/>
    <n v="6"/>
  </r>
  <r>
    <n v="14"/>
    <d v="2026-06-01T00:00:00"/>
    <x v="13"/>
    <x v="13"/>
    <n v="1"/>
    <x v="0"/>
    <x v="1"/>
    <x v="1"/>
    <x v="0"/>
    <n v="1"/>
  </r>
  <r>
    <n v="15"/>
    <d v="2026-06-01T00:00:00"/>
    <x v="14"/>
    <x v="14"/>
    <n v="12"/>
    <x v="0"/>
    <x v="1"/>
    <x v="1"/>
    <x v="0"/>
    <n v="12"/>
  </r>
  <r>
    <n v="16"/>
    <d v="2026-06-01T00:00:00"/>
    <x v="15"/>
    <x v="15"/>
    <n v="1"/>
    <x v="0"/>
    <x v="1"/>
    <x v="1"/>
    <x v="0"/>
    <n v="1"/>
  </r>
  <r>
    <n v="17"/>
    <d v="2026-06-01T00:00:00"/>
    <x v="16"/>
    <x v="16"/>
    <n v="1"/>
    <x v="0"/>
    <x v="1"/>
    <x v="1"/>
    <x v="0"/>
    <n v="1"/>
  </r>
  <r>
    <n v="18"/>
    <d v="2026-06-01T00:00:00"/>
    <x v="17"/>
    <x v="17"/>
    <n v="2"/>
    <x v="0"/>
    <x v="1"/>
    <x v="1"/>
    <x v="0"/>
    <n v="2"/>
  </r>
  <r>
    <n v="19"/>
    <d v="2026-06-01T00:00:00"/>
    <x v="18"/>
    <x v="18"/>
    <n v="1"/>
    <x v="0"/>
    <x v="1"/>
    <x v="1"/>
    <x v="0"/>
    <n v="1"/>
  </r>
  <r>
    <n v="20"/>
    <d v="2026-06-01T00:00:00"/>
    <x v="19"/>
    <x v="19"/>
    <n v="6"/>
    <x v="0"/>
    <x v="1"/>
    <x v="1"/>
    <x v="0"/>
    <n v="6"/>
  </r>
  <r>
    <n v="21"/>
    <d v="2026-06-01T00:00:00"/>
    <x v="20"/>
    <x v="20"/>
    <n v="2"/>
    <x v="0"/>
    <x v="1"/>
    <x v="1"/>
    <x v="0"/>
    <n v="2"/>
  </r>
  <r>
    <n v="22"/>
    <d v="2026-06-01T00:00:00"/>
    <x v="21"/>
    <x v="21"/>
    <n v="7"/>
    <x v="0"/>
    <x v="1"/>
    <x v="1"/>
    <x v="0"/>
    <n v="7"/>
  </r>
  <r>
    <n v="23"/>
    <d v="2026-06-01T00:00:00"/>
    <x v="22"/>
    <x v="22"/>
    <n v="3"/>
    <x v="0"/>
    <x v="1"/>
    <x v="1"/>
    <x v="0"/>
    <n v="3"/>
  </r>
  <r>
    <n v="24"/>
    <d v="2026-06-01T00:00:00"/>
    <x v="23"/>
    <x v="23"/>
    <n v="1"/>
    <x v="0"/>
    <x v="1"/>
    <x v="1"/>
    <x v="0"/>
    <n v="1"/>
  </r>
  <r>
    <n v="25"/>
    <d v="2026-06-01T00:00:00"/>
    <x v="24"/>
    <x v="24"/>
    <n v="1"/>
    <x v="0"/>
    <x v="1"/>
    <x v="1"/>
    <x v="0"/>
    <n v="1"/>
  </r>
  <r>
    <n v="26"/>
    <d v="2026-06-01T00:00:00"/>
    <x v="25"/>
    <x v="25"/>
    <n v="1"/>
    <x v="0"/>
    <x v="1"/>
    <x v="1"/>
    <x v="0"/>
    <n v="1"/>
  </r>
  <r>
    <n v="27"/>
    <d v="2026-06-01T00:00:00"/>
    <x v="26"/>
    <x v="26"/>
    <n v="2"/>
    <x v="0"/>
    <x v="1"/>
    <x v="1"/>
    <x v="0"/>
    <n v="2"/>
  </r>
  <r>
    <n v="28"/>
    <d v="2026-06-01T00:00:00"/>
    <x v="27"/>
    <x v="27"/>
    <n v="3"/>
    <x v="0"/>
    <x v="1"/>
    <x v="1"/>
    <x v="0"/>
    <n v="3"/>
  </r>
  <r>
    <n v="29"/>
    <d v="2026-06-01T00:00:00"/>
    <x v="28"/>
    <x v="28"/>
    <n v="11"/>
    <x v="0"/>
    <x v="1"/>
    <x v="1"/>
    <x v="0"/>
    <n v="11"/>
  </r>
  <r>
    <n v="30"/>
    <d v="2026-06-01T00:00:00"/>
    <x v="29"/>
    <x v="29"/>
    <n v="2"/>
    <x v="0"/>
    <x v="1"/>
    <x v="1"/>
    <x v="0"/>
    <n v="2"/>
  </r>
  <r>
    <n v="31"/>
    <d v="2026-06-01T00:00:00"/>
    <x v="30"/>
    <x v="30"/>
    <n v="1"/>
    <x v="0"/>
    <x v="1"/>
    <x v="1"/>
    <x v="0"/>
    <n v="1"/>
  </r>
  <r>
    <n v="32"/>
    <d v="2026-06-01T00:00:00"/>
    <x v="31"/>
    <x v="31"/>
    <n v="1"/>
    <x v="0"/>
    <x v="1"/>
    <x v="1"/>
    <x v="0"/>
    <n v="1"/>
  </r>
  <r>
    <n v="33"/>
    <d v="2026-06-01T00:00:00"/>
    <x v="32"/>
    <x v="32"/>
    <n v="1"/>
    <x v="0"/>
    <x v="1"/>
    <x v="1"/>
    <x v="0"/>
    <n v="1"/>
  </r>
  <r>
    <n v="34"/>
    <d v="2026-06-01T00:00:00"/>
    <x v="33"/>
    <x v="33"/>
    <n v="2"/>
    <x v="0"/>
    <x v="1"/>
    <x v="1"/>
    <x v="0"/>
    <n v="2"/>
  </r>
  <r>
    <n v="35"/>
    <d v="2026-06-01T00:00:00"/>
    <x v="34"/>
    <x v="34"/>
    <n v="1"/>
    <x v="0"/>
    <x v="1"/>
    <x v="1"/>
    <x v="0"/>
    <n v="1"/>
  </r>
  <r>
    <n v="36"/>
    <d v="2026-06-01T00:00:00"/>
    <x v="35"/>
    <x v="35"/>
    <n v="1"/>
    <x v="0"/>
    <x v="1"/>
    <x v="1"/>
    <x v="0"/>
    <n v="1"/>
  </r>
  <r>
    <n v="37"/>
    <d v="2026-06-01T00:00:00"/>
    <x v="36"/>
    <x v="36"/>
    <n v="5"/>
    <x v="0"/>
    <x v="1"/>
    <x v="1"/>
    <x v="0"/>
    <n v="5"/>
  </r>
  <r>
    <n v="38"/>
    <d v="2026-06-01T00:00:00"/>
    <x v="37"/>
    <x v="37"/>
    <n v="1"/>
    <x v="0"/>
    <x v="1"/>
    <x v="1"/>
    <x v="0"/>
    <n v="1"/>
  </r>
  <r>
    <n v="39"/>
    <d v="2026-06-01T00:00:00"/>
    <x v="38"/>
    <x v="38"/>
    <n v="1"/>
    <x v="0"/>
    <x v="1"/>
    <x v="1"/>
    <x v="0"/>
    <n v="1"/>
  </r>
  <r>
    <n v="40"/>
    <d v="2026-06-01T00:00:00"/>
    <x v="39"/>
    <x v="39"/>
    <n v="3"/>
    <x v="0"/>
    <x v="1"/>
    <x v="1"/>
    <x v="0"/>
    <n v="3"/>
  </r>
  <r>
    <n v="41"/>
    <d v="2026-06-01T00:00:00"/>
    <x v="40"/>
    <x v="40"/>
    <n v="3"/>
    <x v="0"/>
    <x v="1"/>
    <x v="1"/>
    <x v="0"/>
    <n v="3"/>
  </r>
  <r>
    <n v="42"/>
    <d v="2026-06-01T00:00:00"/>
    <x v="41"/>
    <x v="41"/>
    <n v="2"/>
    <x v="0"/>
    <x v="1"/>
    <x v="1"/>
    <x v="0"/>
    <n v="2"/>
  </r>
  <r>
    <n v="43"/>
    <d v="2026-06-01T00:00:00"/>
    <x v="42"/>
    <x v="42"/>
    <n v="6"/>
    <x v="0"/>
    <x v="1"/>
    <x v="1"/>
    <x v="0"/>
    <n v="6"/>
  </r>
  <r>
    <n v="44"/>
    <d v="2026-06-01T00:00:00"/>
    <x v="43"/>
    <x v="43"/>
    <n v="2"/>
    <x v="0"/>
    <x v="1"/>
    <x v="1"/>
    <x v="0"/>
    <n v="2"/>
  </r>
  <r>
    <n v="45"/>
    <d v="2026-06-01T00:00:00"/>
    <x v="44"/>
    <x v="44"/>
    <n v="5"/>
    <x v="0"/>
    <x v="1"/>
    <x v="1"/>
    <x v="0"/>
    <n v="5"/>
  </r>
  <r>
    <n v="46"/>
    <d v="2026-06-01T00:00:00"/>
    <x v="45"/>
    <x v="45"/>
    <n v="1"/>
    <x v="0"/>
    <x v="1"/>
    <x v="1"/>
    <x v="0"/>
    <n v="1"/>
  </r>
  <r>
    <n v="47"/>
    <d v="2026-06-01T00:00:00"/>
    <x v="46"/>
    <x v="46"/>
    <n v="3"/>
    <x v="0"/>
    <x v="1"/>
    <x v="1"/>
    <x v="0"/>
    <n v="3"/>
  </r>
  <r>
    <n v="48"/>
    <d v="2026-06-01T00:00:00"/>
    <x v="47"/>
    <x v="47"/>
    <n v="2"/>
    <x v="0"/>
    <x v="1"/>
    <x v="1"/>
    <x v="0"/>
    <n v="2"/>
  </r>
  <r>
    <n v="49"/>
    <d v="2026-06-01T00:00:00"/>
    <x v="48"/>
    <x v="48"/>
    <n v="2"/>
    <x v="0"/>
    <x v="1"/>
    <x v="1"/>
    <x v="0"/>
    <n v="2"/>
  </r>
  <r>
    <n v="50"/>
    <d v="2026-06-01T00:00:00"/>
    <x v="49"/>
    <x v="49"/>
    <n v="1"/>
    <x v="0"/>
    <x v="1"/>
    <x v="1"/>
    <x v="0"/>
    <n v="1"/>
  </r>
  <r>
    <n v="51"/>
    <d v="2026-06-01T00:00:00"/>
    <x v="50"/>
    <x v="50"/>
    <n v="2"/>
    <x v="0"/>
    <x v="1"/>
    <x v="1"/>
    <x v="0"/>
    <n v="2"/>
  </r>
  <r>
    <n v="52"/>
    <d v="2026-06-01T00:00:00"/>
    <x v="51"/>
    <x v="51"/>
    <n v="1"/>
    <x v="0"/>
    <x v="1"/>
    <x v="1"/>
    <x v="0"/>
    <n v="1"/>
  </r>
  <r>
    <n v="53"/>
    <d v="2026-06-01T00:00:00"/>
    <x v="52"/>
    <x v="52"/>
    <n v="1"/>
    <x v="0"/>
    <x v="1"/>
    <x v="1"/>
    <x v="0"/>
    <n v="1"/>
  </r>
  <r>
    <n v="54"/>
    <d v="2026-06-01T00:00:00"/>
    <x v="53"/>
    <x v="53"/>
    <n v="2"/>
    <x v="0"/>
    <x v="1"/>
    <x v="1"/>
    <x v="0"/>
    <n v="2"/>
  </r>
  <r>
    <n v="55"/>
    <d v="2026-06-01T00:00:00"/>
    <x v="54"/>
    <x v="54"/>
    <n v="1"/>
    <x v="0"/>
    <x v="1"/>
    <x v="1"/>
    <x v="0"/>
    <n v="1"/>
  </r>
  <r>
    <n v="56"/>
    <d v="2026-06-01T00:00:00"/>
    <x v="55"/>
    <x v="55"/>
    <n v="1"/>
    <x v="0"/>
    <x v="1"/>
    <x v="1"/>
    <x v="0"/>
    <n v="1"/>
  </r>
  <r>
    <n v="57"/>
    <d v="2026-06-01T00:00:00"/>
    <x v="56"/>
    <x v="56"/>
    <n v="2"/>
    <x v="0"/>
    <x v="1"/>
    <x v="1"/>
    <x v="0"/>
    <n v="2"/>
  </r>
  <r>
    <n v="58"/>
    <d v="2026-06-01T00:00:00"/>
    <x v="57"/>
    <x v="57"/>
    <n v="2"/>
    <x v="0"/>
    <x v="1"/>
    <x v="1"/>
    <x v="0"/>
    <n v="2"/>
  </r>
  <r>
    <n v="59"/>
    <d v="2026-06-01T00:00:00"/>
    <x v="58"/>
    <x v="58"/>
    <n v="1"/>
    <x v="0"/>
    <x v="1"/>
    <x v="1"/>
    <x v="0"/>
    <n v="1"/>
  </r>
  <r>
    <n v="60"/>
    <d v="2026-06-01T00:00:00"/>
    <x v="59"/>
    <x v="59"/>
    <n v="1"/>
    <x v="0"/>
    <x v="1"/>
    <x v="1"/>
    <x v="0"/>
    <n v="1"/>
  </r>
  <r>
    <n v="61"/>
    <d v="2026-06-01T00:00:00"/>
    <x v="60"/>
    <x v="60"/>
    <n v="1"/>
    <x v="0"/>
    <x v="1"/>
    <x v="1"/>
    <x v="0"/>
    <n v="1"/>
  </r>
  <r>
    <n v="62"/>
    <d v="2026-06-01T00:00:00"/>
    <x v="61"/>
    <x v="61"/>
    <n v="1"/>
    <x v="0"/>
    <x v="1"/>
    <x v="1"/>
    <x v="0"/>
    <n v="1"/>
  </r>
  <r>
    <n v="63"/>
    <d v="2026-06-01T00:00:00"/>
    <x v="62"/>
    <x v="62"/>
    <n v="2"/>
    <x v="0"/>
    <x v="1"/>
    <x v="1"/>
    <x v="0"/>
    <n v="2"/>
  </r>
  <r>
    <n v="64"/>
    <d v="2026-06-01T00:00:00"/>
    <x v="63"/>
    <x v="63"/>
    <n v="1"/>
    <x v="0"/>
    <x v="1"/>
    <x v="1"/>
    <x v="0"/>
    <n v="1"/>
  </r>
  <r>
    <n v="65"/>
    <d v="2026-06-01T00:00:00"/>
    <x v="64"/>
    <x v="64"/>
    <n v="2"/>
    <x v="0"/>
    <x v="1"/>
    <x v="1"/>
    <x v="0"/>
    <n v="2"/>
  </r>
  <r>
    <n v="66"/>
    <d v="2026-06-01T00:00:00"/>
    <x v="65"/>
    <x v="65"/>
    <n v="1"/>
    <x v="0"/>
    <x v="1"/>
    <x v="1"/>
    <x v="0"/>
    <n v="1"/>
  </r>
  <r>
    <n v="67"/>
    <d v="2026-06-01T00:00:00"/>
    <x v="66"/>
    <x v="66"/>
    <n v="1"/>
    <x v="0"/>
    <x v="1"/>
    <x v="1"/>
    <x v="0"/>
    <n v="1"/>
  </r>
  <r>
    <n v="68"/>
    <d v="2026-06-01T00:00:00"/>
    <x v="67"/>
    <x v="67"/>
    <n v="1"/>
    <x v="0"/>
    <x v="1"/>
    <x v="1"/>
    <x v="0"/>
    <n v="1"/>
  </r>
  <r>
    <n v="69"/>
    <d v="2026-06-01T00:00:00"/>
    <x v="68"/>
    <x v="68"/>
    <n v="4"/>
    <x v="0"/>
    <x v="1"/>
    <x v="1"/>
    <x v="0"/>
    <n v="4"/>
  </r>
  <r>
    <n v="70"/>
    <d v="2026-06-01T00:00:00"/>
    <x v="69"/>
    <x v="69"/>
    <n v="5"/>
    <x v="0"/>
    <x v="1"/>
    <x v="1"/>
    <x v="0"/>
    <n v="5"/>
  </r>
  <r>
    <n v="71"/>
    <d v="2026-06-01T00:00:00"/>
    <x v="70"/>
    <x v="70"/>
    <n v="3"/>
    <x v="0"/>
    <x v="1"/>
    <x v="1"/>
    <x v="0"/>
    <n v="3"/>
  </r>
  <r>
    <n v="72"/>
    <d v="2026-06-01T00:00:00"/>
    <x v="71"/>
    <x v="71"/>
    <n v="1"/>
    <x v="0"/>
    <x v="1"/>
    <x v="1"/>
    <x v="0"/>
    <n v="1"/>
  </r>
  <r>
    <n v="73"/>
    <d v="2026-06-01T00:00:00"/>
    <x v="72"/>
    <x v="72"/>
    <n v="1"/>
    <x v="0"/>
    <x v="1"/>
    <x v="1"/>
    <x v="0"/>
    <n v="1"/>
  </r>
  <r>
    <n v="74"/>
    <d v="2026-06-01T00:00:00"/>
    <x v="73"/>
    <x v="73"/>
    <n v="1"/>
    <x v="0"/>
    <x v="1"/>
    <x v="1"/>
    <x v="0"/>
    <n v="1"/>
  </r>
  <r>
    <n v="75"/>
    <d v="2026-06-01T00:00:00"/>
    <x v="74"/>
    <x v="74"/>
    <n v="1"/>
    <x v="0"/>
    <x v="1"/>
    <x v="1"/>
    <x v="0"/>
    <n v="1"/>
  </r>
  <r>
    <n v="76"/>
    <d v="2026-06-01T00:00:00"/>
    <x v="75"/>
    <x v="75"/>
    <n v="1"/>
    <x v="0"/>
    <x v="1"/>
    <x v="1"/>
    <x v="0"/>
    <n v="1"/>
  </r>
  <r>
    <n v="77"/>
    <d v="2026-06-01T00:00:00"/>
    <x v="76"/>
    <x v="76"/>
    <n v="1"/>
    <x v="0"/>
    <x v="1"/>
    <x v="1"/>
    <x v="0"/>
    <n v="1"/>
  </r>
  <r>
    <n v="78"/>
    <d v="2026-06-01T00:00:00"/>
    <x v="77"/>
    <x v="77"/>
    <n v="1"/>
    <x v="0"/>
    <x v="1"/>
    <x v="1"/>
    <x v="0"/>
    <n v="1"/>
  </r>
  <r>
    <n v="79"/>
    <d v="2026-06-01T00:00:00"/>
    <x v="78"/>
    <x v="78"/>
    <n v="1"/>
    <x v="0"/>
    <x v="1"/>
    <x v="1"/>
    <x v="0"/>
    <n v="1"/>
  </r>
  <r>
    <n v="80"/>
    <d v="2026-06-01T00:00:00"/>
    <x v="79"/>
    <x v="79"/>
    <n v="2"/>
    <x v="0"/>
    <x v="1"/>
    <x v="1"/>
    <x v="0"/>
    <n v="2"/>
  </r>
  <r>
    <n v="81"/>
    <d v="2026-06-01T00:00:00"/>
    <x v="80"/>
    <x v="80"/>
    <n v="3"/>
    <x v="0"/>
    <x v="1"/>
    <x v="1"/>
    <x v="0"/>
    <n v="3"/>
  </r>
  <r>
    <n v="82"/>
    <d v="2026-06-01T00:00:00"/>
    <x v="81"/>
    <x v="81"/>
    <n v="1"/>
    <x v="0"/>
    <x v="1"/>
    <x v="1"/>
    <x v="0"/>
    <n v="1"/>
  </r>
  <r>
    <n v="83"/>
    <d v="2026-06-01T00:00:00"/>
    <x v="82"/>
    <x v="82"/>
    <n v="4"/>
    <x v="0"/>
    <x v="1"/>
    <x v="1"/>
    <x v="0"/>
    <n v="4"/>
  </r>
  <r>
    <n v="84"/>
    <d v="2026-06-01T00:00:00"/>
    <x v="83"/>
    <x v="83"/>
    <n v="1"/>
    <x v="0"/>
    <x v="1"/>
    <x v="1"/>
    <x v="0"/>
    <n v="1"/>
  </r>
  <r>
    <n v="85"/>
    <d v="2026-06-01T00:00:00"/>
    <x v="84"/>
    <x v="84"/>
    <n v="3"/>
    <x v="0"/>
    <x v="1"/>
    <x v="1"/>
    <x v="0"/>
    <n v="3"/>
  </r>
  <r>
    <n v="86"/>
    <d v="2026-06-01T00:00:00"/>
    <x v="85"/>
    <x v="85"/>
    <n v="1"/>
    <x v="0"/>
    <x v="1"/>
    <x v="1"/>
    <x v="0"/>
    <n v="1"/>
  </r>
  <r>
    <n v="87"/>
    <d v="2026-06-01T00:00:00"/>
    <x v="86"/>
    <x v="86"/>
    <n v="1"/>
    <x v="0"/>
    <x v="1"/>
    <x v="1"/>
    <x v="0"/>
    <n v="1"/>
  </r>
  <r>
    <n v="88"/>
    <d v="2026-06-01T00:00:00"/>
    <x v="87"/>
    <x v="87"/>
    <n v="1"/>
    <x v="0"/>
    <x v="1"/>
    <x v="1"/>
    <x v="0"/>
    <n v="1"/>
  </r>
  <r>
    <n v="89"/>
    <d v="2026-06-01T00:00:00"/>
    <x v="88"/>
    <x v="88"/>
    <n v="2"/>
    <x v="0"/>
    <x v="1"/>
    <x v="1"/>
    <x v="0"/>
    <n v="2"/>
  </r>
  <r>
    <n v="90"/>
    <d v="2026-06-01T00:00:00"/>
    <x v="89"/>
    <x v="89"/>
    <n v="4"/>
    <x v="0"/>
    <x v="1"/>
    <x v="1"/>
    <x v="0"/>
    <n v="4"/>
  </r>
  <r>
    <n v="91"/>
    <d v="2026-06-01T00:00:00"/>
    <x v="90"/>
    <x v="90"/>
    <n v="1"/>
    <x v="0"/>
    <x v="1"/>
    <x v="1"/>
    <x v="0"/>
    <n v="1"/>
  </r>
  <r>
    <n v="92"/>
    <d v="2026-06-01T00:00:00"/>
    <x v="91"/>
    <x v="91"/>
    <n v="4"/>
    <x v="0"/>
    <x v="1"/>
    <x v="1"/>
    <x v="0"/>
    <n v="4"/>
  </r>
  <r>
    <n v="93"/>
    <d v="2026-06-01T00:00:00"/>
    <x v="92"/>
    <x v="92"/>
    <n v="4"/>
    <x v="0"/>
    <x v="1"/>
    <x v="1"/>
    <x v="0"/>
    <n v="4"/>
  </r>
  <r>
    <n v="94"/>
    <d v="2026-06-01T00:00:00"/>
    <x v="93"/>
    <x v="93"/>
    <n v="8"/>
    <x v="0"/>
    <x v="1"/>
    <x v="1"/>
    <x v="0"/>
    <n v="8"/>
  </r>
  <r>
    <n v="95"/>
    <d v="2026-06-01T00:00:00"/>
    <x v="94"/>
    <x v="94"/>
    <n v="16"/>
    <x v="0"/>
    <x v="1"/>
    <x v="1"/>
    <x v="0"/>
    <n v="16"/>
  </r>
  <r>
    <n v="96"/>
    <d v="2026-06-01T00:00:00"/>
    <x v="95"/>
    <x v="95"/>
    <n v="21"/>
    <x v="0"/>
    <x v="1"/>
    <x v="1"/>
    <x v="0"/>
    <n v="21"/>
  </r>
  <r>
    <n v="97"/>
    <d v="2026-06-01T00:00:00"/>
    <x v="96"/>
    <x v="96"/>
    <n v="9"/>
    <x v="0"/>
    <x v="1"/>
    <x v="1"/>
    <x v="0"/>
    <n v="9"/>
  </r>
  <r>
    <n v="98"/>
    <d v="2026-06-01T00:00:00"/>
    <x v="97"/>
    <x v="97"/>
    <n v="1"/>
    <x v="0"/>
    <x v="1"/>
    <x v="1"/>
    <x v="0"/>
    <n v="1"/>
  </r>
  <r>
    <n v="99"/>
    <d v="2026-06-01T00:00:00"/>
    <x v="98"/>
    <x v="98"/>
    <n v="2"/>
    <x v="0"/>
    <x v="1"/>
    <x v="1"/>
    <x v="0"/>
    <n v="2"/>
  </r>
  <r>
    <n v="100"/>
    <d v="2026-06-01T00:00:00"/>
    <x v="99"/>
    <x v="99"/>
    <n v="2"/>
    <x v="0"/>
    <x v="1"/>
    <x v="1"/>
    <x v="0"/>
    <n v="2"/>
  </r>
  <r>
    <n v="101"/>
    <d v="2026-06-01T00:00:00"/>
    <x v="100"/>
    <x v="100"/>
    <n v="7"/>
    <x v="0"/>
    <x v="1"/>
    <x v="1"/>
    <x v="0"/>
    <n v="7"/>
  </r>
  <r>
    <n v="102"/>
    <d v="2026-06-01T00:00:00"/>
    <x v="101"/>
    <x v="101"/>
    <n v="1"/>
    <x v="0"/>
    <x v="1"/>
    <x v="1"/>
    <x v="0"/>
    <n v="1"/>
  </r>
  <r>
    <n v="103"/>
    <d v="2026-06-01T00:00:00"/>
    <x v="102"/>
    <x v="102"/>
    <n v="6"/>
    <x v="0"/>
    <x v="1"/>
    <x v="1"/>
    <x v="0"/>
    <n v="6"/>
  </r>
  <r>
    <n v="104"/>
    <d v="2026-06-01T00:00:00"/>
    <x v="103"/>
    <x v="103"/>
    <n v="3"/>
    <x v="0"/>
    <x v="1"/>
    <x v="1"/>
    <x v="0"/>
    <n v="3"/>
  </r>
  <r>
    <n v="105"/>
    <d v="2026-06-01T00:00:00"/>
    <x v="104"/>
    <x v="104"/>
    <n v="15"/>
    <x v="0"/>
    <x v="1"/>
    <x v="1"/>
    <x v="0"/>
    <n v="15"/>
  </r>
  <r>
    <n v="106"/>
    <d v="2026-06-01T00:00:00"/>
    <x v="105"/>
    <x v="105"/>
    <n v="2"/>
    <x v="0"/>
    <x v="1"/>
    <x v="1"/>
    <x v="0"/>
    <n v="2"/>
  </r>
  <r>
    <n v="107"/>
    <d v="2026-06-01T00:00:00"/>
    <x v="106"/>
    <x v="106"/>
    <n v="12"/>
    <x v="0"/>
    <x v="1"/>
    <x v="1"/>
    <x v="0"/>
    <n v="12"/>
  </r>
  <r>
    <n v="108"/>
    <d v="2026-06-01T00:00:00"/>
    <x v="107"/>
    <x v="107"/>
    <n v="4"/>
    <x v="0"/>
    <x v="1"/>
    <x v="1"/>
    <x v="0"/>
    <n v="4"/>
  </r>
  <r>
    <n v="109"/>
    <d v="2026-06-01T00:00:00"/>
    <x v="108"/>
    <x v="108"/>
    <n v="5"/>
    <x v="0"/>
    <x v="1"/>
    <x v="1"/>
    <x v="0"/>
    <n v="5"/>
  </r>
  <r>
    <n v="110"/>
    <d v="2026-06-01T00:00:00"/>
    <x v="109"/>
    <x v="109"/>
    <n v="11"/>
    <x v="0"/>
    <x v="1"/>
    <x v="1"/>
    <x v="0"/>
    <n v="11"/>
  </r>
  <r>
    <n v="111"/>
    <d v="2026-06-01T00:00:00"/>
    <x v="110"/>
    <x v="110"/>
    <n v="291"/>
    <x v="0"/>
    <x v="1"/>
    <x v="1"/>
    <x v="0"/>
    <n v="291"/>
  </r>
  <r>
    <n v="112"/>
    <d v="2026-06-01T00:00:00"/>
    <x v="111"/>
    <x v="111"/>
    <n v="3"/>
    <x v="0"/>
    <x v="1"/>
    <x v="1"/>
    <x v="0"/>
    <n v="3"/>
  </r>
  <r>
    <n v="113"/>
    <d v="2026-06-01T00:00:00"/>
    <x v="112"/>
    <x v="112"/>
    <n v="1"/>
    <x v="0"/>
    <x v="1"/>
    <x v="1"/>
    <x v="0"/>
    <n v="1"/>
  </r>
  <r>
    <n v="114"/>
    <d v="2026-06-01T00:00:00"/>
    <x v="113"/>
    <x v="113"/>
    <n v="2"/>
    <x v="0"/>
    <x v="1"/>
    <x v="1"/>
    <x v="0"/>
    <n v="2"/>
  </r>
  <r>
    <n v="115"/>
    <d v="2026-06-01T00:00:00"/>
    <x v="114"/>
    <x v="114"/>
    <n v="4"/>
    <x v="0"/>
    <x v="1"/>
    <x v="1"/>
    <x v="0"/>
    <n v="4"/>
  </r>
  <r>
    <n v="116"/>
    <d v="2026-06-01T00:00:00"/>
    <x v="115"/>
    <x v="115"/>
    <n v="10"/>
    <x v="0"/>
    <x v="1"/>
    <x v="1"/>
    <x v="0"/>
    <n v="10"/>
  </r>
  <r>
    <n v="117"/>
    <d v="2026-06-01T00:00:00"/>
    <x v="116"/>
    <x v="116"/>
    <n v="8"/>
    <x v="0"/>
    <x v="1"/>
    <x v="1"/>
    <x v="0"/>
    <n v="8"/>
  </r>
  <r>
    <n v="118"/>
    <d v="2026-06-01T00:00:00"/>
    <x v="117"/>
    <x v="117"/>
    <n v="8"/>
    <x v="0"/>
    <x v="1"/>
    <x v="1"/>
    <x v="0"/>
    <n v="8"/>
  </r>
  <r>
    <n v="119"/>
    <d v="2026-06-01T00:00:00"/>
    <x v="118"/>
    <x v="118"/>
    <n v="3"/>
    <x v="0"/>
    <x v="1"/>
    <x v="1"/>
    <x v="0"/>
    <n v="3"/>
  </r>
  <r>
    <n v="120"/>
    <d v="2026-06-01T00:00:00"/>
    <x v="119"/>
    <x v="119"/>
    <n v="3"/>
    <x v="0"/>
    <x v="1"/>
    <x v="1"/>
    <x v="0"/>
    <n v="3"/>
  </r>
  <r>
    <n v="121"/>
    <d v="2026-06-01T00:00:00"/>
    <x v="120"/>
    <x v="120"/>
    <n v="1"/>
    <x v="0"/>
    <x v="1"/>
    <x v="1"/>
    <x v="0"/>
    <n v="1"/>
  </r>
  <r>
    <n v="122"/>
    <d v="2026-06-01T00:00:00"/>
    <x v="121"/>
    <x v="121"/>
    <n v="1"/>
    <x v="0"/>
    <x v="1"/>
    <x v="1"/>
    <x v="0"/>
    <n v="1"/>
  </r>
  <r>
    <n v="123"/>
    <d v="2026-06-01T00:00:00"/>
    <x v="122"/>
    <x v="122"/>
    <n v="10"/>
    <x v="0"/>
    <x v="1"/>
    <x v="1"/>
    <x v="0"/>
    <n v="10"/>
  </r>
  <r>
    <n v="124"/>
    <d v="2026-06-01T00:00:00"/>
    <x v="123"/>
    <x v="123"/>
    <n v="1"/>
    <x v="0"/>
    <x v="1"/>
    <x v="1"/>
    <x v="0"/>
    <n v="1"/>
  </r>
  <r>
    <n v="125"/>
    <d v="2026-06-01T00:00:00"/>
    <x v="124"/>
    <x v="124"/>
    <n v="1"/>
    <x v="0"/>
    <x v="1"/>
    <x v="1"/>
    <x v="0"/>
    <n v="1"/>
  </r>
  <r>
    <n v="126"/>
    <d v="2026-06-01T00:00:00"/>
    <x v="125"/>
    <x v="125"/>
    <n v="1"/>
    <x v="0"/>
    <x v="1"/>
    <x v="1"/>
    <x v="0"/>
    <n v="1"/>
  </r>
  <r>
    <n v="127"/>
    <d v="2026-06-01T00:00:00"/>
    <x v="126"/>
    <x v="126"/>
    <n v="1"/>
    <x v="0"/>
    <x v="1"/>
    <x v="1"/>
    <x v="0"/>
    <n v="1"/>
  </r>
  <r>
    <n v="128"/>
    <d v="2026-06-01T00:00:00"/>
    <x v="127"/>
    <x v="127"/>
    <n v="1"/>
    <x v="0"/>
    <x v="1"/>
    <x v="1"/>
    <x v="0"/>
    <n v="1"/>
  </r>
  <r>
    <n v="129"/>
    <d v="2026-06-01T00:00:00"/>
    <x v="128"/>
    <x v="128"/>
    <n v="1"/>
    <x v="0"/>
    <x v="1"/>
    <x v="1"/>
    <x v="0"/>
    <n v="1"/>
  </r>
  <r>
    <n v="130"/>
    <d v="2026-06-01T00:00:00"/>
    <x v="129"/>
    <x v="129"/>
    <n v="1"/>
    <x v="0"/>
    <x v="1"/>
    <x v="1"/>
    <x v="0"/>
    <n v="1"/>
  </r>
  <r>
    <n v="131"/>
    <d v="2026-06-01T00:00:00"/>
    <x v="130"/>
    <x v="130"/>
    <n v="1"/>
    <x v="0"/>
    <x v="1"/>
    <x v="1"/>
    <x v="0"/>
    <n v="1"/>
  </r>
  <r>
    <n v="132"/>
    <d v="2026-06-01T00:00:00"/>
    <x v="131"/>
    <x v="131"/>
    <n v="1"/>
    <x v="0"/>
    <x v="1"/>
    <x v="1"/>
    <x v="0"/>
    <n v="1"/>
  </r>
  <r>
    <n v="133"/>
    <d v="2026-06-01T00:00:00"/>
    <x v="132"/>
    <x v="132"/>
    <n v="1"/>
    <x v="0"/>
    <x v="1"/>
    <x v="1"/>
    <x v="0"/>
    <n v="1"/>
  </r>
  <r>
    <n v="134"/>
    <d v="2026-06-01T00:00:00"/>
    <x v="133"/>
    <x v="133"/>
    <n v="1"/>
    <x v="0"/>
    <x v="1"/>
    <x v="1"/>
    <x v="0"/>
    <n v="1"/>
  </r>
  <r>
    <n v="135"/>
    <d v="2026-06-01T00:00:00"/>
    <x v="134"/>
    <x v="134"/>
    <n v="1"/>
    <x v="0"/>
    <x v="1"/>
    <x v="1"/>
    <x v="0"/>
    <n v="1"/>
  </r>
  <r>
    <n v="136"/>
    <d v="2026-06-01T00:00:00"/>
    <x v="135"/>
    <x v="135"/>
    <n v="2"/>
    <x v="0"/>
    <x v="1"/>
    <x v="1"/>
    <x v="0"/>
    <n v="2"/>
  </r>
  <r>
    <n v="137"/>
    <d v="2026-06-01T00:00:00"/>
    <x v="136"/>
    <x v="136"/>
    <n v="2"/>
    <x v="0"/>
    <x v="1"/>
    <x v="1"/>
    <x v="0"/>
    <n v="2"/>
  </r>
  <r>
    <n v="138"/>
    <d v="2026-06-01T00:00:00"/>
    <x v="137"/>
    <x v="137"/>
    <n v="1"/>
    <x v="0"/>
    <x v="1"/>
    <x v="1"/>
    <x v="0"/>
    <n v="1"/>
  </r>
  <r>
    <n v="139"/>
    <d v="2026-06-01T00:00:00"/>
    <x v="138"/>
    <x v="138"/>
    <n v="1"/>
    <x v="0"/>
    <x v="1"/>
    <x v="1"/>
    <x v="0"/>
    <n v="1"/>
  </r>
  <r>
    <n v="140"/>
    <d v="2026-06-01T00:00:00"/>
    <x v="139"/>
    <x v="139"/>
    <n v="1"/>
    <x v="0"/>
    <x v="1"/>
    <x v="1"/>
    <x v="0"/>
    <n v="1"/>
  </r>
  <r>
    <n v="141"/>
    <d v="2026-06-01T00:00:00"/>
    <x v="140"/>
    <x v="140"/>
    <n v="1"/>
    <x v="0"/>
    <x v="1"/>
    <x v="1"/>
    <x v="0"/>
    <n v="1"/>
  </r>
  <r>
    <n v="142"/>
    <d v="2026-06-01T00:00:00"/>
    <x v="141"/>
    <x v="141"/>
    <n v="8"/>
    <x v="0"/>
    <x v="1"/>
    <x v="1"/>
    <x v="0"/>
    <n v="8"/>
  </r>
  <r>
    <n v="143"/>
    <d v="2026-06-01T00:00:00"/>
    <x v="142"/>
    <x v="142"/>
    <n v="2"/>
    <x v="0"/>
    <x v="1"/>
    <x v="1"/>
    <x v="0"/>
    <n v="2"/>
  </r>
  <r>
    <n v="144"/>
    <d v="2026-06-01T00:00:00"/>
    <x v="143"/>
    <x v="143"/>
    <n v="2"/>
    <x v="0"/>
    <x v="1"/>
    <x v="1"/>
    <x v="0"/>
    <n v="2"/>
  </r>
  <r>
    <n v="145"/>
    <d v="2026-06-01T00:00:00"/>
    <x v="144"/>
    <x v="144"/>
    <n v="1"/>
    <x v="0"/>
    <x v="1"/>
    <x v="1"/>
    <x v="0"/>
    <n v="1"/>
  </r>
  <r>
    <n v="146"/>
    <d v="2026-06-01T00:00:00"/>
    <x v="145"/>
    <x v="145"/>
    <n v="1"/>
    <x v="0"/>
    <x v="1"/>
    <x v="1"/>
    <x v="0"/>
    <n v="1"/>
  </r>
  <r>
    <n v="147"/>
    <d v="2026-06-01T00:00:00"/>
    <x v="146"/>
    <x v="146"/>
    <n v="1"/>
    <x v="0"/>
    <x v="1"/>
    <x v="1"/>
    <x v="0"/>
    <n v="1"/>
  </r>
  <r>
    <n v="148"/>
    <d v="2026-06-01T00:00:00"/>
    <x v="147"/>
    <x v="147"/>
    <n v="1"/>
    <x v="0"/>
    <x v="1"/>
    <x v="1"/>
    <x v="0"/>
    <n v="1"/>
  </r>
  <r>
    <n v="149"/>
    <d v="2026-06-01T00:00:00"/>
    <x v="148"/>
    <x v="148"/>
    <n v="2"/>
    <x v="0"/>
    <x v="1"/>
    <x v="1"/>
    <x v="0"/>
    <n v="2"/>
  </r>
  <r>
    <n v="150"/>
    <d v="2026-06-01T00:00:00"/>
    <x v="149"/>
    <x v="149"/>
    <n v="1"/>
    <x v="0"/>
    <x v="1"/>
    <x v="1"/>
    <x v="0"/>
    <n v="1"/>
  </r>
  <r>
    <n v="151"/>
    <d v="2026-06-01T00:00:00"/>
    <x v="150"/>
    <x v="150"/>
    <n v="1"/>
    <x v="0"/>
    <x v="1"/>
    <x v="1"/>
    <x v="0"/>
    <n v="1"/>
  </r>
  <r>
    <n v="152"/>
    <d v="2026-06-01T00:00:00"/>
    <x v="151"/>
    <x v="151"/>
    <n v="1"/>
    <x v="0"/>
    <x v="1"/>
    <x v="1"/>
    <x v="0"/>
    <n v="1"/>
  </r>
  <r>
    <n v="153"/>
    <d v="2026-06-01T00:00:00"/>
    <x v="152"/>
    <x v="152"/>
    <n v="1"/>
    <x v="0"/>
    <x v="1"/>
    <x v="1"/>
    <x v="0"/>
    <n v="1"/>
  </r>
  <r>
    <n v="154"/>
    <d v="2026-06-01T00:00:00"/>
    <x v="153"/>
    <x v="153"/>
    <n v="1"/>
    <x v="0"/>
    <x v="1"/>
    <x v="1"/>
    <x v="0"/>
    <n v="1"/>
  </r>
  <r>
    <n v="155"/>
    <d v="2026-06-01T00:00:00"/>
    <x v="154"/>
    <x v="154"/>
    <n v="1"/>
    <x v="0"/>
    <x v="1"/>
    <x v="1"/>
    <x v="0"/>
    <n v="1"/>
  </r>
  <r>
    <n v="156"/>
    <d v="2026-06-01T00:00:00"/>
    <x v="155"/>
    <x v="155"/>
    <n v="1"/>
    <x v="0"/>
    <x v="1"/>
    <x v="1"/>
    <x v="0"/>
    <n v="1"/>
  </r>
  <r>
    <n v="157"/>
    <d v="2026-06-01T00:00:00"/>
    <x v="156"/>
    <x v="156"/>
    <n v="1"/>
    <x v="0"/>
    <x v="1"/>
    <x v="1"/>
    <x v="0"/>
    <n v="1"/>
  </r>
  <r>
    <n v="158"/>
    <d v="2026-06-01T00:00:00"/>
    <x v="157"/>
    <x v="157"/>
    <n v="1"/>
    <x v="0"/>
    <x v="1"/>
    <x v="1"/>
    <x v="0"/>
    <n v="1"/>
  </r>
  <r>
    <n v="159"/>
    <d v="2026-06-01T00:00:00"/>
    <x v="158"/>
    <x v="158"/>
    <n v="1"/>
    <x v="0"/>
    <x v="1"/>
    <x v="1"/>
    <x v="0"/>
    <n v="1"/>
  </r>
  <r>
    <n v="160"/>
    <d v="2026-06-01T00:00:00"/>
    <x v="159"/>
    <x v="159"/>
    <n v="2"/>
    <x v="0"/>
    <x v="1"/>
    <x v="1"/>
    <x v="0"/>
    <n v="2"/>
  </r>
  <r>
    <n v="161"/>
    <d v="2026-06-01T00:00:00"/>
    <x v="160"/>
    <x v="160"/>
    <n v="1"/>
    <x v="0"/>
    <x v="1"/>
    <x v="1"/>
    <x v="0"/>
    <n v="1"/>
  </r>
  <r>
    <n v="162"/>
    <d v="2026-06-01T00:00:00"/>
    <x v="161"/>
    <x v="161"/>
    <n v="3"/>
    <x v="0"/>
    <x v="1"/>
    <x v="1"/>
    <x v="0"/>
    <n v="3"/>
  </r>
  <r>
    <n v="163"/>
    <d v="2026-06-01T00:00:00"/>
    <x v="162"/>
    <x v="162"/>
    <n v="1"/>
    <x v="0"/>
    <x v="1"/>
    <x v="1"/>
    <x v="0"/>
    <n v="1"/>
  </r>
  <r>
    <n v="164"/>
    <d v="2026-06-01T00:00:00"/>
    <x v="163"/>
    <x v="163"/>
    <n v="5"/>
    <x v="0"/>
    <x v="1"/>
    <x v="1"/>
    <x v="0"/>
    <n v="5"/>
  </r>
  <r>
    <n v="165"/>
    <d v="2026-06-01T00:00:00"/>
    <x v="164"/>
    <x v="164"/>
    <n v="1"/>
    <x v="0"/>
    <x v="1"/>
    <x v="1"/>
    <x v="0"/>
    <n v="1"/>
  </r>
  <r>
    <n v="166"/>
    <d v="2026-06-01T00:00:00"/>
    <x v="165"/>
    <x v="165"/>
    <n v="1"/>
    <x v="0"/>
    <x v="1"/>
    <x v="1"/>
    <x v="0"/>
    <n v="1"/>
  </r>
  <r>
    <n v="167"/>
    <d v="2026-06-01T00:00:00"/>
    <x v="166"/>
    <x v="166"/>
    <n v="1"/>
    <x v="0"/>
    <x v="1"/>
    <x v="1"/>
    <x v="0"/>
    <n v="1"/>
  </r>
  <r>
    <n v="168"/>
    <d v="2026-06-01T00:00:00"/>
    <x v="167"/>
    <x v="167"/>
    <n v="1"/>
    <x v="0"/>
    <x v="1"/>
    <x v="1"/>
    <x v="0"/>
    <n v="1"/>
  </r>
  <r>
    <n v="169"/>
    <d v="2026-06-01T00:00:00"/>
    <x v="168"/>
    <x v="168"/>
    <n v="1"/>
    <x v="0"/>
    <x v="1"/>
    <x v="1"/>
    <x v="0"/>
    <n v="1"/>
  </r>
  <r>
    <n v="170"/>
    <d v="2026-06-01T00:00:00"/>
    <x v="169"/>
    <x v="169"/>
    <n v="1"/>
    <x v="0"/>
    <x v="1"/>
    <x v="1"/>
    <x v="0"/>
    <n v="1"/>
  </r>
  <r>
    <n v="171"/>
    <d v="2026-06-01T00:00:00"/>
    <x v="170"/>
    <x v="170"/>
    <n v="1"/>
    <x v="0"/>
    <x v="1"/>
    <x v="1"/>
    <x v="0"/>
    <n v="1"/>
  </r>
  <r>
    <n v="172"/>
    <d v="2026-06-01T00:00:00"/>
    <x v="171"/>
    <x v="171"/>
    <n v="1"/>
    <x v="0"/>
    <x v="1"/>
    <x v="1"/>
    <x v="0"/>
    <n v="1"/>
  </r>
  <r>
    <n v="173"/>
    <d v="2026-06-01T00:00:00"/>
    <x v="172"/>
    <x v="172"/>
    <n v="1"/>
    <x v="0"/>
    <x v="1"/>
    <x v="1"/>
    <x v="0"/>
    <n v="1"/>
  </r>
  <r>
    <n v="174"/>
    <d v="2026-06-01T00:00:00"/>
    <x v="173"/>
    <x v="173"/>
    <n v="1"/>
    <x v="0"/>
    <x v="1"/>
    <x v="1"/>
    <x v="0"/>
    <n v="1"/>
  </r>
  <r>
    <n v="175"/>
    <d v="2026-06-01T00:00:00"/>
    <x v="174"/>
    <x v="174"/>
    <n v="7"/>
    <x v="0"/>
    <x v="1"/>
    <x v="1"/>
    <x v="0"/>
    <n v="7"/>
  </r>
  <r>
    <n v="176"/>
    <d v="2026-06-01T00:00:00"/>
    <x v="175"/>
    <x v="175"/>
    <n v="1"/>
    <x v="0"/>
    <x v="1"/>
    <x v="1"/>
    <x v="0"/>
    <n v="1"/>
  </r>
  <r>
    <n v="177"/>
    <d v="2026-06-01T00:00:00"/>
    <x v="176"/>
    <x v="176"/>
    <n v="1"/>
    <x v="0"/>
    <x v="1"/>
    <x v="1"/>
    <x v="0"/>
    <n v="1"/>
  </r>
  <r>
    <n v="178"/>
    <d v="2026-06-01T00:00:00"/>
    <x v="177"/>
    <x v="177"/>
    <n v="1"/>
    <x v="0"/>
    <x v="1"/>
    <x v="1"/>
    <x v="0"/>
    <n v="1"/>
  </r>
  <r>
    <n v="179"/>
    <d v="2026-06-01T00:00:00"/>
    <x v="178"/>
    <x v="178"/>
    <n v="4"/>
    <x v="0"/>
    <x v="1"/>
    <x v="1"/>
    <x v="0"/>
    <n v="4"/>
  </r>
  <r>
    <n v="180"/>
    <d v="2026-06-01T00:00:00"/>
    <x v="179"/>
    <x v="179"/>
    <n v="1"/>
    <x v="0"/>
    <x v="1"/>
    <x v="1"/>
    <x v="0"/>
    <n v="1"/>
  </r>
  <r>
    <n v="181"/>
    <d v="2026-06-01T00:00:00"/>
    <x v="180"/>
    <x v="180"/>
    <n v="3"/>
    <x v="0"/>
    <x v="1"/>
    <x v="1"/>
    <x v="0"/>
    <n v="3"/>
  </r>
  <r>
    <n v="182"/>
    <d v="2026-06-01T00:00:00"/>
    <x v="181"/>
    <x v="181"/>
    <n v="5"/>
    <x v="0"/>
    <x v="1"/>
    <x v="1"/>
    <x v="0"/>
    <n v="5"/>
  </r>
  <r>
    <n v="183"/>
    <d v="2026-06-01T00:00:00"/>
    <x v="182"/>
    <x v="182"/>
    <n v="2"/>
    <x v="0"/>
    <x v="1"/>
    <x v="1"/>
    <x v="0"/>
    <n v="2"/>
  </r>
  <r>
    <n v="184"/>
    <d v="2026-06-01T00:00:00"/>
    <x v="183"/>
    <x v="183"/>
    <n v="6"/>
    <x v="0"/>
    <x v="1"/>
    <x v="1"/>
    <x v="0"/>
    <n v="6"/>
  </r>
  <r>
    <n v="185"/>
    <d v="2026-06-01T00:00:00"/>
    <x v="184"/>
    <x v="184"/>
    <n v="3"/>
    <x v="0"/>
    <x v="1"/>
    <x v="1"/>
    <x v="0"/>
    <n v="3"/>
  </r>
  <r>
    <n v="186"/>
    <d v="2026-06-01T00:00:00"/>
    <x v="185"/>
    <x v="185"/>
    <n v="2"/>
    <x v="0"/>
    <x v="1"/>
    <x v="1"/>
    <x v="0"/>
    <n v="2"/>
  </r>
  <r>
    <n v="187"/>
    <d v="2026-06-01T00:00:00"/>
    <x v="186"/>
    <x v="186"/>
    <n v="1"/>
    <x v="0"/>
    <x v="1"/>
    <x v="1"/>
    <x v="0"/>
    <n v="1"/>
  </r>
  <r>
    <n v="188"/>
    <d v="2026-06-01T00:00:00"/>
    <x v="187"/>
    <x v="187"/>
    <n v="1"/>
    <x v="0"/>
    <x v="1"/>
    <x v="1"/>
    <x v="0"/>
    <n v="1"/>
  </r>
  <r>
    <n v="189"/>
    <d v="2026-06-01T00:00:00"/>
    <x v="188"/>
    <x v="188"/>
    <n v="1"/>
    <x v="0"/>
    <x v="1"/>
    <x v="1"/>
    <x v="0"/>
    <n v="1"/>
  </r>
  <r>
    <n v="190"/>
    <d v="2026-06-01T00:00:00"/>
    <x v="189"/>
    <x v="189"/>
    <n v="1"/>
    <x v="0"/>
    <x v="1"/>
    <x v="1"/>
    <x v="0"/>
    <n v="1"/>
  </r>
  <r>
    <n v="191"/>
    <d v="2026-06-01T00:00:00"/>
    <x v="190"/>
    <x v="190"/>
    <n v="1"/>
    <x v="0"/>
    <x v="1"/>
    <x v="1"/>
    <x v="0"/>
    <n v="1"/>
  </r>
  <r>
    <n v="192"/>
    <d v="2026-06-01T00:00:00"/>
    <x v="191"/>
    <x v="191"/>
    <n v="1"/>
    <x v="0"/>
    <x v="1"/>
    <x v="1"/>
    <x v="0"/>
    <n v="1"/>
  </r>
  <r>
    <n v="193"/>
    <d v="2026-06-01T00:00:00"/>
    <x v="192"/>
    <x v="192"/>
    <n v="2"/>
    <x v="0"/>
    <x v="1"/>
    <x v="1"/>
    <x v="0"/>
    <n v="2"/>
  </r>
  <r>
    <n v="194"/>
    <d v="2026-06-01T00:00:00"/>
    <x v="193"/>
    <x v="193"/>
    <n v="2"/>
    <x v="0"/>
    <x v="1"/>
    <x v="1"/>
    <x v="0"/>
    <n v="2"/>
  </r>
  <r>
    <n v="195"/>
    <d v="2026-06-01T00:00:00"/>
    <x v="194"/>
    <x v="194"/>
    <n v="1"/>
    <x v="0"/>
    <x v="1"/>
    <x v="1"/>
    <x v="0"/>
    <n v="1"/>
  </r>
  <r>
    <n v="196"/>
    <d v="2026-06-01T00:00:00"/>
    <x v="195"/>
    <x v="195"/>
    <n v="1"/>
    <x v="0"/>
    <x v="1"/>
    <x v="1"/>
    <x v="0"/>
    <n v="1"/>
  </r>
  <r>
    <n v="197"/>
    <d v="2026-06-01T00:00:00"/>
    <x v="196"/>
    <x v="196"/>
    <n v="1"/>
    <x v="0"/>
    <x v="1"/>
    <x v="1"/>
    <x v="0"/>
    <n v="1"/>
  </r>
  <r>
    <n v="198"/>
    <d v="2026-06-01T00:00:00"/>
    <x v="197"/>
    <x v="197"/>
    <n v="1"/>
    <x v="0"/>
    <x v="1"/>
    <x v="1"/>
    <x v="0"/>
    <n v="1"/>
  </r>
  <r>
    <n v="199"/>
    <d v="2026-06-01T00:00:00"/>
    <x v="198"/>
    <x v="198"/>
    <n v="1"/>
    <x v="0"/>
    <x v="1"/>
    <x v="1"/>
    <x v="0"/>
    <n v="1"/>
  </r>
  <r>
    <n v="200"/>
    <d v="2026-06-01T00:00:00"/>
    <x v="199"/>
    <x v="199"/>
    <n v="1"/>
    <x v="0"/>
    <x v="1"/>
    <x v="1"/>
    <x v="0"/>
    <n v="1"/>
  </r>
  <r>
    <n v="201"/>
    <d v="2026-06-01T00:00:00"/>
    <x v="200"/>
    <x v="200"/>
    <n v="1"/>
    <x v="0"/>
    <x v="1"/>
    <x v="1"/>
    <x v="0"/>
    <n v="1"/>
  </r>
  <r>
    <n v="202"/>
    <d v="2026-06-01T00:00:00"/>
    <x v="201"/>
    <x v="201"/>
    <n v="1"/>
    <x v="0"/>
    <x v="1"/>
    <x v="1"/>
    <x v="0"/>
    <n v="1"/>
  </r>
  <r>
    <n v="203"/>
    <d v="2026-06-01T00:00:00"/>
    <x v="202"/>
    <x v="202"/>
    <n v="1"/>
    <x v="0"/>
    <x v="1"/>
    <x v="1"/>
    <x v="0"/>
    <n v="1"/>
  </r>
  <r>
    <n v="204"/>
    <d v="2026-06-01T00:00:00"/>
    <x v="203"/>
    <x v="203"/>
    <n v="1"/>
    <x v="0"/>
    <x v="1"/>
    <x v="1"/>
    <x v="0"/>
    <n v="1"/>
  </r>
  <r>
    <n v="205"/>
    <d v="2026-06-01T00:00:00"/>
    <x v="204"/>
    <x v="204"/>
    <n v="1"/>
    <x v="0"/>
    <x v="1"/>
    <x v="1"/>
    <x v="0"/>
    <n v="1"/>
  </r>
  <r>
    <n v="206"/>
    <d v="2026-06-01T00:00:00"/>
    <x v="205"/>
    <x v="205"/>
    <n v="1"/>
    <x v="0"/>
    <x v="1"/>
    <x v="1"/>
    <x v="0"/>
    <n v="1"/>
  </r>
  <r>
    <n v="207"/>
    <d v="2026-06-01T00:00:00"/>
    <x v="206"/>
    <x v="206"/>
    <n v="11"/>
    <x v="0"/>
    <x v="1"/>
    <x v="1"/>
    <x v="0"/>
    <n v="11"/>
  </r>
  <r>
    <n v="208"/>
    <d v="2026-06-01T00:00:00"/>
    <x v="207"/>
    <x v="207"/>
    <n v="1"/>
    <x v="0"/>
    <x v="1"/>
    <x v="1"/>
    <x v="0"/>
    <n v="1"/>
  </r>
  <r>
    <n v="209"/>
    <d v="2026-06-01T00:00:00"/>
    <x v="208"/>
    <x v="208"/>
    <n v="1"/>
    <x v="0"/>
    <x v="1"/>
    <x v="1"/>
    <x v="0"/>
    <n v="1"/>
  </r>
  <r>
    <n v="210"/>
    <d v="2026-06-01T00:00:00"/>
    <x v="209"/>
    <x v="209"/>
    <n v="1"/>
    <x v="0"/>
    <x v="1"/>
    <x v="1"/>
    <x v="0"/>
    <n v="1"/>
  </r>
  <r>
    <n v="211"/>
    <d v="2026-06-01T00:00:00"/>
    <x v="210"/>
    <x v="210"/>
    <n v="1"/>
    <x v="0"/>
    <x v="1"/>
    <x v="1"/>
    <x v="0"/>
    <n v="1"/>
  </r>
  <r>
    <n v="212"/>
    <d v="2026-06-01T00:00:00"/>
    <x v="211"/>
    <x v="211"/>
    <n v="3"/>
    <x v="0"/>
    <x v="1"/>
    <x v="1"/>
    <x v="0"/>
    <n v="3"/>
  </r>
  <r>
    <n v="213"/>
    <d v="2026-06-01T00:00:00"/>
    <x v="212"/>
    <x v="212"/>
    <n v="1"/>
    <x v="0"/>
    <x v="1"/>
    <x v="1"/>
    <x v="0"/>
    <n v="1"/>
  </r>
  <r>
    <n v="214"/>
    <d v="2026-06-01T00:00:00"/>
    <x v="213"/>
    <x v="213"/>
    <n v="1"/>
    <x v="0"/>
    <x v="1"/>
    <x v="1"/>
    <x v="0"/>
    <n v="1"/>
  </r>
  <r>
    <n v="215"/>
    <d v="2026-06-01T00:00:00"/>
    <x v="214"/>
    <x v="214"/>
    <n v="1"/>
    <x v="0"/>
    <x v="1"/>
    <x v="1"/>
    <x v="0"/>
    <n v="1"/>
  </r>
  <r>
    <n v="216"/>
    <d v="2026-06-01T00:00:00"/>
    <x v="215"/>
    <x v="215"/>
    <n v="1"/>
    <x v="0"/>
    <x v="1"/>
    <x v="1"/>
    <x v="0"/>
    <n v="1"/>
  </r>
  <r>
    <n v="217"/>
    <d v="2026-06-01T00:00:00"/>
    <x v="216"/>
    <x v="216"/>
    <n v="1"/>
    <x v="0"/>
    <x v="1"/>
    <x v="1"/>
    <x v="0"/>
    <n v="1"/>
  </r>
  <r>
    <n v="218"/>
    <d v="2026-06-01T00:00:00"/>
    <x v="217"/>
    <x v="217"/>
    <n v="1"/>
    <x v="0"/>
    <x v="1"/>
    <x v="1"/>
    <x v="0"/>
    <n v="1"/>
  </r>
  <r>
    <n v="219"/>
    <d v="2026-06-01T00:00:00"/>
    <x v="218"/>
    <x v="218"/>
    <n v="2"/>
    <x v="0"/>
    <x v="1"/>
    <x v="1"/>
    <x v="0"/>
    <n v="2"/>
  </r>
  <r>
    <n v="220"/>
    <d v="2026-06-01T00:00:00"/>
    <x v="219"/>
    <x v="219"/>
    <n v="1"/>
    <x v="0"/>
    <x v="1"/>
    <x v="1"/>
    <x v="0"/>
    <n v="1"/>
  </r>
  <r>
    <n v="221"/>
    <d v="2026-06-01T00:00:00"/>
    <x v="220"/>
    <x v="220"/>
    <n v="1"/>
    <x v="0"/>
    <x v="1"/>
    <x v="1"/>
    <x v="0"/>
    <n v="1"/>
  </r>
  <r>
    <n v="222"/>
    <d v="2026-06-01T00:00:00"/>
    <x v="221"/>
    <x v="221"/>
    <n v="4"/>
    <x v="0"/>
    <x v="1"/>
    <x v="1"/>
    <x v="0"/>
    <n v="4"/>
  </r>
  <r>
    <n v="223"/>
    <d v="2026-06-01T00:00:00"/>
    <x v="222"/>
    <x v="222"/>
    <n v="1"/>
    <x v="0"/>
    <x v="1"/>
    <x v="1"/>
    <x v="0"/>
    <n v="1"/>
  </r>
  <r>
    <n v="224"/>
    <d v="2026-06-01T00:00:00"/>
    <x v="223"/>
    <x v="223"/>
    <n v="1"/>
    <x v="0"/>
    <x v="1"/>
    <x v="1"/>
    <x v="0"/>
    <n v="1"/>
  </r>
  <r>
    <n v="225"/>
    <d v="2026-06-01T00:00:00"/>
    <x v="224"/>
    <x v="224"/>
    <n v="1"/>
    <x v="0"/>
    <x v="1"/>
    <x v="1"/>
    <x v="0"/>
    <n v="1"/>
  </r>
  <r>
    <n v="226"/>
    <d v="2026-06-01T00:00:00"/>
    <x v="225"/>
    <x v="225"/>
    <n v="2"/>
    <x v="0"/>
    <x v="1"/>
    <x v="1"/>
    <x v="0"/>
    <n v="2"/>
  </r>
  <r>
    <n v="227"/>
    <d v="2026-06-01T00:00:00"/>
    <x v="226"/>
    <x v="226"/>
    <n v="1"/>
    <x v="0"/>
    <x v="1"/>
    <x v="1"/>
    <x v="0"/>
    <n v="1"/>
  </r>
  <r>
    <n v="228"/>
    <d v="2026-06-01T00:00:00"/>
    <x v="227"/>
    <x v="227"/>
    <n v="3"/>
    <x v="0"/>
    <x v="1"/>
    <x v="1"/>
    <x v="0"/>
    <n v="3"/>
  </r>
  <r>
    <n v="229"/>
    <d v="2026-06-01T00:00:00"/>
    <x v="228"/>
    <x v="228"/>
    <n v="1"/>
    <x v="0"/>
    <x v="1"/>
    <x v="1"/>
    <x v="0"/>
    <n v="1"/>
  </r>
  <r>
    <n v="230"/>
    <d v="2026-06-01T00:00:00"/>
    <x v="229"/>
    <x v="229"/>
    <n v="3"/>
    <x v="0"/>
    <x v="1"/>
    <x v="1"/>
    <x v="0"/>
    <n v="3"/>
  </r>
  <r>
    <n v="231"/>
    <d v="2026-06-01T00:00:00"/>
    <x v="230"/>
    <x v="230"/>
    <n v="1"/>
    <x v="0"/>
    <x v="1"/>
    <x v="1"/>
    <x v="0"/>
    <n v="1"/>
  </r>
  <r>
    <n v="232"/>
    <d v="2026-06-01T00:00:00"/>
    <x v="231"/>
    <x v="231"/>
    <n v="1"/>
    <x v="0"/>
    <x v="1"/>
    <x v="1"/>
    <x v="0"/>
    <n v="1"/>
  </r>
  <r>
    <n v="233"/>
    <d v="2026-06-01T00:00:00"/>
    <x v="232"/>
    <x v="232"/>
    <n v="3"/>
    <x v="0"/>
    <x v="1"/>
    <x v="1"/>
    <x v="0"/>
    <n v="3"/>
  </r>
  <r>
    <n v="234"/>
    <d v="2026-06-01T00:00:00"/>
    <x v="233"/>
    <x v="233"/>
    <n v="5"/>
    <x v="0"/>
    <x v="1"/>
    <x v="1"/>
    <x v="0"/>
    <n v="5"/>
  </r>
  <r>
    <n v="235"/>
    <d v="2026-06-01T00:00:00"/>
    <x v="234"/>
    <x v="234"/>
    <n v="1"/>
    <x v="0"/>
    <x v="1"/>
    <x v="1"/>
    <x v="0"/>
    <n v="1"/>
  </r>
  <r>
    <n v="236"/>
    <d v="2026-06-01T00:00:00"/>
    <x v="235"/>
    <x v="235"/>
    <n v="1"/>
    <x v="0"/>
    <x v="1"/>
    <x v="1"/>
    <x v="0"/>
    <n v="1"/>
  </r>
  <r>
    <n v="237"/>
    <d v="2026-06-01T00:00:00"/>
    <x v="236"/>
    <x v="236"/>
    <n v="4"/>
    <x v="0"/>
    <x v="1"/>
    <x v="1"/>
    <x v="0"/>
    <n v="4"/>
  </r>
  <r>
    <n v="238"/>
    <d v="2026-06-01T00:00:00"/>
    <x v="237"/>
    <x v="237"/>
    <n v="1"/>
    <x v="0"/>
    <x v="1"/>
    <x v="1"/>
    <x v="0"/>
    <n v="1"/>
  </r>
  <r>
    <n v="239"/>
    <d v="2026-06-01T00:00:00"/>
    <x v="238"/>
    <x v="238"/>
    <n v="3"/>
    <x v="0"/>
    <x v="1"/>
    <x v="1"/>
    <x v="0"/>
    <n v="3"/>
  </r>
  <r>
    <n v="240"/>
    <d v="2026-06-01T00:00:00"/>
    <x v="239"/>
    <x v="239"/>
    <n v="2"/>
    <x v="0"/>
    <x v="1"/>
    <x v="1"/>
    <x v="0"/>
    <n v="2"/>
  </r>
  <r>
    <n v="241"/>
    <d v="2026-06-01T00:00:00"/>
    <x v="240"/>
    <x v="240"/>
    <n v="1"/>
    <x v="0"/>
    <x v="1"/>
    <x v="1"/>
    <x v="0"/>
    <n v="1"/>
  </r>
  <r>
    <n v="242"/>
    <d v="2026-06-01T00:00:00"/>
    <x v="241"/>
    <x v="241"/>
    <n v="1"/>
    <x v="0"/>
    <x v="1"/>
    <x v="1"/>
    <x v="0"/>
    <n v="1"/>
  </r>
  <r>
    <n v="243"/>
    <d v="2026-06-01T00:00:00"/>
    <x v="242"/>
    <x v="242"/>
    <n v="2"/>
    <x v="0"/>
    <x v="1"/>
    <x v="1"/>
    <x v="0"/>
    <n v="2"/>
  </r>
  <r>
    <n v="244"/>
    <d v="2026-06-01T00:00:00"/>
    <x v="243"/>
    <x v="243"/>
    <n v="1"/>
    <x v="0"/>
    <x v="1"/>
    <x v="1"/>
    <x v="0"/>
    <n v="1"/>
  </r>
  <r>
    <n v="245"/>
    <d v="2026-06-01T00:00:00"/>
    <x v="244"/>
    <x v="244"/>
    <n v="1"/>
    <x v="0"/>
    <x v="1"/>
    <x v="1"/>
    <x v="0"/>
    <n v="1"/>
  </r>
  <r>
    <n v="246"/>
    <d v="2026-06-01T00:00:00"/>
    <x v="245"/>
    <x v="245"/>
    <n v="6"/>
    <x v="0"/>
    <x v="1"/>
    <x v="1"/>
    <x v="0"/>
    <n v="6"/>
  </r>
  <r>
    <n v="247"/>
    <d v="2026-06-01T00:00:00"/>
    <x v="246"/>
    <x v="246"/>
    <n v="1"/>
    <x v="0"/>
    <x v="1"/>
    <x v="1"/>
    <x v="0"/>
    <n v="1"/>
  </r>
  <r>
    <n v="248"/>
    <d v="2026-06-01T00:00:00"/>
    <x v="247"/>
    <x v="247"/>
    <n v="1"/>
    <x v="0"/>
    <x v="1"/>
    <x v="1"/>
    <x v="0"/>
    <n v="1"/>
  </r>
  <r>
    <n v="249"/>
    <d v="2026-06-01T00:00:00"/>
    <x v="248"/>
    <x v="248"/>
    <n v="8"/>
    <x v="0"/>
    <x v="1"/>
    <x v="1"/>
    <x v="0"/>
    <n v="8"/>
  </r>
  <r>
    <n v="250"/>
    <d v="2026-06-01T00:00:00"/>
    <x v="249"/>
    <x v="249"/>
    <n v="5"/>
    <x v="0"/>
    <x v="1"/>
    <x v="1"/>
    <x v="0"/>
    <n v="5"/>
  </r>
  <r>
    <n v="251"/>
    <d v="2026-06-01T00:00:00"/>
    <x v="250"/>
    <x v="250"/>
    <n v="1"/>
    <x v="0"/>
    <x v="1"/>
    <x v="1"/>
    <x v="0"/>
    <n v="1"/>
  </r>
  <r>
    <n v="252"/>
    <d v="2026-06-01T00:00:00"/>
    <x v="251"/>
    <x v="251"/>
    <n v="1"/>
    <x v="0"/>
    <x v="1"/>
    <x v="1"/>
    <x v="0"/>
    <n v="1"/>
  </r>
  <r>
    <n v="253"/>
    <d v="2026-06-01T00:00:00"/>
    <x v="252"/>
    <x v="252"/>
    <n v="1"/>
    <x v="0"/>
    <x v="1"/>
    <x v="1"/>
    <x v="0"/>
    <n v="1"/>
  </r>
  <r>
    <n v="254"/>
    <d v="2026-06-01T00:00:00"/>
    <x v="253"/>
    <x v="253"/>
    <n v="1"/>
    <x v="0"/>
    <x v="1"/>
    <x v="1"/>
    <x v="0"/>
    <n v="1"/>
  </r>
  <r>
    <n v="255"/>
    <d v="2026-06-01T00:00:00"/>
    <x v="254"/>
    <x v="254"/>
    <n v="1"/>
    <x v="0"/>
    <x v="1"/>
    <x v="1"/>
    <x v="0"/>
    <n v="1"/>
  </r>
  <r>
    <n v="256"/>
    <d v="2026-06-01T00:00:00"/>
    <x v="255"/>
    <x v="255"/>
    <n v="1"/>
    <x v="0"/>
    <x v="1"/>
    <x v="1"/>
    <x v="0"/>
    <n v="1"/>
  </r>
  <r>
    <n v="257"/>
    <d v="2026-06-01T00:00:00"/>
    <x v="256"/>
    <x v="256"/>
    <n v="1"/>
    <x v="0"/>
    <x v="1"/>
    <x v="1"/>
    <x v="0"/>
    <n v="1"/>
  </r>
  <r>
    <n v="258"/>
    <d v="2026-06-01T00:00:00"/>
    <x v="257"/>
    <x v="257"/>
    <n v="1"/>
    <x v="0"/>
    <x v="1"/>
    <x v="1"/>
    <x v="0"/>
    <n v="1"/>
  </r>
  <r>
    <n v="259"/>
    <d v="2026-06-01T00:00:00"/>
    <x v="258"/>
    <x v="258"/>
    <n v="1"/>
    <x v="0"/>
    <x v="1"/>
    <x v="1"/>
    <x v="0"/>
    <n v="1"/>
  </r>
  <r>
    <n v="260"/>
    <d v="2026-06-01T00:00:00"/>
    <x v="259"/>
    <x v="259"/>
    <n v="1"/>
    <x v="0"/>
    <x v="1"/>
    <x v="1"/>
    <x v="0"/>
    <n v="1"/>
  </r>
  <r>
    <n v="261"/>
    <d v="2026-06-01T00:00:00"/>
    <x v="260"/>
    <x v="260"/>
    <n v="1"/>
    <x v="0"/>
    <x v="1"/>
    <x v="1"/>
    <x v="0"/>
    <n v="1"/>
  </r>
  <r>
    <n v="262"/>
    <d v="2026-06-01T00:00:00"/>
    <x v="261"/>
    <x v="261"/>
    <n v="1"/>
    <x v="0"/>
    <x v="1"/>
    <x v="1"/>
    <x v="0"/>
    <n v="1"/>
  </r>
  <r>
    <n v="263"/>
    <d v="2026-06-01T00:00:00"/>
    <x v="262"/>
    <x v="262"/>
    <n v="1"/>
    <x v="0"/>
    <x v="1"/>
    <x v="1"/>
    <x v="0"/>
    <n v="1"/>
  </r>
  <r>
    <n v="264"/>
    <d v="2026-06-01T00:00:00"/>
    <x v="263"/>
    <x v="263"/>
    <n v="1"/>
    <x v="0"/>
    <x v="1"/>
    <x v="1"/>
    <x v="0"/>
    <n v="1"/>
  </r>
  <r>
    <n v="265"/>
    <d v="2026-06-01T00:00:00"/>
    <x v="264"/>
    <x v="264"/>
    <n v="1"/>
    <x v="0"/>
    <x v="1"/>
    <x v="1"/>
    <x v="0"/>
    <n v="1"/>
  </r>
  <r>
    <n v="266"/>
    <d v="2026-06-01T00:00:00"/>
    <x v="265"/>
    <x v="265"/>
    <n v="1"/>
    <x v="0"/>
    <x v="1"/>
    <x v="1"/>
    <x v="0"/>
    <n v="1"/>
  </r>
  <r>
    <n v="267"/>
    <d v="2026-06-01T00:00:00"/>
    <x v="266"/>
    <x v="266"/>
    <n v="1"/>
    <x v="0"/>
    <x v="1"/>
    <x v="1"/>
    <x v="0"/>
    <n v="1"/>
  </r>
  <r>
    <n v="268"/>
    <d v="2026-06-01T00:00:00"/>
    <x v="267"/>
    <x v="267"/>
    <n v="1"/>
    <x v="0"/>
    <x v="1"/>
    <x v="1"/>
    <x v="0"/>
    <n v="1"/>
  </r>
  <r>
    <n v="269"/>
    <d v="2026-06-01T00:00:00"/>
    <x v="268"/>
    <x v="268"/>
    <n v="1"/>
    <x v="0"/>
    <x v="1"/>
    <x v="1"/>
    <x v="0"/>
    <n v="1"/>
  </r>
  <r>
    <n v="270"/>
    <d v="2026-06-01T00:00:00"/>
    <x v="269"/>
    <x v="269"/>
    <n v="1"/>
    <x v="0"/>
    <x v="1"/>
    <x v="1"/>
    <x v="0"/>
    <n v="1"/>
  </r>
  <r>
    <n v="271"/>
    <d v="2026-06-01T00:00:00"/>
    <x v="270"/>
    <x v="270"/>
    <n v="1"/>
    <x v="0"/>
    <x v="1"/>
    <x v="1"/>
    <x v="0"/>
    <n v="1"/>
  </r>
  <r>
    <n v="272"/>
    <d v="2026-06-01T00:00:00"/>
    <x v="271"/>
    <x v="271"/>
    <n v="1"/>
    <x v="0"/>
    <x v="1"/>
    <x v="1"/>
    <x v="0"/>
    <n v="1"/>
  </r>
  <r>
    <n v="273"/>
    <d v="2026-06-01T00:00:00"/>
    <x v="272"/>
    <x v="272"/>
    <n v="1"/>
    <x v="0"/>
    <x v="1"/>
    <x v="1"/>
    <x v="0"/>
    <n v="1"/>
  </r>
  <r>
    <n v="274"/>
    <d v="2026-06-01T00:00:00"/>
    <x v="273"/>
    <x v="273"/>
    <n v="1"/>
    <x v="0"/>
    <x v="1"/>
    <x v="1"/>
    <x v="0"/>
    <n v="1"/>
  </r>
  <r>
    <n v="275"/>
    <d v="2026-06-01T00:00:00"/>
    <x v="274"/>
    <x v="274"/>
    <n v="1"/>
    <x v="0"/>
    <x v="1"/>
    <x v="1"/>
    <x v="0"/>
    <n v="1"/>
  </r>
  <r>
    <n v="276"/>
    <d v="2026-06-01T00:00:00"/>
    <x v="275"/>
    <x v="275"/>
    <n v="36"/>
    <x v="0"/>
    <x v="1"/>
    <x v="1"/>
    <x v="0"/>
    <n v="36"/>
  </r>
  <r>
    <n v="277"/>
    <d v="2026-06-01T00:00:00"/>
    <x v="276"/>
    <x v="276"/>
    <n v="1"/>
    <x v="0"/>
    <x v="1"/>
    <x v="1"/>
    <x v="0"/>
    <n v="1"/>
  </r>
  <r>
    <n v="278"/>
    <d v="2026-06-01T00:00:00"/>
    <x v="277"/>
    <x v="277"/>
    <n v="7"/>
    <x v="0"/>
    <x v="1"/>
    <x v="1"/>
    <x v="0"/>
    <n v="7"/>
  </r>
  <r>
    <n v="279"/>
    <d v="2026-06-01T00:00:00"/>
    <x v="278"/>
    <x v="278"/>
    <n v="2"/>
    <x v="0"/>
    <x v="1"/>
    <x v="1"/>
    <x v="0"/>
    <n v="2"/>
  </r>
  <r>
    <n v="280"/>
    <d v="2026-06-01T00:00:00"/>
    <x v="279"/>
    <x v="279"/>
    <n v="89"/>
    <x v="0"/>
    <x v="1"/>
    <x v="1"/>
    <x v="0"/>
    <n v="89"/>
  </r>
  <r>
    <n v="281"/>
    <d v="2026-06-01T00:00:00"/>
    <x v="280"/>
    <x v="280"/>
    <n v="1"/>
    <x v="0"/>
    <x v="1"/>
    <x v="1"/>
    <x v="0"/>
    <n v="1"/>
  </r>
  <r>
    <n v="282"/>
    <d v="2026-06-01T00:00:00"/>
    <x v="281"/>
    <x v="281"/>
    <n v="36"/>
    <x v="0"/>
    <x v="1"/>
    <x v="1"/>
    <x v="0"/>
    <n v="36"/>
  </r>
  <r>
    <n v="283"/>
    <d v="2026-06-01T00:00:00"/>
    <x v="282"/>
    <x v="282"/>
    <n v="3"/>
    <x v="0"/>
    <x v="1"/>
    <x v="1"/>
    <x v="0"/>
    <n v="3"/>
  </r>
  <r>
    <n v="284"/>
    <d v="2026-06-01T00:00:00"/>
    <x v="283"/>
    <x v="283"/>
    <n v="1"/>
    <x v="0"/>
    <x v="1"/>
    <x v="1"/>
    <x v="0"/>
    <n v="1"/>
  </r>
  <r>
    <n v="285"/>
    <d v="2026-06-01T00:00:00"/>
    <x v="284"/>
    <x v="284"/>
    <n v="2"/>
    <x v="0"/>
    <x v="1"/>
    <x v="1"/>
    <x v="0"/>
    <n v="2"/>
  </r>
  <r>
    <n v="286"/>
    <d v="2026-06-01T00:00:00"/>
    <x v="285"/>
    <x v="285"/>
    <n v="3"/>
    <x v="0"/>
    <x v="1"/>
    <x v="1"/>
    <x v="0"/>
    <n v="3"/>
  </r>
  <r>
    <n v="287"/>
    <d v="2026-06-01T00:00:00"/>
    <x v="286"/>
    <x v="286"/>
    <n v="1"/>
    <x v="0"/>
    <x v="1"/>
    <x v="1"/>
    <x v="0"/>
    <n v="1"/>
  </r>
  <r>
    <n v="288"/>
    <d v="2026-06-01T00:00:00"/>
    <x v="287"/>
    <x v="287"/>
    <n v="1"/>
    <x v="0"/>
    <x v="1"/>
    <x v="1"/>
    <x v="0"/>
    <n v="1"/>
  </r>
  <r>
    <n v="289"/>
    <d v="2026-06-01T00:00:00"/>
    <x v="288"/>
    <x v="288"/>
    <n v="1"/>
    <x v="0"/>
    <x v="1"/>
    <x v="1"/>
    <x v="0"/>
    <n v="1"/>
  </r>
  <r>
    <n v="290"/>
    <d v="2026-06-01T00:00:00"/>
    <x v="289"/>
    <x v="289"/>
    <n v="1"/>
    <x v="0"/>
    <x v="1"/>
    <x v="1"/>
    <x v="0"/>
    <n v="1"/>
  </r>
  <r>
    <n v="291"/>
    <d v="2026-06-01T00:00:00"/>
    <x v="290"/>
    <x v="290"/>
    <n v="1"/>
    <x v="0"/>
    <x v="1"/>
    <x v="1"/>
    <x v="0"/>
    <n v="1"/>
  </r>
  <r>
    <n v="292"/>
    <d v="2026-06-01T00:00:00"/>
    <x v="291"/>
    <x v="291"/>
    <n v="1"/>
    <x v="0"/>
    <x v="1"/>
    <x v="1"/>
    <x v="0"/>
    <n v="1"/>
  </r>
  <r>
    <n v="293"/>
    <d v="2026-06-01T00:00:00"/>
    <x v="292"/>
    <x v="292"/>
    <n v="1"/>
    <x v="0"/>
    <x v="1"/>
    <x v="1"/>
    <x v="0"/>
    <n v="1"/>
  </r>
  <r>
    <n v="294"/>
    <d v="2026-06-01T00:00:00"/>
    <x v="293"/>
    <x v="293"/>
    <n v="1"/>
    <x v="0"/>
    <x v="1"/>
    <x v="1"/>
    <x v="0"/>
    <n v="1"/>
  </r>
  <r>
    <n v="295"/>
    <d v="2026-06-01T00:00:00"/>
    <x v="294"/>
    <x v="294"/>
    <n v="1"/>
    <x v="0"/>
    <x v="1"/>
    <x v="1"/>
    <x v="0"/>
    <n v="1"/>
  </r>
  <r>
    <n v="296"/>
    <d v="2026-06-01T00:00:00"/>
    <x v="295"/>
    <x v="295"/>
    <n v="1"/>
    <x v="0"/>
    <x v="1"/>
    <x v="1"/>
    <x v="0"/>
    <n v="1"/>
  </r>
  <r>
    <n v="297"/>
    <d v="2026-06-01T00:00:00"/>
    <x v="296"/>
    <x v="296"/>
    <n v="1"/>
    <x v="0"/>
    <x v="1"/>
    <x v="1"/>
    <x v="0"/>
    <n v="1"/>
  </r>
  <r>
    <n v="298"/>
    <d v="2026-06-01T00:00:00"/>
    <x v="297"/>
    <x v="297"/>
    <n v="3"/>
    <x v="0"/>
    <x v="1"/>
    <x v="1"/>
    <x v="0"/>
    <n v="3"/>
  </r>
  <r>
    <n v="299"/>
    <d v="2026-06-01T00:00:00"/>
    <x v="298"/>
    <x v="298"/>
    <n v="1"/>
    <x v="0"/>
    <x v="1"/>
    <x v="1"/>
    <x v="0"/>
    <n v="1"/>
  </r>
  <r>
    <n v="300"/>
    <d v="2026-06-01T00:00:00"/>
    <x v="299"/>
    <x v="299"/>
    <n v="2"/>
    <x v="0"/>
    <x v="1"/>
    <x v="1"/>
    <x v="0"/>
    <n v="2"/>
  </r>
  <r>
    <n v="301"/>
    <d v="2026-06-01T00:00:00"/>
    <x v="300"/>
    <x v="300"/>
    <n v="41"/>
    <x v="0"/>
    <x v="1"/>
    <x v="1"/>
    <x v="0"/>
    <n v="41"/>
  </r>
  <r>
    <n v="302"/>
    <d v="2026-06-01T00:00:00"/>
    <x v="301"/>
    <x v="301"/>
    <n v="6"/>
    <x v="0"/>
    <x v="1"/>
    <x v="1"/>
    <x v="0"/>
    <n v="6"/>
  </r>
  <r>
    <n v="303"/>
    <d v="2026-06-01T00:00:00"/>
    <x v="302"/>
    <x v="302"/>
    <n v="1"/>
    <x v="0"/>
    <x v="1"/>
    <x v="1"/>
    <x v="0"/>
    <n v="1"/>
  </r>
  <r>
    <n v="304"/>
    <d v="2026-06-01T00:00:00"/>
    <x v="303"/>
    <x v="303"/>
    <n v="1"/>
    <x v="0"/>
    <x v="1"/>
    <x v="1"/>
    <x v="0"/>
    <n v="1"/>
  </r>
  <r>
    <n v="305"/>
    <d v="2026-06-01T00:00:00"/>
    <x v="304"/>
    <x v="304"/>
    <n v="7"/>
    <x v="0"/>
    <x v="1"/>
    <x v="1"/>
    <x v="0"/>
    <n v="7"/>
  </r>
  <r>
    <n v="306"/>
    <d v="2026-06-01T00:00:00"/>
    <x v="305"/>
    <x v="305"/>
    <n v="29"/>
    <x v="0"/>
    <x v="1"/>
    <x v="1"/>
    <x v="0"/>
    <n v="29"/>
  </r>
  <r>
    <n v="307"/>
    <d v="2026-06-01T00:00:00"/>
    <x v="306"/>
    <x v="306"/>
    <n v="397"/>
    <x v="0"/>
    <x v="1"/>
    <x v="1"/>
    <x v="0"/>
    <n v="397"/>
  </r>
  <r>
    <n v="308"/>
    <d v="2026-06-01T00:00:00"/>
    <x v="307"/>
    <x v="307"/>
    <n v="17"/>
    <x v="0"/>
    <x v="1"/>
    <x v="1"/>
    <x v="0"/>
    <n v="17"/>
  </r>
  <r>
    <n v="309"/>
    <d v="2026-06-01T00:00:00"/>
    <x v="308"/>
    <x v="308"/>
    <n v="5"/>
    <x v="0"/>
    <x v="1"/>
    <x v="1"/>
    <x v="0"/>
    <n v="5"/>
  </r>
  <r>
    <n v="310"/>
    <d v="2026-06-01T00:00:00"/>
    <x v="309"/>
    <x v="309"/>
    <n v="1"/>
    <x v="0"/>
    <x v="1"/>
    <x v="1"/>
    <x v="0"/>
    <n v="1"/>
  </r>
  <r>
    <n v="311"/>
    <d v="2026-06-01T00:00:00"/>
    <x v="310"/>
    <x v="310"/>
    <n v="3"/>
    <x v="0"/>
    <x v="1"/>
    <x v="1"/>
    <x v="0"/>
    <n v="3"/>
  </r>
  <r>
    <n v="312"/>
    <d v="2026-06-01T00:00:00"/>
    <x v="311"/>
    <x v="311"/>
    <n v="5"/>
    <x v="0"/>
    <x v="1"/>
    <x v="1"/>
    <x v="0"/>
    <n v="5"/>
  </r>
  <r>
    <n v="313"/>
    <d v="2026-06-01T00:00:00"/>
    <x v="312"/>
    <x v="312"/>
    <n v="5"/>
    <x v="0"/>
    <x v="1"/>
    <x v="1"/>
    <x v="0"/>
    <n v="5"/>
  </r>
  <r>
    <n v="314"/>
    <d v="2026-06-01T00:00:00"/>
    <x v="313"/>
    <x v="313"/>
    <n v="13"/>
    <x v="0"/>
    <x v="1"/>
    <x v="1"/>
    <x v="0"/>
    <n v="13"/>
  </r>
  <r>
    <n v="315"/>
    <d v="2026-06-01T00:00:00"/>
    <x v="314"/>
    <x v="314"/>
    <n v="1"/>
    <x v="0"/>
    <x v="1"/>
    <x v="1"/>
    <x v="0"/>
    <n v="1"/>
  </r>
  <r>
    <n v="316"/>
    <d v="2026-06-01T00:00:00"/>
    <x v="315"/>
    <x v="315"/>
    <n v="1"/>
    <x v="0"/>
    <x v="1"/>
    <x v="1"/>
    <x v="0"/>
    <n v="1"/>
  </r>
  <r>
    <n v="317"/>
    <d v="2026-06-01T00:00:00"/>
    <x v="316"/>
    <x v="316"/>
    <n v="1"/>
    <x v="0"/>
    <x v="1"/>
    <x v="1"/>
    <x v="0"/>
    <n v="1"/>
  </r>
  <r>
    <n v="318"/>
    <d v="2026-06-01T00:00:00"/>
    <x v="317"/>
    <x v="317"/>
    <n v="4"/>
    <x v="0"/>
    <x v="1"/>
    <x v="1"/>
    <x v="0"/>
    <n v="4"/>
  </r>
  <r>
    <n v="319"/>
    <d v="2026-06-01T00:00:00"/>
    <x v="318"/>
    <x v="318"/>
    <n v="1"/>
    <x v="0"/>
    <x v="1"/>
    <x v="1"/>
    <x v="0"/>
    <n v="1"/>
  </r>
  <r>
    <n v="320"/>
    <d v="2026-06-01T00:00:00"/>
    <x v="319"/>
    <x v="319"/>
    <n v="400"/>
    <x v="0"/>
    <x v="1"/>
    <x v="1"/>
    <x v="0"/>
    <n v="400"/>
  </r>
  <r>
    <n v="321"/>
    <d v="2026-06-01T00:00:00"/>
    <x v="320"/>
    <x v="320"/>
    <n v="1"/>
    <x v="0"/>
    <x v="1"/>
    <x v="1"/>
    <x v="0"/>
    <n v="1"/>
  </r>
  <r>
    <n v="322"/>
    <d v="2026-06-01T00:00:00"/>
    <x v="321"/>
    <x v="321"/>
    <n v="1"/>
    <x v="0"/>
    <x v="1"/>
    <x v="1"/>
    <x v="0"/>
    <n v="1"/>
  </r>
  <r>
    <n v="323"/>
    <d v="2026-06-01T00:00:00"/>
    <x v="322"/>
    <x v="322"/>
    <n v="8"/>
    <x v="0"/>
    <x v="1"/>
    <x v="1"/>
    <x v="0"/>
    <n v="8"/>
  </r>
  <r>
    <n v="324"/>
    <d v="2026-06-01T00:00:00"/>
    <x v="323"/>
    <x v="323"/>
    <n v="1"/>
    <x v="0"/>
    <x v="1"/>
    <x v="1"/>
    <x v="0"/>
    <n v="1"/>
  </r>
  <r>
    <n v="325"/>
    <d v="2026-06-01T00:00:00"/>
    <x v="324"/>
    <x v="324"/>
    <n v="1"/>
    <x v="0"/>
    <x v="1"/>
    <x v="1"/>
    <x v="0"/>
    <n v="1"/>
  </r>
  <r>
    <n v="326"/>
    <d v="2026-06-01T00:00:00"/>
    <x v="325"/>
    <x v="325"/>
    <n v="1"/>
    <x v="0"/>
    <x v="1"/>
    <x v="1"/>
    <x v="0"/>
    <n v="1"/>
  </r>
  <r>
    <n v="327"/>
    <d v="2026-06-01T00:00:00"/>
    <x v="326"/>
    <x v="326"/>
    <n v="1"/>
    <x v="0"/>
    <x v="1"/>
    <x v="1"/>
    <x v="0"/>
    <n v="1"/>
  </r>
  <r>
    <n v="328"/>
    <d v="2026-06-01T00:00:00"/>
    <x v="327"/>
    <x v="327"/>
    <n v="3"/>
    <x v="0"/>
    <x v="1"/>
    <x v="1"/>
    <x v="0"/>
    <n v="3"/>
  </r>
  <r>
    <n v="329"/>
    <d v="2026-06-01T00:00:00"/>
    <x v="328"/>
    <x v="328"/>
    <n v="1"/>
    <x v="0"/>
    <x v="1"/>
    <x v="1"/>
    <x v="0"/>
    <n v="1"/>
  </r>
  <r>
    <n v="330"/>
    <d v="2026-06-01T00:00:00"/>
    <x v="329"/>
    <x v="329"/>
    <n v="1"/>
    <x v="0"/>
    <x v="1"/>
    <x v="1"/>
    <x v="0"/>
    <n v="1"/>
  </r>
  <r>
    <n v="331"/>
    <d v="2026-06-01T00:00:00"/>
    <x v="330"/>
    <x v="330"/>
    <n v="2"/>
    <x v="0"/>
    <x v="1"/>
    <x v="1"/>
    <x v="0"/>
    <n v="2"/>
  </r>
  <r>
    <n v="332"/>
    <d v="2026-06-01T00:00:00"/>
    <x v="331"/>
    <x v="331"/>
    <n v="1"/>
    <x v="0"/>
    <x v="1"/>
    <x v="1"/>
    <x v="0"/>
    <n v="1"/>
  </r>
  <r>
    <n v="333"/>
    <d v="2026-06-01T00:00:00"/>
    <x v="332"/>
    <x v="332"/>
    <n v="1"/>
    <x v="0"/>
    <x v="1"/>
    <x v="1"/>
    <x v="0"/>
    <n v="1"/>
  </r>
  <r>
    <n v="334"/>
    <d v="2026-06-01T00:00:00"/>
    <x v="333"/>
    <x v="333"/>
    <n v="1"/>
    <x v="0"/>
    <x v="1"/>
    <x v="1"/>
    <x v="0"/>
    <n v="1"/>
  </r>
  <r>
    <n v="335"/>
    <d v="2026-06-01T00:00:00"/>
    <x v="334"/>
    <x v="334"/>
    <n v="1"/>
    <x v="0"/>
    <x v="1"/>
    <x v="1"/>
    <x v="0"/>
    <n v="1"/>
  </r>
  <r>
    <n v="336"/>
    <d v="2026-06-01T00:00:00"/>
    <x v="335"/>
    <x v="335"/>
    <n v="51"/>
    <x v="0"/>
    <x v="1"/>
    <x v="1"/>
    <x v="0"/>
    <n v="51"/>
  </r>
  <r>
    <n v="337"/>
    <d v="2026-06-01T00:00:00"/>
    <x v="336"/>
    <x v="336"/>
    <n v="3"/>
    <x v="0"/>
    <x v="1"/>
    <x v="1"/>
    <x v="0"/>
    <n v="3"/>
  </r>
  <r>
    <n v="338"/>
    <d v="2026-06-01T00:00:00"/>
    <x v="337"/>
    <x v="337"/>
    <n v="3"/>
    <x v="0"/>
    <x v="1"/>
    <x v="1"/>
    <x v="0"/>
    <n v="3"/>
  </r>
  <r>
    <n v="339"/>
    <d v="2026-06-01T00:00:00"/>
    <x v="338"/>
    <x v="338"/>
    <n v="1"/>
    <x v="0"/>
    <x v="1"/>
    <x v="1"/>
    <x v="0"/>
    <n v="1"/>
  </r>
  <r>
    <n v="340"/>
    <d v="2026-06-01T00:00:00"/>
    <x v="339"/>
    <x v="339"/>
    <n v="5"/>
    <x v="0"/>
    <x v="1"/>
    <x v="1"/>
    <x v="0"/>
    <n v="5"/>
  </r>
  <r>
    <n v="341"/>
    <d v="2026-06-01T00:00:00"/>
    <x v="340"/>
    <x v="340"/>
    <n v="1"/>
    <x v="0"/>
    <x v="1"/>
    <x v="1"/>
    <x v="0"/>
    <n v="1"/>
  </r>
  <r>
    <n v="342"/>
    <d v="2026-06-01T00:00:00"/>
    <x v="341"/>
    <x v="341"/>
    <n v="2"/>
    <x v="0"/>
    <x v="1"/>
    <x v="1"/>
    <x v="0"/>
    <n v="2"/>
  </r>
  <r>
    <n v="343"/>
    <d v="2026-06-01T00:00:00"/>
    <x v="342"/>
    <x v="342"/>
    <n v="1"/>
    <x v="0"/>
    <x v="1"/>
    <x v="1"/>
    <x v="0"/>
    <n v="1"/>
  </r>
  <r>
    <n v="344"/>
    <d v="2026-06-01T00:00:00"/>
    <x v="343"/>
    <x v="343"/>
    <n v="1"/>
    <x v="0"/>
    <x v="1"/>
    <x v="1"/>
    <x v="0"/>
    <n v="1"/>
  </r>
  <r>
    <n v="345"/>
    <d v="2026-06-01T00:00:00"/>
    <x v="344"/>
    <x v="344"/>
    <n v="1"/>
    <x v="0"/>
    <x v="1"/>
    <x v="1"/>
    <x v="0"/>
    <n v="1"/>
  </r>
  <r>
    <n v="346"/>
    <d v="2026-06-01T00:00:00"/>
    <x v="345"/>
    <x v="345"/>
    <n v="1"/>
    <x v="0"/>
    <x v="1"/>
    <x v="1"/>
    <x v="0"/>
    <n v="1"/>
  </r>
  <r>
    <n v="347"/>
    <d v="2026-06-01T00:00:00"/>
    <x v="346"/>
    <x v="346"/>
    <n v="1"/>
    <x v="0"/>
    <x v="1"/>
    <x v="1"/>
    <x v="0"/>
    <n v="1"/>
  </r>
  <r>
    <n v="348"/>
    <d v="2026-06-01T00:00:00"/>
    <x v="347"/>
    <x v="347"/>
    <n v="1"/>
    <x v="0"/>
    <x v="1"/>
    <x v="1"/>
    <x v="0"/>
    <n v="1"/>
  </r>
  <r>
    <n v="349"/>
    <d v="2026-06-01T00:00:00"/>
    <x v="348"/>
    <x v="348"/>
    <n v="1"/>
    <x v="0"/>
    <x v="1"/>
    <x v="1"/>
    <x v="0"/>
    <n v="1"/>
  </r>
  <r>
    <n v="350"/>
    <d v="2026-06-01T00:00:00"/>
    <x v="349"/>
    <x v="349"/>
    <n v="1"/>
    <x v="0"/>
    <x v="1"/>
    <x v="1"/>
    <x v="0"/>
    <n v="1"/>
  </r>
  <r>
    <n v="351"/>
    <d v="2026-06-01T00:00:00"/>
    <x v="350"/>
    <x v="350"/>
    <n v="1"/>
    <x v="0"/>
    <x v="1"/>
    <x v="1"/>
    <x v="0"/>
    <n v="1"/>
  </r>
  <r>
    <n v="352"/>
    <d v="2026-06-01T00:00:00"/>
    <x v="351"/>
    <x v="351"/>
    <n v="2"/>
    <x v="0"/>
    <x v="1"/>
    <x v="1"/>
    <x v="0"/>
    <n v="2"/>
  </r>
  <r>
    <n v="353"/>
    <d v="2026-06-01T00:00:00"/>
    <x v="352"/>
    <x v="352"/>
    <n v="23"/>
    <x v="0"/>
    <x v="1"/>
    <x v="1"/>
    <x v="0"/>
    <n v="23"/>
  </r>
  <r>
    <n v="354"/>
    <d v="2026-06-01T00:00:00"/>
    <x v="353"/>
    <x v="353"/>
    <n v="2"/>
    <x v="0"/>
    <x v="1"/>
    <x v="1"/>
    <x v="0"/>
    <n v="2"/>
  </r>
  <r>
    <n v="355"/>
    <d v="2026-06-01T00:00:00"/>
    <x v="354"/>
    <x v="354"/>
    <n v="1"/>
    <x v="0"/>
    <x v="1"/>
    <x v="1"/>
    <x v="0"/>
    <n v="1"/>
  </r>
  <r>
    <n v="356"/>
    <d v="2026-06-01T00:00:00"/>
    <x v="355"/>
    <x v="355"/>
    <n v="1"/>
    <x v="0"/>
    <x v="1"/>
    <x v="1"/>
    <x v="0"/>
    <n v="1"/>
  </r>
  <r>
    <n v="357"/>
    <d v="2026-06-01T00:00:00"/>
    <x v="356"/>
    <x v="356"/>
    <n v="2"/>
    <x v="0"/>
    <x v="1"/>
    <x v="1"/>
    <x v="0"/>
    <n v="2"/>
  </r>
  <r>
    <n v="358"/>
    <d v="2026-06-01T00:00:00"/>
    <x v="357"/>
    <x v="357"/>
    <n v="1"/>
    <x v="0"/>
    <x v="1"/>
    <x v="1"/>
    <x v="0"/>
    <n v="1"/>
  </r>
  <r>
    <n v="359"/>
    <d v="2026-06-01T00:00:00"/>
    <x v="358"/>
    <x v="358"/>
    <n v="3"/>
    <x v="0"/>
    <x v="1"/>
    <x v="1"/>
    <x v="0"/>
    <n v="3"/>
  </r>
  <r>
    <n v="360"/>
    <d v="2026-06-01T00:00:00"/>
    <x v="359"/>
    <x v="359"/>
    <n v="1"/>
    <x v="0"/>
    <x v="1"/>
    <x v="1"/>
    <x v="0"/>
    <n v="1"/>
  </r>
  <r>
    <n v="361"/>
    <d v="2026-06-01T00:00:00"/>
    <x v="360"/>
    <x v="360"/>
    <n v="2"/>
    <x v="0"/>
    <x v="1"/>
    <x v="1"/>
    <x v="0"/>
    <n v="2"/>
  </r>
  <r>
    <n v="362"/>
    <d v="2026-06-01T00:00:00"/>
    <x v="361"/>
    <x v="361"/>
    <n v="1"/>
    <x v="0"/>
    <x v="1"/>
    <x v="1"/>
    <x v="0"/>
    <n v="1"/>
  </r>
  <r>
    <n v="363"/>
    <d v="2026-06-01T00:00:00"/>
    <x v="362"/>
    <x v="362"/>
    <n v="1"/>
    <x v="0"/>
    <x v="1"/>
    <x v="1"/>
    <x v="0"/>
    <n v="1"/>
  </r>
  <r>
    <n v="364"/>
    <d v="2026-06-01T00:00:00"/>
    <x v="363"/>
    <x v="363"/>
    <n v="10"/>
    <x v="0"/>
    <x v="1"/>
    <x v="1"/>
    <x v="0"/>
    <n v="10"/>
  </r>
  <r>
    <n v="365"/>
    <d v="2026-06-01T00:00:00"/>
    <x v="364"/>
    <x v="364"/>
    <n v="18"/>
    <x v="0"/>
    <x v="1"/>
    <x v="1"/>
    <x v="0"/>
    <n v="18"/>
  </r>
  <r>
    <n v="366"/>
    <d v="2026-06-01T00:00:00"/>
    <x v="365"/>
    <x v="365"/>
    <n v="2"/>
    <x v="0"/>
    <x v="1"/>
    <x v="1"/>
    <x v="0"/>
    <n v="2"/>
  </r>
  <r>
    <n v="367"/>
    <d v="2026-06-01T00:00:00"/>
    <x v="366"/>
    <x v="366"/>
    <n v="15"/>
    <x v="0"/>
    <x v="1"/>
    <x v="1"/>
    <x v="0"/>
    <n v="15"/>
  </r>
  <r>
    <n v="368"/>
    <d v="2026-06-01T00:00:00"/>
    <x v="367"/>
    <x v="367"/>
    <n v="10"/>
    <x v="0"/>
    <x v="1"/>
    <x v="1"/>
    <x v="0"/>
    <n v="10"/>
  </r>
  <r>
    <n v="369"/>
    <d v="2026-06-01T00:00:00"/>
    <x v="368"/>
    <x v="368"/>
    <n v="1"/>
    <x v="0"/>
    <x v="1"/>
    <x v="1"/>
    <x v="0"/>
    <n v="1"/>
  </r>
  <r>
    <n v="370"/>
    <d v="2026-06-01T00:00:00"/>
    <x v="369"/>
    <x v="369"/>
    <n v="2"/>
    <x v="0"/>
    <x v="1"/>
    <x v="1"/>
    <x v="0"/>
    <n v="2"/>
  </r>
  <r>
    <n v="371"/>
    <d v="2026-06-01T00:00:00"/>
    <x v="370"/>
    <x v="370"/>
    <n v="1"/>
    <x v="0"/>
    <x v="1"/>
    <x v="1"/>
    <x v="0"/>
    <n v="1"/>
  </r>
  <r>
    <n v="372"/>
    <d v="2026-06-01T00:00:00"/>
    <x v="371"/>
    <x v="371"/>
    <n v="3"/>
    <x v="0"/>
    <x v="1"/>
    <x v="1"/>
    <x v="0"/>
    <n v="3"/>
  </r>
  <r>
    <n v="373"/>
    <d v="2026-06-01T00:00:00"/>
    <x v="372"/>
    <x v="372"/>
    <n v="1"/>
    <x v="0"/>
    <x v="1"/>
    <x v="1"/>
    <x v="0"/>
    <n v="1"/>
  </r>
  <r>
    <n v="374"/>
    <d v="2026-06-01T00:00:00"/>
    <x v="373"/>
    <x v="373"/>
    <n v="4"/>
    <x v="0"/>
    <x v="1"/>
    <x v="1"/>
    <x v="0"/>
    <n v="4"/>
  </r>
  <r>
    <n v="375"/>
    <d v="2026-06-01T00:00:00"/>
    <x v="374"/>
    <x v="374"/>
    <n v="23"/>
    <x v="0"/>
    <x v="1"/>
    <x v="1"/>
    <x v="0"/>
    <n v="23"/>
  </r>
  <r>
    <n v="376"/>
    <d v="2026-06-01T00:00:00"/>
    <x v="375"/>
    <x v="375"/>
    <n v="17"/>
    <x v="0"/>
    <x v="1"/>
    <x v="1"/>
    <x v="0"/>
    <n v="17"/>
  </r>
  <r>
    <n v="377"/>
    <d v="2026-06-01T00:00:00"/>
    <x v="376"/>
    <x v="376"/>
    <n v="1"/>
    <x v="0"/>
    <x v="1"/>
    <x v="1"/>
    <x v="0"/>
    <n v="1"/>
  </r>
  <r>
    <n v="378"/>
    <d v="2026-06-01T00:00:00"/>
    <x v="377"/>
    <x v="377"/>
    <n v="1"/>
    <x v="0"/>
    <x v="1"/>
    <x v="1"/>
    <x v="0"/>
    <n v="1"/>
  </r>
  <r>
    <n v="379"/>
    <d v="2026-06-01T00:00:00"/>
    <x v="378"/>
    <x v="378"/>
    <n v="9"/>
    <x v="0"/>
    <x v="1"/>
    <x v="1"/>
    <x v="0"/>
    <n v="9"/>
  </r>
  <r>
    <n v="380"/>
    <d v="2026-06-01T00:00:00"/>
    <x v="379"/>
    <x v="379"/>
    <n v="1"/>
    <x v="0"/>
    <x v="1"/>
    <x v="1"/>
    <x v="0"/>
    <n v="1"/>
  </r>
  <r>
    <n v="381"/>
    <d v="2026-06-01T00:00:00"/>
    <x v="380"/>
    <x v="380"/>
    <n v="4"/>
    <x v="0"/>
    <x v="1"/>
    <x v="1"/>
    <x v="0"/>
    <n v="4"/>
  </r>
  <r>
    <n v="382"/>
    <d v="2026-06-01T00:00:00"/>
    <x v="381"/>
    <x v="381"/>
    <n v="11"/>
    <x v="0"/>
    <x v="1"/>
    <x v="1"/>
    <x v="0"/>
    <n v="11"/>
  </r>
  <r>
    <n v="383"/>
    <d v="2026-06-01T00:00:00"/>
    <x v="382"/>
    <x v="382"/>
    <n v="2"/>
    <x v="0"/>
    <x v="1"/>
    <x v="1"/>
    <x v="0"/>
    <n v="2"/>
  </r>
  <r>
    <n v="384"/>
    <d v="2026-06-01T00:00:00"/>
    <x v="383"/>
    <x v="383"/>
    <n v="3"/>
    <x v="0"/>
    <x v="1"/>
    <x v="1"/>
    <x v="0"/>
    <n v="3"/>
  </r>
  <r>
    <n v="385"/>
    <d v="2026-06-01T00:00:00"/>
    <x v="384"/>
    <x v="384"/>
    <n v="3"/>
    <x v="0"/>
    <x v="1"/>
    <x v="1"/>
    <x v="0"/>
    <n v="3"/>
  </r>
  <r>
    <n v="386"/>
    <d v="2026-06-01T00:00:00"/>
    <x v="385"/>
    <x v="385"/>
    <n v="4"/>
    <x v="0"/>
    <x v="1"/>
    <x v="1"/>
    <x v="0"/>
    <n v="4"/>
  </r>
  <r>
    <n v="387"/>
    <d v="2026-06-01T00:00:00"/>
    <x v="386"/>
    <x v="386"/>
    <n v="1"/>
    <x v="0"/>
    <x v="1"/>
    <x v="1"/>
    <x v="0"/>
    <n v="1"/>
  </r>
  <r>
    <n v="388"/>
    <d v="2026-06-01T00:00:00"/>
    <x v="387"/>
    <x v="387"/>
    <n v="19"/>
    <x v="0"/>
    <x v="1"/>
    <x v="1"/>
    <x v="0"/>
    <n v="19"/>
  </r>
  <r>
    <n v="389"/>
    <d v="2026-06-01T00:00:00"/>
    <x v="388"/>
    <x v="388"/>
    <n v="53"/>
    <x v="0"/>
    <x v="1"/>
    <x v="1"/>
    <x v="0"/>
    <n v="53"/>
  </r>
  <r>
    <n v="390"/>
    <d v="2026-06-01T00:00:00"/>
    <x v="389"/>
    <x v="389"/>
    <n v="86"/>
    <x v="0"/>
    <x v="1"/>
    <x v="1"/>
    <x v="0"/>
    <n v="86"/>
  </r>
  <r>
    <n v="391"/>
    <d v="2026-06-01T00:00:00"/>
    <x v="390"/>
    <x v="390"/>
    <n v="15"/>
    <x v="0"/>
    <x v="1"/>
    <x v="1"/>
    <x v="0"/>
    <n v="15"/>
  </r>
  <r>
    <n v="392"/>
    <d v="2026-06-01T00:00:00"/>
    <x v="391"/>
    <x v="391"/>
    <n v="1"/>
    <x v="0"/>
    <x v="1"/>
    <x v="1"/>
    <x v="0"/>
    <n v="1"/>
  </r>
  <r>
    <n v="393"/>
    <d v="2026-06-01T00:00:00"/>
    <x v="392"/>
    <x v="392"/>
    <n v="6"/>
    <x v="0"/>
    <x v="1"/>
    <x v="1"/>
    <x v="0"/>
    <n v="6"/>
  </r>
  <r>
    <n v="394"/>
    <d v="2026-06-01T00:00:00"/>
    <x v="393"/>
    <x v="393"/>
    <n v="2"/>
    <x v="0"/>
    <x v="1"/>
    <x v="1"/>
    <x v="0"/>
    <n v="2"/>
  </r>
  <r>
    <n v="395"/>
    <d v="2026-06-01T00:00:00"/>
    <x v="394"/>
    <x v="394"/>
    <n v="4"/>
    <x v="0"/>
    <x v="1"/>
    <x v="1"/>
    <x v="0"/>
    <n v="4"/>
  </r>
  <r>
    <n v="396"/>
    <d v="2026-06-01T00:00:00"/>
    <x v="395"/>
    <x v="395"/>
    <n v="1"/>
    <x v="0"/>
    <x v="1"/>
    <x v="1"/>
    <x v="0"/>
    <n v="1"/>
  </r>
  <r>
    <n v="397"/>
    <d v="2026-06-01T00:00:00"/>
    <x v="396"/>
    <x v="396"/>
    <n v="1"/>
    <x v="0"/>
    <x v="1"/>
    <x v="1"/>
    <x v="0"/>
    <n v="1"/>
  </r>
  <r>
    <n v="398"/>
    <d v="2026-06-01T00:00:00"/>
    <x v="397"/>
    <x v="397"/>
    <n v="1"/>
    <x v="0"/>
    <x v="1"/>
    <x v="1"/>
    <x v="0"/>
    <n v="1"/>
  </r>
  <r>
    <n v="399"/>
    <d v="2026-06-01T00:00:00"/>
    <x v="398"/>
    <x v="398"/>
    <n v="1"/>
    <x v="0"/>
    <x v="1"/>
    <x v="1"/>
    <x v="0"/>
    <n v="1"/>
  </r>
  <r>
    <n v="400"/>
    <d v="2026-06-01T00:00:00"/>
    <x v="399"/>
    <x v="399"/>
    <n v="1"/>
    <x v="0"/>
    <x v="1"/>
    <x v="1"/>
    <x v="0"/>
    <n v="1"/>
  </r>
  <r>
    <n v="401"/>
    <d v="2026-06-01T00:00:00"/>
    <x v="400"/>
    <x v="400"/>
    <n v="2"/>
    <x v="0"/>
    <x v="1"/>
    <x v="1"/>
    <x v="0"/>
    <n v="2"/>
  </r>
  <r>
    <n v="402"/>
    <d v="2026-06-01T00:00:00"/>
    <x v="401"/>
    <x v="401"/>
    <n v="10"/>
    <x v="0"/>
    <x v="1"/>
    <x v="1"/>
    <x v="0"/>
    <n v="10"/>
  </r>
  <r>
    <n v="403"/>
    <d v="2026-06-01T00:00:00"/>
    <x v="402"/>
    <x v="402"/>
    <n v="2"/>
    <x v="0"/>
    <x v="1"/>
    <x v="1"/>
    <x v="0"/>
    <n v="2"/>
  </r>
  <r>
    <n v="404"/>
    <d v="2026-06-01T00:00:00"/>
    <x v="403"/>
    <x v="403"/>
    <n v="1"/>
    <x v="0"/>
    <x v="1"/>
    <x v="1"/>
    <x v="0"/>
    <n v="1"/>
  </r>
  <r>
    <n v="405"/>
    <d v="2026-06-01T00:00:00"/>
    <x v="404"/>
    <x v="404"/>
    <n v="1"/>
    <x v="0"/>
    <x v="1"/>
    <x v="1"/>
    <x v="0"/>
    <n v="1"/>
  </r>
  <r>
    <n v="406"/>
    <d v="2026-06-01T00:00:00"/>
    <x v="405"/>
    <x v="405"/>
    <n v="1"/>
    <x v="0"/>
    <x v="1"/>
    <x v="1"/>
    <x v="0"/>
    <n v="1"/>
  </r>
  <r>
    <n v="407"/>
    <d v="2026-06-01T00:00:00"/>
    <x v="406"/>
    <x v="406"/>
    <n v="1"/>
    <x v="0"/>
    <x v="1"/>
    <x v="1"/>
    <x v="0"/>
    <n v="1"/>
  </r>
  <r>
    <n v="408"/>
    <d v="2026-06-01T00:00:00"/>
    <x v="407"/>
    <x v="407"/>
    <n v="1"/>
    <x v="0"/>
    <x v="1"/>
    <x v="1"/>
    <x v="0"/>
    <n v="1"/>
  </r>
  <r>
    <n v="409"/>
    <d v="2026-06-01T00:00:00"/>
    <x v="408"/>
    <x v="408"/>
    <n v="1"/>
    <x v="0"/>
    <x v="1"/>
    <x v="1"/>
    <x v="0"/>
    <n v="1"/>
  </r>
  <r>
    <n v="410"/>
    <d v="2026-06-01T00:00:00"/>
    <x v="409"/>
    <x v="409"/>
    <n v="1"/>
    <x v="0"/>
    <x v="1"/>
    <x v="1"/>
    <x v="0"/>
    <n v="1"/>
  </r>
  <r>
    <n v="411"/>
    <d v="2026-06-01T00:00:00"/>
    <x v="410"/>
    <x v="410"/>
    <n v="1"/>
    <x v="0"/>
    <x v="1"/>
    <x v="1"/>
    <x v="0"/>
    <n v="1"/>
  </r>
  <r>
    <n v="412"/>
    <d v="2026-06-01T00:00:00"/>
    <x v="411"/>
    <x v="411"/>
    <n v="1"/>
    <x v="0"/>
    <x v="1"/>
    <x v="1"/>
    <x v="0"/>
    <n v="1"/>
  </r>
  <r>
    <n v="413"/>
    <d v="2026-06-01T00:00:00"/>
    <x v="412"/>
    <x v="412"/>
    <n v="115"/>
    <x v="0"/>
    <x v="1"/>
    <x v="1"/>
    <x v="0"/>
    <n v="115"/>
  </r>
  <r>
    <n v="414"/>
    <d v="2026-06-01T00:00:00"/>
    <x v="413"/>
    <x v="413"/>
    <n v="1"/>
    <x v="0"/>
    <x v="1"/>
    <x v="1"/>
    <x v="0"/>
    <n v="1"/>
  </r>
  <r>
    <n v="415"/>
    <d v="2026-06-01T00:00:00"/>
    <x v="414"/>
    <x v="414"/>
    <n v="1"/>
    <x v="0"/>
    <x v="1"/>
    <x v="1"/>
    <x v="0"/>
    <n v="1"/>
  </r>
  <r>
    <n v="416"/>
    <d v="2026-06-01T00:00:00"/>
    <x v="415"/>
    <x v="415"/>
    <n v="1"/>
    <x v="0"/>
    <x v="1"/>
    <x v="1"/>
    <x v="0"/>
    <n v="1"/>
  </r>
  <r>
    <n v="417"/>
    <d v="2026-06-01T00:00:00"/>
    <x v="416"/>
    <x v="416"/>
    <n v="1"/>
    <x v="0"/>
    <x v="1"/>
    <x v="1"/>
    <x v="0"/>
    <n v="1"/>
  </r>
  <r>
    <n v="418"/>
    <d v="2026-06-01T00:00:00"/>
    <x v="417"/>
    <x v="417"/>
    <n v="1"/>
    <x v="0"/>
    <x v="1"/>
    <x v="1"/>
    <x v="0"/>
    <n v="1"/>
  </r>
  <r>
    <n v="419"/>
    <d v="2026-06-01T00:00:00"/>
    <x v="418"/>
    <x v="418"/>
    <n v="65"/>
    <x v="0"/>
    <x v="1"/>
    <x v="1"/>
    <x v="0"/>
    <n v="65"/>
  </r>
  <r>
    <n v="420"/>
    <d v="2026-06-01T00:00:00"/>
    <x v="419"/>
    <x v="419"/>
    <n v="2"/>
    <x v="0"/>
    <x v="1"/>
    <x v="1"/>
    <x v="0"/>
    <n v="2"/>
  </r>
  <r>
    <n v="421"/>
    <d v="2026-06-01T00:00:00"/>
    <x v="420"/>
    <x v="420"/>
    <n v="1"/>
    <x v="0"/>
    <x v="1"/>
    <x v="1"/>
    <x v="0"/>
    <n v="1"/>
  </r>
  <r>
    <n v="422"/>
    <d v="2026-06-01T00:00:00"/>
    <x v="421"/>
    <x v="421"/>
    <n v="2"/>
    <x v="0"/>
    <x v="1"/>
    <x v="1"/>
    <x v="0"/>
    <n v="2"/>
  </r>
  <r>
    <n v="423"/>
    <d v="2026-06-01T00:00:00"/>
    <x v="422"/>
    <x v="422"/>
    <n v="77"/>
    <x v="0"/>
    <x v="1"/>
    <x v="1"/>
    <x v="0"/>
    <n v="77"/>
  </r>
  <r>
    <n v="424"/>
    <d v="2026-06-01T00:00:00"/>
    <x v="423"/>
    <x v="423"/>
    <n v="10"/>
    <x v="0"/>
    <x v="1"/>
    <x v="1"/>
    <x v="0"/>
    <n v="10"/>
  </r>
  <r>
    <n v="425"/>
    <d v="2026-06-01T00:00:00"/>
    <x v="424"/>
    <x v="424"/>
    <n v="293"/>
    <x v="0"/>
    <x v="1"/>
    <x v="1"/>
    <x v="0"/>
    <n v="293"/>
  </r>
  <r>
    <n v="426"/>
    <d v="2026-06-01T00:00:00"/>
    <x v="425"/>
    <x v="425"/>
    <n v="3"/>
    <x v="0"/>
    <x v="1"/>
    <x v="1"/>
    <x v="0"/>
    <n v="3"/>
  </r>
  <r>
    <n v="427"/>
    <d v="2026-06-01T00:00:00"/>
    <x v="426"/>
    <x v="426"/>
    <n v="8"/>
    <x v="0"/>
    <x v="1"/>
    <x v="1"/>
    <x v="0"/>
    <n v="8"/>
  </r>
  <r>
    <n v="428"/>
    <d v="2026-06-01T00:00:00"/>
    <x v="427"/>
    <x v="427"/>
    <n v="1"/>
    <x v="0"/>
    <x v="1"/>
    <x v="1"/>
    <x v="0"/>
    <n v="1"/>
  </r>
  <r>
    <n v="429"/>
    <d v="2026-06-01T00:00:00"/>
    <x v="428"/>
    <x v="428"/>
    <n v="2"/>
    <x v="0"/>
    <x v="1"/>
    <x v="1"/>
    <x v="0"/>
    <n v="2"/>
  </r>
  <r>
    <n v="430"/>
    <d v="2026-06-01T00:00:00"/>
    <x v="429"/>
    <x v="429"/>
    <n v="1"/>
    <x v="0"/>
    <x v="1"/>
    <x v="1"/>
    <x v="0"/>
    <n v="1"/>
  </r>
  <r>
    <n v="431"/>
    <d v="2026-06-01T00:00:00"/>
    <x v="430"/>
    <x v="430"/>
    <n v="2"/>
    <x v="0"/>
    <x v="1"/>
    <x v="1"/>
    <x v="0"/>
    <n v="2"/>
  </r>
  <r>
    <n v="432"/>
    <d v="2026-06-01T00:00:00"/>
    <x v="431"/>
    <x v="431"/>
    <n v="1"/>
    <x v="0"/>
    <x v="1"/>
    <x v="1"/>
    <x v="0"/>
    <n v="1"/>
  </r>
  <r>
    <n v="433"/>
    <d v="2026-06-01T00:00:00"/>
    <x v="432"/>
    <x v="432"/>
    <n v="1"/>
    <x v="0"/>
    <x v="1"/>
    <x v="1"/>
    <x v="0"/>
    <n v="1"/>
  </r>
  <r>
    <n v="434"/>
    <d v="2026-06-01T00:00:00"/>
    <x v="433"/>
    <x v="433"/>
    <n v="1"/>
    <x v="0"/>
    <x v="1"/>
    <x v="1"/>
    <x v="0"/>
    <n v="1"/>
  </r>
  <r>
    <n v="435"/>
    <d v="2026-06-01T00:00:00"/>
    <x v="434"/>
    <x v="434"/>
    <n v="2"/>
    <x v="0"/>
    <x v="1"/>
    <x v="1"/>
    <x v="0"/>
    <n v="2"/>
  </r>
  <r>
    <n v="436"/>
    <d v="2026-06-01T00:00:00"/>
    <x v="435"/>
    <x v="435"/>
    <n v="1"/>
    <x v="0"/>
    <x v="1"/>
    <x v="1"/>
    <x v="0"/>
    <n v="1"/>
  </r>
  <r>
    <n v="437"/>
    <d v="2026-06-01T00:00:00"/>
    <x v="436"/>
    <x v="436"/>
    <n v="1"/>
    <x v="0"/>
    <x v="1"/>
    <x v="1"/>
    <x v="0"/>
    <n v="1"/>
  </r>
  <r>
    <n v="438"/>
    <d v="2026-06-01T00:00:00"/>
    <x v="437"/>
    <x v="437"/>
    <n v="10"/>
    <x v="0"/>
    <x v="1"/>
    <x v="1"/>
    <x v="0"/>
    <n v="10"/>
  </r>
  <r>
    <n v="439"/>
    <d v="2026-06-01T00:00:00"/>
    <x v="438"/>
    <x v="438"/>
    <n v="1"/>
    <x v="0"/>
    <x v="1"/>
    <x v="1"/>
    <x v="0"/>
    <n v="1"/>
  </r>
  <r>
    <n v="440"/>
    <d v="2026-06-01T00:00:00"/>
    <x v="439"/>
    <x v="439"/>
    <n v="1"/>
    <x v="0"/>
    <x v="1"/>
    <x v="1"/>
    <x v="0"/>
    <n v="1"/>
  </r>
  <r>
    <n v="441"/>
    <d v="2026-06-01T00:00:00"/>
    <x v="440"/>
    <x v="440"/>
    <n v="2"/>
    <x v="0"/>
    <x v="1"/>
    <x v="1"/>
    <x v="0"/>
    <n v="2"/>
  </r>
  <r>
    <n v="442"/>
    <d v="2026-06-01T00:00:00"/>
    <x v="441"/>
    <x v="441"/>
    <n v="1"/>
    <x v="0"/>
    <x v="1"/>
    <x v="1"/>
    <x v="0"/>
    <n v="1"/>
  </r>
  <r>
    <n v="443"/>
    <d v="2026-06-01T00:00:00"/>
    <x v="442"/>
    <x v="442"/>
    <n v="1"/>
    <x v="0"/>
    <x v="1"/>
    <x v="1"/>
    <x v="0"/>
    <n v="1"/>
  </r>
  <r>
    <n v="444"/>
    <d v="2026-06-01T00:00:00"/>
    <x v="443"/>
    <x v="443"/>
    <n v="2"/>
    <x v="0"/>
    <x v="1"/>
    <x v="1"/>
    <x v="0"/>
    <n v="2"/>
  </r>
  <r>
    <n v="445"/>
    <d v="2026-06-01T00:00:00"/>
    <x v="444"/>
    <x v="444"/>
    <n v="1"/>
    <x v="0"/>
    <x v="1"/>
    <x v="1"/>
    <x v="0"/>
    <n v="1"/>
  </r>
  <r>
    <n v="446"/>
    <d v="2026-06-01T00:00:00"/>
    <x v="445"/>
    <x v="445"/>
    <n v="2"/>
    <x v="0"/>
    <x v="1"/>
    <x v="1"/>
    <x v="0"/>
    <n v="2"/>
  </r>
  <r>
    <n v="447"/>
    <d v="2026-06-01T00:00:00"/>
    <x v="446"/>
    <x v="446"/>
    <n v="3"/>
    <x v="0"/>
    <x v="1"/>
    <x v="1"/>
    <x v="0"/>
    <n v="3"/>
  </r>
  <r>
    <n v="448"/>
    <d v="2026-06-01T00:00:00"/>
    <x v="447"/>
    <x v="447"/>
    <n v="2"/>
    <x v="0"/>
    <x v="1"/>
    <x v="1"/>
    <x v="0"/>
    <n v="2"/>
  </r>
  <r>
    <n v="449"/>
    <d v="2026-06-01T00:00:00"/>
    <x v="448"/>
    <x v="448"/>
    <n v="2"/>
    <x v="0"/>
    <x v="1"/>
    <x v="1"/>
    <x v="0"/>
    <n v="2"/>
  </r>
  <r>
    <n v="450"/>
    <d v="2026-06-01T00:00:00"/>
    <x v="449"/>
    <x v="449"/>
    <n v="11"/>
    <x v="0"/>
    <x v="1"/>
    <x v="1"/>
    <x v="0"/>
    <n v="11"/>
  </r>
  <r>
    <n v="451"/>
    <d v="2026-06-01T00:00:00"/>
    <x v="450"/>
    <x v="450"/>
    <n v="1"/>
    <x v="0"/>
    <x v="1"/>
    <x v="1"/>
    <x v="0"/>
    <n v="1"/>
  </r>
  <r>
    <n v="452"/>
    <d v="2026-06-01T00:00:00"/>
    <x v="451"/>
    <x v="451"/>
    <n v="1"/>
    <x v="0"/>
    <x v="1"/>
    <x v="1"/>
    <x v="0"/>
    <n v="1"/>
  </r>
  <r>
    <n v="453"/>
    <d v="2026-06-01T00:00:00"/>
    <x v="452"/>
    <x v="452"/>
    <n v="1"/>
    <x v="0"/>
    <x v="1"/>
    <x v="1"/>
    <x v="0"/>
    <n v="1"/>
  </r>
  <r>
    <n v="454"/>
    <d v="2026-06-01T00:00:00"/>
    <x v="453"/>
    <x v="453"/>
    <n v="14"/>
    <x v="0"/>
    <x v="1"/>
    <x v="1"/>
    <x v="0"/>
    <n v="14"/>
  </r>
  <r>
    <n v="455"/>
    <d v="2026-06-01T00:00:00"/>
    <x v="454"/>
    <x v="454"/>
    <n v="12"/>
    <x v="0"/>
    <x v="1"/>
    <x v="1"/>
    <x v="0"/>
    <n v="12"/>
  </r>
  <r>
    <n v="456"/>
    <d v="2026-06-01T00:00:00"/>
    <x v="455"/>
    <x v="455"/>
    <n v="1"/>
    <x v="0"/>
    <x v="1"/>
    <x v="1"/>
    <x v="0"/>
    <n v="1"/>
  </r>
  <r>
    <n v="457"/>
    <d v="2026-06-01T00:00:00"/>
    <x v="456"/>
    <x v="456"/>
    <n v="1"/>
    <x v="0"/>
    <x v="1"/>
    <x v="1"/>
    <x v="0"/>
    <n v="1"/>
  </r>
  <r>
    <n v="458"/>
    <d v="2026-06-01T00:00:00"/>
    <x v="457"/>
    <x v="457"/>
    <n v="1"/>
    <x v="0"/>
    <x v="1"/>
    <x v="1"/>
    <x v="0"/>
    <n v="1"/>
  </r>
  <r>
    <n v="459"/>
    <d v="2026-06-01T00:00:00"/>
    <x v="458"/>
    <x v="458"/>
    <n v="2"/>
    <x v="0"/>
    <x v="1"/>
    <x v="1"/>
    <x v="0"/>
    <n v="2"/>
  </r>
  <r>
    <n v="460"/>
    <d v="2026-06-01T00:00:00"/>
    <x v="459"/>
    <x v="459"/>
    <n v="3.75"/>
    <x v="0"/>
    <x v="1"/>
    <x v="1"/>
    <x v="0"/>
    <n v="3.75"/>
  </r>
  <r>
    <n v="461"/>
    <d v="2026-06-01T00:00:00"/>
    <x v="460"/>
    <x v="460"/>
    <n v="1"/>
    <x v="0"/>
    <x v="1"/>
    <x v="1"/>
    <x v="0"/>
    <n v="1"/>
  </r>
  <r>
    <n v="462"/>
    <d v="2026-06-01T00:00:00"/>
    <x v="461"/>
    <x v="461"/>
    <n v="1"/>
    <x v="0"/>
    <x v="1"/>
    <x v="1"/>
    <x v="0"/>
    <n v="1"/>
  </r>
  <r>
    <n v="463"/>
    <d v="2026-06-01T00:00:00"/>
    <x v="462"/>
    <x v="462"/>
    <n v="8"/>
    <x v="0"/>
    <x v="1"/>
    <x v="1"/>
    <x v="0"/>
    <n v="8"/>
  </r>
  <r>
    <n v="464"/>
    <d v="2026-06-01T00:00:00"/>
    <x v="463"/>
    <x v="463"/>
    <n v="2"/>
    <x v="0"/>
    <x v="1"/>
    <x v="1"/>
    <x v="0"/>
    <n v="2"/>
  </r>
  <r>
    <n v="465"/>
    <d v="2026-06-01T00:00:00"/>
    <x v="464"/>
    <x v="464"/>
    <n v="1"/>
    <x v="0"/>
    <x v="1"/>
    <x v="1"/>
    <x v="0"/>
    <n v="1"/>
  </r>
  <r>
    <n v="466"/>
    <d v="2026-06-01T00:00:00"/>
    <x v="465"/>
    <x v="465"/>
    <n v="3"/>
    <x v="0"/>
    <x v="1"/>
    <x v="1"/>
    <x v="0"/>
    <n v="3"/>
  </r>
  <r>
    <n v="467"/>
    <d v="2026-06-01T00:00:00"/>
    <x v="466"/>
    <x v="466"/>
    <n v="2"/>
    <x v="0"/>
    <x v="1"/>
    <x v="1"/>
    <x v="0"/>
    <n v="2"/>
  </r>
  <r>
    <n v="468"/>
    <d v="2026-06-01T00:00:00"/>
    <x v="467"/>
    <x v="467"/>
    <n v="25"/>
    <x v="0"/>
    <x v="1"/>
    <x v="1"/>
    <x v="0"/>
    <n v="25"/>
  </r>
  <r>
    <n v="469"/>
    <d v="2026-06-01T00:00:00"/>
    <x v="468"/>
    <x v="468"/>
    <n v="1"/>
    <x v="0"/>
    <x v="1"/>
    <x v="1"/>
    <x v="0"/>
    <n v="1"/>
  </r>
  <r>
    <n v="470"/>
    <d v="2026-06-01T00:00:00"/>
    <x v="469"/>
    <x v="469"/>
    <n v="2"/>
    <x v="0"/>
    <x v="1"/>
    <x v="1"/>
    <x v="0"/>
    <n v="2"/>
  </r>
  <r>
    <n v="471"/>
    <d v="2026-06-01T00:00:00"/>
    <x v="470"/>
    <x v="470"/>
    <n v="4"/>
    <x v="0"/>
    <x v="1"/>
    <x v="1"/>
    <x v="0"/>
    <n v="4"/>
  </r>
  <r>
    <n v="472"/>
    <d v="2026-06-01T00:00:00"/>
    <x v="471"/>
    <x v="471"/>
    <n v="2"/>
    <x v="0"/>
    <x v="1"/>
    <x v="1"/>
    <x v="0"/>
    <n v="2"/>
  </r>
  <r>
    <n v="473"/>
    <d v="2026-06-01T00:00:00"/>
    <x v="472"/>
    <x v="472"/>
    <n v="1"/>
    <x v="0"/>
    <x v="1"/>
    <x v="1"/>
    <x v="0"/>
    <n v="1"/>
  </r>
  <r>
    <n v="474"/>
    <d v="2026-06-01T00:00:00"/>
    <x v="473"/>
    <x v="473"/>
    <n v="1"/>
    <x v="0"/>
    <x v="1"/>
    <x v="1"/>
    <x v="0"/>
    <n v="1"/>
  </r>
  <r>
    <n v="475"/>
    <d v="2026-06-01T00:00:00"/>
    <x v="474"/>
    <x v="474"/>
    <n v="1"/>
    <x v="0"/>
    <x v="1"/>
    <x v="1"/>
    <x v="0"/>
    <n v="1"/>
  </r>
  <r>
    <n v="476"/>
    <d v="2026-06-01T00:00:00"/>
    <x v="475"/>
    <x v="475"/>
    <n v="1"/>
    <x v="0"/>
    <x v="1"/>
    <x v="1"/>
    <x v="0"/>
    <n v="1"/>
  </r>
  <r>
    <n v="477"/>
    <d v="2026-06-01T00:00:00"/>
    <x v="476"/>
    <x v="476"/>
    <n v="1"/>
    <x v="0"/>
    <x v="1"/>
    <x v="1"/>
    <x v="0"/>
    <n v="1"/>
  </r>
  <r>
    <n v="478"/>
    <d v="2026-06-01T00:00:00"/>
    <x v="477"/>
    <x v="477"/>
    <n v="2"/>
    <x v="0"/>
    <x v="1"/>
    <x v="1"/>
    <x v="0"/>
    <n v="2"/>
  </r>
  <r>
    <n v="479"/>
    <d v="2026-06-01T00:00:00"/>
    <x v="478"/>
    <x v="478"/>
    <n v="3"/>
    <x v="0"/>
    <x v="1"/>
    <x v="1"/>
    <x v="0"/>
    <n v="3"/>
  </r>
  <r>
    <n v="480"/>
    <d v="2026-06-01T00:00:00"/>
    <x v="479"/>
    <x v="479"/>
    <n v="2"/>
    <x v="0"/>
    <x v="1"/>
    <x v="1"/>
    <x v="0"/>
    <n v="2"/>
  </r>
  <r>
    <n v="481"/>
    <d v="2026-06-01T00:00:00"/>
    <x v="480"/>
    <x v="480"/>
    <n v="1"/>
    <x v="0"/>
    <x v="1"/>
    <x v="1"/>
    <x v="0"/>
    <n v="1"/>
  </r>
  <r>
    <n v="482"/>
    <d v="2026-06-01T00:00:00"/>
    <x v="481"/>
    <x v="481"/>
    <n v="1"/>
    <x v="0"/>
    <x v="1"/>
    <x v="1"/>
    <x v="0"/>
    <n v="1"/>
  </r>
  <r>
    <n v="483"/>
    <d v="2026-06-01T00:00:00"/>
    <x v="482"/>
    <x v="482"/>
    <n v="1"/>
    <x v="0"/>
    <x v="1"/>
    <x v="1"/>
    <x v="0"/>
    <n v="1"/>
  </r>
  <r>
    <n v="484"/>
    <d v="2026-06-01T00:00:00"/>
    <x v="483"/>
    <x v="483"/>
    <n v="1"/>
    <x v="0"/>
    <x v="1"/>
    <x v="1"/>
    <x v="0"/>
    <n v="1"/>
  </r>
  <r>
    <n v="485"/>
    <d v="2026-06-01T00:00:00"/>
    <x v="484"/>
    <x v="484"/>
    <n v="2"/>
    <x v="0"/>
    <x v="1"/>
    <x v="1"/>
    <x v="0"/>
    <n v="2"/>
  </r>
  <r>
    <n v="486"/>
    <d v="2026-06-01T00:00:00"/>
    <x v="485"/>
    <x v="485"/>
    <n v="1"/>
    <x v="0"/>
    <x v="1"/>
    <x v="1"/>
    <x v="0"/>
    <n v="1"/>
  </r>
  <r>
    <n v="487"/>
    <d v="2026-06-01T00:00:00"/>
    <x v="486"/>
    <x v="486"/>
    <n v="1"/>
    <x v="0"/>
    <x v="1"/>
    <x v="1"/>
    <x v="0"/>
    <n v="1"/>
  </r>
  <r>
    <n v="488"/>
    <d v="2026-06-01T00:00:00"/>
    <x v="487"/>
    <x v="487"/>
    <n v="1"/>
    <x v="0"/>
    <x v="1"/>
    <x v="1"/>
    <x v="0"/>
    <n v="1"/>
  </r>
  <r>
    <n v="489"/>
    <d v="2026-06-01T00:00:00"/>
    <x v="488"/>
    <x v="488"/>
    <n v="2"/>
    <x v="0"/>
    <x v="1"/>
    <x v="1"/>
    <x v="0"/>
    <n v="2"/>
  </r>
  <r>
    <n v="490"/>
    <d v="2026-06-01T00:00:00"/>
    <x v="489"/>
    <x v="489"/>
    <n v="1"/>
    <x v="0"/>
    <x v="1"/>
    <x v="1"/>
    <x v="0"/>
    <n v="1"/>
  </r>
  <r>
    <n v="491"/>
    <d v="2026-06-01T00:00:00"/>
    <x v="490"/>
    <x v="490"/>
    <n v="29"/>
    <x v="0"/>
    <x v="1"/>
    <x v="1"/>
    <x v="0"/>
    <n v="29"/>
  </r>
  <r>
    <n v="492"/>
    <d v="2026-06-01T00:00:00"/>
    <x v="491"/>
    <x v="491"/>
    <n v="1"/>
    <x v="0"/>
    <x v="1"/>
    <x v="1"/>
    <x v="0"/>
    <n v="1"/>
  </r>
  <r>
    <n v="493"/>
    <d v="2026-06-01T00:00:00"/>
    <x v="492"/>
    <x v="492"/>
    <n v="1"/>
    <x v="0"/>
    <x v="1"/>
    <x v="1"/>
    <x v="0"/>
    <n v="1"/>
  </r>
  <r>
    <n v="494"/>
    <d v="2026-06-01T00:00:00"/>
    <x v="493"/>
    <x v="493"/>
    <n v="6"/>
    <x v="0"/>
    <x v="1"/>
    <x v="1"/>
    <x v="0"/>
    <n v="6"/>
  </r>
  <r>
    <n v="495"/>
    <d v="2026-06-01T00:00:00"/>
    <x v="494"/>
    <x v="494"/>
    <n v="22"/>
    <x v="0"/>
    <x v="1"/>
    <x v="1"/>
    <x v="0"/>
    <n v="22"/>
  </r>
  <r>
    <n v="496"/>
    <d v="2026-06-01T00:00:00"/>
    <x v="495"/>
    <x v="495"/>
    <n v="4"/>
    <x v="0"/>
    <x v="1"/>
    <x v="1"/>
    <x v="0"/>
    <n v="4"/>
  </r>
  <r>
    <n v="497"/>
    <d v="2026-06-01T00:00:00"/>
    <x v="496"/>
    <x v="496"/>
    <n v="9"/>
    <x v="0"/>
    <x v="1"/>
    <x v="1"/>
    <x v="0"/>
    <n v="9"/>
  </r>
  <r>
    <n v="498"/>
    <d v="2026-06-01T00:00:00"/>
    <x v="497"/>
    <x v="497"/>
    <n v="1"/>
    <x v="0"/>
    <x v="1"/>
    <x v="1"/>
    <x v="0"/>
    <n v="1"/>
  </r>
  <r>
    <n v="499"/>
    <d v="2026-06-01T00:00:00"/>
    <x v="498"/>
    <x v="498"/>
    <n v="2"/>
    <x v="0"/>
    <x v="1"/>
    <x v="1"/>
    <x v="0"/>
    <n v="2"/>
  </r>
  <r>
    <n v="500"/>
    <d v="2026-06-01T00:00:00"/>
    <x v="499"/>
    <x v="499"/>
    <n v="1"/>
    <x v="0"/>
    <x v="1"/>
    <x v="1"/>
    <x v="0"/>
    <n v="1"/>
  </r>
  <r>
    <n v="501"/>
    <d v="2026-06-01T00:00:00"/>
    <x v="500"/>
    <x v="500"/>
    <n v="1"/>
    <x v="0"/>
    <x v="1"/>
    <x v="1"/>
    <x v="0"/>
    <n v="1"/>
  </r>
  <r>
    <n v="502"/>
    <d v="2026-06-01T00:00:00"/>
    <x v="501"/>
    <x v="501"/>
    <n v="3"/>
    <x v="0"/>
    <x v="1"/>
    <x v="1"/>
    <x v="0"/>
    <n v="3"/>
  </r>
  <r>
    <n v="503"/>
    <d v="2026-06-01T00:00:00"/>
    <x v="502"/>
    <x v="502"/>
    <n v="1"/>
    <x v="0"/>
    <x v="1"/>
    <x v="1"/>
    <x v="0"/>
    <n v="1"/>
  </r>
  <r>
    <n v="504"/>
    <d v="2026-06-01T00:00:00"/>
    <x v="503"/>
    <x v="503"/>
    <n v="1"/>
    <x v="0"/>
    <x v="1"/>
    <x v="1"/>
    <x v="0"/>
    <n v="1"/>
  </r>
  <r>
    <n v="505"/>
    <d v="2026-06-01T00:00:00"/>
    <x v="504"/>
    <x v="504"/>
    <n v="1"/>
    <x v="0"/>
    <x v="1"/>
    <x v="1"/>
    <x v="0"/>
    <n v="1"/>
  </r>
  <r>
    <n v="506"/>
    <d v="2026-06-01T00:00:00"/>
    <x v="505"/>
    <x v="505"/>
    <n v="1"/>
    <x v="0"/>
    <x v="1"/>
    <x v="1"/>
    <x v="0"/>
    <n v="1"/>
  </r>
  <r>
    <n v="507"/>
    <d v="2026-06-01T00:00:00"/>
    <x v="506"/>
    <x v="506"/>
    <n v="1"/>
    <x v="0"/>
    <x v="1"/>
    <x v="1"/>
    <x v="0"/>
    <n v="1"/>
  </r>
  <r>
    <n v="508"/>
    <d v="2026-06-01T00:00:00"/>
    <x v="507"/>
    <x v="507"/>
    <n v="2"/>
    <x v="0"/>
    <x v="1"/>
    <x v="1"/>
    <x v="0"/>
    <n v="2"/>
  </r>
  <r>
    <n v="509"/>
    <d v="2026-06-01T00:00:00"/>
    <x v="508"/>
    <x v="508"/>
    <n v="1"/>
    <x v="0"/>
    <x v="1"/>
    <x v="1"/>
    <x v="0"/>
    <n v="1"/>
  </r>
  <r>
    <n v="510"/>
    <d v="2026-06-01T00:00:00"/>
    <x v="509"/>
    <x v="509"/>
    <n v="2"/>
    <x v="0"/>
    <x v="1"/>
    <x v="1"/>
    <x v="0"/>
    <n v="2"/>
  </r>
  <r>
    <n v="511"/>
    <d v="2026-06-01T00:00:00"/>
    <x v="510"/>
    <x v="510"/>
    <n v="1"/>
    <x v="0"/>
    <x v="1"/>
    <x v="1"/>
    <x v="0"/>
    <n v="1"/>
  </r>
  <r>
    <n v="512"/>
    <d v="2026-06-01T00:00:00"/>
    <x v="511"/>
    <x v="511"/>
    <n v="2"/>
    <x v="0"/>
    <x v="1"/>
    <x v="1"/>
    <x v="0"/>
    <n v="2"/>
  </r>
  <r>
    <n v="513"/>
    <d v="2026-06-01T00:00:00"/>
    <x v="512"/>
    <x v="512"/>
    <n v="2"/>
    <x v="0"/>
    <x v="1"/>
    <x v="1"/>
    <x v="0"/>
    <n v="2"/>
  </r>
  <r>
    <n v="514"/>
    <d v="2026-06-01T00:00:00"/>
    <x v="513"/>
    <x v="513"/>
    <n v="1"/>
    <x v="0"/>
    <x v="1"/>
    <x v="1"/>
    <x v="0"/>
    <n v="1"/>
  </r>
  <r>
    <n v="515"/>
    <d v="2026-06-01T00:00:00"/>
    <x v="514"/>
    <x v="514"/>
    <n v="2"/>
    <x v="0"/>
    <x v="1"/>
    <x v="1"/>
    <x v="0"/>
    <n v="2"/>
  </r>
  <r>
    <n v="516"/>
    <d v="2026-06-01T00:00:00"/>
    <x v="515"/>
    <x v="515"/>
    <n v="1"/>
    <x v="0"/>
    <x v="1"/>
    <x v="1"/>
    <x v="0"/>
    <n v="1"/>
  </r>
  <r>
    <n v="517"/>
    <d v="2026-06-01T00:00:00"/>
    <x v="516"/>
    <x v="516"/>
    <n v="1"/>
    <x v="0"/>
    <x v="1"/>
    <x v="1"/>
    <x v="0"/>
    <n v="1"/>
  </r>
  <r>
    <n v="518"/>
    <d v="2026-06-01T00:00:00"/>
    <x v="517"/>
    <x v="517"/>
    <n v="1"/>
    <x v="0"/>
    <x v="1"/>
    <x v="1"/>
    <x v="0"/>
    <n v="1"/>
  </r>
  <r>
    <n v="519"/>
    <d v="2026-06-01T00:00:00"/>
    <x v="518"/>
    <x v="518"/>
    <n v="1"/>
    <x v="0"/>
    <x v="1"/>
    <x v="1"/>
    <x v="0"/>
    <n v="1"/>
  </r>
  <r>
    <n v="520"/>
    <d v="2026-06-01T00:00:00"/>
    <x v="519"/>
    <x v="519"/>
    <n v="1"/>
    <x v="0"/>
    <x v="1"/>
    <x v="1"/>
    <x v="0"/>
    <n v="1"/>
  </r>
  <r>
    <n v="521"/>
    <d v="2026-06-01T00:00:00"/>
    <x v="520"/>
    <x v="520"/>
    <n v="1"/>
    <x v="0"/>
    <x v="1"/>
    <x v="1"/>
    <x v="0"/>
    <n v="1"/>
  </r>
  <r>
    <n v="522"/>
    <d v="2026-06-01T00:00:00"/>
    <x v="521"/>
    <x v="521"/>
    <n v="2"/>
    <x v="0"/>
    <x v="1"/>
    <x v="1"/>
    <x v="0"/>
    <n v="2"/>
  </r>
  <r>
    <n v="523"/>
    <d v="2026-06-01T00:00:00"/>
    <x v="522"/>
    <x v="522"/>
    <n v="2"/>
    <x v="0"/>
    <x v="1"/>
    <x v="1"/>
    <x v="0"/>
    <n v="2"/>
  </r>
  <r>
    <n v="524"/>
    <d v="2026-06-01T00:00:00"/>
    <x v="523"/>
    <x v="523"/>
    <n v="2"/>
    <x v="0"/>
    <x v="1"/>
    <x v="1"/>
    <x v="0"/>
    <n v="2"/>
  </r>
  <r>
    <n v="525"/>
    <d v="2026-06-01T00:00:00"/>
    <x v="524"/>
    <x v="524"/>
    <n v="2"/>
    <x v="0"/>
    <x v="1"/>
    <x v="1"/>
    <x v="0"/>
    <n v="2"/>
  </r>
  <r>
    <n v="526"/>
    <d v="2026-06-01T00:00:00"/>
    <x v="525"/>
    <x v="525"/>
    <n v="46"/>
    <x v="0"/>
    <x v="1"/>
    <x v="1"/>
    <x v="0"/>
    <n v="46"/>
  </r>
  <r>
    <n v="527"/>
    <d v="2026-06-01T00:00:00"/>
    <x v="526"/>
    <x v="526"/>
    <n v="1"/>
    <x v="0"/>
    <x v="1"/>
    <x v="1"/>
    <x v="0"/>
    <n v="1"/>
  </r>
  <r>
    <n v="528"/>
    <d v="2026-06-01T00:00:00"/>
    <x v="527"/>
    <x v="527"/>
    <n v="1"/>
    <x v="0"/>
    <x v="1"/>
    <x v="1"/>
    <x v="0"/>
    <n v="1"/>
  </r>
  <r>
    <n v="529"/>
    <d v="2026-06-01T00:00:00"/>
    <x v="528"/>
    <x v="528"/>
    <n v="1"/>
    <x v="0"/>
    <x v="1"/>
    <x v="1"/>
    <x v="0"/>
    <n v="1"/>
  </r>
  <r>
    <n v="530"/>
    <d v="2026-06-01T00:00:00"/>
    <x v="529"/>
    <x v="529"/>
    <n v="0"/>
    <x v="0"/>
    <x v="1"/>
    <x v="1"/>
    <x v="0"/>
    <n v="0"/>
  </r>
  <r>
    <n v="531"/>
    <d v="2026-06-01T00:00:00"/>
    <x v="530"/>
    <x v="530"/>
    <n v="1"/>
    <x v="0"/>
    <x v="1"/>
    <x v="1"/>
    <x v="0"/>
    <n v="1"/>
  </r>
  <r>
    <n v="532"/>
    <d v="2026-06-01T00:00:00"/>
    <x v="531"/>
    <x v="531"/>
    <n v="1"/>
    <x v="0"/>
    <x v="1"/>
    <x v="1"/>
    <x v="0"/>
    <n v="1"/>
  </r>
  <r>
    <n v="533"/>
    <d v="2026-06-01T00:00:00"/>
    <x v="532"/>
    <x v="532"/>
    <n v="1"/>
    <x v="0"/>
    <x v="1"/>
    <x v="1"/>
    <x v="0"/>
    <n v="1"/>
  </r>
  <r>
    <n v="534"/>
    <d v="2026-06-01T00:00:00"/>
    <x v="533"/>
    <x v="533"/>
    <n v="2"/>
    <x v="0"/>
    <x v="1"/>
    <x v="1"/>
    <x v="0"/>
    <n v="2"/>
  </r>
  <r>
    <n v="535"/>
    <d v="2026-06-01T00:00:00"/>
    <x v="534"/>
    <x v="534"/>
    <n v="2"/>
    <x v="0"/>
    <x v="1"/>
    <x v="1"/>
    <x v="0"/>
    <n v="2"/>
  </r>
  <r>
    <n v="536"/>
    <d v="2026-06-01T00:00:00"/>
    <x v="535"/>
    <x v="535"/>
    <n v="1"/>
    <x v="0"/>
    <x v="1"/>
    <x v="1"/>
    <x v="0"/>
    <n v="1"/>
  </r>
  <r>
    <n v="537"/>
    <d v="2026-06-01T00:00:00"/>
    <x v="536"/>
    <x v="536"/>
    <n v="1"/>
    <x v="0"/>
    <x v="1"/>
    <x v="1"/>
    <x v="0"/>
    <n v="1"/>
  </r>
  <r>
    <n v="538"/>
    <d v="2026-06-01T00:00:00"/>
    <x v="537"/>
    <x v="537"/>
    <n v="3"/>
    <x v="0"/>
    <x v="1"/>
    <x v="1"/>
    <x v="0"/>
    <n v="3"/>
  </r>
  <r>
    <n v="539"/>
    <d v="2026-06-01T00:00:00"/>
    <x v="538"/>
    <x v="538"/>
    <n v="1"/>
    <x v="0"/>
    <x v="1"/>
    <x v="1"/>
    <x v="0"/>
    <n v="1"/>
  </r>
  <r>
    <n v="540"/>
    <d v="2026-06-01T00:00:00"/>
    <x v="539"/>
    <x v="539"/>
    <n v="1"/>
    <x v="0"/>
    <x v="1"/>
    <x v="1"/>
    <x v="0"/>
    <n v="1"/>
  </r>
  <r>
    <n v="541"/>
    <d v="2026-06-01T00:00:00"/>
    <x v="540"/>
    <x v="540"/>
    <n v="1"/>
    <x v="0"/>
    <x v="1"/>
    <x v="1"/>
    <x v="0"/>
    <n v="1"/>
  </r>
  <r>
    <n v="542"/>
    <d v="2026-06-01T00:00:00"/>
    <x v="541"/>
    <x v="541"/>
    <n v="3"/>
    <x v="0"/>
    <x v="1"/>
    <x v="1"/>
    <x v="0"/>
    <n v="3"/>
  </r>
  <r>
    <n v="543"/>
    <d v="2026-06-01T00:00:00"/>
    <x v="542"/>
    <x v="542"/>
    <n v="4"/>
    <x v="0"/>
    <x v="1"/>
    <x v="1"/>
    <x v="0"/>
    <n v="4"/>
  </r>
  <r>
    <n v="544"/>
    <d v="2026-06-01T00:00:00"/>
    <x v="543"/>
    <x v="543"/>
    <n v="1"/>
    <x v="0"/>
    <x v="1"/>
    <x v="1"/>
    <x v="0"/>
    <n v="1"/>
  </r>
  <r>
    <n v="545"/>
    <d v="2026-06-01T00:00:00"/>
    <x v="544"/>
    <x v="544"/>
    <n v="2"/>
    <x v="0"/>
    <x v="1"/>
    <x v="1"/>
    <x v="0"/>
    <n v="2"/>
  </r>
  <r>
    <n v="546"/>
    <d v="2026-06-01T00:00:00"/>
    <x v="545"/>
    <x v="545"/>
    <n v="1"/>
    <x v="0"/>
    <x v="1"/>
    <x v="1"/>
    <x v="0"/>
    <n v="1"/>
  </r>
  <r>
    <n v="547"/>
    <d v="2026-06-01T00:00:00"/>
    <x v="546"/>
    <x v="546"/>
    <n v="1"/>
    <x v="0"/>
    <x v="1"/>
    <x v="1"/>
    <x v="0"/>
    <n v="1"/>
  </r>
  <r>
    <n v="548"/>
    <d v="2026-06-01T00:00:00"/>
    <x v="547"/>
    <x v="547"/>
    <n v="5"/>
    <x v="0"/>
    <x v="1"/>
    <x v="1"/>
    <x v="0"/>
    <n v="5"/>
  </r>
  <r>
    <n v="549"/>
    <d v="2026-06-01T00:00:00"/>
    <x v="548"/>
    <x v="548"/>
    <n v="3"/>
    <x v="0"/>
    <x v="1"/>
    <x v="1"/>
    <x v="0"/>
    <n v="3"/>
  </r>
  <r>
    <n v="550"/>
    <d v="2026-06-01T00:00:00"/>
    <x v="549"/>
    <x v="549"/>
    <n v="1"/>
    <x v="0"/>
    <x v="1"/>
    <x v="1"/>
    <x v="0"/>
    <n v="1"/>
  </r>
  <r>
    <n v="551"/>
    <d v="2026-06-01T00:00:00"/>
    <x v="550"/>
    <x v="550"/>
    <n v="1"/>
    <x v="0"/>
    <x v="1"/>
    <x v="1"/>
    <x v="0"/>
    <n v="1"/>
  </r>
  <r>
    <n v="552"/>
    <d v="2026-06-01T00:00:00"/>
    <x v="551"/>
    <x v="551"/>
    <n v="1"/>
    <x v="0"/>
    <x v="1"/>
    <x v="1"/>
    <x v="0"/>
    <n v="1"/>
  </r>
  <r>
    <n v="553"/>
    <d v="2026-06-01T00:00:00"/>
    <x v="552"/>
    <x v="552"/>
    <n v="1"/>
    <x v="0"/>
    <x v="1"/>
    <x v="1"/>
    <x v="0"/>
    <n v="1"/>
  </r>
  <r>
    <n v="554"/>
    <d v="2026-06-01T00:00:00"/>
    <x v="553"/>
    <x v="553"/>
    <n v="1"/>
    <x v="0"/>
    <x v="1"/>
    <x v="1"/>
    <x v="0"/>
    <n v="1"/>
  </r>
  <r>
    <n v="555"/>
    <d v="2026-06-01T00:00:00"/>
    <x v="554"/>
    <x v="554"/>
    <n v="1"/>
    <x v="0"/>
    <x v="1"/>
    <x v="1"/>
    <x v="0"/>
    <n v="1"/>
  </r>
  <r>
    <n v="556"/>
    <d v="2026-06-01T00:00:00"/>
    <x v="555"/>
    <x v="555"/>
    <n v="69"/>
    <x v="0"/>
    <x v="1"/>
    <x v="1"/>
    <x v="0"/>
    <n v="69"/>
  </r>
  <r>
    <n v="557"/>
    <d v="2026-06-01T00:00:00"/>
    <x v="556"/>
    <x v="556"/>
    <n v="7"/>
    <x v="0"/>
    <x v="1"/>
    <x v="1"/>
    <x v="0"/>
    <n v="7"/>
  </r>
  <r>
    <n v="558"/>
    <d v="2026-06-01T00:00:00"/>
    <x v="557"/>
    <x v="557"/>
    <n v="2"/>
    <x v="0"/>
    <x v="1"/>
    <x v="1"/>
    <x v="0"/>
    <n v="2"/>
  </r>
  <r>
    <n v="559"/>
    <d v="2026-06-01T00:00:00"/>
    <x v="558"/>
    <x v="558"/>
    <n v="17"/>
    <x v="0"/>
    <x v="1"/>
    <x v="1"/>
    <x v="0"/>
    <n v="17"/>
  </r>
  <r>
    <n v="560"/>
    <d v="2026-06-01T00:00:00"/>
    <x v="559"/>
    <x v="559"/>
    <n v="226"/>
    <x v="0"/>
    <x v="1"/>
    <x v="1"/>
    <x v="0"/>
    <n v="226"/>
  </r>
  <r>
    <n v="561"/>
    <d v="2026-06-01T00:00:00"/>
    <x v="560"/>
    <x v="560"/>
    <n v="1"/>
    <x v="0"/>
    <x v="1"/>
    <x v="1"/>
    <x v="0"/>
    <n v="1"/>
  </r>
  <r>
    <n v="562"/>
    <d v="2026-06-01T00:00:00"/>
    <x v="561"/>
    <x v="561"/>
    <n v="1"/>
    <x v="0"/>
    <x v="1"/>
    <x v="1"/>
    <x v="0"/>
    <n v="1"/>
  </r>
  <r>
    <n v="563"/>
    <d v="2026-06-01T00:00:00"/>
    <x v="562"/>
    <x v="562"/>
    <n v="1"/>
    <x v="0"/>
    <x v="1"/>
    <x v="1"/>
    <x v="0"/>
    <n v="1"/>
  </r>
  <r>
    <n v="564"/>
    <d v="2026-06-01T00:00:00"/>
    <x v="563"/>
    <x v="563"/>
    <n v="1"/>
    <x v="0"/>
    <x v="1"/>
    <x v="1"/>
    <x v="0"/>
    <n v="1"/>
  </r>
  <r>
    <n v="565"/>
    <d v="2026-06-01T00:00:00"/>
    <x v="564"/>
    <x v="564"/>
    <n v="1"/>
    <x v="0"/>
    <x v="1"/>
    <x v="1"/>
    <x v="0"/>
    <n v="1"/>
  </r>
  <r>
    <n v="566"/>
    <d v="2026-06-01T00:00:00"/>
    <x v="565"/>
    <x v="565"/>
    <n v="1"/>
    <x v="0"/>
    <x v="1"/>
    <x v="1"/>
    <x v="0"/>
    <n v="1"/>
  </r>
  <r>
    <n v="567"/>
    <d v="2026-06-01T00:00:00"/>
    <x v="566"/>
    <x v="566"/>
    <n v="4"/>
    <x v="0"/>
    <x v="1"/>
    <x v="1"/>
    <x v="0"/>
    <n v="4"/>
  </r>
  <r>
    <n v="568"/>
    <d v="2026-06-01T00:00:00"/>
    <x v="567"/>
    <x v="567"/>
    <n v="1"/>
    <x v="0"/>
    <x v="1"/>
    <x v="1"/>
    <x v="0"/>
    <n v="1"/>
  </r>
  <r>
    <n v="569"/>
    <d v="2026-06-01T00:00:00"/>
    <x v="568"/>
    <x v="568"/>
    <n v="2"/>
    <x v="0"/>
    <x v="1"/>
    <x v="1"/>
    <x v="0"/>
    <n v="2"/>
  </r>
  <r>
    <n v="570"/>
    <d v="2026-06-01T00:00:00"/>
    <x v="569"/>
    <x v="569"/>
    <n v="2"/>
    <x v="0"/>
    <x v="1"/>
    <x v="1"/>
    <x v="0"/>
    <n v="2"/>
  </r>
  <r>
    <n v="571"/>
    <d v="2026-06-01T00:00:00"/>
    <x v="570"/>
    <x v="570"/>
    <n v="1"/>
    <x v="0"/>
    <x v="1"/>
    <x v="1"/>
    <x v="0"/>
    <n v="1"/>
  </r>
  <r>
    <n v="572"/>
    <d v="2026-06-01T00:00:00"/>
    <x v="571"/>
    <x v="571"/>
    <n v="1"/>
    <x v="0"/>
    <x v="1"/>
    <x v="1"/>
    <x v="0"/>
    <n v="1"/>
  </r>
  <r>
    <n v="573"/>
    <d v="2026-06-01T00:00:00"/>
    <x v="572"/>
    <x v="572"/>
    <n v="1"/>
    <x v="0"/>
    <x v="1"/>
    <x v="1"/>
    <x v="0"/>
    <n v="1"/>
  </r>
  <r>
    <n v="574"/>
    <d v="2026-06-01T00:00:00"/>
    <x v="573"/>
    <x v="573"/>
    <n v="8"/>
    <x v="0"/>
    <x v="1"/>
    <x v="1"/>
    <x v="0"/>
    <n v="8"/>
  </r>
  <r>
    <n v="575"/>
    <d v="2026-06-01T00:00:00"/>
    <x v="574"/>
    <x v="574"/>
    <n v="3"/>
    <x v="0"/>
    <x v="1"/>
    <x v="1"/>
    <x v="0"/>
    <n v="3"/>
  </r>
  <r>
    <n v="576"/>
    <d v="2026-06-01T00:00:00"/>
    <x v="575"/>
    <x v="575"/>
    <n v="1"/>
    <x v="0"/>
    <x v="1"/>
    <x v="1"/>
    <x v="0"/>
    <n v="1"/>
  </r>
  <r>
    <n v="577"/>
    <d v="2026-06-01T00:00:00"/>
    <x v="576"/>
    <x v="576"/>
    <n v="1"/>
    <x v="0"/>
    <x v="1"/>
    <x v="1"/>
    <x v="0"/>
    <n v="1"/>
  </r>
  <r>
    <n v="578"/>
    <d v="2026-06-01T00:00:00"/>
    <x v="577"/>
    <x v="577"/>
    <n v="1"/>
    <x v="0"/>
    <x v="1"/>
    <x v="1"/>
    <x v="0"/>
    <n v="1"/>
  </r>
  <r>
    <n v="579"/>
    <d v="2026-06-01T00:00:00"/>
    <x v="578"/>
    <x v="578"/>
    <n v="1"/>
    <x v="0"/>
    <x v="1"/>
    <x v="1"/>
    <x v="0"/>
    <n v="1"/>
  </r>
  <r>
    <n v="580"/>
    <d v="2026-06-01T00:00:00"/>
    <x v="579"/>
    <x v="579"/>
    <n v="1"/>
    <x v="0"/>
    <x v="1"/>
    <x v="1"/>
    <x v="0"/>
    <n v="1"/>
  </r>
  <r>
    <n v="581"/>
    <d v="2026-06-01T00:00:00"/>
    <x v="580"/>
    <x v="580"/>
    <n v="1"/>
    <x v="0"/>
    <x v="1"/>
    <x v="1"/>
    <x v="0"/>
    <n v="1"/>
  </r>
  <r>
    <n v="582"/>
    <d v="2026-06-01T00:00:00"/>
    <x v="581"/>
    <x v="581"/>
    <n v="1"/>
    <x v="0"/>
    <x v="1"/>
    <x v="1"/>
    <x v="0"/>
    <n v="1"/>
  </r>
  <r>
    <n v="583"/>
    <d v="2026-06-01T00:00:00"/>
    <x v="582"/>
    <x v="582"/>
    <n v="2"/>
    <x v="0"/>
    <x v="1"/>
    <x v="1"/>
    <x v="0"/>
    <n v="2"/>
  </r>
  <r>
    <n v="584"/>
    <d v="2026-06-01T00:00:00"/>
    <x v="583"/>
    <x v="583"/>
    <n v="1"/>
    <x v="0"/>
    <x v="1"/>
    <x v="1"/>
    <x v="0"/>
    <n v="1"/>
  </r>
  <r>
    <n v="585"/>
    <d v="2026-06-01T00:00:00"/>
    <x v="584"/>
    <x v="584"/>
    <n v="1"/>
    <x v="0"/>
    <x v="1"/>
    <x v="1"/>
    <x v="0"/>
    <n v="1"/>
  </r>
  <r>
    <n v="586"/>
    <d v="2026-06-01T00:00:00"/>
    <x v="585"/>
    <x v="585"/>
    <n v="1"/>
    <x v="0"/>
    <x v="1"/>
    <x v="1"/>
    <x v="0"/>
    <n v="1"/>
  </r>
  <r>
    <n v="587"/>
    <d v="2026-06-01T00:00:00"/>
    <x v="586"/>
    <x v="586"/>
    <n v="1"/>
    <x v="0"/>
    <x v="1"/>
    <x v="1"/>
    <x v="0"/>
    <n v="1"/>
  </r>
  <r>
    <n v="588"/>
    <d v="2026-06-01T00:00:00"/>
    <x v="587"/>
    <x v="587"/>
    <n v="1"/>
    <x v="0"/>
    <x v="1"/>
    <x v="1"/>
    <x v="0"/>
    <n v="1"/>
  </r>
  <r>
    <n v="589"/>
    <d v="2026-06-01T00:00:00"/>
    <x v="588"/>
    <x v="588"/>
    <n v="1"/>
    <x v="0"/>
    <x v="1"/>
    <x v="1"/>
    <x v="0"/>
    <n v="1"/>
  </r>
  <r>
    <n v="590"/>
    <d v="2026-06-01T00:00:00"/>
    <x v="589"/>
    <x v="589"/>
    <n v="1"/>
    <x v="0"/>
    <x v="1"/>
    <x v="1"/>
    <x v="0"/>
    <n v="1"/>
  </r>
  <r>
    <n v="591"/>
    <d v="2026-06-01T00:00:00"/>
    <x v="590"/>
    <x v="590"/>
    <n v="1"/>
    <x v="0"/>
    <x v="1"/>
    <x v="1"/>
    <x v="0"/>
    <n v="1"/>
  </r>
  <r>
    <n v="592"/>
    <d v="2026-06-01T00:00:00"/>
    <x v="591"/>
    <x v="591"/>
    <n v="1"/>
    <x v="0"/>
    <x v="1"/>
    <x v="1"/>
    <x v="0"/>
    <n v="1"/>
  </r>
  <r>
    <n v="593"/>
    <d v="2026-06-01T00:00:00"/>
    <x v="592"/>
    <x v="592"/>
    <n v="1"/>
    <x v="0"/>
    <x v="1"/>
    <x v="1"/>
    <x v="0"/>
    <n v="1"/>
  </r>
  <r>
    <n v="594"/>
    <d v="2026-06-01T00:00:00"/>
    <x v="593"/>
    <x v="593"/>
    <n v="1"/>
    <x v="0"/>
    <x v="1"/>
    <x v="1"/>
    <x v="0"/>
    <n v="1"/>
  </r>
  <r>
    <n v="595"/>
    <d v="2026-06-01T00:00:00"/>
    <x v="594"/>
    <x v="594"/>
    <n v="5"/>
    <x v="0"/>
    <x v="1"/>
    <x v="1"/>
    <x v="0"/>
    <n v="5"/>
  </r>
  <r>
    <n v="596"/>
    <d v="2026-06-01T00:00:00"/>
    <x v="595"/>
    <x v="595"/>
    <n v="14"/>
    <x v="0"/>
    <x v="1"/>
    <x v="1"/>
    <x v="0"/>
    <n v="14"/>
  </r>
  <r>
    <n v="597"/>
    <d v="2026-06-01T00:00:00"/>
    <x v="596"/>
    <x v="596"/>
    <n v="5"/>
    <x v="0"/>
    <x v="1"/>
    <x v="1"/>
    <x v="0"/>
    <n v="5"/>
  </r>
  <r>
    <n v="598"/>
    <d v="2026-06-01T00:00:00"/>
    <x v="597"/>
    <x v="597"/>
    <n v="2"/>
    <x v="0"/>
    <x v="1"/>
    <x v="1"/>
    <x v="0"/>
    <n v="2"/>
  </r>
  <r>
    <n v="599"/>
    <d v="2026-06-01T00:00:00"/>
    <x v="598"/>
    <x v="598"/>
    <n v="1"/>
    <x v="0"/>
    <x v="1"/>
    <x v="1"/>
    <x v="0"/>
    <n v="1"/>
  </r>
  <r>
    <n v="600"/>
    <d v="2026-06-01T00:00:00"/>
    <x v="599"/>
    <x v="599"/>
    <n v="1"/>
    <x v="0"/>
    <x v="1"/>
    <x v="1"/>
    <x v="0"/>
    <n v="1"/>
  </r>
  <r>
    <n v="601"/>
    <d v="2026-06-01T00:00:00"/>
    <x v="600"/>
    <x v="600"/>
    <n v="1"/>
    <x v="0"/>
    <x v="1"/>
    <x v="1"/>
    <x v="0"/>
    <n v="1"/>
  </r>
  <r>
    <n v="602"/>
    <d v="2026-06-01T00:00:00"/>
    <x v="601"/>
    <x v="601"/>
    <n v="1"/>
    <x v="0"/>
    <x v="1"/>
    <x v="1"/>
    <x v="0"/>
    <n v="1"/>
  </r>
  <r>
    <n v="603"/>
    <d v="2026-06-01T00:00:00"/>
    <x v="602"/>
    <x v="602"/>
    <n v="2"/>
    <x v="0"/>
    <x v="1"/>
    <x v="1"/>
    <x v="0"/>
    <n v="2"/>
  </r>
  <r>
    <n v="604"/>
    <d v="2026-06-01T00:00:00"/>
    <x v="603"/>
    <x v="603"/>
    <n v="1"/>
    <x v="0"/>
    <x v="1"/>
    <x v="1"/>
    <x v="0"/>
    <n v="1"/>
  </r>
  <r>
    <n v="605"/>
    <d v="2026-06-01T00:00:00"/>
    <x v="604"/>
    <x v="604"/>
    <n v="1"/>
    <x v="0"/>
    <x v="1"/>
    <x v="1"/>
    <x v="0"/>
    <n v="1"/>
  </r>
  <r>
    <n v="606"/>
    <d v="2026-06-01T00:00:00"/>
    <x v="605"/>
    <x v="605"/>
    <n v="1"/>
    <x v="0"/>
    <x v="1"/>
    <x v="1"/>
    <x v="0"/>
    <n v="1"/>
  </r>
  <r>
    <n v="607"/>
    <d v="2026-06-01T00:00:00"/>
    <x v="606"/>
    <x v="606"/>
    <n v="10"/>
    <x v="0"/>
    <x v="1"/>
    <x v="1"/>
    <x v="0"/>
    <n v="10"/>
  </r>
  <r>
    <n v="608"/>
    <d v="2026-06-01T00:00:00"/>
    <x v="607"/>
    <x v="607"/>
    <n v="1"/>
    <x v="0"/>
    <x v="1"/>
    <x v="1"/>
    <x v="0"/>
    <n v="1"/>
  </r>
  <r>
    <n v="609"/>
    <d v="2026-06-01T00:00:00"/>
    <x v="608"/>
    <x v="608"/>
    <n v="1"/>
    <x v="0"/>
    <x v="1"/>
    <x v="1"/>
    <x v="0"/>
    <n v="1"/>
  </r>
  <r>
    <n v="610"/>
    <d v="2026-06-01T00:00:00"/>
    <x v="609"/>
    <x v="609"/>
    <n v="1"/>
    <x v="0"/>
    <x v="1"/>
    <x v="1"/>
    <x v="0"/>
    <n v="1"/>
  </r>
  <r>
    <n v="611"/>
    <d v="2026-06-01T00:00:00"/>
    <x v="610"/>
    <x v="610"/>
    <n v="1"/>
    <x v="0"/>
    <x v="1"/>
    <x v="1"/>
    <x v="0"/>
    <n v="1"/>
  </r>
  <r>
    <n v="612"/>
    <d v="2026-06-01T00:00:00"/>
    <x v="611"/>
    <x v="611"/>
    <n v="1"/>
    <x v="0"/>
    <x v="1"/>
    <x v="1"/>
    <x v="0"/>
    <n v="1"/>
  </r>
  <r>
    <n v="613"/>
    <d v="2026-06-01T00:00:00"/>
    <x v="612"/>
    <x v="612"/>
    <n v="1"/>
    <x v="0"/>
    <x v="1"/>
    <x v="1"/>
    <x v="0"/>
    <n v="1"/>
  </r>
  <r>
    <n v="614"/>
    <d v="2026-06-01T00:00:00"/>
    <x v="613"/>
    <x v="613"/>
    <n v="1"/>
    <x v="0"/>
    <x v="1"/>
    <x v="1"/>
    <x v="0"/>
    <n v="1"/>
  </r>
  <r>
    <n v="615"/>
    <d v="2026-06-01T00:00:00"/>
    <x v="614"/>
    <x v="614"/>
    <n v="1"/>
    <x v="0"/>
    <x v="1"/>
    <x v="1"/>
    <x v="0"/>
    <n v="1"/>
  </r>
  <r>
    <n v="616"/>
    <d v="2026-06-01T00:00:00"/>
    <x v="615"/>
    <x v="615"/>
    <n v="1"/>
    <x v="0"/>
    <x v="1"/>
    <x v="1"/>
    <x v="0"/>
    <n v="1"/>
  </r>
  <r>
    <n v="617"/>
    <d v="2026-06-01T00:00:00"/>
    <x v="616"/>
    <x v="616"/>
    <n v="1"/>
    <x v="0"/>
    <x v="1"/>
    <x v="1"/>
    <x v="0"/>
    <n v="1"/>
  </r>
  <r>
    <n v="618"/>
    <d v="2026-06-01T00:00:00"/>
    <x v="617"/>
    <x v="617"/>
    <n v="3"/>
    <x v="0"/>
    <x v="1"/>
    <x v="1"/>
    <x v="0"/>
    <n v="3"/>
  </r>
  <r>
    <n v="619"/>
    <d v="2026-06-01T00:00:00"/>
    <x v="618"/>
    <x v="618"/>
    <n v="1"/>
    <x v="0"/>
    <x v="1"/>
    <x v="1"/>
    <x v="0"/>
    <n v="1"/>
  </r>
  <r>
    <n v="620"/>
    <d v="2026-06-01T00:00:00"/>
    <x v="619"/>
    <x v="619"/>
    <n v="1"/>
    <x v="0"/>
    <x v="1"/>
    <x v="1"/>
    <x v="0"/>
    <n v="1"/>
  </r>
  <r>
    <n v="621"/>
    <d v="2026-06-01T00:00:00"/>
    <x v="620"/>
    <x v="620"/>
    <n v="1"/>
    <x v="0"/>
    <x v="1"/>
    <x v="1"/>
    <x v="0"/>
    <n v="1"/>
  </r>
  <r>
    <n v="622"/>
    <d v="2026-06-01T00:00:00"/>
    <x v="621"/>
    <x v="621"/>
    <n v="1"/>
    <x v="0"/>
    <x v="1"/>
    <x v="1"/>
    <x v="0"/>
    <n v="1"/>
  </r>
  <r>
    <n v="623"/>
    <d v="2026-06-01T00:00:00"/>
    <x v="622"/>
    <x v="622"/>
    <n v="1"/>
    <x v="0"/>
    <x v="1"/>
    <x v="1"/>
    <x v="0"/>
    <n v="1"/>
  </r>
  <r>
    <n v="624"/>
    <d v="2026-06-01T00:00:00"/>
    <x v="623"/>
    <x v="623"/>
    <n v="23"/>
    <x v="0"/>
    <x v="1"/>
    <x v="1"/>
    <x v="0"/>
    <n v="23"/>
  </r>
  <r>
    <n v="625"/>
    <d v="2026-06-01T00:00:00"/>
    <x v="624"/>
    <x v="624"/>
    <n v="11"/>
    <x v="0"/>
    <x v="1"/>
    <x v="1"/>
    <x v="0"/>
    <n v="11"/>
  </r>
  <r>
    <n v="626"/>
    <d v="2026-06-01T00:00:00"/>
    <x v="625"/>
    <x v="625"/>
    <n v="2"/>
    <x v="0"/>
    <x v="1"/>
    <x v="1"/>
    <x v="0"/>
    <n v="2"/>
  </r>
  <r>
    <n v="627"/>
    <d v="2026-06-01T00:00:00"/>
    <x v="626"/>
    <x v="626"/>
    <n v="1"/>
    <x v="0"/>
    <x v="1"/>
    <x v="1"/>
    <x v="0"/>
    <n v="1"/>
  </r>
  <r>
    <n v="628"/>
    <d v="2026-06-01T00:00:00"/>
    <x v="627"/>
    <x v="627"/>
    <n v="1"/>
    <x v="0"/>
    <x v="1"/>
    <x v="1"/>
    <x v="0"/>
    <n v="1"/>
  </r>
  <r>
    <n v="629"/>
    <d v="2026-06-01T00:00:00"/>
    <x v="628"/>
    <x v="628"/>
    <n v="1"/>
    <x v="0"/>
    <x v="1"/>
    <x v="1"/>
    <x v="0"/>
    <n v="1"/>
  </r>
  <r>
    <n v="630"/>
    <d v="2026-06-01T00:00:00"/>
    <x v="629"/>
    <x v="629"/>
    <n v="9"/>
    <x v="0"/>
    <x v="1"/>
    <x v="1"/>
    <x v="0"/>
    <n v="9"/>
  </r>
  <r>
    <n v="631"/>
    <d v="2026-06-01T00:00:00"/>
    <x v="630"/>
    <x v="630"/>
    <n v="5"/>
    <x v="0"/>
    <x v="1"/>
    <x v="1"/>
    <x v="0"/>
    <n v="5"/>
  </r>
  <r>
    <n v="632"/>
    <d v="2026-06-01T00:00:00"/>
    <x v="631"/>
    <x v="631"/>
    <n v="6"/>
    <x v="0"/>
    <x v="1"/>
    <x v="1"/>
    <x v="0"/>
    <n v="6"/>
  </r>
  <r>
    <n v="633"/>
    <d v="2026-06-01T00:00:00"/>
    <x v="632"/>
    <x v="632"/>
    <n v="1"/>
    <x v="0"/>
    <x v="1"/>
    <x v="1"/>
    <x v="0"/>
    <n v="1"/>
  </r>
  <r>
    <n v="634"/>
    <d v="2026-06-01T00:00:00"/>
    <x v="633"/>
    <x v="633"/>
    <n v="2"/>
    <x v="0"/>
    <x v="1"/>
    <x v="1"/>
    <x v="0"/>
    <n v="2"/>
  </r>
  <r>
    <n v="635"/>
    <d v="2026-06-01T00:00:00"/>
    <x v="634"/>
    <x v="634"/>
    <n v="29"/>
    <x v="0"/>
    <x v="1"/>
    <x v="1"/>
    <x v="0"/>
    <n v="29"/>
  </r>
  <r>
    <n v="636"/>
    <d v="2026-06-01T00:00:00"/>
    <x v="635"/>
    <x v="635"/>
    <n v="2"/>
    <x v="0"/>
    <x v="1"/>
    <x v="1"/>
    <x v="0"/>
    <n v="2"/>
  </r>
  <r>
    <n v="637"/>
    <d v="2026-06-01T00:00:00"/>
    <x v="636"/>
    <x v="636"/>
    <n v="1"/>
    <x v="0"/>
    <x v="1"/>
    <x v="1"/>
    <x v="0"/>
    <n v="1"/>
  </r>
  <r>
    <n v="638"/>
    <d v="2026-06-01T00:00:00"/>
    <x v="637"/>
    <x v="637"/>
    <n v="25"/>
    <x v="0"/>
    <x v="1"/>
    <x v="1"/>
    <x v="0"/>
    <n v="25"/>
  </r>
  <r>
    <n v="639"/>
    <d v="2026-06-01T00:00:00"/>
    <x v="638"/>
    <x v="638"/>
    <n v="1"/>
    <x v="0"/>
    <x v="1"/>
    <x v="1"/>
    <x v="0"/>
    <n v="1"/>
  </r>
  <r>
    <n v="640"/>
    <d v="2026-06-01T00:00:00"/>
    <x v="639"/>
    <x v="639"/>
    <n v="16"/>
    <x v="0"/>
    <x v="1"/>
    <x v="1"/>
    <x v="0"/>
    <n v="16"/>
  </r>
  <r>
    <n v="641"/>
    <d v="2026-06-01T00:00:00"/>
    <x v="640"/>
    <x v="640"/>
    <n v="2"/>
    <x v="0"/>
    <x v="1"/>
    <x v="1"/>
    <x v="0"/>
    <n v="2"/>
  </r>
  <r>
    <n v="642"/>
    <d v="2026-06-01T00:00:00"/>
    <x v="641"/>
    <x v="641"/>
    <n v="1"/>
    <x v="0"/>
    <x v="1"/>
    <x v="1"/>
    <x v="0"/>
    <n v="1"/>
  </r>
  <r>
    <n v="643"/>
    <d v="2026-06-01T00:00:00"/>
    <x v="642"/>
    <x v="642"/>
    <n v="29"/>
    <x v="0"/>
    <x v="1"/>
    <x v="1"/>
    <x v="0"/>
    <n v="29"/>
  </r>
  <r>
    <n v="644"/>
    <d v="2026-06-01T00:00:00"/>
    <x v="643"/>
    <x v="643"/>
    <n v="2"/>
    <x v="0"/>
    <x v="1"/>
    <x v="1"/>
    <x v="0"/>
    <n v="2"/>
  </r>
  <r>
    <n v="645"/>
    <d v="2026-06-01T00:00:00"/>
    <x v="644"/>
    <x v="644"/>
    <n v="1"/>
    <x v="0"/>
    <x v="1"/>
    <x v="1"/>
    <x v="0"/>
    <n v="1"/>
  </r>
  <r>
    <n v="646"/>
    <d v="2026-06-01T00:00:00"/>
    <x v="645"/>
    <x v="645"/>
    <n v="1"/>
    <x v="0"/>
    <x v="1"/>
    <x v="1"/>
    <x v="0"/>
    <n v="1"/>
  </r>
  <r>
    <n v="647"/>
    <d v="2026-06-01T00:00:00"/>
    <x v="646"/>
    <x v="646"/>
    <n v="1"/>
    <x v="0"/>
    <x v="1"/>
    <x v="1"/>
    <x v="0"/>
    <n v="1"/>
  </r>
  <r>
    <n v="648"/>
    <d v="2026-06-01T00:00:00"/>
    <x v="647"/>
    <x v="647"/>
    <n v="1"/>
    <x v="0"/>
    <x v="1"/>
    <x v="1"/>
    <x v="0"/>
    <n v="1"/>
  </r>
  <r>
    <n v="649"/>
    <d v="2026-06-01T00:00:00"/>
    <x v="648"/>
    <x v="648"/>
    <n v="1"/>
    <x v="0"/>
    <x v="1"/>
    <x v="1"/>
    <x v="0"/>
    <n v="1"/>
  </r>
  <r>
    <n v="650"/>
    <d v="2026-06-01T00:00:00"/>
    <x v="649"/>
    <x v="649"/>
    <n v="10"/>
    <x v="0"/>
    <x v="1"/>
    <x v="1"/>
    <x v="0"/>
    <n v="10"/>
  </r>
  <r>
    <n v="651"/>
    <d v="2026-06-01T00:00:00"/>
    <x v="650"/>
    <x v="650"/>
    <n v="4"/>
    <x v="0"/>
    <x v="1"/>
    <x v="1"/>
    <x v="0"/>
    <n v="4"/>
  </r>
  <r>
    <n v="652"/>
    <d v="2026-06-01T00:00:00"/>
    <x v="651"/>
    <x v="651"/>
    <n v="3"/>
    <x v="0"/>
    <x v="1"/>
    <x v="1"/>
    <x v="0"/>
    <n v="3"/>
  </r>
  <r>
    <n v="653"/>
    <d v="2026-06-01T00:00:00"/>
    <x v="652"/>
    <x v="652"/>
    <n v="2"/>
    <x v="0"/>
    <x v="1"/>
    <x v="1"/>
    <x v="0"/>
    <n v="2"/>
  </r>
  <r>
    <n v="654"/>
    <d v="2026-06-01T00:00:00"/>
    <x v="653"/>
    <x v="653"/>
    <n v="1"/>
    <x v="0"/>
    <x v="1"/>
    <x v="1"/>
    <x v="0"/>
    <n v="1"/>
  </r>
  <r>
    <n v="655"/>
    <d v="2026-06-01T00:00:00"/>
    <x v="654"/>
    <x v="654"/>
    <n v="1"/>
    <x v="0"/>
    <x v="1"/>
    <x v="1"/>
    <x v="0"/>
    <n v="1"/>
  </r>
  <r>
    <n v="656"/>
    <d v="2026-06-01T00:00:00"/>
    <x v="655"/>
    <x v="655"/>
    <n v="1"/>
    <x v="0"/>
    <x v="1"/>
    <x v="1"/>
    <x v="0"/>
    <n v="1"/>
  </r>
  <r>
    <n v="657"/>
    <d v="2026-06-01T00:00:00"/>
    <x v="656"/>
    <x v="656"/>
    <n v="2"/>
    <x v="0"/>
    <x v="1"/>
    <x v="1"/>
    <x v="0"/>
    <n v="2"/>
  </r>
  <r>
    <n v="658"/>
    <d v="2026-06-01T00:00:00"/>
    <x v="657"/>
    <x v="657"/>
    <n v="1"/>
    <x v="0"/>
    <x v="1"/>
    <x v="1"/>
    <x v="0"/>
    <n v="1"/>
  </r>
  <r>
    <n v="659"/>
    <d v="2026-06-01T00:00:00"/>
    <x v="658"/>
    <x v="658"/>
    <n v="5"/>
    <x v="0"/>
    <x v="1"/>
    <x v="1"/>
    <x v="0"/>
    <n v="5"/>
  </r>
  <r>
    <n v="660"/>
    <d v="2026-06-01T00:00:00"/>
    <x v="659"/>
    <x v="659"/>
    <n v="1"/>
    <x v="0"/>
    <x v="1"/>
    <x v="1"/>
    <x v="0"/>
    <n v="1"/>
  </r>
  <r>
    <n v="661"/>
    <d v="2026-06-01T00:00:00"/>
    <x v="660"/>
    <x v="660"/>
    <n v="4"/>
    <x v="0"/>
    <x v="1"/>
    <x v="1"/>
    <x v="0"/>
    <n v="4"/>
  </r>
  <r>
    <n v="662"/>
    <d v="2026-06-01T00:00:00"/>
    <x v="661"/>
    <x v="661"/>
    <n v="1"/>
    <x v="0"/>
    <x v="1"/>
    <x v="1"/>
    <x v="0"/>
    <n v="1"/>
  </r>
  <r>
    <n v="663"/>
    <d v="2026-06-01T00:00:00"/>
    <x v="662"/>
    <x v="662"/>
    <n v="1"/>
    <x v="0"/>
    <x v="1"/>
    <x v="1"/>
    <x v="0"/>
    <n v="1"/>
  </r>
  <r>
    <n v="664"/>
    <d v="2026-06-01T00:00:00"/>
    <x v="663"/>
    <x v="663"/>
    <n v="1"/>
    <x v="0"/>
    <x v="1"/>
    <x v="1"/>
    <x v="0"/>
    <n v="1"/>
  </r>
  <r>
    <n v="665"/>
    <d v="2026-06-01T00:00:00"/>
    <x v="664"/>
    <x v="664"/>
    <n v="1"/>
    <x v="0"/>
    <x v="1"/>
    <x v="1"/>
    <x v="0"/>
    <n v="1"/>
  </r>
  <r>
    <n v="666"/>
    <d v="2026-06-01T00:00:00"/>
    <x v="665"/>
    <x v="665"/>
    <n v="1"/>
    <x v="0"/>
    <x v="1"/>
    <x v="1"/>
    <x v="0"/>
    <n v="1"/>
  </r>
  <r>
    <n v="667"/>
    <d v="2026-06-01T00:00:00"/>
    <x v="666"/>
    <x v="666"/>
    <n v="1"/>
    <x v="0"/>
    <x v="1"/>
    <x v="1"/>
    <x v="0"/>
    <n v="1"/>
  </r>
  <r>
    <n v="668"/>
    <d v="2026-06-01T00:00:00"/>
    <x v="667"/>
    <x v="667"/>
    <n v="1"/>
    <x v="0"/>
    <x v="1"/>
    <x v="1"/>
    <x v="0"/>
    <n v="1"/>
  </r>
  <r>
    <n v="669"/>
    <d v="2026-06-01T00:00:00"/>
    <x v="668"/>
    <x v="668"/>
    <n v="1"/>
    <x v="0"/>
    <x v="1"/>
    <x v="1"/>
    <x v="0"/>
    <n v="1"/>
  </r>
  <r>
    <n v="670"/>
    <d v="2026-06-01T00:00:00"/>
    <x v="669"/>
    <x v="669"/>
    <n v="2"/>
    <x v="0"/>
    <x v="1"/>
    <x v="1"/>
    <x v="0"/>
    <n v="2"/>
  </r>
  <r>
    <n v="671"/>
    <d v="2026-06-01T00:00:00"/>
    <x v="670"/>
    <x v="670"/>
    <n v="5"/>
    <x v="0"/>
    <x v="1"/>
    <x v="1"/>
    <x v="0"/>
    <n v="5"/>
  </r>
  <r>
    <n v="672"/>
    <d v="2026-06-01T00:00:00"/>
    <x v="671"/>
    <x v="529"/>
    <n v="0"/>
    <x v="0"/>
    <x v="1"/>
    <x v="1"/>
    <x v="0"/>
    <n v="0"/>
  </r>
  <r>
    <n v="673"/>
    <d v="2026-06-01T00:00:00"/>
    <x v="672"/>
    <x v="671"/>
    <n v="107"/>
    <x v="0"/>
    <x v="1"/>
    <x v="1"/>
    <x v="0"/>
    <n v="107"/>
  </r>
  <r>
    <n v="674"/>
    <d v="2026-06-01T00:00:00"/>
    <x v="673"/>
    <x v="672"/>
    <n v="22"/>
    <x v="0"/>
    <x v="1"/>
    <x v="1"/>
    <x v="0"/>
    <n v="22"/>
  </r>
  <r>
    <n v="675"/>
    <d v="2026-06-01T00:00:00"/>
    <x v="674"/>
    <x v="673"/>
    <n v="6"/>
    <x v="0"/>
    <x v="1"/>
    <x v="1"/>
    <x v="0"/>
    <n v="6"/>
  </r>
  <r>
    <n v="676"/>
    <d v="2026-06-01T00:00:00"/>
    <x v="675"/>
    <x v="674"/>
    <n v="1"/>
    <x v="0"/>
    <x v="1"/>
    <x v="1"/>
    <x v="0"/>
    <n v="1"/>
  </r>
  <r>
    <n v="677"/>
    <d v="2026-06-01T00:00:00"/>
    <x v="676"/>
    <x v="675"/>
    <n v="1"/>
    <x v="0"/>
    <x v="1"/>
    <x v="1"/>
    <x v="0"/>
    <n v="1"/>
  </r>
  <r>
    <n v="678"/>
    <d v="2026-06-01T00:00:00"/>
    <x v="677"/>
    <x v="676"/>
    <n v="1"/>
    <x v="0"/>
    <x v="1"/>
    <x v="1"/>
    <x v="0"/>
    <n v="1"/>
  </r>
  <r>
    <n v="679"/>
    <d v="2026-06-01T00:00:00"/>
    <x v="678"/>
    <x v="677"/>
    <n v="4"/>
    <x v="0"/>
    <x v="1"/>
    <x v="1"/>
    <x v="0"/>
    <n v="4"/>
  </r>
  <r>
    <n v="680"/>
    <d v="2026-06-01T00:00:00"/>
    <x v="679"/>
    <x v="678"/>
    <n v="3"/>
    <x v="0"/>
    <x v="1"/>
    <x v="1"/>
    <x v="0"/>
    <n v="3"/>
  </r>
  <r>
    <n v="681"/>
    <d v="2026-06-01T00:00:00"/>
    <x v="680"/>
    <x v="679"/>
    <n v="2"/>
    <x v="0"/>
    <x v="1"/>
    <x v="1"/>
    <x v="0"/>
    <n v="2"/>
  </r>
  <r>
    <n v="682"/>
    <d v="2026-06-01T00:00:00"/>
    <x v="681"/>
    <x v="680"/>
    <n v="2"/>
    <x v="0"/>
    <x v="1"/>
    <x v="1"/>
    <x v="0"/>
    <n v="2"/>
  </r>
  <r>
    <n v="683"/>
    <d v="2026-06-01T00:00:00"/>
    <x v="682"/>
    <x v="681"/>
    <n v="17"/>
    <x v="0"/>
    <x v="1"/>
    <x v="1"/>
    <x v="0"/>
    <n v="17"/>
  </r>
  <r>
    <n v="684"/>
    <d v="2026-06-01T00:00:00"/>
    <x v="683"/>
    <x v="682"/>
    <n v="2"/>
    <x v="0"/>
    <x v="1"/>
    <x v="1"/>
    <x v="0"/>
    <n v="2"/>
  </r>
  <r>
    <n v="685"/>
    <d v="2026-06-01T00:00:00"/>
    <x v="684"/>
    <x v="683"/>
    <n v="8"/>
    <x v="0"/>
    <x v="1"/>
    <x v="1"/>
    <x v="0"/>
    <n v="8"/>
  </r>
  <r>
    <n v="686"/>
    <d v="2026-06-01T00:00:00"/>
    <x v="685"/>
    <x v="684"/>
    <n v="10"/>
    <x v="0"/>
    <x v="1"/>
    <x v="1"/>
    <x v="0"/>
    <n v="10"/>
  </r>
  <r>
    <n v="687"/>
    <d v="2026-06-01T00:00:00"/>
    <x v="686"/>
    <x v="685"/>
    <n v="6"/>
    <x v="0"/>
    <x v="1"/>
    <x v="1"/>
    <x v="0"/>
    <n v="6"/>
  </r>
  <r>
    <n v="688"/>
    <d v="2026-06-01T00:00:00"/>
    <x v="687"/>
    <x v="686"/>
    <n v="2"/>
    <x v="0"/>
    <x v="1"/>
    <x v="1"/>
    <x v="0"/>
    <n v="2"/>
  </r>
  <r>
    <n v="689"/>
    <d v="2026-06-01T00:00:00"/>
    <x v="688"/>
    <x v="687"/>
    <n v="5"/>
    <x v="0"/>
    <x v="1"/>
    <x v="1"/>
    <x v="0"/>
    <n v="5"/>
  </r>
  <r>
    <n v="690"/>
    <d v="2026-06-01T00:00:00"/>
    <x v="689"/>
    <x v="688"/>
    <n v="1"/>
    <x v="0"/>
    <x v="1"/>
    <x v="1"/>
    <x v="0"/>
    <n v="1"/>
  </r>
  <r>
    <n v="691"/>
    <d v="2026-06-01T00:00:00"/>
    <x v="690"/>
    <x v="689"/>
    <n v="4"/>
    <x v="0"/>
    <x v="1"/>
    <x v="1"/>
    <x v="0"/>
    <n v="4"/>
  </r>
  <r>
    <n v="692"/>
    <d v="2026-06-01T00:00:00"/>
    <x v="691"/>
    <x v="690"/>
    <n v="5"/>
    <x v="0"/>
    <x v="1"/>
    <x v="1"/>
    <x v="0"/>
    <n v="5"/>
  </r>
  <r>
    <n v="693"/>
    <d v="2026-06-01T00:00:00"/>
    <x v="692"/>
    <x v="691"/>
    <n v="2"/>
    <x v="0"/>
    <x v="1"/>
    <x v="1"/>
    <x v="0"/>
    <n v="2"/>
  </r>
  <r>
    <n v="694"/>
    <d v="2026-06-01T00:00:00"/>
    <x v="693"/>
    <x v="692"/>
    <n v="1"/>
    <x v="0"/>
    <x v="1"/>
    <x v="1"/>
    <x v="0"/>
    <n v="1"/>
  </r>
  <r>
    <n v="695"/>
    <d v="2026-06-01T00:00:00"/>
    <x v="694"/>
    <x v="693"/>
    <n v="1"/>
    <x v="0"/>
    <x v="1"/>
    <x v="1"/>
    <x v="0"/>
    <n v="1"/>
  </r>
  <r>
    <n v="696"/>
    <d v="2026-06-01T00:00:00"/>
    <x v="695"/>
    <x v="694"/>
    <n v="2"/>
    <x v="0"/>
    <x v="1"/>
    <x v="1"/>
    <x v="0"/>
    <n v="2"/>
  </r>
  <r>
    <n v="697"/>
    <d v="2026-06-01T00:00:00"/>
    <x v="696"/>
    <x v="695"/>
    <n v="1"/>
    <x v="0"/>
    <x v="1"/>
    <x v="1"/>
    <x v="0"/>
    <n v="1"/>
  </r>
  <r>
    <n v="698"/>
    <d v="2026-06-01T00:00:00"/>
    <x v="697"/>
    <x v="696"/>
    <n v="6"/>
    <x v="0"/>
    <x v="1"/>
    <x v="1"/>
    <x v="0"/>
    <n v="6"/>
  </r>
  <r>
    <n v="699"/>
    <d v="2026-06-01T00:00:00"/>
    <x v="698"/>
    <x v="697"/>
    <n v="2"/>
    <x v="0"/>
    <x v="1"/>
    <x v="1"/>
    <x v="0"/>
    <n v="2"/>
  </r>
  <r>
    <n v="700"/>
    <d v="2026-06-01T00:00:00"/>
    <x v="699"/>
    <x v="698"/>
    <n v="6"/>
    <x v="0"/>
    <x v="1"/>
    <x v="1"/>
    <x v="0"/>
    <n v="6"/>
  </r>
  <r>
    <n v="701"/>
    <d v="2026-06-01T00:00:00"/>
    <x v="700"/>
    <x v="699"/>
    <n v="2"/>
    <x v="0"/>
    <x v="1"/>
    <x v="1"/>
    <x v="0"/>
    <n v="2"/>
  </r>
  <r>
    <n v="702"/>
    <d v="2026-06-01T00:00:00"/>
    <x v="701"/>
    <x v="700"/>
    <n v="1"/>
    <x v="0"/>
    <x v="1"/>
    <x v="1"/>
    <x v="0"/>
    <n v="1"/>
  </r>
  <r>
    <n v="703"/>
    <d v="2026-06-01T00:00:00"/>
    <x v="702"/>
    <x v="701"/>
    <n v="1"/>
    <x v="0"/>
    <x v="1"/>
    <x v="1"/>
    <x v="0"/>
    <n v="1"/>
  </r>
  <r>
    <n v="704"/>
    <d v="2026-06-01T00:00:00"/>
    <x v="703"/>
    <x v="702"/>
    <n v="1"/>
    <x v="0"/>
    <x v="1"/>
    <x v="1"/>
    <x v="0"/>
    <n v="1"/>
  </r>
  <r>
    <n v="705"/>
    <d v="2026-06-01T00:00:00"/>
    <x v="704"/>
    <x v="703"/>
    <n v="1"/>
    <x v="0"/>
    <x v="1"/>
    <x v="1"/>
    <x v="0"/>
    <n v="1"/>
  </r>
  <r>
    <n v="706"/>
    <d v="2026-06-01T00:00:00"/>
    <x v="705"/>
    <x v="704"/>
    <n v="1"/>
    <x v="0"/>
    <x v="1"/>
    <x v="1"/>
    <x v="0"/>
    <n v="1"/>
  </r>
  <r>
    <n v="707"/>
    <d v="2026-06-01T00:00:00"/>
    <x v="706"/>
    <x v="705"/>
    <n v="1"/>
    <x v="0"/>
    <x v="1"/>
    <x v="1"/>
    <x v="0"/>
    <n v="1"/>
  </r>
  <r>
    <n v="708"/>
    <d v="2026-06-01T00:00:00"/>
    <x v="707"/>
    <x v="706"/>
    <n v="1"/>
    <x v="0"/>
    <x v="1"/>
    <x v="1"/>
    <x v="0"/>
    <n v="1"/>
  </r>
  <r>
    <n v="709"/>
    <d v="2026-06-01T00:00:00"/>
    <x v="708"/>
    <x v="707"/>
    <n v="1"/>
    <x v="0"/>
    <x v="1"/>
    <x v="1"/>
    <x v="0"/>
    <n v="1"/>
  </r>
  <r>
    <n v="710"/>
    <d v="2026-06-01T00:00:00"/>
    <x v="709"/>
    <x v="708"/>
    <n v="7"/>
    <x v="0"/>
    <x v="1"/>
    <x v="1"/>
    <x v="0"/>
    <n v="7"/>
  </r>
  <r>
    <n v="711"/>
    <d v="2026-06-01T00:00:00"/>
    <x v="710"/>
    <x v="709"/>
    <n v="1"/>
    <x v="0"/>
    <x v="1"/>
    <x v="1"/>
    <x v="0"/>
    <n v="1"/>
  </r>
  <r>
    <n v="712"/>
    <d v="2026-06-01T00:00:00"/>
    <x v="711"/>
    <x v="710"/>
    <n v="6"/>
    <x v="0"/>
    <x v="1"/>
    <x v="1"/>
    <x v="0"/>
    <n v="6"/>
  </r>
  <r>
    <n v="713"/>
    <d v="2026-06-01T00:00:00"/>
    <x v="712"/>
    <x v="711"/>
    <n v="1"/>
    <x v="0"/>
    <x v="1"/>
    <x v="1"/>
    <x v="0"/>
    <n v="1"/>
  </r>
  <r>
    <n v="714"/>
    <d v="2026-06-01T00:00:00"/>
    <x v="713"/>
    <x v="712"/>
    <n v="1"/>
    <x v="0"/>
    <x v="1"/>
    <x v="1"/>
    <x v="0"/>
    <n v="1"/>
  </r>
  <r>
    <n v="715"/>
    <d v="2026-06-01T00:00:00"/>
    <x v="714"/>
    <x v="713"/>
    <n v="1"/>
    <x v="0"/>
    <x v="1"/>
    <x v="1"/>
    <x v="0"/>
    <n v="1"/>
  </r>
  <r>
    <n v="716"/>
    <d v="2026-06-01T00:00:00"/>
    <x v="715"/>
    <x v="714"/>
    <n v="1"/>
    <x v="0"/>
    <x v="1"/>
    <x v="1"/>
    <x v="0"/>
    <n v="1"/>
  </r>
  <r>
    <n v="717"/>
    <d v="2026-06-01T00:00:00"/>
    <x v="716"/>
    <x v="715"/>
    <n v="1"/>
    <x v="0"/>
    <x v="1"/>
    <x v="1"/>
    <x v="0"/>
    <n v="1"/>
  </r>
  <r>
    <n v="718"/>
    <d v="2026-06-01T00:00:00"/>
    <x v="717"/>
    <x v="716"/>
    <n v="2"/>
    <x v="0"/>
    <x v="1"/>
    <x v="1"/>
    <x v="0"/>
    <n v="2"/>
  </r>
  <r>
    <n v="719"/>
    <d v="2026-06-01T00:00:00"/>
    <x v="718"/>
    <x v="717"/>
    <n v="2"/>
    <x v="0"/>
    <x v="1"/>
    <x v="1"/>
    <x v="0"/>
    <n v="2"/>
  </r>
  <r>
    <n v="720"/>
    <d v="2026-06-01T00:00:00"/>
    <x v="719"/>
    <x v="718"/>
    <n v="1"/>
    <x v="0"/>
    <x v="1"/>
    <x v="1"/>
    <x v="0"/>
    <n v="1"/>
  </r>
  <r>
    <n v="721"/>
    <d v="2026-06-01T00:00:00"/>
    <x v="720"/>
    <x v="719"/>
    <n v="1"/>
    <x v="0"/>
    <x v="1"/>
    <x v="1"/>
    <x v="0"/>
    <n v="1"/>
  </r>
  <r>
    <n v="722"/>
    <d v="2026-06-01T00:00:00"/>
    <x v="721"/>
    <x v="720"/>
    <n v="1"/>
    <x v="0"/>
    <x v="1"/>
    <x v="1"/>
    <x v="0"/>
    <n v="1"/>
  </r>
  <r>
    <n v="723"/>
    <d v="2026-06-01T00:00:00"/>
    <x v="722"/>
    <x v="721"/>
    <n v="1"/>
    <x v="0"/>
    <x v="1"/>
    <x v="1"/>
    <x v="0"/>
    <n v="1"/>
  </r>
  <r>
    <n v="724"/>
    <d v="2026-06-01T00:00:00"/>
    <x v="723"/>
    <x v="722"/>
    <n v="1"/>
    <x v="0"/>
    <x v="1"/>
    <x v="1"/>
    <x v="0"/>
    <n v="1"/>
  </r>
  <r>
    <n v="725"/>
    <d v="2026-06-01T00:00:00"/>
    <x v="724"/>
    <x v="723"/>
    <n v="1"/>
    <x v="0"/>
    <x v="1"/>
    <x v="1"/>
    <x v="0"/>
    <n v="1"/>
  </r>
  <r>
    <n v="726"/>
    <d v="2026-06-01T00:00:00"/>
    <x v="725"/>
    <x v="724"/>
    <n v="1"/>
    <x v="0"/>
    <x v="1"/>
    <x v="1"/>
    <x v="0"/>
    <n v="1"/>
  </r>
  <r>
    <n v="727"/>
    <d v="2026-06-01T00:00:00"/>
    <x v="726"/>
    <x v="725"/>
    <n v="1"/>
    <x v="0"/>
    <x v="1"/>
    <x v="1"/>
    <x v="0"/>
    <n v="1"/>
  </r>
  <r>
    <n v="728"/>
    <d v="2026-06-01T00:00:00"/>
    <x v="727"/>
    <x v="726"/>
    <n v="1"/>
    <x v="0"/>
    <x v="1"/>
    <x v="1"/>
    <x v="0"/>
    <n v="1"/>
  </r>
  <r>
    <n v="729"/>
    <d v="2026-06-01T00:00:00"/>
    <x v="728"/>
    <x v="727"/>
    <n v="1"/>
    <x v="0"/>
    <x v="1"/>
    <x v="1"/>
    <x v="0"/>
    <n v="1"/>
  </r>
  <r>
    <n v="730"/>
    <d v="2026-06-01T00:00:00"/>
    <x v="729"/>
    <x v="728"/>
    <n v="2"/>
    <x v="0"/>
    <x v="1"/>
    <x v="1"/>
    <x v="0"/>
    <n v="2"/>
  </r>
  <r>
    <n v="731"/>
    <d v="2026-06-01T00:00:00"/>
    <x v="730"/>
    <x v="729"/>
    <n v="1"/>
    <x v="0"/>
    <x v="1"/>
    <x v="1"/>
    <x v="0"/>
    <n v="1"/>
  </r>
  <r>
    <n v="732"/>
    <d v="2026-06-01T00:00:00"/>
    <x v="731"/>
    <x v="730"/>
    <n v="1"/>
    <x v="0"/>
    <x v="1"/>
    <x v="1"/>
    <x v="0"/>
    <n v="1"/>
  </r>
  <r>
    <n v="733"/>
    <d v="2026-06-01T00:00:00"/>
    <x v="732"/>
    <x v="731"/>
    <n v="80"/>
    <x v="0"/>
    <x v="1"/>
    <x v="1"/>
    <x v="0"/>
    <n v="80"/>
  </r>
  <r>
    <n v="734"/>
    <d v="2026-06-01T00:00:00"/>
    <x v="733"/>
    <x v="732"/>
    <n v="1"/>
    <x v="0"/>
    <x v="1"/>
    <x v="1"/>
    <x v="0"/>
    <n v="1"/>
  </r>
  <r>
    <n v="735"/>
    <d v="2026-06-01T00:00:00"/>
    <x v="734"/>
    <x v="733"/>
    <n v="9"/>
    <x v="0"/>
    <x v="1"/>
    <x v="1"/>
    <x v="0"/>
    <n v="9"/>
  </r>
  <r>
    <n v="736"/>
    <d v="2026-06-01T00:00:00"/>
    <x v="735"/>
    <x v="734"/>
    <n v="1"/>
    <x v="0"/>
    <x v="1"/>
    <x v="1"/>
    <x v="0"/>
    <n v="1"/>
  </r>
  <r>
    <n v="737"/>
    <d v="2026-06-01T00:00:00"/>
    <x v="736"/>
    <x v="735"/>
    <n v="1"/>
    <x v="0"/>
    <x v="1"/>
    <x v="1"/>
    <x v="0"/>
    <n v="1"/>
  </r>
  <r>
    <n v="738"/>
    <d v="2026-06-01T00:00:00"/>
    <x v="737"/>
    <x v="736"/>
    <n v="12"/>
    <x v="0"/>
    <x v="1"/>
    <x v="1"/>
    <x v="0"/>
    <n v="12"/>
  </r>
  <r>
    <n v="739"/>
    <d v="2026-06-01T00:00:00"/>
    <x v="738"/>
    <x v="737"/>
    <n v="1"/>
    <x v="0"/>
    <x v="1"/>
    <x v="1"/>
    <x v="0"/>
    <n v="1"/>
  </r>
  <r>
    <n v="740"/>
    <d v="2026-06-01T00:00:00"/>
    <x v="739"/>
    <x v="738"/>
    <n v="7"/>
    <x v="0"/>
    <x v="1"/>
    <x v="1"/>
    <x v="0"/>
    <n v="7"/>
  </r>
  <r>
    <n v="741"/>
    <d v="2026-06-01T00:00:00"/>
    <x v="740"/>
    <x v="739"/>
    <n v="17"/>
    <x v="0"/>
    <x v="1"/>
    <x v="1"/>
    <x v="0"/>
    <n v="17"/>
  </r>
  <r>
    <n v="742"/>
    <d v="2026-06-01T00:00:00"/>
    <x v="741"/>
    <x v="740"/>
    <n v="1"/>
    <x v="0"/>
    <x v="1"/>
    <x v="1"/>
    <x v="0"/>
    <n v="1"/>
  </r>
  <r>
    <n v="743"/>
    <d v="2026-06-01T00:00:00"/>
    <x v="742"/>
    <x v="741"/>
    <n v="1"/>
    <x v="0"/>
    <x v="1"/>
    <x v="1"/>
    <x v="0"/>
    <n v="1"/>
  </r>
  <r>
    <n v="744"/>
    <d v="2026-06-01T00:00:00"/>
    <x v="743"/>
    <x v="742"/>
    <n v="1"/>
    <x v="0"/>
    <x v="1"/>
    <x v="1"/>
    <x v="0"/>
    <n v="1"/>
  </r>
  <r>
    <n v="745"/>
    <d v="2026-06-01T00:00:00"/>
    <x v="744"/>
    <x v="743"/>
    <n v="2"/>
    <x v="0"/>
    <x v="1"/>
    <x v="1"/>
    <x v="0"/>
    <n v="2"/>
  </r>
  <r>
    <n v="746"/>
    <d v="2026-06-01T00:00:00"/>
    <x v="745"/>
    <x v="744"/>
    <n v="1"/>
    <x v="0"/>
    <x v="1"/>
    <x v="1"/>
    <x v="0"/>
    <n v="1"/>
  </r>
  <r>
    <n v="747"/>
    <d v="2026-06-01T00:00:00"/>
    <x v="746"/>
    <x v="745"/>
    <n v="1"/>
    <x v="0"/>
    <x v="1"/>
    <x v="1"/>
    <x v="0"/>
    <n v="1"/>
  </r>
  <r>
    <n v="748"/>
    <d v="2026-06-01T00:00:00"/>
    <x v="747"/>
    <x v="746"/>
    <n v="2"/>
    <x v="0"/>
    <x v="1"/>
    <x v="1"/>
    <x v="0"/>
    <n v="2"/>
  </r>
  <r>
    <n v="749"/>
    <d v="2026-06-01T00:00:00"/>
    <x v="748"/>
    <x v="747"/>
    <n v="3"/>
    <x v="0"/>
    <x v="1"/>
    <x v="1"/>
    <x v="0"/>
    <n v="3"/>
  </r>
  <r>
    <n v="750"/>
    <d v="2026-06-01T00:00:00"/>
    <x v="749"/>
    <x v="748"/>
    <n v="2"/>
    <x v="0"/>
    <x v="1"/>
    <x v="1"/>
    <x v="0"/>
    <n v="2"/>
  </r>
  <r>
    <n v="751"/>
    <d v="2026-06-01T00:00:00"/>
    <x v="750"/>
    <x v="749"/>
    <n v="1"/>
    <x v="0"/>
    <x v="1"/>
    <x v="1"/>
    <x v="0"/>
    <n v="1"/>
  </r>
  <r>
    <n v="752"/>
    <d v="2026-06-01T00:00:00"/>
    <x v="751"/>
    <x v="750"/>
    <n v="1"/>
    <x v="0"/>
    <x v="1"/>
    <x v="1"/>
    <x v="0"/>
    <n v="1"/>
  </r>
  <r>
    <n v="753"/>
    <d v="2026-06-01T00:00:00"/>
    <x v="752"/>
    <x v="751"/>
    <n v="420"/>
    <x v="0"/>
    <x v="1"/>
    <x v="1"/>
    <x v="0"/>
    <n v="420"/>
  </r>
  <r>
    <n v="754"/>
    <d v="2026-06-01T00:00:00"/>
    <x v="753"/>
    <x v="752"/>
    <n v="553"/>
    <x v="0"/>
    <x v="1"/>
    <x v="1"/>
    <x v="0"/>
    <n v="553"/>
  </r>
  <r>
    <n v="755"/>
    <d v="2026-06-01T00:00:00"/>
    <x v="754"/>
    <x v="753"/>
    <n v="127"/>
    <x v="0"/>
    <x v="1"/>
    <x v="1"/>
    <x v="0"/>
    <n v="127"/>
  </r>
  <r>
    <n v="756"/>
    <d v="2026-06-01T00:00:00"/>
    <x v="755"/>
    <x v="754"/>
    <n v="8"/>
    <x v="0"/>
    <x v="1"/>
    <x v="1"/>
    <x v="0"/>
    <n v="8"/>
  </r>
  <r>
    <n v="757"/>
    <d v="2026-06-01T00:00:00"/>
    <x v="756"/>
    <x v="755"/>
    <n v="45"/>
    <x v="0"/>
    <x v="1"/>
    <x v="1"/>
    <x v="0"/>
    <n v="45"/>
  </r>
  <r>
    <n v="758"/>
    <d v="2026-06-01T00:00:00"/>
    <x v="757"/>
    <x v="756"/>
    <n v="464"/>
    <x v="0"/>
    <x v="1"/>
    <x v="1"/>
    <x v="0"/>
    <n v="464"/>
  </r>
  <r>
    <n v="759"/>
    <d v="2026-06-01T00:00:00"/>
    <x v="758"/>
    <x v="757"/>
    <n v="104"/>
    <x v="0"/>
    <x v="1"/>
    <x v="1"/>
    <x v="0"/>
    <n v="104"/>
  </r>
  <r>
    <n v="760"/>
    <d v="2026-06-01T00:00:00"/>
    <x v="759"/>
    <x v="758"/>
    <n v="94"/>
    <x v="0"/>
    <x v="1"/>
    <x v="1"/>
    <x v="0"/>
    <n v="94"/>
  </r>
  <r>
    <n v="761"/>
    <d v="2026-06-01T00:00:00"/>
    <x v="760"/>
    <x v="759"/>
    <n v="2"/>
    <x v="0"/>
    <x v="1"/>
    <x v="1"/>
    <x v="0"/>
    <n v="2"/>
  </r>
  <r>
    <n v="762"/>
    <d v="2026-06-01T00:00:00"/>
    <x v="761"/>
    <x v="760"/>
    <n v="1"/>
    <x v="0"/>
    <x v="1"/>
    <x v="1"/>
    <x v="0"/>
    <n v="1"/>
  </r>
  <r>
    <n v="763"/>
    <d v="2026-06-01T00:00:00"/>
    <x v="762"/>
    <x v="761"/>
    <n v="1"/>
    <x v="0"/>
    <x v="1"/>
    <x v="1"/>
    <x v="0"/>
    <n v="1"/>
  </r>
  <r>
    <n v="764"/>
    <d v="2026-06-01T00:00:00"/>
    <x v="763"/>
    <x v="762"/>
    <n v="1"/>
    <x v="0"/>
    <x v="1"/>
    <x v="1"/>
    <x v="0"/>
    <n v="1"/>
  </r>
  <r>
    <n v="765"/>
    <d v="2026-06-01T00:00:00"/>
    <x v="764"/>
    <x v="763"/>
    <n v="1"/>
    <x v="0"/>
    <x v="1"/>
    <x v="1"/>
    <x v="0"/>
    <n v="1"/>
  </r>
  <r>
    <n v="766"/>
    <d v="2026-06-01T00:00:00"/>
    <x v="765"/>
    <x v="764"/>
    <n v="1"/>
    <x v="0"/>
    <x v="1"/>
    <x v="1"/>
    <x v="0"/>
    <n v="1"/>
  </r>
  <r>
    <n v="767"/>
    <d v="2026-06-01T00:00:00"/>
    <x v="766"/>
    <x v="765"/>
    <n v="1"/>
    <x v="0"/>
    <x v="1"/>
    <x v="1"/>
    <x v="0"/>
    <n v="1"/>
  </r>
  <r>
    <n v="768"/>
    <d v="2026-06-01T00:00:00"/>
    <x v="767"/>
    <x v="766"/>
    <n v="1"/>
    <x v="0"/>
    <x v="1"/>
    <x v="1"/>
    <x v="0"/>
    <n v="1"/>
  </r>
  <r>
    <n v="769"/>
    <d v="2026-06-01T00:00:00"/>
    <x v="768"/>
    <x v="767"/>
    <n v="10"/>
    <x v="0"/>
    <x v="1"/>
    <x v="1"/>
    <x v="0"/>
    <n v="10"/>
  </r>
  <r>
    <n v="770"/>
    <d v="2026-06-01T00:00:00"/>
    <x v="769"/>
    <x v="529"/>
    <n v="0"/>
    <x v="0"/>
    <x v="1"/>
    <x v="1"/>
    <x v="0"/>
    <n v="0"/>
  </r>
  <r>
    <n v="771"/>
    <d v="2026-06-01T00:00:00"/>
    <x v="770"/>
    <x v="768"/>
    <n v="1"/>
    <x v="0"/>
    <x v="1"/>
    <x v="1"/>
    <x v="0"/>
    <n v="1"/>
  </r>
  <r>
    <n v="772"/>
    <d v="2026-06-01T00:00:00"/>
    <x v="771"/>
    <x v="769"/>
    <n v="1"/>
    <x v="0"/>
    <x v="1"/>
    <x v="1"/>
    <x v="0"/>
    <n v="1"/>
  </r>
  <r>
    <n v="773"/>
    <d v="2026-06-01T00:00:00"/>
    <x v="772"/>
    <x v="770"/>
    <n v="1"/>
    <x v="0"/>
    <x v="1"/>
    <x v="1"/>
    <x v="0"/>
    <n v="1"/>
  </r>
  <r>
    <n v="774"/>
    <d v="2026-06-01T00:00:00"/>
    <x v="773"/>
    <x v="771"/>
    <n v="1"/>
    <x v="0"/>
    <x v="1"/>
    <x v="1"/>
    <x v="0"/>
    <n v="1"/>
  </r>
  <r>
    <n v="775"/>
    <d v="2026-06-01T00:00:00"/>
    <x v="774"/>
    <x v="772"/>
    <n v="1"/>
    <x v="0"/>
    <x v="1"/>
    <x v="1"/>
    <x v="0"/>
    <n v="1"/>
  </r>
  <r>
    <n v="776"/>
    <d v="2026-06-01T00:00:00"/>
    <x v="775"/>
    <x v="773"/>
    <n v="4"/>
    <x v="0"/>
    <x v="1"/>
    <x v="1"/>
    <x v="0"/>
    <n v="4"/>
  </r>
  <r>
    <n v="777"/>
    <d v="2026-06-01T00:00:00"/>
    <x v="776"/>
    <x v="774"/>
    <n v="1"/>
    <x v="0"/>
    <x v="1"/>
    <x v="1"/>
    <x v="0"/>
    <n v="1"/>
  </r>
  <r>
    <n v="778"/>
    <d v="2026-06-01T00:00:00"/>
    <x v="777"/>
    <x v="775"/>
    <n v="1"/>
    <x v="0"/>
    <x v="1"/>
    <x v="1"/>
    <x v="0"/>
    <n v="1"/>
  </r>
  <r>
    <n v="779"/>
    <d v="2026-06-01T00:00:00"/>
    <x v="778"/>
    <x v="776"/>
    <n v="1"/>
    <x v="0"/>
    <x v="1"/>
    <x v="1"/>
    <x v="0"/>
    <n v="1"/>
  </r>
  <r>
    <n v="780"/>
    <d v="2026-06-01T00:00:00"/>
    <x v="779"/>
    <x v="777"/>
    <n v="1"/>
    <x v="0"/>
    <x v="1"/>
    <x v="1"/>
    <x v="0"/>
    <n v="1"/>
  </r>
  <r>
    <n v="781"/>
    <d v="2026-06-01T00:00:00"/>
    <x v="780"/>
    <x v="778"/>
    <n v="10"/>
    <x v="0"/>
    <x v="1"/>
    <x v="1"/>
    <x v="0"/>
    <n v="10"/>
  </r>
  <r>
    <n v="782"/>
    <d v="2026-06-01T00:00:00"/>
    <x v="781"/>
    <x v="779"/>
    <n v="94"/>
    <x v="0"/>
    <x v="1"/>
    <x v="1"/>
    <x v="0"/>
    <n v="94"/>
  </r>
  <r>
    <n v="783"/>
    <d v="2026-06-01T00:00:00"/>
    <x v="782"/>
    <x v="780"/>
    <n v="50"/>
    <x v="0"/>
    <x v="1"/>
    <x v="1"/>
    <x v="0"/>
    <n v="50"/>
  </r>
  <r>
    <n v="784"/>
    <d v="2026-06-01T00:00:00"/>
    <x v="783"/>
    <x v="781"/>
    <n v="1"/>
    <x v="0"/>
    <x v="1"/>
    <x v="1"/>
    <x v="0"/>
    <n v="1"/>
  </r>
  <r>
    <n v="785"/>
    <d v="2026-06-01T00:00:00"/>
    <x v="784"/>
    <x v="782"/>
    <n v="1"/>
    <x v="0"/>
    <x v="1"/>
    <x v="1"/>
    <x v="0"/>
    <n v="1"/>
  </r>
  <r>
    <n v="786"/>
    <d v="2026-06-01T00:00:00"/>
    <x v="785"/>
    <x v="783"/>
    <n v="1"/>
    <x v="0"/>
    <x v="1"/>
    <x v="1"/>
    <x v="0"/>
    <n v="1"/>
  </r>
  <r>
    <n v="787"/>
    <d v="2026-06-01T00:00:00"/>
    <x v="786"/>
    <x v="784"/>
    <n v="1"/>
    <x v="0"/>
    <x v="1"/>
    <x v="1"/>
    <x v="0"/>
    <n v="1"/>
  </r>
  <r>
    <n v="788"/>
    <d v="2026-06-01T00:00:00"/>
    <x v="787"/>
    <x v="785"/>
    <n v="12"/>
    <x v="0"/>
    <x v="1"/>
    <x v="1"/>
    <x v="0"/>
    <n v="12"/>
  </r>
  <r>
    <n v="789"/>
    <d v="2026-06-01T00:00:00"/>
    <x v="788"/>
    <x v="786"/>
    <n v="142"/>
    <x v="0"/>
    <x v="1"/>
    <x v="1"/>
    <x v="0"/>
    <n v="142"/>
  </r>
  <r>
    <n v="790"/>
    <d v="2026-06-01T00:00:00"/>
    <x v="789"/>
    <x v="787"/>
    <n v="4"/>
    <x v="0"/>
    <x v="1"/>
    <x v="1"/>
    <x v="0"/>
    <n v="4"/>
  </r>
  <r>
    <n v="791"/>
    <d v="2026-06-01T00:00:00"/>
    <x v="790"/>
    <x v="788"/>
    <n v="4"/>
    <x v="0"/>
    <x v="1"/>
    <x v="1"/>
    <x v="0"/>
    <n v="4"/>
  </r>
  <r>
    <n v="792"/>
    <d v="2026-06-01T00:00:00"/>
    <x v="791"/>
    <x v="789"/>
    <n v="2"/>
    <x v="0"/>
    <x v="1"/>
    <x v="1"/>
    <x v="0"/>
    <n v="2"/>
  </r>
  <r>
    <n v="793"/>
    <d v="2026-06-01T00:00:00"/>
    <x v="792"/>
    <x v="790"/>
    <n v="1"/>
    <x v="0"/>
    <x v="1"/>
    <x v="1"/>
    <x v="0"/>
    <n v="1"/>
  </r>
  <r>
    <n v="794"/>
    <d v="2026-06-01T00:00:00"/>
    <x v="793"/>
    <x v="791"/>
    <n v="1"/>
    <x v="0"/>
    <x v="1"/>
    <x v="1"/>
    <x v="0"/>
    <n v="1"/>
  </r>
  <r>
    <n v="795"/>
    <d v="2026-06-01T00:00:00"/>
    <x v="794"/>
    <x v="792"/>
    <n v="1"/>
    <x v="0"/>
    <x v="1"/>
    <x v="1"/>
    <x v="0"/>
    <n v="1"/>
  </r>
  <r>
    <n v="796"/>
    <d v="2026-06-01T00:00:00"/>
    <x v="795"/>
    <x v="793"/>
    <n v="40"/>
    <x v="0"/>
    <x v="1"/>
    <x v="1"/>
    <x v="0"/>
    <n v="40"/>
  </r>
  <r>
    <n v="797"/>
    <d v="2026-06-01T00:00:00"/>
    <x v="796"/>
    <x v="794"/>
    <n v="6"/>
    <x v="0"/>
    <x v="1"/>
    <x v="1"/>
    <x v="0"/>
    <n v="6"/>
  </r>
  <r>
    <n v="798"/>
    <d v="2026-06-01T00:00:00"/>
    <x v="797"/>
    <x v="795"/>
    <n v="1"/>
    <x v="0"/>
    <x v="1"/>
    <x v="1"/>
    <x v="0"/>
    <n v="1"/>
  </r>
  <r>
    <n v="799"/>
    <d v="2026-06-01T00:00:00"/>
    <x v="798"/>
    <x v="796"/>
    <n v="10"/>
    <x v="0"/>
    <x v="1"/>
    <x v="1"/>
    <x v="0"/>
    <n v="10"/>
  </r>
  <r>
    <n v="800"/>
    <d v="2026-06-01T00:00:00"/>
    <x v="799"/>
    <x v="797"/>
    <n v="8"/>
    <x v="0"/>
    <x v="1"/>
    <x v="1"/>
    <x v="0"/>
    <n v="8"/>
  </r>
  <r>
    <n v="801"/>
    <d v="2026-06-01T00:00:00"/>
    <x v="800"/>
    <x v="798"/>
    <n v="2"/>
    <x v="0"/>
    <x v="1"/>
    <x v="1"/>
    <x v="0"/>
    <n v="2"/>
  </r>
  <r>
    <n v="802"/>
    <d v="2026-06-01T00:00:00"/>
    <x v="801"/>
    <x v="799"/>
    <n v="6"/>
    <x v="0"/>
    <x v="1"/>
    <x v="1"/>
    <x v="0"/>
    <n v="6"/>
  </r>
  <r>
    <n v="803"/>
    <d v="2026-06-01T00:00:00"/>
    <x v="802"/>
    <x v="800"/>
    <n v="3"/>
    <x v="0"/>
    <x v="1"/>
    <x v="1"/>
    <x v="0"/>
    <n v="3"/>
  </r>
  <r>
    <n v="804"/>
    <d v="2026-06-01T00:00:00"/>
    <x v="803"/>
    <x v="801"/>
    <n v="3"/>
    <x v="0"/>
    <x v="1"/>
    <x v="1"/>
    <x v="0"/>
    <n v="3"/>
  </r>
  <r>
    <n v="805"/>
    <d v="2026-06-01T00:00:00"/>
    <x v="804"/>
    <x v="802"/>
    <n v="1"/>
    <x v="0"/>
    <x v="1"/>
    <x v="1"/>
    <x v="0"/>
    <n v="1"/>
  </r>
  <r>
    <n v="806"/>
    <d v="2026-06-01T00:00:00"/>
    <x v="805"/>
    <x v="803"/>
    <n v="1"/>
    <x v="0"/>
    <x v="1"/>
    <x v="1"/>
    <x v="0"/>
    <n v="1"/>
  </r>
  <r>
    <n v="807"/>
    <d v="2026-06-01T00:00:00"/>
    <x v="806"/>
    <x v="804"/>
    <n v="1"/>
    <x v="0"/>
    <x v="1"/>
    <x v="1"/>
    <x v="0"/>
    <n v="1"/>
  </r>
  <r>
    <n v="808"/>
    <d v="2026-06-01T00:00:00"/>
    <x v="807"/>
    <x v="805"/>
    <n v="1"/>
    <x v="0"/>
    <x v="1"/>
    <x v="1"/>
    <x v="0"/>
    <n v="1"/>
  </r>
  <r>
    <n v="809"/>
    <d v="2026-06-01T00:00:00"/>
    <x v="808"/>
    <x v="806"/>
    <n v="1"/>
    <x v="0"/>
    <x v="1"/>
    <x v="1"/>
    <x v="0"/>
    <n v="1"/>
  </r>
  <r>
    <n v="810"/>
    <d v="2026-06-01T00:00:00"/>
    <x v="809"/>
    <x v="807"/>
    <n v="1"/>
    <x v="0"/>
    <x v="1"/>
    <x v="1"/>
    <x v="0"/>
    <n v="1"/>
  </r>
  <r>
    <n v="811"/>
    <d v="2026-06-01T00:00:00"/>
    <x v="810"/>
    <x v="808"/>
    <n v="3"/>
    <x v="0"/>
    <x v="1"/>
    <x v="1"/>
    <x v="0"/>
    <n v="3"/>
  </r>
  <r>
    <n v="812"/>
    <d v="2026-06-01T00:00:00"/>
    <x v="811"/>
    <x v="809"/>
    <n v="6"/>
    <x v="0"/>
    <x v="1"/>
    <x v="1"/>
    <x v="0"/>
    <n v="6"/>
  </r>
  <r>
    <n v="813"/>
    <d v="2026-06-01T00:00:00"/>
    <x v="812"/>
    <x v="810"/>
    <n v="1"/>
    <x v="0"/>
    <x v="1"/>
    <x v="1"/>
    <x v="0"/>
    <n v="1"/>
  </r>
  <r>
    <n v="814"/>
    <d v="2026-06-01T00:00:00"/>
    <x v="813"/>
    <x v="811"/>
    <n v="1"/>
    <x v="0"/>
    <x v="1"/>
    <x v="1"/>
    <x v="0"/>
    <n v="1"/>
  </r>
  <r>
    <n v="815"/>
    <d v="2026-06-01T00:00:00"/>
    <x v="814"/>
    <x v="812"/>
    <n v="1"/>
    <x v="0"/>
    <x v="1"/>
    <x v="1"/>
    <x v="0"/>
    <n v="1"/>
  </r>
  <r>
    <n v="816"/>
    <d v="2026-06-01T00:00:00"/>
    <x v="815"/>
    <x v="813"/>
    <n v="44"/>
    <x v="0"/>
    <x v="1"/>
    <x v="1"/>
    <x v="0"/>
    <n v="44"/>
  </r>
  <r>
    <n v="817"/>
    <d v="2026-06-01T00:00:00"/>
    <x v="816"/>
    <x v="814"/>
    <n v="3"/>
    <x v="0"/>
    <x v="1"/>
    <x v="1"/>
    <x v="0"/>
    <n v="3"/>
  </r>
  <r>
    <n v="818"/>
    <d v="2026-06-01T00:00:00"/>
    <x v="817"/>
    <x v="815"/>
    <n v="54"/>
    <x v="0"/>
    <x v="1"/>
    <x v="1"/>
    <x v="0"/>
    <n v="54"/>
  </r>
  <r>
    <n v="819"/>
    <d v="2026-06-01T00:00:00"/>
    <x v="818"/>
    <x v="816"/>
    <n v="54"/>
    <x v="0"/>
    <x v="1"/>
    <x v="1"/>
    <x v="0"/>
    <n v="54"/>
  </r>
  <r>
    <n v="820"/>
    <d v="2026-06-01T00:00:00"/>
    <x v="819"/>
    <x v="817"/>
    <n v="11"/>
    <x v="0"/>
    <x v="1"/>
    <x v="1"/>
    <x v="0"/>
    <n v="11"/>
  </r>
  <r>
    <n v="821"/>
    <d v="2026-06-01T00:00:00"/>
    <x v="820"/>
    <x v="818"/>
    <n v="2"/>
    <x v="0"/>
    <x v="1"/>
    <x v="1"/>
    <x v="0"/>
    <n v="2"/>
  </r>
  <r>
    <n v="822"/>
    <d v="2026-06-01T00:00:00"/>
    <x v="821"/>
    <x v="819"/>
    <n v="3"/>
    <x v="0"/>
    <x v="1"/>
    <x v="1"/>
    <x v="0"/>
    <n v="3"/>
  </r>
  <r>
    <n v="823"/>
    <d v="2026-06-01T00:00:00"/>
    <x v="822"/>
    <x v="820"/>
    <n v="93"/>
    <x v="0"/>
    <x v="1"/>
    <x v="1"/>
    <x v="0"/>
    <n v="93"/>
  </r>
  <r>
    <n v="824"/>
    <d v="2026-06-01T00:00:00"/>
    <x v="823"/>
    <x v="821"/>
    <n v="94"/>
    <x v="0"/>
    <x v="1"/>
    <x v="1"/>
    <x v="0"/>
    <n v="94"/>
  </r>
  <r>
    <n v="825"/>
    <d v="2026-06-01T00:00:00"/>
    <x v="824"/>
    <x v="822"/>
    <n v="10"/>
    <x v="0"/>
    <x v="1"/>
    <x v="1"/>
    <x v="0"/>
    <n v="10"/>
  </r>
  <r>
    <n v="826"/>
    <d v="2026-06-01T00:00:00"/>
    <x v="825"/>
    <x v="823"/>
    <n v="14"/>
    <x v="0"/>
    <x v="1"/>
    <x v="1"/>
    <x v="0"/>
    <n v="14"/>
  </r>
  <r>
    <n v="827"/>
    <d v="2026-06-01T00:00:00"/>
    <x v="826"/>
    <x v="824"/>
    <n v="6"/>
    <x v="0"/>
    <x v="1"/>
    <x v="1"/>
    <x v="0"/>
    <n v="6"/>
  </r>
  <r>
    <n v="828"/>
    <d v="2026-06-01T00:00:00"/>
    <x v="827"/>
    <x v="825"/>
    <n v="2"/>
    <x v="0"/>
    <x v="1"/>
    <x v="1"/>
    <x v="0"/>
    <n v="2"/>
  </r>
  <r>
    <n v="829"/>
    <d v="2026-06-01T00:00:00"/>
    <x v="828"/>
    <x v="826"/>
    <n v="3"/>
    <x v="0"/>
    <x v="1"/>
    <x v="1"/>
    <x v="0"/>
    <n v="3"/>
  </r>
  <r>
    <n v="830"/>
    <d v="2026-06-01T00:00:00"/>
    <x v="829"/>
    <x v="827"/>
    <n v="1"/>
    <x v="0"/>
    <x v="1"/>
    <x v="1"/>
    <x v="0"/>
    <n v="1"/>
  </r>
  <r>
    <n v="831"/>
    <d v="2026-06-01T00:00:00"/>
    <x v="830"/>
    <x v="828"/>
    <n v="2"/>
    <x v="0"/>
    <x v="1"/>
    <x v="1"/>
    <x v="0"/>
    <n v="2"/>
  </r>
  <r>
    <n v="832"/>
    <d v="2026-06-01T00:00:00"/>
    <x v="831"/>
    <x v="829"/>
    <n v="1"/>
    <x v="0"/>
    <x v="1"/>
    <x v="1"/>
    <x v="0"/>
    <n v="1"/>
  </r>
  <r>
    <n v="833"/>
    <d v="2026-06-01T00:00:00"/>
    <x v="832"/>
    <x v="830"/>
    <n v="2"/>
    <x v="0"/>
    <x v="1"/>
    <x v="1"/>
    <x v="0"/>
    <n v="2"/>
  </r>
  <r>
    <n v="834"/>
    <d v="2026-06-01T00:00:00"/>
    <x v="833"/>
    <x v="831"/>
    <n v="3"/>
    <x v="0"/>
    <x v="1"/>
    <x v="1"/>
    <x v="0"/>
    <n v="3"/>
  </r>
  <r>
    <n v="835"/>
    <d v="2026-06-01T00:00:00"/>
    <x v="834"/>
    <x v="832"/>
    <n v="1"/>
    <x v="0"/>
    <x v="1"/>
    <x v="1"/>
    <x v="0"/>
    <n v="1"/>
  </r>
  <r>
    <n v="836"/>
    <d v="2026-06-01T00:00:00"/>
    <x v="835"/>
    <x v="833"/>
    <n v="140"/>
    <x v="0"/>
    <x v="1"/>
    <x v="1"/>
    <x v="0"/>
    <n v="140"/>
  </r>
  <r>
    <n v="837"/>
    <d v="2026-06-01T00:00:00"/>
    <x v="836"/>
    <x v="834"/>
    <n v="85"/>
    <x v="0"/>
    <x v="1"/>
    <x v="1"/>
    <x v="0"/>
    <n v="85"/>
  </r>
  <r>
    <n v="838"/>
    <d v="2026-06-01T00:00:00"/>
    <x v="837"/>
    <x v="835"/>
    <n v="4"/>
    <x v="0"/>
    <x v="1"/>
    <x v="1"/>
    <x v="0"/>
    <n v="4"/>
  </r>
  <r>
    <n v="839"/>
    <d v="2026-06-01T00:00:00"/>
    <x v="838"/>
    <x v="836"/>
    <n v="7"/>
    <x v="0"/>
    <x v="1"/>
    <x v="1"/>
    <x v="0"/>
    <n v="7"/>
  </r>
  <r>
    <n v="840"/>
    <d v="2026-06-01T00:00:00"/>
    <x v="839"/>
    <x v="837"/>
    <n v="2"/>
    <x v="0"/>
    <x v="1"/>
    <x v="1"/>
    <x v="0"/>
    <n v="2"/>
  </r>
  <r>
    <n v="841"/>
    <d v="2026-06-01T00:00:00"/>
    <x v="840"/>
    <x v="838"/>
    <n v="1"/>
    <x v="0"/>
    <x v="1"/>
    <x v="1"/>
    <x v="0"/>
    <n v="1"/>
  </r>
  <r>
    <n v="842"/>
    <d v="2026-06-01T00:00:00"/>
    <x v="841"/>
    <x v="839"/>
    <n v="1"/>
    <x v="0"/>
    <x v="1"/>
    <x v="1"/>
    <x v="0"/>
    <n v="1"/>
  </r>
  <r>
    <n v="843"/>
    <d v="2026-06-01T00:00:00"/>
    <x v="842"/>
    <x v="840"/>
    <n v="1"/>
    <x v="0"/>
    <x v="1"/>
    <x v="1"/>
    <x v="0"/>
    <n v="1"/>
  </r>
  <r>
    <n v="844"/>
    <d v="2026-06-01T00:00:00"/>
    <x v="843"/>
    <x v="841"/>
    <n v="1"/>
    <x v="0"/>
    <x v="1"/>
    <x v="1"/>
    <x v="0"/>
    <n v="1"/>
  </r>
  <r>
    <n v="845"/>
    <d v="2026-06-01T00:00:00"/>
    <x v="844"/>
    <x v="842"/>
    <n v="1"/>
    <x v="0"/>
    <x v="1"/>
    <x v="1"/>
    <x v="0"/>
    <n v="1"/>
  </r>
  <r>
    <n v="846"/>
    <d v="2026-06-01T00:00:00"/>
    <x v="845"/>
    <x v="843"/>
    <n v="2"/>
    <x v="0"/>
    <x v="1"/>
    <x v="1"/>
    <x v="0"/>
    <n v="2"/>
  </r>
  <r>
    <n v="847"/>
    <d v="2026-06-01T00:00:00"/>
    <x v="846"/>
    <x v="844"/>
    <n v="1"/>
    <x v="0"/>
    <x v="1"/>
    <x v="1"/>
    <x v="0"/>
    <n v="1"/>
  </r>
  <r>
    <n v="848"/>
    <d v="2026-06-01T00:00:00"/>
    <x v="847"/>
    <x v="845"/>
    <n v="2"/>
    <x v="0"/>
    <x v="1"/>
    <x v="1"/>
    <x v="0"/>
    <n v="2"/>
  </r>
  <r>
    <n v="849"/>
    <d v="2026-06-01T00:00:00"/>
    <x v="848"/>
    <x v="846"/>
    <n v="1"/>
    <x v="0"/>
    <x v="1"/>
    <x v="1"/>
    <x v="0"/>
    <n v="1"/>
  </r>
  <r>
    <n v="850"/>
    <d v="2026-06-01T00:00:00"/>
    <x v="849"/>
    <x v="847"/>
    <n v="7"/>
    <x v="0"/>
    <x v="1"/>
    <x v="1"/>
    <x v="0"/>
    <n v="7"/>
  </r>
  <r>
    <n v="851"/>
    <d v="2026-06-01T00:00:00"/>
    <x v="850"/>
    <x v="848"/>
    <n v="2"/>
    <x v="0"/>
    <x v="1"/>
    <x v="1"/>
    <x v="0"/>
    <n v="2"/>
  </r>
  <r>
    <n v="852"/>
    <d v="2026-06-01T00:00:00"/>
    <x v="851"/>
    <x v="849"/>
    <n v="44"/>
    <x v="0"/>
    <x v="1"/>
    <x v="1"/>
    <x v="0"/>
    <n v="44"/>
  </r>
  <r>
    <n v="853"/>
    <d v="2026-06-01T00:00:00"/>
    <x v="852"/>
    <x v="850"/>
    <n v="18"/>
    <x v="0"/>
    <x v="1"/>
    <x v="1"/>
    <x v="0"/>
    <n v="18"/>
  </r>
  <r>
    <n v="854"/>
    <d v="2026-06-01T00:00:00"/>
    <x v="853"/>
    <x v="851"/>
    <n v="44"/>
    <x v="0"/>
    <x v="1"/>
    <x v="1"/>
    <x v="0"/>
    <n v="44"/>
  </r>
  <r>
    <n v="855"/>
    <d v="2026-06-01T00:00:00"/>
    <x v="854"/>
    <x v="852"/>
    <n v="12"/>
    <x v="0"/>
    <x v="1"/>
    <x v="1"/>
    <x v="0"/>
    <n v="12"/>
  </r>
  <r>
    <n v="856"/>
    <d v="2026-06-01T00:00:00"/>
    <x v="855"/>
    <x v="853"/>
    <n v="4"/>
    <x v="0"/>
    <x v="1"/>
    <x v="1"/>
    <x v="0"/>
    <n v="4"/>
  </r>
  <r>
    <n v="857"/>
    <d v="2026-06-01T00:00:00"/>
    <x v="856"/>
    <x v="854"/>
    <n v="9"/>
    <x v="0"/>
    <x v="1"/>
    <x v="1"/>
    <x v="0"/>
    <n v="9"/>
  </r>
  <r>
    <n v="858"/>
    <d v="2026-06-01T00:00:00"/>
    <x v="857"/>
    <x v="855"/>
    <n v="100"/>
    <x v="0"/>
    <x v="1"/>
    <x v="1"/>
    <x v="0"/>
    <n v="100"/>
  </r>
  <r>
    <n v="859"/>
    <d v="2026-06-01T00:00:00"/>
    <x v="858"/>
    <x v="856"/>
    <n v="8"/>
    <x v="0"/>
    <x v="1"/>
    <x v="1"/>
    <x v="0"/>
    <n v="8"/>
  </r>
  <r>
    <n v="860"/>
    <d v="2026-06-01T00:00:00"/>
    <x v="859"/>
    <x v="857"/>
    <n v="14"/>
    <x v="0"/>
    <x v="1"/>
    <x v="1"/>
    <x v="0"/>
    <n v="14"/>
  </r>
  <r>
    <n v="861"/>
    <d v="2026-06-01T00:00:00"/>
    <x v="860"/>
    <x v="858"/>
    <n v="7"/>
    <x v="0"/>
    <x v="1"/>
    <x v="1"/>
    <x v="0"/>
    <n v="7"/>
  </r>
  <r>
    <n v="862"/>
    <d v="2026-06-01T00:00:00"/>
    <x v="861"/>
    <x v="859"/>
    <n v="1"/>
    <x v="0"/>
    <x v="1"/>
    <x v="1"/>
    <x v="0"/>
    <n v="1"/>
  </r>
  <r>
    <n v="863"/>
    <d v="2026-06-01T00:00:00"/>
    <x v="862"/>
    <x v="860"/>
    <n v="1"/>
    <x v="0"/>
    <x v="1"/>
    <x v="1"/>
    <x v="0"/>
    <n v="1"/>
  </r>
  <r>
    <n v="864"/>
    <d v="2026-06-01T00:00:00"/>
    <x v="863"/>
    <x v="861"/>
    <n v="9"/>
    <x v="0"/>
    <x v="1"/>
    <x v="1"/>
    <x v="0"/>
    <n v="9"/>
  </r>
  <r>
    <n v="865"/>
    <d v="2026-06-01T00:00:00"/>
    <x v="864"/>
    <x v="862"/>
    <n v="1"/>
    <x v="0"/>
    <x v="1"/>
    <x v="1"/>
    <x v="0"/>
    <n v="1"/>
  </r>
  <r>
    <n v="866"/>
    <d v="2026-06-01T00:00:00"/>
    <x v="865"/>
    <x v="863"/>
    <n v="1"/>
    <x v="0"/>
    <x v="1"/>
    <x v="1"/>
    <x v="0"/>
    <n v="1"/>
  </r>
  <r>
    <n v="867"/>
    <d v="2026-06-01T00:00:00"/>
    <x v="866"/>
    <x v="864"/>
    <n v="1"/>
    <x v="0"/>
    <x v="1"/>
    <x v="1"/>
    <x v="0"/>
    <n v="1"/>
  </r>
  <r>
    <n v="868"/>
    <d v="2026-06-01T00:00:00"/>
    <x v="867"/>
    <x v="865"/>
    <n v="3"/>
    <x v="0"/>
    <x v="1"/>
    <x v="1"/>
    <x v="0"/>
    <n v="3"/>
  </r>
  <r>
    <n v="869"/>
    <d v="2026-06-01T00:00:00"/>
    <x v="868"/>
    <x v="866"/>
    <n v="3"/>
    <x v="0"/>
    <x v="1"/>
    <x v="1"/>
    <x v="0"/>
    <n v="3"/>
  </r>
  <r>
    <n v="870"/>
    <d v="2026-06-01T00:00:00"/>
    <x v="869"/>
    <x v="867"/>
    <n v="59"/>
    <x v="0"/>
    <x v="1"/>
    <x v="1"/>
    <x v="0"/>
    <n v="59"/>
  </r>
  <r>
    <n v="871"/>
    <d v="2026-06-01T00:00:00"/>
    <x v="870"/>
    <x v="868"/>
    <n v="40"/>
    <x v="0"/>
    <x v="1"/>
    <x v="1"/>
    <x v="0"/>
    <n v="40"/>
  </r>
  <r>
    <n v="872"/>
    <d v="2026-06-01T00:00:00"/>
    <x v="871"/>
    <x v="869"/>
    <n v="1"/>
    <x v="0"/>
    <x v="1"/>
    <x v="1"/>
    <x v="0"/>
    <n v="1"/>
  </r>
  <r>
    <n v="873"/>
    <d v="2026-06-01T00:00:00"/>
    <x v="872"/>
    <x v="870"/>
    <n v="7"/>
    <x v="0"/>
    <x v="1"/>
    <x v="1"/>
    <x v="0"/>
    <n v="7"/>
  </r>
  <r>
    <n v="874"/>
    <d v="2026-06-01T00:00:00"/>
    <x v="873"/>
    <x v="871"/>
    <n v="2"/>
    <x v="0"/>
    <x v="1"/>
    <x v="1"/>
    <x v="0"/>
    <n v="2"/>
  </r>
  <r>
    <n v="875"/>
    <d v="2026-06-01T00:00:00"/>
    <x v="874"/>
    <x v="872"/>
    <n v="2"/>
    <x v="0"/>
    <x v="1"/>
    <x v="1"/>
    <x v="0"/>
    <n v="2"/>
  </r>
  <r>
    <n v="876"/>
    <d v="2026-06-01T00:00:00"/>
    <x v="875"/>
    <x v="873"/>
    <n v="2"/>
    <x v="0"/>
    <x v="1"/>
    <x v="1"/>
    <x v="0"/>
    <n v="2"/>
  </r>
  <r>
    <n v="877"/>
    <d v="2026-06-01T00:00:00"/>
    <x v="876"/>
    <x v="874"/>
    <n v="1"/>
    <x v="0"/>
    <x v="1"/>
    <x v="1"/>
    <x v="0"/>
    <n v="1"/>
  </r>
  <r>
    <n v="878"/>
    <d v="2026-06-01T00:00:00"/>
    <x v="877"/>
    <x v="875"/>
    <n v="1"/>
    <x v="0"/>
    <x v="1"/>
    <x v="1"/>
    <x v="0"/>
    <n v="1"/>
  </r>
  <r>
    <n v="879"/>
    <d v="2026-06-01T00:00:00"/>
    <x v="878"/>
    <x v="876"/>
    <n v="5"/>
    <x v="0"/>
    <x v="1"/>
    <x v="1"/>
    <x v="0"/>
    <n v="5"/>
  </r>
  <r>
    <n v="880"/>
    <d v="2026-06-01T00:00:00"/>
    <x v="879"/>
    <x v="877"/>
    <n v="10"/>
    <x v="0"/>
    <x v="1"/>
    <x v="1"/>
    <x v="0"/>
    <n v="10"/>
  </r>
  <r>
    <n v="881"/>
    <d v="2026-06-01T00:00:00"/>
    <x v="880"/>
    <x v="878"/>
    <n v="3"/>
    <x v="0"/>
    <x v="1"/>
    <x v="1"/>
    <x v="0"/>
    <n v="3"/>
  </r>
  <r>
    <n v="882"/>
    <d v="2026-06-01T00:00:00"/>
    <x v="881"/>
    <x v="879"/>
    <n v="1"/>
    <x v="0"/>
    <x v="1"/>
    <x v="1"/>
    <x v="0"/>
    <n v="1"/>
  </r>
  <r>
    <n v="883"/>
    <d v="2026-06-01T00:00:00"/>
    <x v="882"/>
    <x v="880"/>
    <n v="1"/>
    <x v="0"/>
    <x v="1"/>
    <x v="1"/>
    <x v="0"/>
    <n v="1"/>
  </r>
  <r>
    <n v="884"/>
    <d v="2026-06-01T00:00:00"/>
    <x v="883"/>
    <x v="881"/>
    <n v="1"/>
    <x v="0"/>
    <x v="1"/>
    <x v="1"/>
    <x v="0"/>
    <n v="1"/>
  </r>
  <r>
    <n v="885"/>
    <d v="2026-06-01T00:00:00"/>
    <x v="884"/>
    <x v="882"/>
    <n v="4"/>
    <x v="0"/>
    <x v="1"/>
    <x v="1"/>
    <x v="0"/>
    <n v="4"/>
  </r>
  <r>
    <n v="886"/>
    <d v="2026-06-01T00:00:00"/>
    <x v="885"/>
    <x v="883"/>
    <n v="1"/>
    <x v="0"/>
    <x v="1"/>
    <x v="1"/>
    <x v="0"/>
    <n v="1"/>
  </r>
  <r>
    <n v="887"/>
    <d v="2026-06-01T00:00:00"/>
    <x v="886"/>
    <x v="884"/>
    <n v="1"/>
    <x v="0"/>
    <x v="1"/>
    <x v="1"/>
    <x v="0"/>
    <n v="1"/>
  </r>
  <r>
    <n v="888"/>
    <d v="2026-06-01T00:00:00"/>
    <x v="887"/>
    <x v="885"/>
    <n v="1"/>
    <x v="0"/>
    <x v="1"/>
    <x v="1"/>
    <x v="0"/>
    <n v="1"/>
  </r>
  <r>
    <n v="889"/>
    <d v="2026-06-01T00:00:00"/>
    <x v="888"/>
    <x v="886"/>
    <n v="1"/>
    <x v="0"/>
    <x v="1"/>
    <x v="1"/>
    <x v="0"/>
    <n v="1"/>
  </r>
  <r>
    <n v="890"/>
    <d v="2026-06-01T00:00:00"/>
    <x v="889"/>
    <x v="887"/>
    <n v="1"/>
    <x v="0"/>
    <x v="1"/>
    <x v="1"/>
    <x v="0"/>
    <n v="1"/>
  </r>
  <r>
    <n v="891"/>
    <d v="2026-06-01T00:00:00"/>
    <x v="890"/>
    <x v="888"/>
    <n v="5"/>
    <x v="0"/>
    <x v="1"/>
    <x v="1"/>
    <x v="0"/>
    <n v="5"/>
  </r>
  <r>
    <n v="892"/>
    <d v="2026-06-01T00:00:00"/>
    <x v="891"/>
    <x v="889"/>
    <n v="9"/>
    <x v="0"/>
    <x v="1"/>
    <x v="1"/>
    <x v="0"/>
    <n v="9"/>
  </r>
  <r>
    <n v="893"/>
    <d v="2026-06-01T00:00:00"/>
    <x v="892"/>
    <x v="890"/>
    <n v="6"/>
    <x v="0"/>
    <x v="1"/>
    <x v="1"/>
    <x v="0"/>
    <n v="6"/>
  </r>
  <r>
    <n v="894"/>
    <d v="2026-06-01T00:00:00"/>
    <x v="893"/>
    <x v="891"/>
    <n v="6"/>
    <x v="0"/>
    <x v="1"/>
    <x v="1"/>
    <x v="0"/>
    <n v="6"/>
  </r>
  <r>
    <n v="895"/>
    <d v="2026-06-01T00:00:00"/>
    <x v="894"/>
    <x v="892"/>
    <n v="1"/>
    <x v="0"/>
    <x v="1"/>
    <x v="1"/>
    <x v="0"/>
    <n v="1"/>
  </r>
  <r>
    <n v="896"/>
    <d v="2026-06-01T00:00:00"/>
    <x v="895"/>
    <x v="893"/>
    <n v="1"/>
    <x v="0"/>
    <x v="1"/>
    <x v="1"/>
    <x v="0"/>
    <n v="1"/>
  </r>
  <r>
    <n v="897"/>
    <d v="2026-06-01T00:00:00"/>
    <x v="896"/>
    <x v="894"/>
    <n v="28"/>
    <x v="0"/>
    <x v="1"/>
    <x v="1"/>
    <x v="0"/>
    <n v="28"/>
  </r>
  <r>
    <n v="898"/>
    <d v="2026-06-01T00:00:00"/>
    <x v="897"/>
    <x v="895"/>
    <n v="2"/>
    <x v="0"/>
    <x v="1"/>
    <x v="1"/>
    <x v="0"/>
    <n v="2"/>
  </r>
  <r>
    <n v="899"/>
    <d v="2026-06-01T00:00:00"/>
    <x v="898"/>
    <x v="896"/>
    <n v="1"/>
    <x v="0"/>
    <x v="1"/>
    <x v="1"/>
    <x v="0"/>
    <n v="1"/>
  </r>
  <r>
    <n v="900"/>
    <d v="2026-06-01T00:00:00"/>
    <x v="899"/>
    <x v="529"/>
    <n v="0"/>
    <x v="0"/>
    <x v="1"/>
    <x v="1"/>
    <x v="0"/>
    <n v="0"/>
  </r>
  <r>
    <n v="901"/>
    <d v="2026-06-01T00:00:00"/>
    <x v="900"/>
    <x v="897"/>
    <n v="16"/>
    <x v="0"/>
    <x v="1"/>
    <x v="1"/>
    <x v="0"/>
    <n v="16"/>
  </r>
  <r>
    <n v="902"/>
    <d v="2026-06-01T00:00:00"/>
    <x v="901"/>
    <x v="898"/>
    <n v="63"/>
    <x v="0"/>
    <x v="1"/>
    <x v="1"/>
    <x v="0"/>
    <n v="63"/>
  </r>
  <r>
    <n v="903"/>
    <d v="2026-06-01T00:00:00"/>
    <x v="902"/>
    <x v="899"/>
    <n v="2"/>
    <x v="0"/>
    <x v="1"/>
    <x v="1"/>
    <x v="0"/>
    <n v="2"/>
  </r>
  <r>
    <n v="904"/>
    <d v="2026-06-01T00:00:00"/>
    <x v="903"/>
    <x v="900"/>
    <n v="2"/>
    <x v="0"/>
    <x v="1"/>
    <x v="1"/>
    <x v="0"/>
    <n v="2"/>
  </r>
  <r>
    <n v="905"/>
    <d v="2026-06-01T00:00:00"/>
    <x v="904"/>
    <x v="901"/>
    <n v="2"/>
    <x v="0"/>
    <x v="1"/>
    <x v="1"/>
    <x v="0"/>
    <n v="2"/>
  </r>
  <r>
    <n v="906"/>
    <d v="2026-06-01T00:00:00"/>
    <x v="905"/>
    <x v="902"/>
    <n v="1"/>
    <x v="0"/>
    <x v="1"/>
    <x v="1"/>
    <x v="0"/>
    <n v="1"/>
  </r>
  <r>
    <n v="907"/>
    <d v="2026-06-01T00:00:00"/>
    <x v="906"/>
    <x v="903"/>
    <n v="2"/>
    <x v="0"/>
    <x v="1"/>
    <x v="1"/>
    <x v="0"/>
    <n v="2"/>
  </r>
  <r>
    <n v="908"/>
    <d v="2026-06-01T00:00:00"/>
    <x v="907"/>
    <x v="904"/>
    <n v="1"/>
    <x v="0"/>
    <x v="1"/>
    <x v="1"/>
    <x v="0"/>
    <n v="1"/>
  </r>
  <r>
    <n v="909"/>
    <d v="2026-06-01T00:00:00"/>
    <x v="908"/>
    <x v="905"/>
    <n v="1"/>
    <x v="0"/>
    <x v="1"/>
    <x v="1"/>
    <x v="0"/>
    <n v="1"/>
  </r>
  <r>
    <n v="910"/>
    <d v="2026-06-01T00:00:00"/>
    <x v="909"/>
    <x v="906"/>
    <n v="1"/>
    <x v="0"/>
    <x v="1"/>
    <x v="1"/>
    <x v="0"/>
    <n v="1"/>
  </r>
  <r>
    <n v="911"/>
    <d v="2026-06-01T00:00:00"/>
    <x v="910"/>
    <x v="907"/>
    <n v="1"/>
    <x v="0"/>
    <x v="1"/>
    <x v="1"/>
    <x v="0"/>
    <n v="1"/>
  </r>
  <r>
    <n v="912"/>
    <d v="2026-06-01T00:00:00"/>
    <x v="911"/>
    <x v="908"/>
    <n v="1"/>
    <x v="0"/>
    <x v="1"/>
    <x v="1"/>
    <x v="0"/>
    <n v="1"/>
  </r>
  <r>
    <n v="913"/>
    <d v="2026-06-01T00:00:00"/>
    <x v="912"/>
    <x v="909"/>
    <n v="1"/>
    <x v="0"/>
    <x v="1"/>
    <x v="1"/>
    <x v="0"/>
    <n v="1"/>
  </r>
  <r>
    <n v="914"/>
    <d v="2026-06-01T00:00:00"/>
    <x v="913"/>
    <x v="910"/>
    <n v="1"/>
    <x v="0"/>
    <x v="1"/>
    <x v="1"/>
    <x v="0"/>
    <n v="1"/>
  </r>
  <r>
    <n v="915"/>
    <d v="2026-06-01T00:00:00"/>
    <x v="914"/>
    <x v="911"/>
    <n v="1"/>
    <x v="0"/>
    <x v="1"/>
    <x v="1"/>
    <x v="0"/>
    <n v="1"/>
  </r>
  <r>
    <n v="916"/>
    <d v="2026-06-01T00:00:00"/>
    <x v="915"/>
    <x v="912"/>
    <n v="1"/>
    <x v="0"/>
    <x v="1"/>
    <x v="1"/>
    <x v="0"/>
    <n v="1"/>
  </r>
  <r>
    <n v="917"/>
    <d v="2026-06-01T00:00:00"/>
    <x v="916"/>
    <x v="913"/>
    <n v="1"/>
    <x v="0"/>
    <x v="1"/>
    <x v="1"/>
    <x v="0"/>
    <n v="1"/>
  </r>
  <r>
    <n v="918"/>
    <d v="2026-06-01T00:00:00"/>
    <x v="917"/>
    <x v="914"/>
    <n v="1"/>
    <x v="0"/>
    <x v="1"/>
    <x v="1"/>
    <x v="0"/>
    <n v="1"/>
  </r>
  <r>
    <n v="919"/>
    <d v="2026-06-01T00:00:00"/>
    <x v="918"/>
    <x v="915"/>
    <n v="1"/>
    <x v="0"/>
    <x v="1"/>
    <x v="1"/>
    <x v="0"/>
    <n v="1"/>
  </r>
  <r>
    <n v="920"/>
    <d v="2026-06-01T00:00:00"/>
    <x v="919"/>
    <x v="916"/>
    <n v="2"/>
    <x v="0"/>
    <x v="1"/>
    <x v="1"/>
    <x v="0"/>
    <n v="2"/>
  </r>
  <r>
    <n v="921"/>
    <d v="2026-06-01T00:00:00"/>
    <x v="920"/>
    <x v="529"/>
    <n v="0"/>
    <x v="0"/>
    <x v="1"/>
    <x v="1"/>
    <x v="0"/>
    <n v="0"/>
  </r>
  <r>
    <n v="922"/>
    <d v="2026-06-01T00:00:00"/>
    <x v="921"/>
    <x v="917"/>
    <n v="3"/>
    <x v="0"/>
    <x v="1"/>
    <x v="1"/>
    <x v="0"/>
    <n v="3"/>
  </r>
  <r>
    <n v="923"/>
    <d v="2026-06-01T00:00:00"/>
    <x v="922"/>
    <x v="918"/>
    <n v="5"/>
    <x v="0"/>
    <x v="1"/>
    <x v="1"/>
    <x v="0"/>
    <n v="5"/>
  </r>
  <r>
    <n v="924"/>
    <d v="2026-06-01T00:00:00"/>
    <x v="923"/>
    <x v="919"/>
    <n v="1"/>
    <x v="0"/>
    <x v="1"/>
    <x v="1"/>
    <x v="0"/>
    <n v="1"/>
  </r>
  <r>
    <n v="925"/>
    <d v="2026-06-01T00:00:00"/>
    <x v="924"/>
    <x v="920"/>
    <n v="1"/>
    <x v="0"/>
    <x v="1"/>
    <x v="1"/>
    <x v="0"/>
    <n v="1"/>
  </r>
  <r>
    <n v="926"/>
    <d v="2026-06-01T00:00:00"/>
    <x v="925"/>
    <x v="921"/>
    <n v="6"/>
    <x v="0"/>
    <x v="1"/>
    <x v="1"/>
    <x v="0"/>
    <n v="6"/>
  </r>
  <r>
    <n v="927"/>
    <d v="2026-06-01T00:00:00"/>
    <x v="926"/>
    <x v="922"/>
    <n v="2"/>
    <x v="0"/>
    <x v="1"/>
    <x v="1"/>
    <x v="0"/>
    <n v="2"/>
  </r>
  <r>
    <n v="928"/>
    <d v="2026-06-01T00:00:00"/>
    <x v="927"/>
    <x v="923"/>
    <n v="1"/>
    <x v="0"/>
    <x v="1"/>
    <x v="1"/>
    <x v="0"/>
    <n v="1"/>
  </r>
  <r>
    <n v="929"/>
    <d v="2026-06-01T00:00:00"/>
    <x v="928"/>
    <x v="924"/>
    <n v="1"/>
    <x v="0"/>
    <x v="1"/>
    <x v="1"/>
    <x v="0"/>
    <n v="1"/>
  </r>
  <r>
    <n v="930"/>
    <d v="2026-06-01T00:00:00"/>
    <x v="929"/>
    <x v="925"/>
    <n v="1"/>
    <x v="0"/>
    <x v="1"/>
    <x v="1"/>
    <x v="0"/>
    <n v="1"/>
  </r>
  <r>
    <n v="931"/>
    <d v="2026-06-01T00:00:00"/>
    <x v="930"/>
    <x v="926"/>
    <n v="1"/>
    <x v="0"/>
    <x v="1"/>
    <x v="1"/>
    <x v="0"/>
    <n v="1"/>
  </r>
  <r>
    <n v="932"/>
    <d v="2026-06-01T00:00:00"/>
    <x v="931"/>
    <x v="927"/>
    <n v="1"/>
    <x v="0"/>
    <x v="1"/>
    <x v="1"/>
    <x v="0"/>
    <n v="1"/>
  </r>
  <r>
    <n v="933"/>
    <d v="2026-06-01T00:00:00"/>
    <x v="932"/>
    <x v="928"/>
    <n v="1"/>
    <x v="0"/>
    <x v="1"/>
    <x v="1"/>
    <x v="0"/>
    <n v="1"/>
  </r>
  <r>
    <n v="934"/>
    <d v="2026-06-01T00:00:00"/>
    <x v="933"/>
    <x v="929"/>
    <n v="1"/>
    <x v="0"/>
    <x v="1"/>
    <x v="1"/>
    <x v="0"/>
    <n v="1"/>
  </r>
  <r>
    <n v="935"/>
    <d v="2026-06-01T00:00:00"/>
    <x v="934"/>
    <x v="930"/>
    <n v="2"/>
    <x v="0"/>
    <x v="1"/>
    <x v="1"/>
    <x v="0"/>
    <n v="2"/>
  </r>
  <r>
    <n v="936"/>
    <d v="2026-06-01T00:00:00"/>
    <x v="935"/>
    <x v="931"/>
    <n v="1"/>
    <x v="0"/>
    <x v="1"/>
    <x v="1"/>
    <x v="0"/>
    <n v="1"/>
  </r>
  <r>
    <n v="937"/>
    <d v="2026-06-01T00:00:00"/>
    <x v="936"/>
    <x v="932"/>
    <n v="1"/>
    <x v="0"/>
    <x v="1"/>
    <x v="1"/>
    <x v="0"/>
    <n v="1"/>
  </r>
  <r>
    <n v="938"/>
    <d v="2026-06-01T00:00:00"/>
    <x v="937"/>
    <x v="933"/>
    <n v="3"/>
    <x v="0"/>
    <x v="1"/>
    <x v="1"/>
    <x v="0"/>
    <n v="3"/>
  </r>
  <r>
    <n v="939"/>
    <d v="2026-06-01T00:00:00"/>
    <x v="938"/>
    <x v="934"/>
    <n v="167"/>
    <x v="0"/>
    <x v="1"/>
    <x v="1"/>
    <x v="0"/>
    <n v="167"/>
  </r>
  <r>
    <n v="940"/>
    <d v="2026-06-01T00:00:00"/>
    <x v="939"/>
    <x v="529"/>
    <n v="0"/>
    <x v="0"/>
    <x v="1"/>
    <x v="1"/>
    <x v="0"/>
    <n v="0"/>
  </r>
  <r>
    <n v="941"/>
    <d v="2026-06-01T00:00:00"/>
    <x v="940"/>
    <x v="935"/>
    <n v="1"/>
    <x v="0"/>
    <x v="1"/>
    <x v="1"/>
    <x v="0"/>
    <n v="1"/>
  </r>
  <r>
    <n v="942"/>
    <d v="2026-06-01T00:00:00"/>
    <x v="941"/>
    <x v="936"/>
    <n v="1"/>
    <x v="0"/>
    <x v="1"/>
    <x v="1"/>
    <x v="0"/>
    <n v="1"/>
  </r>
  <r>
    <n v="943"/>
    <d v="2026-06-01T00:00:00"/>
    <x v="942"/>
    <x v="937"/>
    <n v="2"/>
    <x v="0"/>
    <x v="1"/>
    <x v="1"/>
    <x v="0"/>
    <n v="2"/>
  </r>
  <r>
    <n v="944"/>
    <d v="2026-06-01T00:00:00"/>
    <x v="943"/>
    <x v="938"/>
    <n v="1"/>
    <x v="0"/>
    <x v="1"/>
    <x v="1"/>
    <x v="0"/>
    <n v="1"/>
  </r>
  <r>
    <n v="945"/>
    <d v="2026-06-01T00:00:00"/>
    <x v="944"/>
    <x v="939"/>
    <n v="1"/>
    <x v="0"/>
    <x v="1"/>
    <x v="1"/>
    <x v="0"/>
    <n v="1"/>
  </r>
  <r>
    <n v="946"/>
    <d v="2026-06-01T00:00:00"/>
    <x v="945"/>
    <x v="940"/>
    <n v="1"/>
    <x v="0"/>
    <x v="1"/>
    <x v="1"/>
    <x v="0"/>
    <n v="1"/>
  </r>
  <r>
    <n v="947"/>
    <d v="2026-06-01T00:00:00"/>
    <x v="946"/>
    <x v="941"/>
    <n v="1"/>
    <x v="0"/>
    <x v="1"/>
    <x v="1"/>
    <x v="0"/>
    <n v="1"/>
  </r>
  <r>
    <n v="948"/>
    <d v="2026-06-01T00:00:00"/>
    <x v="947"/>
    <x v="942"/>
    <n v="1"/>
    <x v="0"/>
    <x v="1"/>
    <x v="1"/>
    <x v="0"/>
    <n v="1"/>
  </r>
  <r>
    <n v="949"/>
    <d v="2026-06-01T00:00:00"/>
    <x v="948"/>
    <x v="943"/>
    <n v="1"/>
    <x v="0"/>
    <x v="1"/>
    <x v="1"/>
    <x v="0"/>
    <n v="1"/>
  </r>
  <r>
    <n v="950"/>
    <d v="2026-06-01T00:00:00"/>
    <x v="949"/>
    <x v="944"/>
    <n v="6"/>
    <x v="0"/>
    <x v="1"/>
    <x v="1"/>
    <x v="0"/>
    <n v="6"/>
  </r>
  <r>
    <n v="951"/>
    <d v="2026-06-01T00:00:00"/>
    <x v="950"/>
    <x v="945"/>
    <n v="2"/>
    <x v="0"/>
    <x v="1"/>
    <x v="1"/>
    <x v="0"/>
    <n v="2"/>
  </r>
  <r>
    <n v="952"/>
    <d v="2026-06-01T00:00:00"/>
    <x v="951"/>
    <x v="946"/>
    <n v="1"/>
    <x v="0"/>
    <x v="1"/>
    <x v="1"/>
    <x v="0"/>
    <n v="1"/>
  </r>
  <r>
    <n v="953"/>
    <d v="2026-06-01T00:00:00"/>
    <x v="952"/>
    <x v="947"/>
    <n v="1"/>
    <x v="0"/>
    <x v="1"/>
    <x v="1"/>
    <x v="0"/>
    <n v="1"/>
  </r>
  <r>
    <n v="954"/>
    <d v="2026-06-01T00:00:00"/>
    <x v="953"/>
    <x v="948"/>
    <n v="1"/>
    <x v="0"/>
    <x v="1"/>
    <x v="1"/>
    <x v="0"/>
    <n v="1"/>
  </r>
  <r>
    <n v="955"/>
    <d v="2026-06-01T00:00:00"/>
    <x v="954"/>
    <x v="949"/>
    <n v="1"/>
    <x v="0"/>
    <x v="1"/>
    <x v="1"/>
    <x v="0"/>
    <n v="1"/>
  </r>
  <r>
    <n v="956"/>
    <d v="2026-06-01T00:00:00"/>
    <x v="955"/>
    <x v="950"/>
    <n v="1"/>
    <x v="0"/>
    <x v="1"/>
    <x v="1"/>
    <x v="0"/>
    <n v="1"/>
  </r>
  <r>
    <n v="957"/>
    <d v="2026-06-01T00:00:00"/>
    <x v="956"/>
    <x v="951"/>
    <n v="1"/>
    <x v="0"/>
    <x v="1"/>
    <x v="1"/>
    <x v="0"/>
    <n v="1"/>
  </r>
  <r>
    <n v="958"/>
    <d v="2026-06-01T00:00:00"/>
    <x v="957"/>
    <x v="952"/>
    <n v="1"/>
    <x v="0"/>
    <x v="1"/>
    <x v="1"/>
    <x v="0"/>
    <n v="1"/>
  </r>
  <r>
    <n v="959"/>
    <d v="2026-06-01T00:00:00"/>
    <x v="958"/>
    <x v="953"/>
    <n v="1"/>
    <x v="0"/>
    <x v="1"/>
    <x v="1"/>
    <x v="0"/>
    <n v="1"/>
  </r>
  <r>
    <n v="960"/>
    <d v="2026-06-01T00:00:00"/>
    <x v="959"/>
    <x v="954"/>
    <n v="1"/>
    <x v="0"/>
    <x v="1"/>
    <x v="1"/>
    <x v="0"/>
    <n v="1"/>
  </r>
  <r>
    <n v="961"/>
    <d v="2026-06-01T00:00:00"/>
    <x v="960"/>
    <x v="955"/>
    <n v="1"/>
    <x v="0"/>
    <x v="1"/>
    <x v="1"/>
    <x v="0"/>
    <n v="1"/>
  </r>
  <r>
    <n v="962"/>
    <d v="2026-06-01T00:00:00"/>
    <x v="961"/>
    <x v="956"/>
    <n v="1"/>
    <x v="0"/>
    <x v="1"/>
    <x v="1"/>
    <x v="0"/>
    <n v="1"/>
  </r>
  <r>
    <n v="963"/>
    <d v="2026-06-01T00:00:00"/>
    <x v="962"/>
    <x v="957"/>
    <n v="1"/>
    <x v="0"/>
    <x v="1"/>
    <x v="1"/>
    <x v="0"/>
    <n v="1"/>
  </r>
  <r>
    <n v="964"/>
    <d v="2026-06-01T00:00:00"/>
    <x v="963"/>
    <x v="958"/>
    <n v="1"/>
    <x v="0"/>
    <x v="1"/>
    <x v="1"/>
    <x v="0"/>
    <n v="1"/>
  </r>
  <r>
    <n v="965"/>
    <d v="2026-06-01T00:00:00"/>
    <x v="964"/>
    <x v="959"/>
    <n v="1"/>
    <x v="0"/>
    <x v="1"/>
    <x v="1"/>
    <x v="0"/>
    <n v="1"/>
  </r>
  <r>
    <n v="966"/>
    <d v="2026-06-01T00:00:00"/>
    <x v="965"/>
    <x v="960"/>
    <n v="1"/>
    <x v="0"/>
    <x v="1"/>
    <x v="1"/>
    <x v="0"/>
    <n v="1"/>
  </r>
  <r>
    <n v="967"/>
    <d v="2026-06-01T00:00:00"/>
    <x v="966"/>
    <x v="961"/>
    <n v="1"/>
    <x v="0"/>
    <x v="1"/>
    <x v="1"/>
    <x v="0"/>
    <n v="1"/>
  </r>
  <r>
    <n v="968"/>
    <d v="2026-06-01T00:00:00"/>
    <x v="967"/>
    <x v="962"/>
    <n v="1"/>
    <x v="0"/>
    <x v="1"/>
    <x v="1"/>
    <x v="0"/>
    <n v="1"/>
  </r>
  <r>
    <n v="969"/>
    <d v="2026-06-01T00:00:00"/>
    <x v="968"/>
    <x v="963"/>
    <n v="1"/>
    <x v="0"/>
    <x v="1"/>
    <x v="1"/>
    <x v="0"/>
    <n v="1"/>
  </r>
  <r>
    <n v="970"/>
    <d v="2026-06-01T00:00:00"/>
    <x v="969"/>
    <x v="964"/>
    <n v="1"/>
    <x v="0"/>
    <x v="1"/>
    <x v="1"/>
    <x v="0"/>
    <n v="1"/>
  </r>
  <r>
    <n v="971"/>
    <d v="2026-06-01T00:00:00"/>
    <x v="970"/>
    <x v="965"/>
    <n v="2"/>
    <x v="0"/>
    <x v="1"/>
    <x v="1"/>
    <x v="0"/>
    <n v="2"/>
  </r>
  <r>
    <n v="972"/>
    <d v="2026-06-01T00:00:00"/>
    <x v="971"/>
    <x v="966"/>
    <n v="2"/>
    <x v="0"/>
    <x v="1"/>
    <x v="1"/>
    <x v="0"/>
    <n v="2"/>
  </r>
  <r>
    <n v="973"/>
    <d v="2026-06-01T00:00:00"/>
    <x v="972"/>
    <x v="967"/>
    <n v="1"/>
    <x v="0"/>
    <x v="1"/>
    <x v="1"/>
    <x v="0"/>
    <n v="1"/>
  </r>
  <r>
    <n v="974"/>
    <d v="2026-06-08T00:00:00"/>
    <x v="347"/>
    <x v="347"/>
    <n v="0"/>
    <x v="1"/>
    <x v="2"/>
    <x v="2"/>
    <x v="0"/>
    <n v="-1"/>
  </r>
  <r>
    <n v="975"/>
    <d v="2026-06-10T00:00:00"/>
    <x v="973"/>
    <x v="968"/>
    <n v="1"/>
    <x v="0"/>
    <x v="0"/>
    <x v="3"/>
    <x v="0"/>
    <n v="1"/>
  </r>
  <r>
    <n v="976"/>
    <d v="2026-06-13T00:00:00"/>
    <x v="658"/>
    <x v="658"/>
    <n v="0"/>
    <x v="1"/>
    <x v="2"/>
    <x v="2"/>
    <x v="0"/>
    <n v="-1"/>
  </r>
  <r>
    <n v="977"/>
    <d v="2026-06-15T00:00:00"/>
    <x v="921"/>
    <x v="917"/>
    <n v="4"/>
    <x v="0"/>
    <x v="0"/>
    <x v="3"/>
    <x v="0"/>
    <n v="4"/>
  </r>
  <r>
    <n v="978"/>
    <d v="2026-06-15T00:00:00"/>
    <x v="974"/>
    <x v="969"/>
    <n v="3.5"/>
    <x v="0"/>
    <x v="0"/>
    <x v="3"/>
    <x v="0"/>
    <n v="3.5"/>
  </r>
  <r>
    <n v="979"/>
    <d v="2026-06-15T00:00:00"/>
    <x v="975"/>
    <x v="970"/>
    <n v="1"/>
    <x v="0"/>
    <x v="0"/>
    <x v="3"/>
    <x v="0"/>
    <n v="1"/>
  </r>
  <r>
    <n v="980"/>
    <d v="2026-06-15T00:00:00"/>
    <x v="976"/>
    <x v="971"/>
    <n v="4"/>
    <x v="0"/>
    <x v="0"/>
    <x v="3"/>
    <x v="0"/>
    <n v="4"/>
  </r>
  <r>
    <n v="981"/>
    <d v="2026-06-16T00:00:00"/>
    <x v="337"/>
    <x v="337"/>
    <n v="0"/>
    <x v="1"/>
    <x v="2"/>
    <x v="2"/>
    <x v="0"/>
    <n v="-1"/>
  </r>
  <r>
    <n v="982"/>
    <d v="2026-06-16T00:00:00"/>
    <x v="369"/>
    <x v="369"/>
    <n v="0"/>
    <x v="1"/>
    <x v="2"/>
    <x v="2"/>
    <x v="0"/>
    <n v="-1"/>
  </r>
  <r>
    <n v="983"/>
    <d v="2026-06-16T00:00:00"/>
    <x v="849"/>
    <x v="847"/>
    <n v="0"/>
    <x v="2"/>
    <x v="2"/>
    <x v="2"/>
    <x v="0"/>
    <n v="-2"/>
  </r>
  <r>
    <n v="984"/>
    <d v="2026-06-18T00:00:00"/>
    <x v="138"/>
    <x v="138"/>
    <n v="0"/>
    <x v="1"/>
    <x v="2"/>
    <x v="2"/>
    <x v="0"/>
    <n v="-1"/>
  </r>
  <r>
    <n v="985"/>
    <d v="2026-06-18T00:00:00"/>
    <x v="139"/>
    <x v="139"/>
    <n v="0"/>
    <x v="1"/>
    <x v="2"/>
    <x v="2"/>
    <x v="0"/>
    <n v="-1"/>
  </r>
  <r>
    <n v="986"/>
    <d v="2026-06-18T00:00:00"/>
    <x v="141"/>
    <x v="141"/>
    <n v="0"/>
    <x v="3"/>
    <x v="2"/>
    <x v="2"/>
    <x v="0"/>
    <n v="-4"/>
  </r>
  <r>
    <n v="987"/>
    <d v="2026-06-18T00:00:00"/>
    <x v="157"/>
    <x v="157"/>
    <n v="0"/>
    <x v="1"/>
    <x v="3"/>
    <x v="4"/>
    <x v="0"/>
    <n v="-1"/>
  </r>
  <r>
    <n v="988"/>
    <d v="2026-06-18T00:00:00"/>
    <x v="161"/>
    <x v="161"/>
    <n v="0"/>
    <x v="2"/>
    <x v="2"/>
    <x v="5"/>
    <x v="0"/>
    <n v="-2"/>
  </r>
  <r>
    <n v="989"/>
    <d v="2026-06-18T00:00:00"/>
    <x v="162"/>
    <x v="162"/>
    <n v="0"/>
    <x v="1"/>
    <x v="2"/>
    <x v="5"/>
    <x v="0"/>
    <n v="-1"/>
  </r>
  <r>
    <n v="990"/>
    <d v="2026-06-18T00:00:00"/>
    <x v="163"/>
    <x v="163"/>
    <n v="0"/>
    <x v="4"/>
    <x v="2"/>
    <x v="5"/>
    <x v="0"/>
    <n v="-5"/>
  </r>
  <r>
    <n v="991"/>
    <d v="2026-06-18T00:00:00"/>
    <x v="173"/>
    <x v="173"/>
    <n v="0"/>
    <x v="1"/>
    <x v="2"/>
    <x v="2"/>
    <x v="0"/>
    <n v="-1"/>
  </r>
  <r>
    <n v="992"/>
    <d v="2026-06-18T00:00:00"/>
    <x v="225"/>
    <x v="225"/>
    <n v="0"/>
    <x v="2"/>
    <x v="2"/>
    <x v="2"/>
    <x v="0"/>
    <n v="-2"/>
  </r>
  <r>
    <n v="993"/>
    <d v="2026-06-18T00:00:00"/>
    <x v="283"/>
    <x v="283"/>
    <n v="0"/>
    <x v="1"/>
    <x v="2"/>
    <x v="2"/>
    <x v="0"/>
    <n v="-1"/>
  </r>
  <r>
    <n v="994"/>
    <d v="2026-06-18T00:00:00"/>
    <x v="299"/>
    <x v="299"/>
    <n v="0"/>
    <x v="2"/>
    <x v="2"/>
    <x v="2"/>
    <x v="0"/>
    <n v="-2"/>
  </r>
  <r>
    <n v="995"/>
    <d v="2026-06-18T00:00:00"/>
    <x v="301"/>
    <x v="301"/>
    <n v="0"/>
    <x v="5"/>
    <x v="2"/>
    <x v="2"/>
    <x v="0"/>
    <n v="-6"/>
  </r>
  <r>
    <n v="996"/>
    <d v="2026-06-18T00:00:00"/>
    <x v="304"/>
    <x v="304"/>
    <n v="0"/>
    <x v="3"/>
    <x v="2"/>
    <x v="2"/>
    <x v="0"/>
    <n v="-4"/>
  </r>
  <r>
    <n v="997"/>
    <d v="2026-06-18T00:00:00"/>
    <x v="317"/>
    <x v="317"/>
    <n v="0"/>
    <x v="1"/>
    <x v="2"/>
    <x v="2"/>
    <x v="0"/>
    <n v="-1"/>
  </r>
  <r>
    <n v="998"/>
    <d v="2026-06-18T00:00:00"/>
    <x v="337"/>
    <x v="337"/>
    <n v="0"/>
    <x v="1"/>
    <x v="2"/>
    <x v="2"/>
    <x v="0"/>
    <n v="-1"/>
  </r>
  <r>
    <n v="999"/>
    <d v="2026-06-18T00:00:00"/>
    <x v="339"/>
    <x v="339"/>
    <n v="0"/>
    <x v="1"/>
    <x v="2"/>
    <x v="5"/>
    <x v="0"/>
    <n v="-1"/>
  </r>
  <r>
    <n v="1000"/>
    <d v="2026-06-18T00:00:00"/>
    <x v="339"/>
    <x v="339"/>
    <n v="0"/>
    <x v="2"/>
    <x v="2"/>
    <x v="2"/>
    <x v="0"/>
    <n v="-2"/>
  </r>
  <r>
    <n v="1001"/>
    <d v="2026-06-18T00:00:00"/>
    <x v="339"/>
    <x v="339"/>
    <n v="0"/>
    <x v="1"/>
    <x v="3"/>
    <x v="4"/>
    <x v="0"/>
    <n v="-1"/>
  </r>
  <r>
    <n v="1002"/>
    <d v="2026-06-18T00:00:00"/>
    <x v="350"/>
    <x v="350"/>
    <n v="0"/>
    <x v="1"/>
    <x v="2"/>
    <x v="5"/>
    <x v="0"/>
    <n v="-1"/>
  </r>
  <r>
    <n v="1003"/>
    <d v="2026-06-18T00:00:00"/>
    <x v="353"/>
    <x v="353"/>
    <n v="0"/>
    <x v="1"/>
    <x v="2"/>
    <x v="5"/>
    <x v="0"/>
    <n v="-1"/>
  </r>
  <r>
    <n v="1004"/>
    <d v="2026-06-18T00:00:00"/>
    <x v="354"/>
    <x v="354"/>
    <n v="0"/>
    <x v="1"/>
    <x v="2"/>
    <x v="2"/>
    <x v="0"/>
    <n v="-1"/>
  </r>
  <r>
    <n v="1005"/>
    <d v="2026-06-18T00:00:00"/>
    <x v="355"/>
    <x v="355"/>
    <n v="0"/>
    <x v="1"/>
    <x v="2"/>
    <x v="2"/>
    <x v="0"/>
    <n v="-1"/>
  </r>
  <r>
    <n v="1006"/>
    <d v="2026-06-18T00:00:00"/>
    <x v="359"/>
    <x v="359"/>
    <n v="0"/>
    <x v="1"/>
    <x v="3"/>
    <x v="4"/>
    <x v="0"/>
    <n v="-1"/>
  </r>
  <r>
    <n v="1007"/>
    <d v="2026-06-18T00:00:00"/>
    <x v="363"/>
    <x v="363"/>
    <n v="0"/>
    <x v="6"/>
    <x v="2"/>
    <x v="5"/>
    <x v="0"/>
    <n v="-10"/>
  </r>
  <r>
    <n v="1008"/>
    <d v="2026-06-18T00:00:00"/>
    <x v="376"/>
    <x v="376"/>
    <n v="0"/>
    <x v="1"/>
    <x v="3"/>
    <x v="4"/>
    <x v="0"/>
    <n v="-1"/>
  </r>
  <r>
    <n v="1009"/>
    <d v="2026-06-18T00:00:00"/>
    <x v="377"/>
    <x v="377"/>
    <n v="0"/>
    <x v="1"/>
    <x v="3"/>
    <x v="4"/>
    <x v="0"/>
    <n v="-1"/>
  </r>
  <r>
    <n v="1010"/>
    <d v="2026-06-18T00:00:00"/>
    <x v="436"/>
    <x v="436"/>
    <n v="0"/>
    <x v="1"/>
    <x v="2"/>
    <x v="5"/>
    <x v="0"/>
    <n v="-1"/>
  </r>
  <r>
    <n v="1011"/>
    <d v="2026-06-18T00:00:00"/>
    <x v="448"/>
    <x v="448"/>
    <n v="0"/>
    <x v="2"/>
    <x v="2"/>
    <x v="2"/>
    <x v="0"/>
    <n v="-2"/>
  </r>
  <r>
    <n v="1012"/>
    <d v="2026-06-18T00:00:00"/>
    <x v="450"/>
    <x v="450"/>
    <n v="0"/>
    <x v="1"/>
    <x v="3"/>
    <x v="4"/>
    <x v="0"/>
    <n v="-1"/>
  </r>
  <r>
    <n v="1013"/>
    <d v="2026-06-18T00:00:00"/>
    <x v="524"/>
    <x v="524"/>
    <n v="0"/>
    <x v="1"/>
    <x v="2"/>
    <x v="2"/>
    <x v="0"/>
    <n v="-1"/>
  </r>
  <r>
    <n v="1014"/>
    <d v="2026-06-18T00:00:00"/>
    <x v="573"/>
    <x v="573"/>
    <n v="0"/>
    <x v="1"/>
    <x v="2"/>
    <x v="2"/>
    <x v="0"/>
    <n v="-1"/>
  </r>
  <r>
    <n v="1015"/>
    <d v="2026-06-18T00:00:00"/>
    <x v="574"/>
    <x v="574"/>
    <n v="0"/>
    <x v="1"/>
    <x v="2"/>
    <x v="2"/>
    <x v="0"/>
    <n v="-1"/>
  </r>
  <r>
    <n v="1016"/>
    <d v="2026-06-18T00:00:00"/>
    <x v="601"/>
    <x v="601"/>
    <n v="0"/>
    <x v="1"/>
    <x v="2"/>
    <x v="5"/>
    <x v="0"/>
    <n v="-1"/>
  </r>
  <r>
    <n v="1017"/>
    <d v="2026-06-18T00:00:00"/>
    <x v="602"/>
    <x v="602"/>
    <n v="0"/>
    <x v="2"/>
    <x v="2"/>
    <x v="2"/>
    <x v="0"/>
    <n v="-2"/>
  </r>
  <r>
    <n v="1018"/>
    <d v="2026-06-18T00:00:00"/>
    <x v="609"/>
    <x v="609"/>
    <n v="0"/>
    <x v="1"/>
    <x v="2"/>
    <x v="2"/>
    <x v="0"/>
    <n v="-1"/>
  </r>
  <r>
    <n v="1019"/>
    <d v="2026-06-18T00:00:00"/>
    <x v="610"/>
    <x v="610"/>
    <n v="0"/>
    <x v="1"/>
    <x v="2"/>
    <x v="5"/>
    <x v="0"/>
    <n v="-1"/>
  </r>
  <r>
    <n v="1020"/>
    <d v="2026-06-18T00:00:00"/>
    <x v="616"/>
    <x v="616"/>
    <n v="0"/>
    <x v="1"/>
    <x v="2"/>
    <x v="5"/>
    <x v="0"/>
    <n v="-1"/>
  </r>
  <r>
    <n v="1021"/>
    <d v="2026-06-18T00:00:00"/>
    <x v="617"/>
    <x v="617"/>
    <n v="0"/>
    <x v="1"/>
    <x v="2"/>
    <x v="2"/>
    <x v="0"/>
    <n v="-1"/>
  </r>
  <r>
    <n v="1022"/>
    <d v="2026-06-18T00:00:00"/>
    <x v="617"/>
    <x v="617"/>
    <n v="0"/>
    <x v="1"/>
    <x v="2"/>
    <x v="5"/>
    <x v="0"/>
    <n v="-1"/>
  </r>
  <r>
    <n v="1023"/>
    <d v="2026-06-18T00:00:00"/>
    <x v="619"/>
    <x v="619"/>
    <n v="0"/>
    <x v="1"/>
    <x v="2"/>
    <x v="5"/>
    <x v="0"/>
    <n v="-1"/>
  </r>
  <r>
    <n v="1024"/>
    <d v="2026-06-18T00:00:00"/>
    <x v="634"/>
    <x v="634"/>
    <n v="0"/>
    <x v="7"/>
    <x v="2"/>
    <x v="2"/>
    <x v="0"/>
    <n v="-20"/>
  </r>
  <r>
    <n v="1025"/>
    <d v="2026-06-18T00:00:00"/>
    <x v="664"/>
    <x v="664"/>
    <n v="0"/>
    <x v="1"/>
    <x v="3"/>
    <x v="4"/>
    <x v="0"/>
    <n v="-1"/>
  </r>
  <r>
    <n v="1026"/>
    <d v="2026-06-18T00:00:00"/>
    <x v="744"/>
    <x v="743"/>
    <n v="0"/>
    <x v="2"/>
    <x v="2"/>
    <x v="2"/>
    <x v="0"/>
    <n v="-2"/>
  </r>
  <r>
    <n v="1027"/>
    <d v="2026-06-18T00:00:00"/>
    <x v="784"/>
    <x v="782"/>
    <n v="0"/>
    <x v="1"/>
    <x v="2"/>
    <x v="5"/>
    <x v="0"/>
    <n v="-1"/>
  </r>
  <r>
    <n v="1028"/>
    <d v="2026-06-18T00:00:00"/>
    <x v="789"/>
    <x v="787"/>
    <n v="0"/>
    <x v="2"/>
    <x v="2"/>
    <x v="2"/>
    <x v="0"/>
    <n v="-2"/>
  </r>
  <r>
    <n v="1029"/>
    <d v="2026-06-18T00:00:00"/>
    <x v="812"/>
    <x v="810"/>
    <n v="0"/>
    <x v="1"/>
    <x v="3"/>
    <x v="4"/>
    <x v="0"/>
    <n v="-1"/>
  </r>
  <r>
    <n v="1030"/>
    <d v="2026-06-18T00:00:00"/>
    <x v="813"/>
    <x v="811"/>
    <n v="0"/>
    <x v="1"/>
    <x v="3"/>
    <x v="4"/>
    <x v="0"/>
    <n v="-1"/>
  </r>
  <r>
    <n v="1031"/>
    <d v="2026-06-18T00:00:00"/>
    <x v="814"/>
    <x v="812"/>
    <n v="0"/>
    <x v="1"/>
    <x v="3"/>
    <x v="4"/>
    <x v="0"/>
    <n v="-1"/>
  </r>
  <r>
    <n v="1032"/>
    <d v="2026-06-18T00:00:00"/>
    <x v="840"/>
    <x v="838"/>
    <n v="0"/>
    <x v="1"/>
    <x v="3"/>
    <x v="4"/>
    <x v="0"/>
    <n v="-1"/>
  </r>
  <r>
    <n v="1033"/>
    <d v="2026-06-18T00:00:00"/>
    <x v="849"/>
    <x v="847"/>
    <n v="0"/>
    <x v="8"/>
    <x v="2"/>
    <x v="2"/>
    <x v="0"/>
    <n v="-3"/>
  </r>
  <r>
    <n v="1034"/>
    <d v="2026-06-18T00:00:00"/>
    <x v="849"/>
    <x v="847"/>
    <n v="0"/>
    <x v="2"/>
    <x v="2"/>
    <x v="2"/>
    <x v="0"/>
    <n v="-2"/>
  </r>
  <r>
    <n v="1035"/>
    <d v="2026-06-18T00:00:00"/>
    <x v="871"/>
    <x v="869"/>
    <n v="0"/>
    <x v="1"/>
    <x v="3"/>
    <x v="4"/>
    <x v="0"/>
    <n v="-1"/>
  </r>
  <r>
    <n v="1036"/>
    <d v="2026-06-18T00:00:00"/>
    <x v="887"/>
    <x v="885"/>
    <n v="0"/>
    <x v="1"/>
    <x v="2"/>
    <x v="2"/>
    <x v="0"/>
    <n v="-1"/>
  </r>
  <r>
    <n v="1037"/>
    <d v="2026-06-18T00:00:00"/>
    <x v="888"/>
    <x v="886"/>
    <n v="0"/>
    <x v="1"/>
    <x v="3"/>
    <x v="4"/>
    <x v="0"/>
    <n v="-1"/>
  </r>
  <r>
    <n v="1038"/>
    <d v="2026-06-18T00:00:00"/>
    <x v="895"/>
    <x v="893"/>
    <n v="0"/>
    <x v="1"/>
    <x v="3"/>
    <x v="4"/>
    <x v="0"/>
    <n v="-1"/>
  </r>
  <r>
    <n v="1039"/>
    <d v="2026-06-18T00:00:00"/>
    <x v="922"/>
    <x v="918"/>
    <n v="0"/>
    <x v="8"/>
    <x v="2"/>
    <x v="2"/>
    <x v="0"/>
    <n v="-3"/>
  </r>
  <r>
    <n v="1040"/>
    <d v="2026-06-18T00:00:00"/>
    <x v="927"/>
    <x v="923"/>
    <n v="0"/>
    <x v="1"/>
    <x v="2"/>
    <x v="2"/>
    <x v="0"/>
    <n v="-1"/>
  </r>
  <r>
    <n v="1041"/>
    <d v="2026-06-18T00:00:00"/>
    <x v="930"/>
    <x v="926"/>
    <n v="0"/>
    <x v="1"/>
    <x v="2"/>
    <x v="2"/>
    <x v="0"/>
    <n v="-1"/>
  </r>
  <r>
    <n v="1042"/>
    <d v="2026-06-18T00:00:00"/>
    <x v="932"/>
    <x v="928"/>
    <n v="0"/>
    <x v="1"/>
    <x v="2"/>
    <x v="2"/>
    <x v="0"/>
    <n v="-1"/>
  </r>
  <r>
    <n v="1043"/>
    <d v="2026-06-18T00:00:00"/>
    <x v="950"/>
    <x v="945"/>
    <n v="0"/>
    <x v="2"/>
    <x v="2"/>
    <x v="5"/>
    <x v="0"/>
    <n v="-2"/>
  </r>
  <r>
    <n v="1044"/>
    <d v="2026-06-18T00:00:00"/>
    <x v="970"/>
    <x v="965"/>
    <n v="0"/>
    <x v="1"/>
    <x v="2"/>
    <x v="2"/>
    <x v="0"/>
    <n v="-1"/>
  </r>
  <r>
    <n v="1045"/>
    <d v="2026-06-18T00:00:00"/>
    <x v="977"/>
    <x v="972"/>
    <n v="20"/>
    <x v="0"/>
    <x v="0"/>
    <x v="3"/>
    <x v="0"/>
    <n v="20"/>
  </r>
  <r>
    <n v="1046"/>
    <d v="2026-06-18T00:00:00"/>
    <x v="978"/>
    <x v="973"/>
    <n v="3"/>
    <x v="0"/>
    <x v="0"/>
    <x v="3"/>
    <x v="0"/>
    <n v="3"/>
  </r>
  <r>
    <n v="1047"/>
    <d v="2026-06-18T00:00:00"/>
    <x v="979"/>
    <x v="974"/>
    <n v="6"/>
    <x v="0"/>
    <x v="0"/>
    <x v="3"/>
    <x v="0"/>
    <n v="6"/>
  </r>
  <r>
    <n v="1048"/>
    <d v="2026-06-18T00:00:00"/>
    <x v="980"/>
    <x v="975"/>
    <n v="1"/>
    <x v="0"/>
    <x v="0"/>
    <x v="3"/>
    <x v="0"/>
    <n v="1"/>
  </r>
  <r>
    <n v="1049"/>
    <d v="2026-06-18T00:00:00"/>
    <x v="981"/>
    <x v="976"/>
    <n v="12"/>
    <x v="0"/>
    <x v="0"/>
    <x v="3"/>
    <x v="0"/>
    <n v="12"/>
  </r>
  <r>
    <n v="1050"/>
    <d v="2026-06-18T00:00:00"/>
    <x v="982"/>
    <x v="977"/>
    <n v="1"/>
    <x v="0"/>
    <x v="0"/>
    <x v="3"/>
    <x v="0"/>
    <n v="1"/>
  </r>
  <r>
    <n v="1051"/>
    <d v="2026-06-18T00:00:00"/>
    <x v="983"/>
    <x v="978"/>
    <n v="10"/>
    <x v="0"/>
    <x v="0"/>
    <x v="3"/>
    <x v="0"/>
    <n v="10"/>
  </r>
  <r>
    <n v="1052"/>
    <d v="2026-06-18T00:00:00"/>
    <x v="984"/>
    <x v="979"/>
    <n v="10"/>
    <x v="0"/>
    <x v="0"/>
    <x v="3"/>
    <x v="0"/>
    <n v="10"/>
  </r>
  <r>
    <n v="1053"/>
    <d v="2026-06-18T00:00:00"/>
    <x v="985"/>
    <x v="980"/>
    <n v="2"/>
    <x v="0"/>
    <x v="0"/>
    <x v="3"/>
    <x v="0"/>
    <n v="2"/>
  </r>
  <r>
    <n v="1054"/>
    <d v="2026-06-18T00:00:00"/>
    <x v="986"/>
    <x v="981"/>
    <n v="2"/>
    <x v="0"/>
    <x v="0"/>
    <x v="3"/>
    <x v="0"/>
    <n v="2"/>
  </r>
  <r>
    <n v="1055"/>
    <d v="2026-06-18T00:00:00"/>
    <x v="987"/>
    <x v="982"/>
    <n v="20"/>
    <x v="0"/>
    <x v="0"/>
    <x v="3"/>
    <x v="0"/>
    <n v="20"/>
  </r>
  <r>
    <n v="1056"/>
    <d v="2026-06-18T00:00:00"/>
    <x v="988"/>
    <x v="983"/>
    <n v="5"/>
    <x v="0"/>
    <x v="0"/>
    <x v="3"/>
    <x v="0"/>
    <n v="5"/>
  </r>
  <r>
    <n v="1057"/>
    <d v="2026-06-18T00:00:00"/>
    <x v="989"/>
    <x v="984"/>
    <n v="4"/>
    <x v="0"/>
    <x v="0"/>
    <x v="3"/>
    <x v="0"/>
    <n v="4"/>
  </r>
  <r>
    <n v="1058"/>
    <d v="2026-06-18T00:00:00"/>
    <x v="990"/>
    <x v="985"/>
    <n v="2"/>
    <x v="0"/>
    <x v="0"/>
    <x v="3"/>
    <x v="0"/>
    <n v="2"/>
  </r>
  <r>
    <n v="1059"/>
    <d v="2026-06-18T00:00:00"/>
    <x v="991"/>
    <x v="986"/>
    <n v="3"/>
    <x v="0"/>
    <x v="0"/>
    <x v="3"/>
    <x v="0"/>
    <n v="3"/>
  </r>
  <r>
    <n v="1060"/>
    <d v="2026-06-18T00:00:00"/>
    <x v="992"/>
    <x v="987"/>
    <n v="3"/>
    <x v="0"/>
    <x v="0"/>
    <x v="3"/>
    <x v="0"/>
    <n v="3"/>
  </r>
  <r>
    <n v="1061"/>
    <d v="2026-06-18T00:00:00"/>
    <x v="993"/>
    <x v="988"/>
    <n v="2"/>
    <x v="0"/>
    <x v="0"/>
    <x v="3"/>
    <x v="0"/>
    <n v="2"/>
  </r>
  <r>
    <n v="1062"/>
    <d v="2026-06-18T00:00:00"/>
    <x v="994"/>
    <x v="989"/>
    <n v="1"/>
    <x v="0"/>
    <x v="0"/>
    <x v="3"/>
    <x v="0"/>
    <n v="1"/>
  </r>
  <r>
    <n v="1063"/>
    <d v="2026-06-18T00:00:00"/>
    <x v="995"/>
    <x v="990"/>
    <n v="2"/>
    <x v="0"/>
    <x v="0"/>
    <x v="3"/>
    <x v="0"/>
    <n v="2"/>
  </r>
  <r>
    <n v="1064"/>
    <d v="2026-06-18T00:00:00"/>
    <x v="996"/>
    <x v="991"/>
    <n v="2"/>
    <x v="0"/>
    <x v="0"/>
    <x v="3"/>
    <x v="0"/>
    <n v="2"/>
  </r>
  <r>
    <n v="1065"/>
    <d v="2026-06-18T00:00:00"/>
    <x v="997"/>
    <x v="992"/>
    <n v="2"/>
    <x v="0"/>
    <x v="0"/>
    <x v="3"/>
    <x v="0"/>
    <n v="2"/>
  </r>
  <r>
    <n v="1066"/>
    <d v="2026-06-18T00:00:00"/>
    <x v="998"/>
    <x v="993"/>
    <n v="6"/>
    <x v="0"/>
    <x v="0"/>
    <x v="3"/>
    <x v="0"/>
    <n v="6"/>
  </r>
  <r>
    <n v="1067"/>
    <d v="2026-06-18T00:00:00"/>
    <x v="999"/>
    <x v="994"/>
    <n v="1"/>
    <x v="0"/>
    <x v="0"/>
    <x v="3"/>
    <x v="0"/>
    <n v="1"/>
  </r>
  <r>
    <n v="1068"/>
    <d v="2026-06-18T00:00:00"/>
    <x v="1000"/>
    <x v="995"/>
    <n v="1"/>
    <x v="0"/>
    <x v="0"/>
    <x v="3"/>
    <x v="0"/>
    <n v="1"/>
  </r>
  <r>
    <n v="1069"/>
    <d v="2026-06-18T00:00:00"/>
    <x v="1001"/>
    <x v="996"/>
    <n v="1"/>
    <x v="0"/>
    <x v="0"/>
    <x v="3"/>
    <x v="0"/>
    <n v="1"/>
  </r>
  <r>
    <n v="1070"/>
    <d v="2026-06-18T00:00:00"/>
    <x v="1002"/>
    <x v="997"/>
    <n v="1"/>
    <x v="0"/>
    <x v="0"/>
    <x v="3"/>
    <x v="0"/>
    <n v="1"/>
  </r>
  <r>
    <n v="1071"/>
    <d v="2026-06-18T00:00:00"/>
    <x v="1003"/>
    <x v="998"/>
    <n v="1"/>
    <x v="0"/>
    <x v="0"/>
    <x v="3"/>
    <x v="0"/>
    <n v="1"/>
  </r>
  <r>
    <n v="1072"/>
    <d v="2026-06-18T00:00:00"/>
    <x v="1004"/>
    <x v="999"/>
    <n v="1"/>
    <x v="0"/>
    <x v="0"/>
    <x v="3"/>
    <x v="0"/>
    <n v="1"/>
  </r>
  <r>
    <n v="1073"/>
    <d v="2026-06-18T00:00:00"/>
    <x v="1005"/>
    <x v="1000"/>
    <n v="50"/>
    <x v="0"/>
    <x v="0"/>
    <x v="3"/>
    <x v="0"/>
    <n v="50"/>
  </r>
  <r>
    <n v="1074"/>
    <d v="2026-06-22T00:00:00"/>
    <x v="1006"/>
    <x v="1001"/>
    <n v="12"/>
    <x v="0"/>
    <x v="0"/>
    <x v="0"/>
    <x v="0"/>
    <n v="12"/>
  </r>
  <r>
    <n v="1075"/>
    <d v="2026-06-22T00:00:00"/>
    <x v="1007"/>
    <x v="1002"/>
    <n v="24"/>
    <x v="0"/>
    <x v="0"/>
    <x v="0"/>
    <x v="0"/>
    <n v="24"/>
  </r>
  <r>
    <n v="1076"/>
    <d v="2026-06-22T00:00:00"/>
    <x v="1008"/>
    <x v="1003"/>
    <n v="12"/>
    <x v="0"/>
    <x v="0"/>
    <x v="0"/>
    <x v="0"/>
    <n v="12"/>
  </r>
  <r>
    <n v="1077"/>
    <d v="2026-06-22T00:00:00"/>
    <x v="1009"/>
    <x v="1004"/>
    <n v="25"/>
    <x v="0"/>
    <x v="0"/>
    <x v="0"/>
    <x v="0"/>
    <n v="25"/>
  </r>
  <r>
    <n v="1078"/>
    <d v="2026-06-22T00:00:00"/>
    <x v="1010"/>
    <x v="1005"/>
    <n v="8"/>
    <x v="0"/>
    <x v="0"/>
    <x v="0"/>
    <x v="0"/>
    <n v="8"/>
  </r>
  <r>
    <n v="1079"/>
    <d v="2026-06-22T00:00:00"/>
    <x v="1011"/>
    <x v="1006"/>
    <n v="2"/>
    <x v="0"/>
    <x v="0"/>
    <x v="0"/>
    <x v="0"/>
    <n v="2"/>
  </r>
  <r>
    <n v="1080"/>
    <d v="2026-06-22T00:00:00"/>
    <x v="1012"/>
    <x v="1007"/>
    <n v="2"/>
    <x v="0"/>
    <x v="0"/>
    <x v="0"/>
    <x v="0"/>
    <n v="2"/>
  </r>
  <r>
    <n v="1081"/>
    <d v="2026-06-22T00:00:00"/>
    <x v="1013"/>
    <x v="1008"/>
    <n v="1"/>
    <x v="0"/>
    <x v="0"/>
    <x v="0"/>
    <x v="0"/>
    <n v="1"/>
  </r>
  <r>
    <n v="1082"/>
    <d v="2026-06-22T00:00:00"/>
    <x v="1014"/>
    <x v="1009"/>
    <n v="1"/>
    <x v="0"/>
    <x v="0"/>
    <x v="0"/>
    <x v="0"/>
    <n v="1"/>
  </r>
  <r>
    <n v="1083"/>
    <d v="2026-06-22T00:00:00"/>
    <x v="1015"/>
    <x v="1010"/>
    <n v="5"/>
    <x v="0"/>
    <x v="0"/>
    <x v="0"/>
    <x v="0"/>
    <n v="5"/>
  </r>
  <r>
    <n v="1084"/>
    <d v="2026-06-22T00:00:00"/>
    <x v="1016"/>
    <x v="1011"/>
    <n v="0"/>
    <x v="1"/>
    <x v="3"/>
    <x v="4"/>
    <x v="0"/>
    <n v="-1"/>
  </r>
  <r>
    <n v="1085"/>
    <d v="2026-06-22T00:00:00"/>
    <x v="1016"/>
    <x v="1011"/>
    <n v="22"/>
    <x v="0"/>
    <x v="0"/>
    <x v="0"/>
    <x v="0"/>
    <n v="22"/>
  </r>
  <r>
    <n v="1086"/>
    <d v="2026-06-22T00:00:00"/>
    <x v="1017"/>
    <x v="1012"/>
    <n v="1"/>
    <x v="0"/>
    <x v="0"/>
    <x v="0"/>
    <x v="0"/>
    <n v="1"/>
  </r>
  <r>
    <n v="1087"/>
    <d v="2026-06-22T00:00:00"/>
    <x v="1018"/>
    <x v="1013"/>
    <n v="4"/>
    <x v="0"/>
    <x v="0"/>
    <x v="0"/>
    <x v="0"/>
    <n v="4"/>
  </r>
  <r>
    <n v="1088"/>
    <d v="2026-06-22T00:00:00"/>
    <x v="1019"/>
    <x v="1014"/>
    <n v="2"/>
    <x v="0"/>
    <x v="0"/>
    <x v="0"/>
    <x v="0"/>
    <n v="2"/>
  </r>
  <r>
    <n v="1089"/>
    <d v="2026-06-22T00:00:00"/>
    <x v="1020"/>
    <x v="1015"/>
    <n v="3"/>
    <x v="0"/>
    <x v="0"/>
    <x v="0"/>
    <x v="0"/>
    <n v="3"/>
  </r>
  <r>
    <n v="1090"/>
    <d v="2026-06-22T00:00:00"/>
    <x v="1021"/>
    <x v="1016"/>
    <n v="1"/>
    <x v="0"/>
    <x v="0"/>
    <x v="0"/>
    <x v="0"/>
    <n v="1"/>
  </r>
  <r>
    <n v="1091"/>
    <d v="2026-06-22T00:00:00"/>
    <x v="1022"/>
    <x v="1017"/>
    <n v="1"/>
    <x v="0"/>
    <x v="0"/>
    <x v="0"/>
    <x v="0"/>
    <n v="1"/>
  </r>
  <r>
    <n v="1092"/>
    <d v="2026-06-22T00:00:00"/>
    <x v="1023"/>
    <x v="1018"/>
    <n v="2"/>
    <x v="0"/>
    <x v="0"/>
    <x v="0"/>
    <x v="0"/>
    <n v="2"/>
  </r>
  <r>
    <n v="1093"/>
    <d v="2026-06-22T00:00:00"/>
    <x v="1024"/>
    <x v="1019"/>
    <n v="2"/>
    <x v="0"/>
    <x v="0"/>
    <x v="0"/>
    <x v="0"/>
    <n v="2"/>
  </r>
  <r>
    <n v="1094"/>
    <d v="2026-06-22T00:00:00"/>
    <x v="1025"/>
    <x v="1020"/>
    <n v="1"/>
    <x v="0"/>
    <x v="0"/>
    <x v="0"/>
    <x v="0"/>
    <n v="1"/>
  </r>
  <r>
    <n v="1095"/>
    <d v="2026-06-22T00:00:00"/>
    <x v="1026"/>
    <x v="1021"/>
    <n v="2"/>
    <x v="0"/>
    <x v="0"/>
    <x v="0"/>
    <x v="0"/>
    <n v="2"/>
  </r>
  <r>
    <n v="1096"/>
    <d v="2026-06-22T00:00:00"/>
    <x v="1027"/>
    <x v="1022"/>
    <n v="1"/>
    <x v="0"/>
    <x v="0"/>
    <x v="0"/>
    <x v="0"/>
    <n v="1"/>
  </r>
  <r>
    <n v="1097"/>
    <d v="2026-06-22T00:00:00"/>
    <x v="1028"/>
    <x v="1023"/>
    <n v="2"/>
    <x v="0"/>
    <x v="0"/>
    <x v="0"/>
    <x v="0"/>
    <n v="2"/>
  </r>
  <r>
    <n v="1098"/>
    <d v="2026-06-23T00:00:00"/>
    <x v="971"/>
    <x v="966"/>
    <n v="0"/>
    <x v="2"/>
    <x v="2"/>
    <x v="2"/>
    <x v="0"/>
    <n v="-2"/>
  </r>
  <r>
    <n v="1099"/>
    <d v="2026-06-23T00:00:00"/>
    <x v="1029"/>
    <x v="1024"/>
    <n v="11"/>
    <x v="0"/>
    <x v="0"/>
    <x v="0"/>
    <x v="0"/>
    <n v="11"/>
  </r>
  <r>
    <n v="1100"/>
    <d v="2026-06-23T00:00:00"/>
    <x v="1030"/>
    <x v="1025"/>
    <n v="5"/>
    <x v="0"/>
    <x v="0"/>
    <x v="0"/>
    <x v="0"/>
    <n v="5"/>
  </r>
  <r>
    <n v="1101"/>
    <d v="2026-06-23T00:00:00"/>
    <x v="1031"/>
    <x v="1026"/>
    <n v="1"/>
    <x v="0"/>
    <x v="0"/>
    <x v="0"/>
    <x v="0"/>
    <n v="1"/>
  </r>
  <r>
    <n v="1102"/>
    <d v="2026-06-23T00:00:00"/>
    <x v="1032"/>
    <x v="1027"/>
    <n v="1"/>
    <x v="0"/>
    <x v="0"/>
    <x v="0"/>
    <x v="0"/>
    <n v="1"/>
  </r>
  <r>
    <n v="1103"/>
    <d v="2026-06-23T00:00:00"/>
    <x v="1033"/>
    <x v="1028"/>
    <n v="2"/>
    <x v="0"/>
    <x v="0"/>
    <x v="0"/>
    <x v="0"/>
    <n v="2"/>
  </r>
  <r>
    <n v="1104"/>
    <d v="2026-06-24T00:00:00"/>
    <x v="365"/>
    <x v="365"/>
    <n v="4"/>
    <x v="0"/>
    <x v="0"/>
    <x v="0"/>
    <x v="0"/>
    <n v="4"/>
  </r>
  <r>
    <n v="1105"/>
    <d v="2026-06-24T00:00:00"/>
    <x v="421"/>
    <x v="421"/>
    <n v="5"/>
    <x v="0"/>
    <x v="0"/>
    <x v="0"/>
    <x v="0"/>
    <n v="5"/>
  </r>
  <r>
    <n v="1106"/>
    <d v="2026-06-25T00:00:00"/>
    <x v="310"/>
    <x v="310"/>
    <n v="0"/>
    <x v="2"/>
    <x v="2"/>
    <x v="2"/>
    <x v="0"/>
    <n v="-2"/>
  </r>
  <r>
    <n v="1107"/>
    <d v="2026-06-25T00:00:00"/>
    <x v="430"/>
    <x v="430"/>
    <n v="0"/>
    <x v="2"/>
    <x v="2"/>
    <x v="2"/>
    <x v="0"/>
    <n v="-2"/>
  </r>
  <r>
    <n v="1108"/>
    <d v="2026-06-25T00:00:00"/>
    <x v="454"/>
    <x v="454"/>
    <n v="0"/>
    <x v="5"/>
    <x v="2"/>
    <x v="2"/>
    <x v="0"/>
    <n v="-6"/>
  </r>
  <r>
    <n v="1109"/>
    <d v="2026-06-25T00:00:00"/>
    <x v="856"/>
    <x v="854"/>
    <n v="0"/>
    <x v="4"/>
    <x v="2"/>
    <x v="2"/>
    <x v="0"/>
    <n v="-5"/>
  </r>
  <r>
    <n v="1110"/>
    <d v="2026-06-25T00:00:00"/>
    <x v="972"/>
    <x v="967"/>
    <n v="0"/>
    <x v="1"/>
    <x v="2"/>
    <x v="2"/>
    <x v="0"/>
    <n v="-1"/>
  </r>
  <r>
    <n v="1111"/>
    <d v="2026-06-27T00:00:00"/>
    <x v="471"/>
    <x v="471"/>
    <n v="2"/>
    <x v="0"/>
    <x v="0"/>
    <x v="0"/>
    <x v="0"/>
    <n v="2"/>
  </r>
  <r>
    <n v="1112"/>
    <d v="2026-06-27T00:00:00"/>
    <x v="1009"/>
    <x v="1004"/>
    <n v="10"/>
    <x v="0"/>
    <x v="0"/>
    <x v="0"/>
    <x v="0"/>
    <n v="10"/>
  </r>
  <r>
    <n v="1113"/>
    <d v="2026-06-27T00:00:00"/>
    <x v="1010"/>
    <x v="1005"/>
    <n v="4"/>
    <x v="0"/>
    <x v="0"/>
    <x v="0"/>
    <x v="0"/>
    <n v="4"/>
  </r>
  <r>
    <n v="1114"/>
    <d v="2026-06-27T00:00:00"/>
    <x v="1015"/>
    <x v="1010"/>
    <n v="1"/>
    <x v="0"/>
    <x v="0"/>
    <x v="0"/>
    <x v="0"/>
    <n v="1"/>
  </r>
  <r>
    <n v="1115"/>
    <d v="2026-06-27T00:00:00"/>
    <x v="1020"/>
    <x v="1015"/>
    <n v="1"/>
    <x v="0"/>
    <x v="0"/>
    <x v="0"/>
    <x v="0"/>
    <n v="1"/>
  </r>
  <r>
    <n v="1116"/>
    <d v="2026-06-27T00:00:00"/>
    <x v="1028"/>
    <x v="1023"/>
    <n v="2"/>
    <x v="0"/>
    <x v="0"/>
    <x v="0"/>
    <x v="0"/>
    <n v="2"/>
  </r>
  <r>
    <n v="1117"/>
    <d v="2026-06-27T00:00:00"/>
    <x v="1034"/>
    <x v="1029"/>
    <n v="1"/>
    <x v="0"/>
    <x v="0"/>
    <x v="0"/>
    <x v="0"/>
    <n v="1"/>
  </r>
  <r>
    <n v="1118"/>
    <d v="2026-06-27T00:00:00"/>
    <x v="1035"/>
    <x v="1030"/>
    <n v="1"/>
    <x v="0"/>
    <x v="0"/>
    <x v="0"/>
    <x v="0"/>
    <n v="1"/>
  </r>
  <r>
    <n v="1119"/>
    <d v="2026-06-27T00:00:00"/>
    <x v="1036"/>
    <x v="1031"/>
    <n v="1"/>
    <x v="0"/>
    <x v="0"/>
    <x v="0"/>
    <x v="0"/>
    <n v="1"/>
  </r>
  <r>
    <n v="1120"/>
    <d v="2026-06-27T00:00:00"/>
    <x v="1037"/>
    <x v="1032"/>
    <n v="1"/>
    <x v="0"/>
    <x v="0"/>
    <x v="0"/>
    <x v="0"/>
    <n v="1"/>
  </r>
  <r>
    <n v="1121"/>
    <d v="2026-06-27T00:00:00"/>
    <x v="1038"/>
    <x v="1033"/>
    <n v="1"/>
    <x v="0"/>
    <x v="0"/>
    <x v="0"/>
    <x v="0"/>
    <n v="1"/>
  </r>
  <r>
    <n v="1122"/>
    <d v="2026-06-28T00:00:00"/>
    <x v="1015"/>
    <x v="1010"/>
    <n v="1"/>
    <x v="0"/>
    <x v="0"/>
    <x v="0"/>
    <x v="0"/>
    <n v="1"/>
  </r>
  <r>
    <n v="1123"/>
    <d v="2026-06-28T00:00:00"/>
    <x v="1039"/>
    <x v="1034"/>
    <n v="3"/>
    <x v="0"/>
    <x v="0"/>
    <x v="0"/>
    <x v="0"/>
    <n v="3"/>
  </r>
  <r>
    <n v="1124"/>
    <d v="2026-06-28T00:00:00"/>
    <x v="1040"/>
    <x v="1035"/>
    <n v="2"/>
    <x v="0"/>
    <x v="0"/>
    <x v="0"/>
    <x v="0"/>
    <n v="2"/>
  </r>
  <r>
    <n v="1125"/>
    <d v="2026-06-28T00:00:00"/>
    <x v="1041"/>
    <x v="1036"/>
    <n v="2"/>
    <x v="0"/>
    <x v="0"/>
    <x v="0"/>
    <x v="0"/>
    <n v="2"/>
  </r>
  <r>
    <n v="1126"/>
    <d v="2026-07-06T00:00:00"/>
    <x v="1015"/>
    <x v="1010"/>
    <n v="1"/>
    <x v="0"/>
    <x v="0"/>
    <x v="0"/>
    <x v="0"/>
    <n v="1"/>
  </r>
  <r>
    <n v="1127"/>
    <d v="2026-07-06T00:00:00"/>
    <x v="1016"/>
    <x v="1011"/>
    <n v="3"/>
    <x v="0"/>
    <x v="0"/>
    <x v="0"/>
    <x v="0"/>
    <n v="3"/>
  </r>
  <r>
    <n v="1128"/>
    <d v="2026-07-06T00:00:00"/>
    <x v="1042"/>
    <x v="1037"/>
    <n v="1"/>
    <x v="0"/>
    <x v="0"/>
    <x v="0"/>
    <x v="0"/>
    <n v="1"/>
  </r>
  <r>
    <n v="1129"/>
    <d v="2026-07-06T00:00:00"/>
    <x v="1043"/>
    <x v="1038"/>
    <n v="1"/>
    <x v="0"/>
    <x v="0"/>
    <x v="0"/>
    <x v="0"/>
    <n v="1"/>
  </r>
  <r>
    <n v="1130"/>
    <d v="2026-07-07T00:00:00"/>
    <x v="1009"/>
    <x v="1004"/>
    <n v="2"/>
    <x v="0"/>
    <x v="0"/>
    <x v="0"/>
    <x v="0"/>
    <n v="2"/>
  </r>
  <r>
    <n v="1131"/>
    <d v="2026-07-07T00:00:00"/>
    <x v="1010"/>
    <x v="1005"/>
    <n v="1"/>
    <x v="0"/>
    <x v="0"/>
    <x v="0"/>
    <x v="0"/>
    <n v="1"/>
  </r>
  <r>
    <n v="1132"/>
    <d v="2026-07-07T00:00:00"/>
    <x v="1016"/>
    <x v="1011"/>
    <n v="1"/>
    <x v="0"/>
    <x v="0"/>
    <x v="0"/>
    <x v="0"/>
    <n v="1"/>
  </r>
  <r>
    <n v="1133"/>
    <d v="2026-07-07T00:00:00"/>
    <x v="1044"/>
    <x v="1039"/>
    <n v="1"/>
    <x v="0"/>
    <x v="0"/>
    <x v="3"/>
    <x v="0"/>
    <n v="1"/>
  </r>
  <r>
    <n v="1134"/>
    <d v="2026-07-08T00:00:00"/>
    <x v="986"/>
    <x v="981"/>
    <n v="8"/>
    <x v="0"/>
    <x v="0"/>
    <x v="0"/>
    <x v="0"/>
    <n v="8"/>
  </r>
  <r>
    <n v="1135"/>
    <d v="2026-07-08T00:00:00"/>
    <x v="1045"/>
    <x v="1040"/>
    <n v="6"/>
    <x v="0"/>
    <x v="0"/>
    <x v="0"/>
    <x v="0"/>
    <n v="6"/>
  </r>
  <r>
    <n v="1136"/>
    <d v="2026-07-09T00:00:00"/>
    <x v="1046"/>
    <x v="1041"/>
    <n v="1"/>
    <x v="0"/>
    <x v="0"/>
    <x v="0"/>
    <x v="0"/>
    <n v="1"/>
  </r>
  <r>
    <n v="1137"/>
    <d v="2026-07-09T00:00:00"/>
    <x v="1047"/>
    <x v="1042"/>
    <n v="10"/>
    <x v="0"/>
    <x v="0"/>
    <x v="0"/>
    <x v="0"/>
    <n v="10"/>
  </r>
  <r>
    <n v="1138"/>
    <d v="2026-07-09T00:00:00"/>
    <x v="1048"/>
    <x v="1043"/>
    <n v="2"/>
    <x v="0"/>
    <x v="0"/>
    <x v="0"/>
    <x v="0"/>
    <n v="2"/>
  </r>
  <r>
    <n v="1139"/>
    <d v="2026-07-09T00:00:00"/>
    <x v="1049"/>
    <x v="1044"/>
    <n v="1"/>
    <x v="0"/>
    <x v="0"/>
    <x v="0"/>
    <x v="0"/>
    <n v="1"/>
  </r>
  <r>
    <n v="1140"/>
    <d v="2026-07-09T00:00:00"/>
    <x v="1050"/>
    <x v="1045"/>
    <n v="6"/>
    <x v="0"/>
    <x v="0"/>
    <x v="3"/>
    <x v="0"/>
    <n v="6"/>
  </r>
  <r>
    <n v="1141"/>
    <d v="2026-07-12T00:00:00"/>
    <x v="1051"/>
    <x v="1046"/>
    <n v="1"/>
    <x v="0"/>
    <x v="0"/>
    <x v="0"/>
    <x v="0"/>
    <n v="1"/>
  </r>
  <r>
    <n v="1142"/>
    <d v="2026-07-12T00:00:00"/>
    <x v="1052"/>
    <x v="1047"/>
    <n v="2"/>
    <x v="0"/>
    <x v="0"/>
    <x v="0"/>
    <x v="0"/>
    <n v="2"/>
  </r>
  <r>
    <n v="1143"/>
    <d v="2026-07-13T00:00:00"/>
    <x v="160"/>
    <x v="160"/>
    <n v="0"/>
    <x v="1"/>
    <x v="2"/>
    <x v="2"/>
    <x v="0"/>
    <n v="-1"/>
  </r>
  <r>
    <n v="1144"/>
    <d v="2026-07-13T00:00:00"/>
    <x v="166"/>
    <x v="166"/>
    <n v="0"/>
    <x v="1"/>
    <x v="2"/>
    <x v="5"/>
    <x v="0"/>
    <n v="-1"/>
  </r>
  <r>
    <n v="1145"/>
    <d v="2026-07-13T00:00:00"/>
    <x v="236"/>
    <x v="236"/>
    <n v="0"/>
    <x v="3"/>
    <x v="2"/>
    <x v="2"/>
    <x v="0"/>
    <n v="-4"/>
  </r>
  <r>
    <n v="1146"/>
    <d v="2026-07-13T00:00:00"/>
    <x v="337"/>
    <x v="337"/>
    <n v="0"/>
    <x v="1"/>
    <x v="2"/>
    <x v="2"/>
    <x v="0"/>
    <n v="-1"/>
  </r>
  <r>
    <n v="1147"/>
    <d v="2026-07-13T00:00:00"/>
    <x v="338"/>
    <x v="338"/>
    <n v="0"/>
    <x v="1"/>
    <x v="2"/>
    <x v="2"/>
    <x v="0"/>
    <n v="-1"/>
  </r>
  <r>
    <n v="1148"/>
    <d v="2026-07-13T00:00:00"/>
    <x v="343"/>
    <x v="343"/>
    <n v="0"/>
    <x v="1"/>
    <x v="2"/>
    <x v="2"/>
    <x v="0"/>
    <n v="-1"/>
  </r>
  <r>
    <n v="1149"/>
    <d v="2026-07-13T00:00:00"/>
    <x v="344"/>
    <x v="344"/>
    <n v="0"/>
    <x v="1"/>
    <x v="2"/>
    <x v="5"/>
    <x v="0"/>
    <n v="-1"/>
  </r>
  <r>
    <n v="1150"/>
    <d v="2026-07-13T00:00:00"/>
    <x v="357"/>
    <x v="357"/>
    <n v="0"/>
    <x v="1"/>
    <x v="2"/>
    <x v="2"/>
    <x v="0"/>
    <n v="-1"/>
  </r>
  <r>
    <n v="1151"/>
    <d v="2026-07-13T00:00:00"/>
    <x v="429"/>
    <x v="429"/>
    <n v="0"/>
    <x v="1"/>
    <x v="2"/>
    <x v="5"/>
    <x v="0"/>
    <n v="-1"/>
  </r>
  <r>
    <n v="1152"/>
    <d v="2026-07-13T00:00:00"/>
    <x v="730"/>
    <x v="729"/>
    <n v="0"/>
    <x v="1"/>
    <x v="2"/>
    <x v="2"/>
    <x v="0"/>
    <n v="-1"/>
  </r>
  <r>
    <n v="1153"/>
    <d v="2026-07-13T00:00:00"/>
    <x v="900"/>
    <x v="897"/>
    <n v="0"/>
    <x v="2"/>
    <x v="2"/>
    <x v="2"/>
    <x v="0"/>
    <n v="-2"/>
  </r>
  <r>
    <n v="1154"/>
    <d v="2026-07-13T00:00:00"/>
    <x v="901"/>
    <x v="898"/>
    <n v="0"/>
    <x v="6"/>
    <x v="2"/>
    <x v="2"/>
    <x v="0"/>
    <n v="-10"/>
  </r>
  <r>
    <n v="1155"/>
    <d v="2026-07-13T00:00:00"/>
    <x v="934"/>
    <x v="930"/>
    <n v="0"/>
    <x v="1"/>
    <x v="2"/>
    <x v="5"/>
    <x v="0"/>
    <n v="-1"/>
  </r>
  <r>
    <n v="1156"/>
    <d v="2026-07-13T00:00:00"/>
    <x v="973"/>
    <x v="968"/>
    <n v="0"/>
    <x v="1"/>
    <x v="4"/>
    <x v="6"/>
    <x v="0"/>
    <n v="-1"/>
  </r>
  <r>
    <n v="1157"/>
    <d v="2026-07-13T00:00:00"/>
    <x v="977"/>
    <x v="972"/>
    <n v="0"/>
    <x v="7"/>
    <x v="2"/>
    <x v="5"/>
    <x v="0"/>
    <n v="-20"/>
  </r>
  <r>
    <n v="1158"/>
    <d v="2026-07-13T00:00:00"/>
    <x v="978"/>
    <x v="973"/>
    <n v="0"/>
    <x v="8"/>
    <x v="2"/>
    <x v="5"/>
    <x v="0"/>
    <n v="-3"/>
  </r>
  <r>
    <n v="1159"/>
    <d v="2026-07-13T00:00:00"/>
    <x v="979"/>
    <x v="974"/>
    <n v="0"/>
    <x v="5"/>
    <x v="2"/>
    <x v="5"/>
    <x v="0"/>
    <n v="-6"/>
  </r>
  <r>
    <n v="1160"/>
    <d v="2026-07-13T00:00:00"/>
    <x v="980"/>
    <x v="975"/>
    <n v="0"/>
    <x v="1"/>
    <x v="2"/>
    <x v="5"/>
    <x v="0"/>
    <n v="-1"/>
  </r>
  <r>
    <n v="1161"/>
    <d v="2026-07-13T00:00:00"/>
    <x v="981"/>
    <x v="976"/>
    <n v="0"/>
    <x v="9"/>
    <x v="3"/>
    <x v="4"/>
    <x v="0"/>
    <n v="-12"/>
  </r>
  <r>
    <n v="1162"/>
    <d v="2026-07-13T00:00:00"/>
    <x v="982"/>
    <x v="977"/>
    <n v="0"/>
    <x v="1"/>
    <x v="2"/>
    <x v="5"/>
    <x v="0"/>
    <n v="-1"/>
  </r>
  <r>
    <n v="1163"/>
    <d v="2026-07-13T00:00:00"/>
    <x v="983"/>
    <x v="978"/>
    <n v="0"/>
    <x v="10"/>
    <x v="3"/>
    <x v="4"/>
    <x v="0"/>
    <n v="-8"/>
  </r>
  <r>
    <n v="1164"/>
    <d v="2026-07-13T00:00:00"/>
    <x v="984"/>
    <x v="979"/>
    <n v="0"/>
    <x v="5"/>
    <x v="3"/>
    <x v="4"/>
    <x v="0"/>
    <n v="-6"/>
  </r>
  <r>
    <n v="1165"/>
    <d v="2026-07-13T00:00:00"/>
    <x v="985"/>
    <x v="980"/>
    <n v="0"/>
    <x v="1"/>
    <x v="3"/>
    <x v="4"/>
    <x v="0"/>
    <n v="-1"/>
  </r>
  <r>
    <n v="1166"/>
    <d v="2026-07-13T00:00:00"/>
    <x v="986"/>
    <x v="981"/>
    <n v="0"/>
    <x v="5"/>
    <x v="3"/>
    <x v="4"/>
    <x v="0"/>
    <n v="-6"/>
  </r>
  <r>
    <n v="1167"/>
    <d v="2026-07-13T00:00:00"/>
    <x v="987"/>
    <x v="982"/>
    <n v="0"/>
    <x v="11"/>
    <x v="3"/>
    <x v="4"/>
    <x v="0"/>
    <n v="-13"/>
  </r>
  <r>
    <n v="1168"/>
    <d v="2026-07-13T00:00:00"/>
    <x v="997"/>
    <x v="992"/>
    <n v="0"/>
    <x v="1"/>
    <x v="3"/>
    <x v="4"/>
    <x v="0"/>
    <n v="-1"/>
  </r>
  <r>
    <n v="1169"/>
    <d v="2026-07-13T00:00:00"/>
    <x v="1021"/>
    <x v="1016"/>
    <n v="0"/>
    <x v="1"/>
    <x v="2"/>
    <x v="2"/>
    <x v="0"/>
    <n v="-1"/>
  </r>
  <r>
    <n v="1170"/>
    <d v="2026-07-13T00:00:00"/>
    <x v="1022"/>
    <x v="1017"/>
    <n v="0"/>
    <x v="1"/>
    <x v="2"/>
    <x v="2"/>
    <x v="0"/>
    <n v="-1"/>
  </r>
  <r>
    <n v="1171"/>
    <d v="2026-07-13T00:00:00"/>
    <x v="3"/>
    <x v="3"/>
    <n v="0"/>
    <x v="2"/>
    <x v="2"/>
    <x v="2"/>
    <x v="0"/>
    <n v="-2"/>
  </r>
  <r>
    <n v="1172"/>
    <d v="2026-07-15T00:00:00"/>
    <x v="65"/>
    <x v="65"/>
    <n v="0"/>
    <x v="1"/>
    <x v="2"/>
    <x v="2"/>
    <x v="0"/>
    <n v="-1"/>
  </r>
  <r>
    <n v="1173"/>
    <d v="2026-07-15T00:00:00"/>
    <x v="527"/>
    <x v="527"/>
    <n v="0"/>
    <x v="1"/>
    <x v="2"/>
    <x v="2"/>
    <x v="0"/>
    <n v="-1"/>
  </r>
  <r>
    <n v="1174"/>
    <d v="2026-07-15T00:00:00"/>
    <x v="573"/>
    <x v="573"/>
    <n v="0"/>
    <x v="2"/>
    <x v="2"/>
    <x v="2"/>
    <x v="0"/>
    <n v="-2"/>
  </r>
  <r>
    <n v="1175"/>
    <d v="2026-07-15T00:00:00"/>
    <x v="650"/>
    <x v="650"/>
    <n v="0"/>
    <x v="1"/>
    <x v="2"/>
    <x v="2"/>
    <x v="0"/>
    <n v="-1"/>
  </r>
  <r>
    <n v="1176"/>
    <d v="2026-07-15T00:00:00"/>
    <x v="800"/>
    <x v="798"/>
    <n v="0"/>
    <x v="2"/>
    <x v="2"/>
    <x v="2"/>
    <x v="0"/>
    <n v="-2"/>
  </r>
  <r>
    <n v="1177"/>
    <d v="2026-07-16T00:00:00"/>
    <x v="1050"/>
    <x v="1045"/>
    <n v="2"/>
    <x v="0"/>
    <x v="0"/>
    <x v="0"/>
    <x v="0"/>
    <n v="2"/>
  </r>
  <r>
    <n v="1178"/>
    <d v="2026-07-01T00:00:00"/>
    <x v="620"/>
    <x v="620"/>
    <n v="0"/>
    <x v="1"/>
    <x v="3"/>
    <x v="4"/>
    <x v="0"/>
    <n v="-1"/>
  </r>
  <r>
    <n v="1"/>
    <d v="2026-05-06T00:00:00"/>
    <x v="988"/>
    <x v="983"/>
    <n v="3"/>
    <x v="0"/>
    <x v="0"/>
    <x v="0"/>
    <x v="1"/>
    <n v="3"/>
  </r>
  <r>
    <n v="2"/>
    <d v="2026-05-06T00:00:00"/>
    <x v="1053"/>
    <x v="1048"/>
    <n v="2"/>
    <x v="0"/>
    <x v="0"/>
    <x v="0"/>
    <x v="1"/>
    <n v="2"/>
  </r>
  <r>
    <n v="3"/>
    <d v="2026-05-06T00:00:00"/>
    <x v="1054"/>
    <x v="1049"/>
    <n v="1"/>
    <x v="0"/>
    <x v="0"/>
    <x v="0"/>
    <x v="1"/>
    <n v="1"/>
  </r>
  <r>
    <n v="4"/>
    <d v="2026-05-07T00:00:00"/>
    <x v="1055"/>
    <x v="1050"/>
    <n v="20"/>
    <x v="0"/>
    <x v="0"/>
    <x v="0"/>
    <x v="1"/>
    <n v="20"/>
  </r>
  <r>
    <n v="5"/>
    <d v="2026-05-07T00:00:00"/>
    <x v="1056"/>
    <x v="1051"/>
    <n v="4"/>
    <x v="0"/>
    <x v="0"/>
    <x v="0"/>
    <x v="1"/>
    <n v="4"/>
  </r>
  <r>
    <n v="6"/>
    <d v="2026-05-07T00:00:00"/>
    <x v="1057"/>
    <x v="1052"/>
    <n v="100"/>
    <x v="0"/>
    <x v="0"/>
    <x v="0"/>
    <x v="1"/>
    <n v="100"/>
  </r>
  <r>
    <n v="7"/>
    <d v="2026-05-07T00:00:00"/>
    <x v="1058"/>
    <x v="1053"/>
    <n v="100"/>
    <x v="0"/>
    <x v="0"/>
    <x v="0"/>
    <x v="1"/>
    <n v="100"/>
  </r>
  <r>
    <n v="8"/>
    <d v="2026-05-07T00:00:00"/>
    <x v="1059"/>
    <x v="1054"/>
    <n v="10"/>
    <x v="0"/>
    <x v="0"/>
    <x v="0"/>
    <x v="1"/>
    <n v="10"/>
  </r>
  <r>
    <n v="9"/>
    <d v="2026-05-07T00:00:00"/>
    <x v="1060"/>
    <x v="1055"/>
    <n v="20"/>
    <x v="0"/>
    <x v="0"/>
    <x v="0"/>
    <x v="1"/>
    <n v="20"/>
  </r>
  <r>
    <n v="10"/>
    <d v="2026-05-07T00:00:00"/>
    <x v="1061"/>
    <x v="1056"/>
    <n v="1"/>
    <x v="0"/>
    <x v="0"/>
    <x v="0"/>
    <x v="1"/>
    <n v="1"/>
  </r>
  <r>
    <n v="11"/>
    <d v="2026-05-07T00:00:00"/>
    <x v="1062"/>
    <x v="1057"/>
    <n v="10"/>
    <x v="0"/>
    <x v="0"/>
    <x v="0"/>
    <x v="1"/>
    <n v="10"/>
  </r>
  <r>
    <n v="12"/>
    <d v="2026-05-07T00:00:00"/>
    <x v="1063"/>
    <x v="1058"/>
    <n v="20"/>
    <x v="0"/>
    <x v="0"/>
    <x v="0"/>
    <x v="1"/>
    <n v="20"/>
  </r>
  <r>
    <n v="13"/>
    <d v="2026-06-18T00:00:00"/>
    <x v="161"/>
    <x v="161"/>
    <n v="2"/>
    <x v="0"/>
    <x v="2"/>
    <x v="6"/>
    <x v="1"/>
    <n v="2"/>
  </r>
  <r>
    <n v="14"/>
    <d v="2026-06-18T00:00:00"/>
    <x v="162"/>
    <x v="162"/>
    <n v="1"/>
    <x v="0"/>
    <x v="2"/>
    <x v="6"/>
    <x v="1"/>
    <n v="1"/>
  </r>
  <r>
    <n v="15"/>
    <d v="2026-06-18T00:00:00"/>
    <x v="163"/>
    <x v="163"/>
    <n v="5"/>
    <x v="0"/>
    <x v="2"/>
    <x v="6"/>
    <x v="1"/>
    <n v="5"/>
  </r>
  <r>
    <n v="16"/>
    <d v="2026-06-18T00:00:00"/>
    <x v="339"/>
    <x v="339"/>
    <n v="1"/>
    <x v="0"/>
    <x v="2"/>
    <x v="6"/>
    <x v="1"/>
    <n v="1"/>
  </r>
  <r>
    <n v="17"/>
    <d v="2026-06-18T00:00:00"/>
    <x v="350"/>
    <x v="350"/>
    <n v="1"/>
    <x v="0"/>
    <x v="2"/>
    <x v="6"/>
    <x v="1"/>
    <n v="1"/>
  </r>
  <r>
    <n v="18"/>
    <d v="2026-06-18T00:00:00"/>
    <x v="353"/>
    <x v="353"/>
    <n v="1"/>
    <x v="0"/>
    <x v="2"/>
    <x v="6"/>
    <x v="1"/>
    <n v="1"/>
  </r>
  <r>
    <n v="19"/>
    <d v="2026-06-18T00:00:00"/>
    <x v="363"/>
    <x v="363"/>
    <n v="10"/>
    <x v="0"/>
    <x v="2"/>
    <x v="6"/>
    <x v="1"/>
    <n v="10"/>
  </r>
  <r>
    <n v="20"/>
    <d v="2026-06-18T00:00:00"/>
    <x v="436"/>
    <x v="436"/>
    <n v="1"/>
    <x v="0"/>
    <x v="2"/>
    <x v="6"/>
    <x v="1"/>
    <n v="1"/>
  </r>
  <r>
    <n v="21"/>
    <d v="2026-06-18T00:00:00"/>
    <x v="601"/>
    <x v="601"/>
    <n v="1"/>
    <x v="0"/>
    <x v="2"/>
    <x v="6"/>
    <x v="1"/>
    <n v="1"/>
  </r>
  <r>
    <n v="22"/>
    <d v="2026-06-18T00:00:00"/>
    <x v="610"/>
    <x v="610"/>
    <n v="1"/>
    <x v="0"/>
    <x v="2"/>
    <x v="6"/>
    <x v="1"/>
    <n v="1"/>
  </r>
  <r>
    <n v="23"/>
    <d v="2026-06-18T00:00:00"/>
    <x v="616"/>
    <x v="616"/>
    <n v="1"/>
    <x v="0"/>
    <x v="2"/>
    <x v="6"/>
    <x v="1"/>
    <n v="1"/>
  </r>
  <r>
    <n v="24"/>
    <d v="2026-06-18T00:00:00"/>
    <x v="617"/>
    <x v="617"/>
    <n v="1"/>
    <x v="0"/>
    <x v="2"/>
    <x v="6"/>
    <x v="1"/>
    <n v="1"/>
  </r>
  <r>
    <n v="25"/>
    <d v="2026-06-18T00:00:00"/>
    <x v="619"/>
    <x v="619"/>
    <n v="1"/>
    <x v="0"/>
    <x v="2"/>
    <x v="6"/>
    <x v="1"/>
    <n v="1"/>
  </r>
  <r>
    <n v="26"/>
    <d v="2026-06-18T00:00:00"/>
    <x v="784"/>
    <x v="782"/>
    <n v="1"/>
    <x v="0"/>
    <x v="2"/>
    <x v="6"/>
    <x v="1"/>
    <n v="1"/>
  </r>
  <r>
    <n v="27"/>
    <d v="2026-06-18T00:00:00"/>
    <x v="950"/>
    <x v="945"/>
    <n v="2"/>
    <x v="0"/>
    <x v="2"/>
    <x v="6"/>
    <x v="1"/>
    <n v="2"/>
  </r>
  <r>
    <n v="28"/>
    <d v="2026-07-10T00:00:00"/>
    <x v="1064"/>
    <x v="1059"/>
    <n v="1"/>
    <x v="0"/>
    <x v="0"/>
    <x v="3"/>
    <x v="1"/>
    <n v="1"/>
  </r>
  <r>
    <n v="29"/>
    <d v="2026-07-10T00:00:00"/>
    <x v="1065"/>
    <x v="1060"/>
    <n v="1"/>
    <x v="0"/>
    <x v="0"/>
    <x v="3"/>
    <x v="1"/>
    <n v="1"/>
  </r>
  <r>
    <n v="30"/>
    <d v="2026-07-13T00:00:00"/>
    <x v="166"/>
    <x v="166"/>
    <n v="1"/>
    <x v="0"/>
    <x v="2"/>
    <x v="6"/>
    <x v="1"/>
    <n v="1"/>
  </r>
  <r>
    <n v="31"/>
    <d v="2026-07-13T00:00:00"/>
    <x v="344"/>
    <x v="344"/>
    <n v="1"/>
    <x v="0"/>
    <x v="2"/>
    <x v="6"/>
    <x v="1"/>
    <n v="1"/>
  </r>
  <r>
    <n v="32"/>
    <d v="2026-07-13T00:00:00"/>
    <x v="429"/>
    <x v="429"/>
    <n v="1"/>
    <x v="0"/>
    <x v="2"/>
    <x v="6"/>
    <x v="1"/>
    <n v="1"/>
  </r>
  <r>
    <n v="33"/>
    <d v="2026-07-13T00:00:00"/>
    <x v="934"/>
    <x v="930"/>
    <n v="1"/>
    <x v="0"/>
    <x v="2"/>
    <x v="6"/>
    <x v="1"/>
    <n v="1"/>
  </r>
  <r>
    <n v="34"/>
    <d v="2026-07-13T00:00:00"/>
    <x v="977"/>
    <x v="972"/>
    <n v="20"/>
    <x v="0"/>
    <x v="2"/>
    <x v="6"/>
    <x v="1"/>
    <n v="20"/>
  </r>
  <r>
    <n v="35"/>
    <d v="2026-07-13T00:00:00"/>
    <x v="978"/>
    <x v="973"/>
    <n v="3"/>
    <x v="0"/>
    <x v="2"/>
    <x v="6"/>
    <x v="1"/>
    <n v="3"/>
  </r>
  <r>
    <n v="36"/>
    <d v="2026-07-13T00:00:00"/>
    <x v="979"/>
    <x v="974"/>
    <n v="6"/>
    <x v="0"/>
    <x v="2"/>
    <x v="6"/>
    <x v="1"/>
    <n v="6"/>
  </r>
  <r>
    <n v="37"/>
    <d v="2026-07-13T00:00:00"/>
    <x v="980"/>
    <x v="975"/>
    <n v="1"/>
    <x v="0"/>
    <x v="2"/>
    <x v="6"/>
    <x v="1"/>
    <n v="1"/>
  </r>
  <r>
    <n v="38"/>
    <d v="2026-07-13T00:00:00"/>
    <x v="982"/>
    <x v="977"/>
    <n v="1"/>
    <x v="0"/>
    <x v="2"/>
    <x v="6"/>
    <x v="1"/>
    <n v="1"/>
  </r>
  <r>
    <n v="39"/>
    <d v="2026-06-25T00:00:00"/>
    <x v="616"/>
    <x v="616"/>
    <n v="0"/>
    <x v="1"/>
    <x v="2"/>
    <x v="2"/>
    <x v="1"/>
    <n v="-1"/>
  </r>
  <r>
    <n v="40"/>
    <d v="2026-06-01T00:00:00"/>
    <x v="1066"/>
    <x v="1061"/>
    <n v="1"/>
    <x v="0"/>
    <x v="5"/>
    <x v="1"/>
    <x v="1"/>
    <n v="1"/>
  </r>
  <r>
    <n v="41"/>
    <d v="2026-07-23T00:00:00"/>
    <x v="1067"/>
    <x v="1062"/>
    <n v="1"/>
    <x v="0"/>
    <x v="0"/>
    <x v="3"/>
    <x v="1"/>
    <n v="1"/>
  </r>
  <r>
    <n v="42"/>
    <d v="2026-07-23T00:00:00"/>
    <x v="1068"/>
    <x v="1063"/>
    <n v="1"/>
    <x v="0"/>
    <x v="0"/>
    <x v="3"/>
    <x v="1"/>
    <n v="1"/>
  </r>
  <r>
    <n v="1"/>
    <d v="2026-06-01T00:00:00"/>
    <x v="1069"/>
    <x v="1064"/>
    <n v="1"/>
    <x v="0"/>
    <x v="1"/>
    <x v="1"/>
    <x v="2"/>
    <n v="1"/>
  </r>
  <r>
    <n v="2"/>
    <d v="2026-06-06T00:00:00"/>
    <x v="1070"/>
    <x v="1065"/>
    <n v="1"/>
    <x v="0"/>
    <x v="0"/>
    <x v="0"/>
    <x v="2"/>
    <n v="1"/>
  </r>
  <r>
    <n v="3"/>
    <d v="2026-06-06T00:00:00"/>
    <x v="1071"/>
    <x v="1066"/>
    <n v="1"/>
    <x v="0"/>
    <x v="0"/>
    <x v="0"/>
    <x v="2"/>
    <n v="1"/>
  </r>
  <r>
    <n v="4"/>
    <d v="2026-06-06T00:00:00"/>
    <x v="1072"/>
    <x v="1067"/>
    <n v="1"/>
    <x v="0"/>
    <x v="0"/>
    <x v="0"/>
    <x v="2"/>
    <n v="1"/>
  </r>
  <r>
    <n v="5"/>
    <d v="2026-06-08T00:00:00"/>
    <x v="225"/>
    <x v="225"/>
    <n v="1"/>
    <x v="0"/>
    <x v="0"/>
    <x v="0"/>
    <x v="2"/>
    <n v="1"/>
  </r>
  <r>
    <n v="6"/>
    <d v="2026-06-08T00:00:00"/>
    <x v="347"/>
    <x v="347"/>
    <n v="1"/>
    <x v="0"/>
    <x v="2"/>
    <x v="6"/>
    <x v="2"/>
    <n v="1"/>
  </r>
  <r>
    <n v="7"/>
    <d v="2026-06-08T00:00:00"/>
    <x v="984"/>
    <x v="979"/>
    <n v="5"/>
    <x v="0"/>
    <x v="0"/>
    <x v="0"/>
    <x v="2"/>
    <n v="5"/>
  </r>
  <r>
    <n v="8"/>
    <d v="2026-06-08T00:00:00"/>
    <x v="986"/>
    <x v="981"/>
    <n v="2"/>
    <x v="0"/>
    <x v="0"/>
    <x v="0"/>
    <x v="2"/>
    <n v="2"/>
  </r>
  <r>
    <n v="9"/>
    <d v="2026-06-08T00:00:00"/>
    <x v="987"/>
    <x v="982"/>
    <n v="50"/>
    <x v="0"/>
    <x v="0"/>
    <x v="0"/>
    <x v="2"/>
    <n v="50"/>
  </r>
  <r>
    <n v="10"/>
    <d v="2026-06-08T00:00:00"/>
    <x v="1022"/>
    <x v="1017"/>
    <n v="3"/>
    <x v="0"/>
    <x v="0"/>
    <x v="0"/>
    <x v="2"/>
    <n v="3"/>
  </r>
  <r>
    <n v="11"/>
    <d v="2026-06-08T00:00:00"/>
    <x v="1034"/>
    <x v="1029"/>
    <n v="2"/>
    <x v="0"/>
    <x v="0"/>
    <x v="0"/>
    <x v="2"/>
    <n v="2"/>
  </r>
  <r>
    <n v="12"/>
    <d v="2026-06-08T00:00:00"/>
    <x v="1073"/>
    <x v="1068"/>
    <n v="10"/>
    <x v="0"/>
    <x v="0"/>
    <x v="0"/>
    <x v="2"/>
    <n v="10"/>
  </r>
  <r>
    <n v="13"/>
    <d v="2026-06-08T00:00:00"/>
    <x v="1074"/>
    <x v="1069"/>
    <n v="15"/>
    <x v="0"/>
    <x v="0"/>
    <x v="0"/>
    <x v="2"/>
    <n v="15"/>
  </r>
  <r>
    <n v="14"/>
    <d v="2026-06-08T00:00:00"/>
    <x v="1049"/>
    <x v="1044"/>
    <n v="1"/>
    <x v="0"/>
    <x v="0"/>
    <x v="0"/>
    <x v="2"/>
    <n v="1"/>
  </r>
  <r>
    <n v="15"/>
    <d v="2026-06-08T00:00:00"/>
    <x v="1075"/>
    <x v="1070"/>
    <n v="25"/>
    <x v="0"/>
    <x v="0"/>
    <x v="0"/>
    <x v="2"/>
    <n v="25"/>
  </r>
  <r>
    <n v="16"/>
    <d v="2026-06-08T00:00:00"/>
    <x v="1076"/>
    <x v="1071"/>
    <n v="10"/>
    <x v="0"/>
    <x v="0"/>
    <x v="0"/>
    <x v="2"/>
    <n v="10"/>
  </r>
  <r>
    <n v="17"/>
    <d v="2026-06-08T00:00:00"/>
    <x v="1077"/>
    <x v="1072"/>
    <n v="100"/>
    <x v="0"/>
    <x v="0"/>
    <x v="0"/>
    <x v="2"/>
    <n v="100"/>
  </r>
  <r>
    <n v="18"/>
    <d v="2026-06-08T00:00:00"/>
    <x v="1078"/>
    <x v="1073"/>
    <n v="1"/>
    <x v="0"/>
    <x v="0"/>
    <x v="0"/>
    <x v="2"/>
    <n v="1"/>
  </r>
  <r>
    <n v="19"/>
    <d v="2026-06-08T00:00:00"/>
    <x v="1079"/>
    <x v="1074"/>
    <n v="2"/>
    <x v="0"/>
    <x v="0"/>
    <x v="0"/>
    <x v="2"/>
    <n v="2"/>
  </r>
  <r>
    <n v="20"/>
    <d v="2026-06-08T00:00:00"/>
    <x v="1080"/>
    <x v="1075"/>
    <n v="2"/>
    <x v="0"/>
    <x v="0"/>
    <x v="0"/>
    <x v="2"/>
    <n v="2"/>
  </r>
  <r>
    <n v="21"/>
    <d v="2026-06-08T00:00:00"/>
    <x v="1081"/>
    <x v="1076"/>
    <n v="1"/>
    <x v="0"/>
    <x v="0"/>
    <x v="0"/>
    <x v="2"/>
    <n v="1"/>
  </r>
  <r>
    <n v="22"/>
    <d v="2026-06-08T00:00:00"/>
    <x v="1082"/>
    <x v="1077"/>
    <n v="1"/>
    <x v="0"/>
    <x v="0"/>
    <x v="0"/>
    <x v="2"/>
    <n v="1"/>
  </r>
  <r>
    <n v="23"/>
    <d v="2026-06-08T00:00:00"/>
    <x v="1083"/>
    <x v="1078"/>
    <n v="5"/>
    <x v="0"/>
    <x v="0"/>
    <x v="0"/>
    <x v="2"/>
    <n v="5"/>
  </r>
  <r>
    <n v="24"/>
    <d v="2026-06-08T00:00:00"/>
    <x v="1084"/>
    <x v="1079"/>
    <n v="3"/>
    <x v="0"/>
    <x v="0"/>
    <x v="0"/>
    <x v="2"/>
    <n v="3"/>
  </r>
  <r>
    <n v="25"/>
    <d v="2026-06-08T00:00:00"/>
    <x v="1085"/>
    <x v="1080"/>
    <n v="2"/>
    <x v="0"/>
    <x v="0"/>
    <x v="0"/>
    <x v="2"/>
    <n v="2"/>
  </r>
  <r>
    <n v="26"/>
    <d v="2026-06-08T00:00:00"/>
    <x v="1086"/>
    <x v="1081"/>
    <n v="1"/>
    <x v="0"/>
    <x v="0"/>
    <x v="0"/>
    <x v="2"/>
    <n v="1"/>
  </r>
  <r>
    <n v="27"/>
    <d v="2026-06-08T00:00:00"/>
    <x v="1087"/>
    <x v="1082"/>
    <n v="1"/>
    <x v="0"/>
    <x v="0"/>
    <x v="0"/>
    <x v="2"/>
    <n v="1"/>
  </r>
  <r>
    <n v="28"/>
    <d v="2026-06-08T00:00:00"/>
    <x v="1088"/>
    <x v="1083"/>
    <n v="5"/>
    <x v="0"/>
    <x v="0"/>
    <x v="0"/>
    <x v="2"/>
    <n v="5"/>
  </r>
  <r>
    <n v="29"/>
    <d v="2026-06-08T00:00:00"/>
    <x v="1089"/>
    <x v="1084"/>
    <n v="5"/>
    <x v="0"/>
    <x v="0"/>
    <x v="0"/>
    <x v="2"/>
    <n v="5"/>
  </r>
  <r>
    <n v="30"/>
    <d v="2026-06-10T00:00:00"/>
    <x v="206"/>
    <x v="206"/>
    <n v="10"/>
    <x v="0"/>
    <x v="0"/>
    <x v="0"/>
    <x v="2"/>
    <n v="10"/>
  </r>
  <r>
    <n v="31"/>
    <d v="2026-06-10T00:00:00"/>
    <x v="865"/>
    <x v="863"/>
    <n v="3"/>
    <x v="0"/>
    <x v="0"/>
    <x v="0"/>
    <x v="2"/>
    <n v="3"/>
  </r>
  <r>
    <n v="32"/>
    <d v="2026-06-10T00:00:00"/>
    <x v="0"/>
    <x v="0"/>
    <n v="1"/>
    <x v="0"/>
    <x v="0"/>
    <x v="0"/>
    <x v="2"/>
    <n v="1"/>
  </r>
  <r>
    <n v="33"/>
    <d v="2026-06-10T00:00:00"/>
    <x v="1090"/>
    <x v="1085"/>
    <n v="10"/>
    <x v="0"/>
    <x v="0"/>
    <x v="0"/>
    <x v="2"/>
    <n v="10"/>
  </r>
  <r>
    <n v="34"/>
    <d v="2026-06-10T00:00:00"/>
    <x v="1091"/>
    <x v="1086"/>
    <n v="100"/>
    <x v="0"/>
    <x v="0"/>
    <x v="0"/>
    <x v="2"/>
    <n v="100"/>
  </r>
  <r>
    <n v="35"/>
    <d v="2026-06-10T00:00:00"/>
    <x v="1092"/>
    <x v="1087"/>
    <n v="3"/>
    <x v="0"/>
    <x v="0"/>
    <x v="0"/>
    <x v="2"/>
    <n v="3"/>
  </r>
  <r>
    <n v="36"/>
    <d v="2026-06-10T00:00:00"/>
    <x v="1093"/>
    <x v="1088"/>
    <n v="1"/>
    <x v="0"/>
    <x v="0"/>
    <x v="0"/>
    <x v="2"/>
    <n v="1"/>
  </r>
  <r>
    <n v="37"/>
    <d v="2026-06-10T00:00:00"/>
    <x v="1094"/>
    <x v="1089"/>
    <n v="3"/>
    <x v="0"/>
    <x v="0"/>
    <x v="0"/>
    <x v="2"/>
    <n v="3"/>
  </r>
  <r>
    <n v="38"/>
    <d v="2026-06-10T00:00:00"/>
    <x v="1095"/>
    <x v="1090"/>
    <n v="2"/>
    <x v="0"/>
    <x v="0"/>
    <x v="0"/>
    <x v="2"/>
    <n v="2"/>
  </r>
  <r>
    <n v="39"/>
    <d v="2026-06-10T00:00:00"/>
    <x v="1096"/>
    <x v="1091"/>
    <n v="2"/>
    <x v="0"/>
    <x v="0"/>
    <x v="0"/>
    <x v="2"/>
    <n v="2"/>
  </r>
  <r>
    <n v="40"/>
    <d v="2026-06-10T00:00:00"/>
    <x v="1075"/>
    <x v="1070"/>
    <n v="15"/>
    <x v="0"/>
    <x v="0"/>
    <x v="0"/>
    <x v="2"/>
    <n v="15"/>
  </r>
  <r>
    <n v="41"/>
    <d v="2026-06-10T00:00:00"/>
    <x v="1097"/>
    <x v="1092"/>
    <n v="5"/>
    <x v="0"/>
    <x v="0"/>
    <x v="0"/>
    <x v="2"/>
    <n v="5"/>
  </r>
  <r>
    <n v="42"/>
    <d v="2026-06-10T00:00:00"/>
    <x v="1098"/>
    <x v="1093"/>
    <n v="2"/>
    <x v="0"/>
    <x v="0"/>
    <x v="0"/>
    <x v="2"/>
    <n v="2"/>
  </r>
  <r>
    <n v="43"/>
    <d v="2026-06-10T00:00:00"/>
    <x v="1099"/>
    <x v="1094"/>
    <n v="1"/>
    <x v="0"/>
    <x v="0"/>
    <x v="0"/>
    <x v="2"/>
    <n v="1"/>
  </r>
  <r>
    <n v="44"/>
    <d v="2026-06-10T00:00:00"/>
    <x v="1100"/>
    <x v="1095"/>
    <n v="1"/>
    <x v="0"/>
    <x v="0"/>
    <x v="0"/>
    <x v="2"/>
    <n v="1"/>
  </r>
  <r>
    <n v="45"/>
    <d v="2026-06-10T00:00:00"/>
    <x v="1101"/>
    <x v="1096"/>
    <n v="8"/>
    <x v="0"/>
    <x v="0"/>
    <x v="0"/>
    <x v="2"/>
    <n v="8"/>
  </r>
  <r>
    <n v="46"/>
    <d v="2026-06-10T00:00:00"/>
    <x v="1102"/>
    <x v="1097"/>
    <n v="1"/>
    <x v="0"/>
    <x v="0"/>
    <x v="0"/>
    <x v="2"/>
    <n v="1"/>
  </r>
  <r>
    <n v="47"/>
    <d v="2026-06-10T00:00:00"/>
    <x v="1103"/>
    <x v="1098"/>
    <n v="5"/>
    <x v="0"/>
    <x v="0"/>
    <x v="0"/>
    <x v="2"/>
    <n v="5"/>
  </r>
  <r>
    <n v="48"/>
    <d v="2026-06-10T00:00:00"/>
    <x v="1103"/>
    <x v="1098"/>
    <n v="5"/>
    <x v="0"/>
    <x v="0"/>
    <x v="0"/>
    <x v="2"/>
    <n v="5"/>
  </r>
  <r>
    <n v="49"/>
    <d v="2026-06-10T00:00:00"/>
    <x v="1076"/>
    <x v="1071"/>
    <n v="10"/>
    <x v="0"/>
    <x v="0"/>
    <x v="0"/>
    <x v="2"/>
    <n v="10"/>
  </r>
  <r>
    <n v="50"/>
    <d v="2026-06-11T00:00:00"/>
    <x v="1104"/>
    <x v="1099"/>
    <n v="2"/>
    <x v="0"/>
    <x v="0"/>
    <x v="3"/>
    <x v="2"/>
    <n v="2"/>
  </r>
  <r>
    <n v="51"/>
    <d v="2026-06-12T00:00:00"/>
    <x v="1105"/>
    <x v="1100"/>
    <n v="1"/>
    <x v="0"/>
    <x v="0"/>
    <x v="3"/>
    <x v="2"/>
    <n v="1"/>
  </r>
  <r>
    <n v="52"/>
    <d v="2026-06-13T00:00:00"/>
    <x v="658"/>
    <x v="658"/>
    <n v="1"/>
    <x v="0"/>
    <x v="2"/>
    <x v="6"/>
    <x v="2"/>
    <n v="1"/>
  </r>
  <r>
    <n v="53"/>
    <d v="2026-06-13T00:00:00"/>
    <x v="1106"/>
    <x v="1101"/>
    <n v="1"/>
    <x v="0"/>
    <x v="0"/>
    <x v="3"/>
    <x v="2"/>
    <n v="1"/>
  </r>
  <r>
    <n v="54"/>
    <d v="2026-06-13T00:00:00"/>
    <x v="1107"/>
    <x v="1102"/>
    <n v="1"/>
    <x v="0"/>
    <x v="0"/>
    <x v="3"/>
    <x v="2"/>
    <n v="1"/>
  </r>
  <r>
    <n v="55"/>
    <d v="2026-06-13T00:00:00"/>
    <x v="1108"/>
    <x v="1103"/>
    <n v="2"/>
    <x v="0"/>
    <x v="0"/>
    <x v="3"/>
    <x v="2"/>
    <n v="2"/>
  </r>
  <r>
    <n v="56"/>
    <d v="2026-06-13T00:00:00"/>
    <x v="1109"/>
    <x v="1104"/>
    <n v="1"/>
    <x v="0"/>
    <x v="0"/>
    <x v="3"/>
    <x v="2"/>
    <n v="1"/>
  </r>
  <r>
    <n v="57"/>
    <d v="2026-06-13T00:00:00"/>
    <x v="1110"/>
    <x v="1105"/>
    <n v="6"/>
    <x v="0"/>
    <x v="0"/>
    <x v="3"/>
    <x v="2"/>
    <n v="6"/>
  </r>
  <r>
    <n v="58"/>
    <d v="2026-06-13T00:00:00"/>
    <x v="1111"/>
    <x v="1106"/>
    <n v="1"/>
    <x v="0"/>
    <x v="0"/>
    <x v="3"/>
    <x v="2"/>
    <n v="1"/>
  </r>
  <r>
    <n v="59"/>
    <d v="2026-06-13T00:00:00"/>
    <x v="1112"/>
    <x v="1107"/>
    <n v="1"/>
    <x v="0"/>
    <x v="0"/>
    <x v="3"/>
    <x v="2"/>
    <n v="1"/>
  </r>
  <r>
    <n v="60"/>
    <d v="2026-06-13T00:00:00"/>
    <x v="1113"/>
    <x v="1108"/>
    <n v="10"/>
    <x v="0"/>
    <x v="0"/>
    <x v="3"/>
    <x v="2"/>
    <n v="10"/>
  </r>
  <r>
    <n v="61"/>
    <d v="2026-06-13T00:00:00"/>
    <x v="1114"/>
    <x v="1109"/>
    <n v="1"/>
    <x v="0"/>
    <x v="0"/>
    <x v="3"/>
    <x v="2"/>
    <n v="1"/>
  </r>
  <r>
    <n v="62"/>
    <d v="2026-06-13T00:00:00"/>
    <x v="1115"/>
    <x v="1110"/>
    <n v="1"/>
    <x v="0"/>
    <x v="0"/>
    <x v="3"/>
    <x v="2"/>
    <n v="1"/>
  </r>
  <r>
    <n v="63"/>
    <d v="2026-06-13T00:00:00"/>
    <x v="1116"/>
    <x v="1111"/>
    <n v="5"/>
    <x v="0"/>
    <x v="0"/>
    <x v="3"/>
    <x v="2"/>
    <n v="5"/>
  </r>
  <r>
    <n v="64"/>
    <d v="2026-06-13T00:00:00"/>
    <x v="1117"/>
    <x v="1112"/>
    <n v="12"/>
    <x v="0"/>
    <x v="0"/>
    <x v="3"/>
    <x v="2"/>
    <n v="12"/>
  </r>
  <r>
    <n v="65"/>
    <d v="2026-06-14T00:00:00"/>
    <x v="1118"/>
    <x v="1113"/>
    <n v="1.5"/>
    <x v="0"/>
    <x v="0"/>
    <x v="3"/>
    <x v="2"/>
    <n v="1.5"/>
  </r>
  <r>
    <n v="66"/>
    <d v="2026-06-16T00:00:00"/>
    <x v="337"/>
    <x v="337"/>
    <n v="1"/>
    <x v="0"/>
    <x v="2"/>
    <x v="6"/>
    <x v="2"/>
    <n v="1"/>
  </r>
  <r>
    <n v="67"/>
    <d v="2026-06-16T00:00:00"/>
    <x v="369"/>
    <x v="369"/>
    <n v="1"/>
    <x v="0"/>
    <x v="2"/>
    <x v="6"/>
    <x v="2"/>
    <n v="1"/>
  </r>
  <r>
    <n v="68"/>
    <d v="2026-06-16T00:00:00"/>
    <x v="849"/>
    <x v="847"/>
    <n v="2"/>
    <x v="0"/>
    <x v="2"/>
    <x v="6"/>
    <x v="2"/>
    <n v="2"/>
  </r>
  <r>
    <n v="69"/>
    <d v="2026-06-18T00:00:00"/>
    <x v="138"/>
    <x v="138"/>
    <n v="1"/>
    <x v="0"/>
    <x v="2"/>
    <x v="6"/>
    <x v="2"/>
    <n v="1"/>
  </r>
  <r>
    <n v="70"/>
    <d v="2026-06-18T00:00:00"/>
    <x v="139"/>
    <x v="139"/>
    <n v="1"/>
    <x v="0"/>
    <x v="2"/>
    <x v="6"/>
    <x v="2"/>
    <n v="1"/>
  </r>
  <r>
    <n v="71"/>
    <d v="2026-06-18T00:00:00"/>
    <x v="141"/>
    <x v="141"/>
    <n v="4"/>
    <x v="0"/>
    <x v="2"/>
    <x v="6"/>
    <x v="2"/>
    <n v="4"/>
  </r>
  <r>
    <n v="72"/>
    <d v="2026-06-18T00:00:00"/>
    <x v="173"/>
    <x v="173"/>
    <n v="1"/>
    <x v="0"/>
    <x v="2"/>
    <x v="6"/>
    <x v="2"/>
    <n v="1"/>
  </r>
  <r>
    <n v="73"/>
    <d v="2026-06-18T00:00:00"/>
    <x v="225"/>
    <x v="225"/>
    <n v="2"/>
    <x v="0"/>
    <x v="2"/>
    <x v="6"/>
    <x v="2"/>
    <n v="2"/>
  </r>
  <r>
    <n v="74"/>
    <d v="2026-06-18T00:00:00"/>
    <x v="283"/>
    <x v="283"/>
    <n v="1"/>
    <x v="0"/>
    <x v="2"/>
    <x v="6"/>
    <x v="2"/>
    <n v="1"/>
  </r>
  <r>
    <n v="75"/>
    <d v="2026-06-18T00:00:00"/>
    <x v="299"/>
    <x v="299"/>
    <n v="2"/>
    <x v="0"/>
    <x v="2"/>
    <x v="6"/>
    <x v="2"/>
    <n v="2"/>
  </r>
  <r>
    <n v="76"/>
    <d v="2026-06-18T00:00:00"/>
    <x v="301"/>
    <x v="301"/>
    <n v="6"/>
    <x v="0"/>
    <x v="2"/>
    <x v="6"/>
    <x v="2"/>
    <n v="6"/>
  </r>
  <r>
    <n v="77"/>
    <d v="2026-06-18T00:00:00"/>
    <x v="304"/>
    <x v="304"/>
    <n v="4"/>
    <x v="0"/>
    <x v="2"/>
    <x v="6"/>
    <x v="2"/>
    <n v="4"/>
  </r>
  <r>
    <n v="78"/>
    <d v="2026-06-18T00:00:00"/>
    <x v="317"/>
    <x v="317"/>
    <n v="1"/>
    <x v="0"/>
    <x v="2"/>
    <x v="6"/>
    <x v="2"/>
    <n v="1"/>
  </r>
  <r>
    <n v="79"/>
    <d v="2026-06-18T00:00:00"/>
    <x v="337"/>
    <x v="337"/>
    <n v="1"/>
    <x v="0"/>
    <x v="2"/>
    <x v="6"/>
    <x v="2"/>
    <n v="1"/>
  </r>
  <r>
    <n v="80"/>
    <d v="2026-06-18T00:00:00"/>
    <x v="339"/>
    <x v="339"/>
    <n v="2"/>
    <x v="0"/>
    <x v="2"/>
    <x v="6"/>
    <x v="2"/>
    <n v="2"/>
  </r>
  <r>
    <n v="81"/>
    <d v="2026-06-18T00:00:00"/>
    <x v="354"/>
    <x v="354"/>
    <n v="1"/>
    <x v="0"/>
    <x v="2"/>
    <x v="6"/>
    <x v="2"/>
    <n v="1"/>
  </r>
  <r>
    <n v="82"/>
    <d v="2026-06-18T00:00:00"/>
    <x v="355"/>
    <x v="355"/>
    <n v="1"/>
    <x v="0"/>
    <x v="2"/>
    <x v="6"/>
    <x v="2"/>
    <n v="1"/>
  </r>
  <r>
    <n v="83"/>
    <d v="2026-06-18T00:00:00"/>
    <x v="448"/>
    <x v="448"/>
    <n v="2"/>
    <x v="0"/>
    <x v="2"/>
    <x v="6"/>
    <x v="2"/>
    <n v="2"/>
  </r>
  <r>
    <n v="84"/>
    <d v="2026-06-18T00:00:00"/>
    <x v="524"/>
    <x v="524"/>
    <n v="1"/>
    <x v="0"/>
    <x v="2"/>
    <x v="6"/>
    <x v="2"/>
    <n v="1"/>
  </r>
  <r>
    <n v="85"/>
    <d v="2026-06-18T00:00:00"/>
    <x v="573"/>
    <x v="573"/>
    <n v="1"/>
    <x v="0"/>
    <x v="2"/>
    <x v="6"/>
    <x v="2"/>
    <n v="1"/>
  </r>
  <r>
    <n v="86"/>
    <d v="2026-06-18T00:00:00"/>
    <x v="574"/>
    <x v="574"/>
    <n v="1"/>
    <x v="0"/>
    <x v="2"/>
    <x v="6"/>
    <x v="2"/>
    <n v="1"/>
  </r>
  <r>
    <n v="87"/>
    <d v="2026-06-18T00:00:00"/>
    <x v="602"/>
    <x v="602"/>
    <n v="2"/>
    <x v="0"/>
    <x v="2"/>
    <x v="6"/>
    <x v="2"/>
    <n v="2"/>
  </r>
  <r>
    <n v="88"/>
    <d v="2026-06-18T00:00:00"/>
    <x v="609"/>
    <x v="609"/>
    <n v="1"/>
    <x v="0"/>
    <x v="2"/>
    <x v="6"/>
    <x v="2"/>
    <n v="1"/>
  </r>
  <r>
    <n v="89"/>
    <d v="2026-06-18T00:00:00"/>
    <x v="617"/>
    <x v="617"/>
    <n v="1"/>
    <x v="0"/>
    <x v="2"/>
    <x v="6"/>
    <x v="2"/>
    <n v="1"/>
  </r>
  <r>
    <n v="90"/>
    <d v="2026-06-18T00:00:00"/>
    <x v="634"/>
    <x v="634"/>
    <n v="20"/>
    <x v="0"/>
    <x v="2"/>
    <x v="6"/>
    <x v="2"/>
    <n v="20"/>
  </r>
  <r>
    <n v="91"/>
    <d v="2026-06-18T00:00:00"/>
    <x v="744"/>
    <x v="743"/>
    <n v="2"/>
    <x v="0"/>
    <x v="2"/>
    <x v="6"/>
    <x v="2"/>
    <n v="2"/>
  </r>
  <r>
    <n v="92"/>
    <d v="2026-06-18T00:00:00"/>
    <x v="789"/>
    <x v="787"/>
    <n v="2"/>
    <x v="0"/>
    <x v="2"/>
    <x v="6"/>
    <x v="2"/>
    <n v="2"/>
  </r>
  <r>
    <n v="93"/>
    <d v="2026-06-18T00:00:00"/>
    <x v="849"/>
    <x v="847"/>
    <n v="2"/>
    <x v="0"/>
    <x v="2"/>
    <x v="6"/>
    <x v="2"/>
    <n v="2"/>
  </r>
  <r>
    <n v="94"/>
    <d v="2026-06-18T00:00:00"/>
    <x v="849"/>
    <x v="847"/>
    <n v="3"/>
    <x v="0"/>
    <x v="2"/>
    <x v="6"/>
    <x v="2"/>
    <n v="3"/>
  </r>
  <r>
    <n v="95"/>
    <d v="2026-06-18T00:00:00"/>
    <x v="887"/>
    <x v="885"/>
    <n v="1"/>
    <x v="0"/>
    <x v="2"/>
    <x v="6"/>
    <x v="2"/>
    <n v="1"/>
  </r>
  <r>
    <n v="96"/>
    <d v="2026-06-18T00:00:00"/>
    <x v="922"/>
    <x v="918"/>
    <n v="3"/>
    <x v="0"/>
    <x v="2"/>
    <x v="6"/>
    <x v="2"/>
    <n v="3"/>
  </r>
  <r>
    <n v="97"/>
    <d v="2026-06-18T00:00:00"/>
    <x v="927"/>
    <x v="923"/>
    <n v="1"/>
    <x v="0"/>
    <x v="2"/>
    <x v="6"/>
    <x v="2"/>
    <n v="1"/>
  </r>
  <r>
    <n v="98"/>
    <d v="2026-06-18T00:00:00"/>
    <x v="930"/>
    <x v="926"/>
    <n v="1"/>
    <x v="0"/>
    <x v="2"/>
    <x v="6"/>
    <x v="2"/>
    <n v="1"/>
  </r>
  <r>
    <n v="99"/>
    <d v="2026-06-18T00:00:00"/>
    <x v="932"/>
    <x v="928"/>
    <n v="1"/>
    <x v="0"/>
    <x v="2"/>
    <x v="6"/>
    <x v="2"/>
    <n v="1"/>
  </r>
  <r>
    <n v="100"/>
    <d v="2026-06-18T00:00:00"/>
    <x v="970"/>
    <x v="965"/>
    <n v="1"/>
    <x v="0"/>
    <x v="2"/>
    <x v="6"/>
    <x v="2"/>
    <n v="1"/>
  </r>
  <r>
    <n v="101"/>
    <d v="2026-06-18T00:00:00"/>
    <x v="1119"/>
    <x v="1114"/>
    <n v="1"/>
    <x v="0"/>
    <x v="0"/>
    <x v="0"/>
    <x v="2"/>
    <n v="1"/>
  </r>
  <r>
    <n v="102"/>
    <d v="2026-06-18T00:00:00"/>
    <x v="1120"/>
    <x v="1115"/>
    <n v="1"/>
    <x v="0"/>
    <x v="0"/>
    <x v="3"/>
    <x v="2"/>
    <n v="1"/>
  </r>
  <r>
    <n v="103"/>
    <d v="2026-06-18T00:00:00"/>
    <x v="1121"/>
    <x v="1116"/>
    <n v="10"/>
    <x v="0"/>
    <x v="0"/>
    <x v="3"/>
    <x v="2"/>
    <n v="10"/>
  </r>
  <r>
    <n v="104"/>
    <d v="2026-06-18T00:00:00"/>
    <x v="1122"/>
    <x v="1117"/>
    <n v="10"/>
    <x v="0"/>
    <x v="0"/>
    <x v="3"/>
    <x v="2"/>
    <n v="10"/>
  </r>
  <r>
    <n v="105"/>
    <d v="2026-06-18T00:00:00"/>
    <x v="1123"/>
    <x v="1118"/>
    <n v="1"/>
    <x v="0"/>
    <x v="0"/>
    <x v="3"/>
    <x v="2"/>
    <n v="1"/>
  </r>
  <r>
    <n v="106"/>
    <d v="2026-06-18T00:00:00"/>
    <x v="1124"/>
    <x v="1119"/>
    <n v="3"/>
    <x v="0"/>
    <x v="0"/>
    <x v="3"/>
    <x v="2"/>
    <n v="3"/>
  </r>
  <r>
    <n v="107"/>
    <d v="2026-06-18T00:00:00"/>
    <x v="1125"/>
    <x v="1120"/>
    <n v="2"/>
    <x v="0"/>
    <x v="0"/>
    <x v="3"/>
    <x v="2"/>
    <n v="2"/>
  </r>
  <r>
    <n v="108"/>
    <d v="2026-06-18T00:00:00"/>
    <x v="978"/>
    <x v="973"/>
    <n v="2"/>
    <x v="0"/>
    <x v="0"/>
    <x v="3"/>
    <x v="2"/>
    <n v="2"/>
  </r>
  <r>
    <n v="109"/>
    <d v="2026-06-18T00:00:00"/>
    <x v="1126"/>
    <x v="1121"/>
    <n v="3"/>
    <x v="0"/>
    <x v="0"/>
    <x v="3"/>
    <x v="2"/>
    <n v="3"/>
  </r>
  <r>
    <n v="110"/>
    <d v="2026-06-18T00:00:00"/>
    <x v="1127"/>
    <x v="1122"/>
    <n v="2"/>
    <x v="0"/>
    <x v="0"/>
    <x v="3"/>
    <x v="2"/>
    <n v="2"/>
  </r>
  <r>
    <n v="111"/>
    <d v="2026-06-18T00:00:00"/>
    <x v="1128"/>
    <x v="1123"/>
    <n v="1"/>
    <x v="0"/>
    <x v="0"/>
    <x v="3"/>
    <x v="2"/>
    <n v="1"/>
  </r>
  <r>
    <n v="112"/>
    <d v="2026-06-18T00:00:00"/>
    <x v="981"/>
    <x v="976"/>
    <n v="8"/>
    <x v="0"/>
    <x v="0"/>
    <x v="3"/>
    <x v="2"/>
    <n v="8"/>
  </r>
  <r>
    <n v="113"/>
    <d v="2026-06-18T00:00:00"/>
    <x v="1129"/>
    <x v="1124"/>
    <n v="1"/>
    <x v="0"/>
    <x v="0"/>
    <x v="3"/>
    <x v="2"/>
    <n v="1"/>
  </r>
  <r>
    <n v="114"/>
    <d v="2026-06-18T00:00:00"/>
    <x v="1130"/>
    <x v="1125"/>
    <n v="3"/>
    <x v="0"/>
    <x v="0"/>
    <x v="3"/>
    <x v="2"/>
    <n v="3"/>
  </r>
  <r>
    <n v="115"/>
    <d v="2026-06-18T00:00:00"/>
    <x v="1131"/>
    <x v="1126"/>
    <n v="2"/>
    <x v="0"/>
    <x v="0"/>
    <x v="3"/>
    <x v="2"/>
    <n v="2"/>
  </r>
  <r>
    <n v="116"/>
    <d v="2026-06-18T00:00:00"/>
    <x v="1132"/>
    <x v="1127"/>
    <n v="1"/>
    <x v="0"/>
    <x v="0"/>
    <x v="3"/>
    <x v="2"/>
    <n v="1"/>
  </r>
  <r>
    <n v="117"/>
    <d v="2026-06-18T00:00:00"/>
    <x v="1133"/>
    <x v="1128"/>
    <n v="5"/>
    <x v="0"/>
    <x v="0"/>
    <x v="3"/>
    <x v="2"/>
    <n v="5"/>
  </r>
  <r>
    <n v="118"/>
    <d v="2026-06-18T00:00:00"/>
    <x v="1134"/>
    <x v="1129"/>
    <n v="5"/>
    <x v="0"/>
    <x v="0"/>
    <x v="3"/>
    <x v="2"/>
    <n v="5"/>
  </r>
  <r>
    <n v="119"/>
    <d v="2026-06-18T00:00:00"/>
    <x v="1046"/>
    <x v="1041"/>
    <n v="1"/>
    <x v="0"/>
    <x v="0"/>
    <x v="3"/>
    <x v="2"/>
    <n v="1"/>
  </r>
  <r>
    <n v="120"/>
    <d v="2026-06-18T00:00:00"/>
    <x v="1135"/>
    <x v="1130"/>
    <n v="1"/>
    <x v="0"/>
    <x v="0"/>
    <x v="3"/>
    <x v="2"/>
    <n v="1"/>
  </r>
  <r>
    <n v="121"/>
    <d v="2026-06-18T00:00:00"/>
    <x v="1136"/>
    <x v="1131"/>
    <n v="3"/>
    <x v="0"/>
    <x v="0"/>
    <x v="3"/>
    <x v="2"/>
    <n v="3"/>
  </r>
  <r>
    <n v="122"/>
    <d v="2026-06-18T00:00:00"/>
    <x v="1137"/>
    <x v="1132"/>
    <n v="2"/>
    <x v="0"/>
    <x v="0"/>
    <x v="3"/>
    <x v="2"/>
    <n v="2"/>
  </r>
  <r>
    <n v="123"/>
    <d v="2026-06-19T00:00:00"/>
    <x v="1138"/>
    <x v="1133"/>
    <n v="3"/>
    <x v="0"/>
    <x v="0"/>
    <x v="3"/>
    <x v="2"/>
    <n v="3"/>
  </r>
  <r>
    <n v="124"/>
    <d v="2026-06-20T00:00:00"/>
    <x v="1139"/>
    <x v="1134"/>
    <n v="2"/>
    <x v="0"/>
    <x v="0"/>
    <x v="3"/>
    <x v="2"/>
    <n v="2"/>
  </r>
  <r>
    <n v="125"/>
    <d v="2026-06-21T00:00:00"/>
    <x v="1140"/>
    <x v="1135"/>
    <n v="3"/>
    <x v="0"/>
    <x v="0"/>
    <x v="3"/>
    <x v="2"/>
    <n v="3"/>
  </r>
  <r>
    <n v="126"/>
    <d v="2026-06-21T00:00:00"/>
    <x v="1141"/>
    <x v="1136"/>
    <n v="1"/>
    <x v="0"/>
    <x v="0"/>
    <x v="3"/>
    <x v="2"/>
    <n v="1"/>
  </r>
  <r>
    <n v="127"/>
    <d v="2026-06-21T00:00:00"/>
    <x v="1142"/>
    <x v="1137"/>
    <n v="1"/>
    <x v="0"/>
    <x v="0"/>
    <x v="3"/>
    <x v="2"/>
    <n v="1"/>
  </r>
  <r>
    <n v="128"/>
    <d v="2026-06-21T00:00:00"/>
    <x v="1143"/>
    <x v="1138"/>
    <n v="1"/>
    <x v="0"/>
    <x v="0"/>
    <x v="3"/>
    <x v="2"/>
    <n v="1"/>
  </r>
  <r>
    <n v="129"/>
    <d v="2026-06-21T00:00:00"/>
    <x v="1144"/>
    <x v="1139"/>
    <n v="1"/>
    <x v="0"/>
    <x v="0"/>
    <x v="3"/>
    <x v="2"/>
    <n v="1"/>
  </r>
  <r>
    <n v="130"/>
    <d v="2026-06-21T00:00:00"/>
    <x v="1145"/>
    <x v="1140"/>
    <n v="1"/>
    <x v="0"/>
    <x v="0"/>
    <x v="3"/>
    <x v="2"/>
    <n v="1"/>
  </r>
  <r>
    <n v="131"/>
    <d v="2026-06-21T00:00:00"/>
    <x v="1146"/>
    <x v="1141"/>
    <n v="1"/>
    <x v="0"/>
    <x v="0"/>
    <x v="3"/>
    <x v="2"/>
    <n v="1"/>
  </r>
  <r>
    <n v="132"/>
    <d v="2026-06-21T00:00:00"/>
    <x v="1147"/>
    <x v="1142"/>
    <n v="3"/>
    <x v="0"/>
    <x v="0"/>
    <x v="3"/>
    <x v="2"/>
    <n v="3"/>
  </r>
  <r>
    <n v="133"/>
    <d v="2026-06-21T00:00:00"/>
    <x v="1148"/>
    <x v="1143"/>
    <n v="3"/>
    <x v="0"/>
    <x v="0"/>
    <x v="3"/>
    <x v="2"/>
    <n v="3"/>
  </r>
  <r>
    <n v="134"/>
    <d v="2026-06-21T00:00:00"/>
    <x v="1149"/>
    <x v="1144"/>
    <n v="1"/>
    <x v="0"/>
    <x v="0"/>
    <x v="3"/>
    <x v="2"/>
    <n v="1"/>
  </r>
  <r>
    <n v="135"/>
    <d v="2026-06-21T00:00:00"/>
    <x v="1150"/>
    <x v="1145"/>
    <n v="1"/>
    <x v="0"/>
    <x v="0"/>
    <x v="3"/>
    <x v="2"/>
    <n v="1"/>
  </r>
  <r>
    <n v="136"/>
    <d v="2026-06-22T00:00:00"/>
    <x v="1151"/>
    <x v="1146"/>
    <n v="1"/>
    <x v="0"/>
    <x v="0"/>
    <x v="3"/>
    <x v="2"/>
    <n v="1"/>
  </r>
  <r>
    <n v="137"/>
    <d v="2026-06-23T00:00:00"/>
    <x v="971"/>
    <x v="966"/>
    <n v="2"/>
    <x v="0"/>
    <x v="2"/>
    <x v="6"/>
    <x v="2"/>
    <n v="2"/>
  </r>
  <r>
    <n v="138"/>
    <d v="2026-06-25T00:00:00"/>
    <x v="310"/>
    <x v="310"/>
    <n v="2"/>
    <x v="0"/>
    <x v="2"/>
    <x v="6"/>
    <x v="2"/>
    <n v="2"/>
  </r>
  <r>
    <n v="139"/>
    <d v="2026-06-25T00:00:00"/>
    <x v="430"/>
    <x v="430"/>
    <n v="2"/>
    <x v="0"/>
    <x v="2"/>
    <x v="6"/>
    <x v="2"/>
    <n v="2"/>
  </r>
  <r>
    <n v="140"/>
    <d v="2026-06-25T00:00:00"/>
    <x v="454"/>
    <x v="454"/>
    <n v="6"/>
    <x v="0"/>
    <x v="2"/>
    <x v="6"/>
    <x v="2"/>
    <n v="6"/>
  </r>
  <r>
    <n v="141"/>
    <d v="2026-06-25T00:00:00"/>
    <x v="856"/>
    <x v="854"/>
    <n v="5"/>
    <x v="0"/>
    <x v="2"/>
    <x v="6"/>
    <x v="2"/>
    <n v="5"/>
  </r>
  <r>
    <n v="142"/>
    <d v="2026-06-25T00:00:00"/>
    <x v="972"/>
    <x v="967"/>
    <n v="1"/>
    <x v="0"/>
    <x v="2"/>
    <x v="6"/>
    <x v="2"/>
    <n v="1"/>
  </r>
  <r>
    <n v="143"/>
    <d v="2026-06-26T00:00:00"/>
    <x v="1152"/>
    <x v="1147"/>
    <n v="5"/>
    <x v="0"/>
    <x v="0"/>
    <x v="3"/>
    <x v="2"/>
    <n v="5"/>
  </r>
  <r>
    <n v="144"/>
    <d v="2026-06-26T00:00:00"/>
    <x v="1153"/>
    <x v="1148"/>
    <n v="30"/>
    <x v="0"/>
    <x v="0"/>
    <x v="3"/>
    <x v="2"/>
    <n v="30"/>
  </r>
  <r>
    <n v="145"/>
    <d v="2026-06-26T00:00:00"/>
    <x v="1154"/>
    <x v="1149"/>
    <n v="3"/>
    <x v="0"/>
    <x v="0"/>
    <x v="3"/>
    <x v="2"/>
    <n v="3"/>
  </r>
  <r>
    <n v="146"/>
    <d v="2026-06-26T00:00:00"/>
    <x v="1155"/>
    <x v="1150"/>
    <n v="2"/>
    <x v="0"/>
    <x v="0"/>
    <x v="3"/>
    <x v="2"/>
    <n v="2"/>
  </r>
  <r>
    <n v="147"/>
    <d v="2026-06-26T00:00:00"/>
    <x v="1156"/>
    <x v="1151"/>
    <n v="1"/>
    <x v="0"/>
    <x v="0"/>
    <x v="3"/>
    <x v="2"/>
    <n v="1"/>
  </r>
  <r>
    <n v="148"/>
    <d v="2026-06-26T00:00:00"/>
    <x v="1157"/>
    <x v="1152"/>
    <n v="1"/>
    <x v="0"/>
    <x v="0"/>
    <x v="0"/>
    <x v="2"/>
    <n v="1"/>
  </r>
  <r>
    <n v="149"/>
    <d v="2026-06-26T00:00:00"/>
    <x v="1158"/>
    <x v="1153"/>
    <n v="1"/>
    <x v="0"/>
    <x v="0"/>
    <x v="0"/>
    <x v="2"/>
    <n v="1"/>
  </r>
  <r>
    <n v="150"/>
    <d v="2026-06-26T00:00:00"/>
    <x v="1159"/>
    <x v="1154"/>
    <n v="2"/>
    <x v="0"/>
    <x v="0"/>
    <x v="0"/>
    <x v="2"/>
    <n v="2"/>
  </r>
  <r>
    <n v="151"/>
    <d v="2026-06-30T00:00:00"/>
    <x v="1160"/>
    <x v="1155"/>
    <n v="5"/>
    <x v="0"/>
    <x v="0"/>
    <x v="0"/>
    <x v="2"/>
    <n v="5"/>
  </r>
  <r>
    <n v="152"/>
    <d v="2026-06-30T00:00:00"/>
    <x v="1160"/>
    <x v="1155"/>
    <n v="0"/>
    <x v="4"/>
    <x v="3"/>
    <x v="4"/>
    <x v="2"/>
    <n v="-5"/>
  </r>
  <r>
    <n v="153"/>
    <d v="2026-06-30T00:00:00"/>
    <x v="1161"/>
    <x v="1156"/>
    <n v="2"/>
    <x v="0"/>
    <x v="0"/>
    <x v="3"/>
    <x v="2"/>
    <n v="2"/>
  </r>
  <r>
    <n v="154"/>
    <d v="2026-06-30T00:00:00"/>
    <x v="1162"/>
    <x v="1157"/>
    <n v="1"/>
    <x v="0"/>
    <x v="0"/>
    <x v="3"/>
    <x v="2"/>
    <n v="1"/>
  </r>
  <r>
    <n v="155"/>
    <d v="2026-06-30T00:00:00"/>
    <x v="1163"/>
    <x v="1158"/>
    <n v="1"/>
    <x v="0"/>
    <x v="0"/>
    <x v="3"/>
    <x v="2"/>
    <n v="1"/>
  </r>
  <r>
    <n v="156"/>
    <d v="2026-06-30T00:00:00"/>
    <x v="1164"/>
    <x v="1159"/>
    <n v="1"/>
    <x v="0"/>
    <x v="0"/>
    <x v="3"/>
    <x v="2"/>
    <n v="1"/>
  </r>
  <r>
    <n v="157"/>
    <d v="2026-06-30T00:00:00"/>
    <x v="1165"/>
    <x v="1160"/>
    <n v="1"/>
    <x v="0"/>
    <x v="0"/>
    <x v="3"/>
    <x v="2"/>
    <n v="1"/>
  </r>
  <r>
    <n v="158"/>
    <d v="2026-06-30T00:00:00"/>
    <x v="1166"/>
    <x v="1161"/>
    <n v="1"/>
    <x v="0"/>
    <x v="0"/>
    <x v="3"/>
    <x v="2"/>
    <n v="1"/>
  </r>
  <r>
    <n v="159"/>
    <d v="2026-06-30T00:00:00"/>
    <x v="1034"/>
    <x v="1029"/>
    <n v="1"/>
    <x v="0"/>
    <x v="0"/>
    <x v="3"/>
    <x v="2"/>
    <n v="1"/>
  </r>
  <r>
    <n v="160"/>
    <d v="2026-06-30T00:00:00"/>
    <x v="1167"/>
    <x v="1162"/>
    <n v="1"/>
    <x v="0"/>
    <x v="0"/>
    <x v="3"/>
    <x v="2"/>
    <n v="1"/>
  </r>
  <r>
    <n v="161"/>
    <d v="2026-07-06T00:00:00"/>
    <x v="1161"/>
    <x v="1156"/>
    <n v="1"/>
    <x v="0"/>
    <x v="0"/>
    <x v="3"/>
    <x v="2"/>
    <n v="1"/>
  </r>
  <r>
    <n v="162"/>
    <d v="2026-07-07T00:00:00"/>
    <x v="1091"/>
    <x v="1086"/>
    <n v="80"/>
    <x v="0"/>
    <x v="0"/>
    <x v="0"/>
    <x v="2"/>
    <n v="80"/>
  </r>
  <r>
    <n v="163"/>
    <d v="2026-07-08T00:00:00"/>
    <x v="984"/>
    <x v="979"/>
    <n v="5"/>
    <x v="0"/>
    <x v="0"/>
    <x v="0"/>
    <x v="2"/>
    <n v="5"/>
  </r>
  <r>
    <n v="164"/>
    <d v="2026-07-08T00:00:00"/>
    <x v="986"/>
    <x v="981"/>
    <n v="4"/>
    <x v="0"/>
    <x v="0"/>
    <x v="0"/>
    <x v="2"/>
    <n v="4"/>
  </r>
  <r>
    <n v="165"/>
    <d v="2026-07-08T00:00:00"/>
    <x v="987"/>
    <x v="982"/>
    <n v="50"/>
    <x v="0"/>
    <x v="0"/>
    <x v="0"/>
    <x v="2"/>
    <n v="50"/>
  </r>
  <r>
    <n v="166"/>
    <d v="2026-07-08T00:00:00"/>
    <x v="1152"/>
    <x v="1147"/>
    <n v="40"/>
    <x v="0"/>
    <x v="0"/>
    <x v="0"/>
    <x v="2"/>
    <n v="40"/>
  </r>
  <r>
    <n v="167"/>
    <d v="2026-07-08T00:00:00"/>
    <x v="1045"/>
    <x v="1040"/>
    <n v="3"/>
    <x v="0"/>
    <x v="0"/>
    <x v="0"/>
    <x v="2"/>
    <n v="3"/>
  </r>
  <r>
    <n v="168"/>
    <d v="2026-07-08T00:00:00"/>
    <x v="1168"/>
    <x v="1163"/>
    <n v="5"/>
    <x v="0"/>
    <x v="0"/>
    <x v="0"/>
    <x v="2"/>
    <n v="5"/>
  </r>
  <r>
    <n v="169"/>
    <d v="2026-07-08T00:00:00"/>
    <x v="1169"/>
    <x v="1164"/>
    <n v="10"/>
    <x v="0"/>
    <x v="0"/>
    <x v="0"/>
    <x v="2"/>
    <n v="10"/>
  </r>
  <r>
    <n v="170"/>
    <d v="2026-07-08T00:00:00"/>
    <x v="1170"/>
    <x v="1165"/>
    <n v="5"/>
    <x v="0"/>
    <x v="0"/>
    <x v="0"/>
    <x v="2"/>
    <n v="5"/>
  </r>
  <r>
    <n v="171"/>
    <d v="2026-07-08T00:00:00"/>
    <x v="1073"/>
    <x v="1068"/>
    <n v="20"/>
    <x v="0"/>
    <x v="0"/>
    <x v="0"/>
    <x v="2"/>
    <n v="20"/>
  </r>
  <r>
    <n v="172"/>
    <d v="2026-07-08T00:00:00"/>
    <x v="1171"/>
    <x v="1166"/>
    <n v="1"/>
    <x v="0"/>
    <x v="0"/>
    <x v="0"/>
    <x v="2"/>
    <n v="1"/>
  </r>
  <r>
    <n v="173"/>
    <d v="2026-07-08T00:00:00"/>
    <x v="1074"/>
    <x v="1069"/>
    <n v="20"/>
    <x v="0"/>
    <x v="0"/>
    <x v="0"/>
    <x v="2"/>
    <n v="20"/>
  </r>
  <r>
    <n v="174"/>
    <d v="2026-07-08T00:00:00"/>
    <x v="1172"/>
    <x v="1167"/>
    <n v="5"/>
    <x v="0"/>
    <x v="0"/>
    <x v="0"/>
    <x v="2"/>
    <n v="5"/>
  </r>
  <r>
    <n v="175"/>
    <d v="2026-07-08T00:00:00"/>
    <x v="1173"/>
    <x v="1168"/>
    <n v="2"/>
    <x v="0"/>
    <x v="0"/>
    <x v="0"/>
    <x v="2"/>
    <n v="2"/>
  </r>
  <r>
    <n v="176"/>
    <d v="2026-07-08T00:00:00"/>
    <x v="1090"/>
    <x v="1085"/>
    <n v="15"/>
    <x v="0"/>
    <x v="0"/>
    <x v="0"/>
    <x v="2"/>
    <n v="15"/>
  </r>
  <r>
    <n v="177"/>
    <d v="2026-07-08T00:00:00"/>
    <x v="1174"/>
    <x v="1169"/>
    <n v="10"/>
    <x v="0"/>
    <x v="0"/>
    <x v="0"/>
    <x v="2"/>
    <n v="10"/>
  </r>
  <r>
    <n v="178"/>
    <d v="2026-07-08T00:00:00"/>
    <x v="1175"/>
    <x v="1170"/>
    <n v="1"/>
    <x v="0"/>
    <x v="0"/>
    <x v="0"/>
    <x v="2"/>
    <n v="1"/>
  </r>
  <r>
    <n v="179"/>
    <d v="2026-07-08T00:00:00"/>
    <x v="1176"/>
    <x v="1171"/>
    <n v="15"/>
    <x v="0"/>
    <x v="0"/>
    <x v="0"/>
    <x v="2"/>
    <n v="15"/>
  </r>
  <r>
    <n v="180"/>
    <d v="2026-07-08T00:00:00"/>
    <x v="1177"/>
    <x v="1172"/>
    <n v="3"/>
    <x v="0"/>
    <x v="0"/>
    <x v="3"/>
    <x v="2"/>
    <n v="3"/>
  </r>
  <r>
    <n v="181"/>
    <d v="2026-07-09T00:00:00"/>
    <x v="1178"/>
    <x v="1173"/>
    <n v="6"/>
    <x v="0"/>
    <x v="0"/>
    <x v="3"/>
    <x v="2"/>
    <n v="6"/>
  </r>
  <r>
    <n v="182"/>
    <d v="2026-07-10T00:00:00"/>
    <x v="1016"/>
    <x v="1011"/>
    <n v="1"/>
    <x v="0"/>
    <x v="0"/>
    <x v="3"/>
    <x v="2"/>
    <n v="1"/>
  </r>
  <r>
    <n v="183"/>
    <d v="2026-07-10T00:00:00"/>
    <x v="1179"/>
    <x v="1174"/>
    <n v="25"/>
    <x v="0"/>
    <x v="0"/>
    <x v="0"/>
    <x v="2"/>
    <n v="25"/>
  </r>
  <r>
    <n v="184"/>
    <d v="2026-07-10T00:00:00"/>
    <x v="1180"/>
    <x v="1175"/>
    <n v="8"/>
    <x v="0"/>
    <x v="0"/>
    <x v="0"/>
    <x v="2"/>
    <n v="8"/>
  </r>
  <r>
    <n v="185"/>
    <d v="2026-07-10T00:00:00"/>
    <x v="1181"/>
    <x v="1176"/>
    <n v="3"/>
    <x v="0"/>
    <x v="0"/>
    <x v="0"/>
    <x v="2"/>
    <n v="3"/>
  </r>
  <r>
    <n v="186"/>
    <d v="2026-07-10T00:00:00"/>
    <x v="1182"/>
    <x v="1177"/>
    <n v="3"/>
    <x v="0"/>
    <x v="0"/>
    <x v="0"/>
    <x v="2"/>
    <n v="3"/>
  </r>
  <r>
    <n v="187"/>
    <d v="2026-07-10T00:00:00"/>
    <x v="1183"/>
    <x v="1178"/>
    <n v="1"/>
    <x v="0"/>
    <x v="0"/>
    <x v="0"/>
    <x v="2"/>
    <n v="1"/>
  </r>
  <r>
    <n v="188"/>
    <d v="2026-07-10T00:00:00"/>
    <x v="1184"/>
    <x v="1179"/>
    <n v="3"/>
    <x v="0"/>
    <x v="0"/>
    <x v="0"/>
    <x v="2"/>
    <n v="3"/>
  </r>
  <r>
    <n v="189"/>
    <d v="2026-07-10T00:00:00"/>
    <x v="1185"/>
    <x v="1180"/>
    <n v="3"/>
    <x v="0"/>
    <x v="0"/>
    <x v="0"/>
    <x v="2"/>
    <n v="3"/>
  </r>
  <r>
    <n v="190"/>
    <d v="2026-07-10T00:00:00"/>
    <x v="1186"/>
    <x v="1181"/>
    <n v="1"/>
    <x v="0"/>
    <x v="0"/>
    <x v="0"/>
    <x v="2"/>
    <n v="1"/>
  </r>
  <r>
    <n v="191"/>
    <d v="2026-07-10T00:00:00"/>
    <x v="1187"/>
    <x v="1182"/>
    <n v="1"/>
    <x v="0"/>
    <x v="0"/>
    <x v="0"/>
    <x v="2"/>
    <n v="1"/>
  </r>
  <r>
    <n v="192"/>
    <d v="2026-07-10T00:00:00"/>
    <x v="1188"/>
    <x v="1183"/>
    <n v="30"/>
    <x v="0"/>
    <x v="0"/>
    <x v="0"/>
    <x v="2"/>
    <n v="30"/>
  </r>
  <r>
    <n v="193"/>
    <d v="2026-07-10T00:00:00"/>
    <x v="1189"/>
    <x v="1184"/>
    <n v="1"/>
    <x v="0"/>
    <x v="0"/>
    <x v="0"/>
    <x v="2"/>
    <n v="1"/>
  </r>
  <r>
    <n v="194"/>
    <d v="2026-07-10T00:00:00"/>
    <x v="1190"/>
    <x v="1185"/>
    <n v="1"/>
    <x v="0"/>
    <x v="0"/>
    <x v="0"/>
    <x v="2"/>
    <n v="1"/>
  </r>
  <r>
    <n v="195"/>
    <d v="2026-07-10T00:00:00"/>
    <x v="1191"/>
    <x v="1186"/>
    <n v="1"/>
    <x v="0"/>
    <x v="0"/>
    <x v="0"/>
    <x v="2"/>
    <n v="1"/>
  </r>
  <r>
    <n v="196"/>
    <d v="2026-07-10T00:00:00"/>
    <x v="1192"/>
    <x v="1187"/>
    <n v="2"/>
    <x v="0"/>
    <x v="0"/>
    <x v="3"/>
    <x v="2"/>
    <n v="2"/>
  </r>
  <r>
    <n v="197"/>
    <d v="2026-07-11T00:00:00"/>
    <x v="974"/>
    <x v="969"/>
    <n v="6"/>
    <x v="0"/>
    <x v="0"/>
    <x v="3"/>
    <x v="2"/>
    <n v="6"/>
  </r>
  <r>
    <n v="198"/>
    <d v="2026-07-11T00:00:00"/>
    <x v="1193"/>
    <x v="1188"/>
    <n v="3"/>
    <x v="0"/>
    <x v="0"/>
    <x v="3"/>
    <x v="2"/>
    <n v="3"/>
  </r>
  <r>
    <n v="199"/>
    <d v="2026-07-13T00:00:00"/>
    <x v="160"/>
    <x v="160"/>
    <n v="1"/>
    <x v="0"/>
    <x v="2"/>
    <x v="6"/>
    <x v="2"/>
    <n v="1"/>
  </r>
  <r>
    <n v="200"/>
    <d v="2026-07-13T00:00:00"/>
    <x v="236"/>
    <x v="236"/>
    <n v="4"/>
    <x v="0"/>
    <x v="2"/>
    <x v="6"/>
    <x v="2"/>
    <n v="4"/>
  </r>
  <r>
    <n v="201"/>
    <d v="2026-07-13T00:00:00"/>
    <x v="337"/>
    <x v="337"/>
    <n v="1"/>
    <x v="0"/>
    <x v="2"/>
    <x v="6"/>
    <x v="2"/>
    <n v="1"/>
  </r>
  <r>
    <n v="202"/>
    <d v="2026-07-13T00:00:00"/>
    <x v="338"/>
    <x v="338"/>
    <n v="1"/>
    <x v="0"/>
    <x v="2"/>
    <x v="6"/>
    <x v="2"/>
    <n v="1"/>
  </r>
  <r>
    <n v="203"/>
    <d v="2026-07-13T00:00:00"/>
    <x v="343"/>
    <x v="343"/>
    <n v="1"/>
    <x v="0"/>
    <x v="2"/>
    <x v="6"/>
    <x v="2"/>
    <n v="1"/>
  </r>
  <r>
    <n v="204"/>
    <d v="2026-07-13T00:00:00"/>
    <x v="357"/>
    <x v="357"/>
    <n v="1"/>
    <x v="0"/>
    <x v="2"/>
    <x v="6"/>
    <x v="2"/>
    <n v="1"/>
  </r>
  <r>
    <n v="205"/>
    <d v="2026-07-13T00:00:00"/>
    <x v="730"/>
    <x v="729"/>
    <n v="1"/>
    <x v="0"/>
    <x v="2"/>
    <x v="6"/>
    <x v="2"/>
    <n v="1"/>
  </r>
  <r>
    <n v="206"/>
    <d v="2026-07-13T00:00:00"/>
    <x v="900"/>
    <x v="897"/>
    <n v="2"/>
    <x v="0"/>
    <x v="2"/>
    <x v="6"/>
    <x v="2"/>
    <n v="2"/>
  </r>
  <r>
    <n v="207"/>
    <d v="2026-07-13T00:00:00"/>
    <x v="901"/>
    <x v="898"/>
    <n v="10"/>
    <x v="0"/>
    <x v="2"/>
    <x v="6"/>
    <x v="2"/>
    <n v="10"/>
  </r>
  <r>
    <n v="208"/>
    <d v="2026-07-13T00:00:00"/>
    <x v="1021"/>
    <x v="1016"/>
    <n v="1"/>
    <x v="0"/>
    <x v="2"/>
    <x v="6"/>
    <x v="2"/>
    <n v="1"/>
  </r>
  <r>
    <n v="209"/>
    <d v="2026-07-13T00:00:00"/>
    <x v="1022"/>
    <x v="1017"/>
    <n v="1"/>
    <x v="0"/>
    <x v="2"/>
    <x v="6"/>
    <x v="2"/>
    <n v="1"/>
  </r>
  <r>
    <n v="210"/>
    <d v="2026-07-13T00:00:00"/>
    <x v="3"/>
    <x v="3"/>
    <n v="2"/>
    <x v="0"/>
    <x v="2"/>
    <x v="6"/>
    <x v="2"/>
    <n v="2"/>
  </r>
  <r>
    <n v="211"/>
    <d v="2026-07-15T00:00:00"/>
    <x v="65"/>
    <x v="65"/>
    <n v="1"/>
    <x v="0"/>
    <x v="2"/>
    <x v="6"/>
    <x v="2"/>
    <n v="1"/>
  </r>
  <r>
    <n v="212"/>
    <d v="2026-07-15T00:00:00"/>
    <x v="527"/>
    <x v="527"/>
    <n v="1"/>
    <x v="0"/>
    <x v="2"/>
    <x v="6"/>
    <x v="2"/>
    <n v="1"/>
  </r>
  <r>
    <n v="213"/>
    <d v="2026-07-15T00:00:00"/>
    <x v="573"/>
    <x v="573"/>
    <n v="2"/>
    <x v="0"/>
    <x v="2"/>
    <x v="6"/>
    <x v="2"/>
    <n v="2"/>
  </r>
  <r>
    <n v="214"/>
    <d v="2026-07-15T00:00:00"/>
    <x v="650"/>
    <x v="650"/>
    <n v="1"/>
    <x v="0"/>
    <x v="2"/>
    <x v="6"/>
    <x v="2"/>
    <n v="1"/>
  </r>
  <r>
    <n v="215"/>
    <d v="2026-07-15T00:00:00"/>
    <x v="800"/>
    <x v="798"/>
    <n v="2"/>
    <x v="0"/>
    <x v="2"/>
    <x v="6"/>
    <x v="2"/>
    <n v="2"/>
  </r>
  <r>
    <n v="216"/>
    <d v="2026-07-17T00:00:00"/>
    <x v="471"/>
    <x v="471"/>
    <n v="5"/>
    <x v="0"/>
    <x v="0"/>
    <x v="0"/>
    <x v="2"/>
    <n v="5"/>
  </r>
  <r>
    <n v="217"/>
    <d v="2026-07-17T00:00:00"/>
    <x v="731"/>
    <x v="730"/>
    <n v="5"/>
    <x v="0"/>
    <x v="0"/>
    <x v="0"/>
    <x v="2"/>
    <n v="5"/>
  </r>
  <r>
    <n v="218"/>
    <d v="2026-07-17T00:00:00"/>
    <x v="1029"/>
    <x v="1024"/>
    <n v="25"/>
    <x v="0"/>
    <x v="0"/>
    <x v="0"/>
    <x v="2"/>
    <n v="25"/>
  </r>
  <r>
    <n v="219"/>
    <d v="2026-07-17T00:00:00"/>
    <x v="1050"/>
    <x v="1045"/>
    <n v="6"/>
    <x v="0"/>
    <x v="0"/>
    <x v="0"/>
    <x v="2"/>
    <n v="6"/>
  </r>
  <r>
    <n v="220"/>
    <d v="2026-07-17T00:00:00"/>
    <x v="1194"/>
    <x v="1189"/>
    <n v="3"/>
    <x v="0"/>
    <x v="0"/>
    <x v="0"/>
    <x v="2"/>
    <n v="3"/>
  </r>
  <r>
    <n v="221"/>
    <d v="2026-07-17T00:00:00"/>
    <x v="1195"/>
    <x v="1190"/>
    <n v="1"/>
    <x v="0"/>
    <x v="0"/>
    <x v="0"/>
    <x v="2"/>
    <n v="1"/>
  </r>
  <r>
    <n v="222"/>
    <d v="2026-07-17T00:00:00"/>
    <x v="1196"/>
    <x v="1191"/>
    <n v="1"/>
    <x v="0"/>
    <x v="0"/>
    <x v="0"/>
    <x v="2"/>
    <n v="1"/>
  </r>
  <r>
    <n v="223"/>
    <d v="2026-07-17T00:00:00"/>
    <x v="1197"/>
    <x v="1192"/>
    <n v="20"/>
    <x v="0"/>
    <x v="0"/>
    <x v="0"/>
    <x v="2"/>
    <n v="20"/>
  </r>
  <r>
    <n v="224"/>
    <d v="2026-07-17T00:00:00"/>
    <x v="1198"/>
    <x v="1193"/>
    <n v="6"/>
    <x v="0"/>
    <x v="0"/>
    <x v="0"/>
    <x v="2"/>
    <n v="6"/>
  </r>
  <r>
    <n v="225"/>
    <d v="2026-07-19T00:00:00"/>
    <x v="1199"/>
    <x v="1194"/>
    <n v="1"/>
    <x v="0"/>
    <x v="0"/>
    <x v="3"/>
    <x v="2"/>
    <n v="1"/>
  </r>
  <r>
    <n v="226"/>
    <d v="2026-07-19T00:00:00"/>
    <x v="1200"/>
    <x v="1195"/>
    <n v="3"/>
    <x v="0"/>
    <x v="0"/>
    <x v="3"/>
    <x v="2"/>
    <n v="3"/>
  </r>
  <r>
    <n v="227"/>
    <d v="2026-07-19T00:00:00"/>
    <x v="1201"/>
    <x v="1196"/>
    <n v="3"/>
    <x v="0"/>
    <x v="0"/>
    <x v="3"/>
    <x v="2"/>
    <n v="3"/>
  </r>
  <r>
    <n v="228"/>
    <d v="2026-07-19T00:00:00"/>
    <x v="1202"/>
    <x v="1197"/>
    <n v="8"/>
    <x v="0"/>
    <x v="0"/>
    <x v="3"/>
    <x v="2"/>
    <n v="8"/>
  </r>
  <r>
    <n v="229"/>
    <d v="2026-07-19T00:00:00"/>
    <x v="1203"/>
    <x v="1198"/>
    <n v="8"/>
    <x v="0"/>
    <x v="0"/>
    <x v="3"/>
    <x v="2"/>
    <n v="8"/>
  </r>
  <r>
    <n v="230"/>
    <d v="2026-07-19T00:00:00"/>
    <x v="1204"/>
    <x v="1199"/>
    <n v="165"/>
    <x v="0"/>
    <x v="0"/>
    <x v="3"/>
    <x v="2"/>
    <n v="165"/>
  </r>
  <r>
    <n v="231"/>
    <d v="2026-07-19T00:00:00"/>
    <x v="1205"/>
    <x v="1200"/>
    <n v="110"/>
    <x v="0"/>
    <x v="0"/>
    <x v="3"/>
    <x v="2"/>
    <n v="110"/>
  </r>
  <r>
    <n v="232"/>
    <d v="2026-07-19T00:00:00"/>
    <x v="1206"/>
    <x v="1201"/>
    <n v="80"/>
    <x v="0"/>
    <x v="0"/>
    <x v="3"/>
    <x v="2"/>
    <n v="80"/>
  </r>
  <r>
    <n v="233"/>
    <d v="2026-07-19T00:00:00"/>
    <x v="1207"/>
    <x v="1202"/>
    <n v="1.6"/>
    <x v="0"/>
    <x v="0"/>
    <x v="3"/>
    <x v="2"/>
    <n v="1.6"/>
  </r>
  <r>
    <n v="234"/>
    <d v="2026-07-19T00:00:00"/>
    <x v="1208"/>
    <x v="1203"/>
    <n v="25"/>
    <x v="0"/>
    <x v="0"/>
    <x v="3"/>
    <x v="2"/>
    <n v="25"/>
  </r>
  <r>
    <n v="235"/>
    <d v="2026-07-19T00:00:00"/>
    <x v="1209"/>
    <x v="1204"/>
    <n v="10"/>
    <x v="0"/>
    <x v="0"/>
    <x v="3"/>
    <x v="2"/>
    <n v="10"/>
  </r>
  <r>
    <n v="236"/>
    <d v="2026-07-19T00:00:00"/>
    <x v="1210"/>
    <x v="1205"/>
    <n v="12"/>
    <x v="0"/>
    <x v="0"/>
    <x v="3"/>
    <x v="2"/>
    <n v="12"/>
  </r>
  <r>
    <n v="237"/>
    <d v="2026-07-19T00:00:00"/>
    <x v="1211"/>
    <x v="1206"/>
    <n v="80"/>
    <x v="0"/>
    <x v="0"/>
    <x v="3"/>
    <x v="2"/>
    <n v="80"/>
  </r>
  <r>
    <n v="238"/>
    <d v="2026-07-20T00:00:00"/>
    <x v="1212"/>
    <x v="1207"/>
    <n v="2"/>
    <x v="0"/>
    <x v="0"/>
    <x v="3"/>
    <x v="2"/>
    <n v="2"/>
  </r>
  <r>
    <n v="239"/>
    <d v="2026-06-10T00:00:00"/>
    <x v="1213"/>
    <x v="1208"/>
    <n v="3"/>
    <x v="0"/>
    <x v="0"/>
    <x v="0"/>
    <x v="2"/>
    <n v="3"/>
  </r>
  <r>
    <n v="240"/>
    <d v="2026-06-08T00:00:00"/>
    <x v="1214"/>
    <x v="1209"/>
    <n v="3"/>
    <x v="0"/>
    <x v="0"/>
    <x v="0"/>
    <x v="2"/>
    <n v="3"/>
  </r>
  <r>
    <n v="241"/>
    <d v="2026-06-08T00:00:00"/>
    <x v="1215"/>
    <x v="1210"/>
    <n v="1"/>
    <x v="0"/>
    <x v="0"/>
    <x v="0"/>
    <x v="2"/>
    <n v="1"/>
  </r>
  <r>
    <n v="242"/>
    <d v="2026-07-11T00:00:00"/>
    <x v="1216"/>
    <x v="1211"/>
    <n v="6"/>
    <x v="0"/>
    <x v="0"/>
    <x v="0"/>
    <x v="2"/>
    <n v="6"/>
  </r>
  <r>
    <n v="243"/>
    <d v="2026-07-20T00:00:00"/>
    <x v="1217"/>
    <x v="1212"/>
    <n v="390"/>
    <x v="0"/>
    <x v="0"/>
    <x v="0"/>
    <x v="2"/>
    <n v="390"/>
  </r>
  <r>
    <n v="244"/>
    <d v="2026-07-21T00:00:00"/>
    <x v="1218"/>
    <x v="1213"/>
    <n v="2"/>
    <x v="0"/>
    <x v="0"/>
    <x v="0"/>
    <x v="2"/>
    <n v="2"/>
  </r>
  <r>
    <n v="245"/>
    <d v="2026-07-22T00:00:00"/>
    <x v="1219"/>
    <x v="1214"/>
    <n v="1"/>
    <x v="0"/>
    <x v="0"/>
    <x v="0"/>
    <x v="2"/>
    <n v="1"/>
  </r>
  <r>
    <n v="246"/>
    <d v="2026-07-22T00:00:00"/>
    <x v="1220"/>
    <x v="1215"/>
    <n v="1"/>
    <x v="0"/>
    <x v="0"/>
    <x v="0"/>
    <x v="2"/>
    <n v="1"/>
  </r>
  <r>
    <n v="247"/>
    <d v="2026-07-22T00:00:00"/>
    <x v="1221"/>
    <x v="1216"/>
    <n v="1"/>
    <x v="0"/>
    <x v="0"/>
    <x v="0"/>
    <x v="2"/>
    <n v="1"/>
  </r>
  <r>
    <n v="248"/>
    <d v="2026-07-22T00:00:00"/>
    <x v="1222"/>
    <x v="1217"/>
    <n v="1"/>
    <x v="0"/>
    <x v="0"/>
    <x v="0"/>
    <x v="2"/>
    <n v="1"/>
  </r>
  <r>
    <n v="249"/>
    <d v="2026-07-22T00:00:00"/>
    <x v="1223"/>
    <x v="1218"/>
    <n v="2"/>
    <x v="0"/>
    <x v="0"/>
    <x v="0"/>
    <x v="2"/>
    <n v="2"/>
  </r>
  <r>
    <n v="250"/>
    <d v="2026-06-08T00:00:00"/>
    <x v="1224"/>
    <x v="1219"/>
    <n v="0.5"/>
    <x v="0"/>
    <x v="0"/>
    <x v="0"/>
    <x v="2"/>
    <n v="0.5"/>
  </r>
  <r>
    <n v="251"/>
    <d v="2026-06-08T00:00:00"/>
    <x v="1225"/>
    <x v="1220"/>
    <n v="5.9649999999999999"/>
    <x v="0"/>
    <x v="0"/>
    <x v="0"/>
    <x v="2"/>
    <n v="5.9649999999999999"/>
  </r>
  <r>
    <n v="252"/>
    <d v="2026-06-08T00:00:00"/>
    <x v="1226"/>
    <x v="1221"/>
    <n v="9.9550000000000001"/>
    <x v="0"/>
    <x v="0"/>
    <x v="0"/>
    <x v="2"/>
    <n v="9.9550000000000001"/>
  </r>
  <r>
    <n v="253"/>
    <d v="2026-06-08T00:00:00"/>
    <x v="1227"/>
    <x v="1222"/>
    <n v="6.48"/>
    <x v="0"/>
    <x v="0"/>
    <x v="0"/>
    <x v="2"/>
    <n v="6.48"/>
  </r>
  <r>
    <n v="254"/>
    <d v="2026-07-20T00:00:00"/>
    <x v="1228"/>
    <x v="1223"/>
    <n v="7"/>
    <x v="0"/>
    <x v="0"/>
    <x v="3"/>
    <x v="2"/>
    <n v="7"/>
  </r>
  <r>
    <n v="255"/>
    <d v="2026-07-20T00:00:00"/>
    <x v="1229"/>
    <x v="1224"/>
    <n v="1"/>
    <x v="0"/>
    <x v="0"/>
    <x v="3"/>
    <x v="2"/>
    <n v="1"/>
  </r>
  <r>
    <n v="256"/>
    <d v="2026-06-25T00:00:00"/>
    <x v="616"/>
    <x v="616"/>
    <n v="1"/>
    <x v="0"/>
    <x v="2"/>
    <x v="7"/>
    <x v="2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5">
  <r>
    <x v="0"/>
    <n v="8"/>
    <n v="8"/>
    <x v="0"/>
  </r>
  <r>
    <x v="1"/>
    <n v="4"/>
    <n v="4"/>
    <x v="0"/>
  </r>
  <r>
    <x v="2"/>
    <n v="2"/>
    <n v="2"/>
    <x v="0"/>
  </r>
  <r>
    <x v="3"/>
    <n v="2"/>
    <n v="2"/>
    <x v="0"/>
  </r>
  <r>
    <x v="4"/>
    <n v="3"/>
    <n v="3"/>
    <x v="0"/>
  </r>
  <r>
    <x v="5"/>
    <n v="10"/>
    <n v="10"/>
    <x v="0"/>
  </r>
  <r>
    <x v="6"/>
    <n v="2"/>
    <n v="2"/>
    <x v="0"/>
  </r>
  <r>
    <x v="7"/>
    <n v="1"/>
    <n v="1"/>
    <x v="0"/>
  </r>
  <r>
    <x v="8"/>
    <n v="1"/>
    <n v="1"/>
    <x v="0"/>
  </r>
  <r>
    <x v="9"/>
    <n v="1"/>
    <n v="1"/>
    <x v="0"/>
  </r>
  <r>
    <x v="10"/>
    <n v="1"/>
    <n v="1"/>
    <x v="0"/>
  </r>
  <r>
    <x v="11"/>
    <n v="1"/>
    <n v="1"/>
    <x v="0"/>
  </r>
  <r>
    <x v="12"/>
    <n v="17"/>
    <n v="17"/>
    <x v="0"/>
  </r>
  <r>
    <x v="13"/>
    <n v="20"/>
    <n v="20"/>
    <x v="0"/>
  </r>
  <r>
    <x v="14"/>
    <n v="1"/>
    <n v="1"/>
    <x v="0"/>
  </r>
  <r>
    <x v="15"/>
    <n v="4"/>
    <n v="4"/>
    <x v="0"/>
  </r>
  <r>
    <x v="16"/>
    <n v="1"/>
    <n v="1"/>
    <x v="0"/>
  </r>
  <r>
    <x v="17"/>
    <n v="100"/>
    <n v="100"/>
    <x v="0"/>
  </r>
  <r>
    <x v="18"/>
    <n v="6"/>
    <n v="6"/>
    <x v="0"/>
  </r>
  <r>
    <x v="19"/>
    <n v="100"/>
    <n v="100"/>
    <x v="0"/>
  </r>
  <r>
    <x v="20"/>
    <n v="1"/>
    <n v="1"/>
    <x v="0"/>
  </r>
  <r>
    <x v="21"/>
    <n v="10"/>
    <n v="10"/>
    <x v="0"/>
  </r>
  <r>
    <x v="22"/>
    <n v="12"/>
    <n v="12"/>
    <x v="0"/>
  </r>
  <r>
    <x v="23"/>
    <n v="20"/>
    <n v="20"/>
    <x v="0"/>
  </r>
  <r>
    <x v="24"/>
    <n v="1"/>
    <n v="1"/>
    <x v="0"/>
  </r>
  <r>
    <x v="25"/>
    <n v="1"/>
    <n v="1"/>
    <x v="0"/>
  </r>
  <r>
    <x v="26"/>
    <n v="1"/>
    <n v="1"/>
    <x v="0"/>
  </r>
  <r>
    <x v="27"/>
    <n v="10"/>
    <n v="10"/>
    <x v="0"/>
  </r>
  <r>
    <x v="28"/>
    <n v="2"/>
    <n v="2"/>
    <x v="0"/>
  </r>
  <r>
    <x v="29"/>
    <n v="20"/>
    <n v="20"/>
    <x v="0"/>
  </r>
  <r>
    <x v="30"/>
    <n v="1"/>
    <n v="1"/>
    <x v="0"/>
  </r>
  <r>
    <x v="31"/>
    <n v="6"/>
    <n v="6"/>
    <x v="0"/>
  </r>
  <r>
    <x v="32"/>
    <n v="2"/>
    <n v="2"/>
    <x v="0"/>
  </r>
  <r>
    <x v="33"/>
    <n v="7"/>
    <n v="7"/>
    <x v="0"/>
  </r>
  <r>
    <x v="34"/>
    <n v="3"/>
    <n v="3"/>
    <x v="0"/>
  </r>
  <r>
    <x v="35"/>
    <n v="1"/>
    <n v="1"/>
    <x v="0"/>
  </r>
  <r>
    <x v="36"/>
    <n v="1"/>
    <n v="1"/>
    <x v="0"/>
  </r>
  <r>
    <x v="37"/>
    <n v="1"/>
    <n v="1"/>
    <x v="0"/>
  </r>
  <r>
    <x v="38"/>
    <n v="2"/>
    <n v="2"/>
    <x v="0"/>
  </r>
  <r>
    <x v="39"/>
    <n v="3"/>
    <n v="3"/>
    <x v="0"/>
  </r>
  <r>
    <x v="40"/>
    <n v="11"/>
    <n v="11"/>
    <x v="0"/>
  </r>
  <r>
    <x v="41"/>
    <n v="2"/>
    <n v="2"/>
    <x v="0"/>
  </r>
  <r>
    <x v="42"/>
    <n v="1"/>
    <n v="1"/>
    <x v="0"/>
  </r>
  <r>
    <x v="43"/>
    <n v="1"/>
    <n v="1"/>
    <x v="0"/>
  </r>
  <r>
    <x v="44"/>
    <n v="1"/>
    <n v="1"/>
    <x v="0"/>
  </r>
  <r>
    <x v="45"/>
    <n v="2"/>
    <n v="2"/>
    <x v="0"/>
  </r>
  <r>
    <x v="46"/>
    <n v="1"/>
    <n v="1"/>
    <x v="0"/>
  </r>
  <r>
    <x v="47"/>
    <n v="1"/>
    <n v="1"/>
    <x v="0"/>
  </r>
  <r>
    <x v="48"/>
    <n v="5"/>
    <n v="5"/>
    <x v="0"/>
  </r>
  <r>
    <x v="49"/>
    <n v="1"/>
    <n v="1"/>
    <x v="0"/>
  </r>
  <r>
    <x v="50"/>
    <n v="1"/>
    <n v="1"/>
    <x v="0"/>
  </r>
  <r>
    <x v="51"/>
    <n v="3"/>
    <n v="3"/>
    <x v="0"/>
  </r>
  <r>
    <x v="52"/>
    <n v="3"/>
    <n v="3"/>
    <x v="0"/>
  </r>
  <r>
    <x v="53"/>
    <n v="2"/>
    <n v="2"/>
    <x v="0"/>
  </r>
  <r>
    <x v="54"/>
    <n v="6"/>
    <n v="6"/>
    <x v="0"/>
  </r>
  <r>
    <x v="55"/>
    <n v="2"/>
    <n v="2"/>
    <x v="0"/>
  </r>
  <r>
    <x v="56"/>
    <n v="5"/>
    <n v="5"/>
    <x v="0"/>
  </r>
  <r>
    <x v="57"/>
    <n v="1"/>
    <n v="1"/>
    <x v="0"/>
  </r>
  <r>
    <x v="58"/>
    <n v="3"/>
    <n v="3"/>
    <x v="0"/>
  </r>
  <r>
    <x v="59"/>
    <n v="2"/>
    <n v="2"/>
    <x v="0"/>
  </r>
  <r>
    <x v="60"/>
    <n v="2"/>
    <n v="2"/>
    <x v="0"/>
  </r>
  <r>
    <x v="61"/>
    <n v="1"/>
    <n v="1"/>
    <x v="0"/>
  </r>
  <r>
    <x v="62"/>
    <n v="2"/>
    <n v="2"/>
    <x v="0"/>
  </r>
  <r>
    <x v="63"/>
    <n v="1"/>
    <n v="1"/>
    <x v="0"/>
  </r>
  <r>
    <x v="64"/>
    <n v="1"/>
    <n v="1"/>
    <x v="0"/>
  </r>
  <r>
    <x v="65"/>
    <n v="2"/>
    <n v="2"/>
    <x v="0"/>
  </r>
  <r>
    <x v="66"/>
    <n v="1"/>
    <n v="1"/>
    <x v="0"/>
  </r>
  <r>
    <x v="67"/>
    <n v="1"/>
    <n v="1"/>
    <x v="0"/>
  </r>
  <r>
    <x v="68"/>
    <n v="2"/>
    <n v="2"/>
    <x v="0"/>
  </r>
  <r>
    <x v="69"/>
    <n v="2"/>
    <n v="2"/>
    <x v="0"/>
  </r>
  <r>
    <x v="70"/>
    <n v="1"/>
    <n v="1"/>
    <x v="0"/>
  </r>
  <r>
    <x v="71"/>
    <n v="1"/>
    <n v="1"/>
    <x v="0"/>
  </r>
  <r>
    <x v="72"/>
    <n v="1"/>
    <n v="1"/>
    <x v="0"/>
  </r>
  <r>
    <x v="73"/>
    <n v="1"/>
    <n v="1"/>
    <x v="0"/>
  </r>
  <r>
    <x v="74"/>
    <n v="2"/>
    <n v="2"/>
    <x v="0"/>
  </r>
  <r>
    <x v="75"/>
    <n v="1"/>
    <n v="1"/>
    <x v="0"/>
  </r>
  <r>
    <x v="76"/>
    <n v="2"/>
    <n v="2"/>
    <x v="0"/>
  </r>
  <r>
    <x v="77"/>
    <n v="1"/>
    <n v="1"/>
    <x v="0"/>
  </r>
  <r>
    <x v="78"/>
    <n v="1"/>
    <n v="1"/>
    <x v="0"/>
  </r>
  <r>
    <x v="79"/>
    <n v="1"/>
    <n v="1"/>
    <x v="0"/>
  </r>
  <r>
    <x v="80"/>
    <n v="4"/>
    <n v="4"/>
    <x v="0"/>
  </r>
  <r>
    <x v="81"/>
    <n v="5"/>
    <n v="5"/>
    <x v="0"/>
  </r>
  <r>
    <x v="82"/>
    <n v="3"/>
    <n v="3"/>
    <x v="0"/>
  </r>
  <r>
    <x v="83"/>
    <n v="1"/>
    <n v="1"/>
    <x v="0"/>
  </r>
  <r>
    <x v="84"/>
    <n v="1"/>
    <n v="1"/>
    <x v="0"/>
  </r>
  <r>
    <x v="85"/>
    <n v="1"/>
    <n v="1"/>
    <x v="0"/>
  </r>
  <r>
    <x v="86"/>
    <n v="1"/>
    <n v="1"/>
    <x v="0"/>
  </r>
  <r>
    <x v="87"/>
    <n v="1"/>
    <n v="1"/>
    <x v="0"/>
  </r>
  <r>
    <x v="88"/>
    <n v="1"/>
    <n v="1"/>
    <x v="0"/>
  </r>
  <r>
    <x v="89"/>
    <n v="1"/>
    <n v="1"/>
    <x v="0"/>
  </r>
  <r>
    <x v="90"/>
    <n v="1"/>
    <n v="1"/>
    <x v="0"/>
  </r>
  <r>
    <x v="91"/>
    <n v="2"/>
    <n v="2"/>
    <x v="0"/>
  </r>
  <r>
    <x v="92"/>
    <n v="3"/>
    <n v="3"/>
    <x v="0"/>
  </r>
  <r>
    <x v="93"/>
    <n v="1"/>
    <n v="1"/>
    <x v="0"/>
  </r>
  <r>
    <x v="94"/>
    <n v="4"/>
    <n v="4"/>
    <x v="0"/>
  </r>
  <r>
    <x v="95"/>
    <n v="1"/>
    <n v="1"/>
    <x v="0"/>
  </r>
  <r>
    <x v="96"/>
    <n v="3"/>
    <n v="3"/>
    <x v="0"/>
  </r>
  <r>
    <x v="97"/>
    <n v="1"/>
    <n v="1"/>
    <x v="0"/>
  </r>
  <r>
    <x v="98"/>
    <n v="1"/>
    <n v="1"/>
    <x v="0"/>
  </r>
  <r>
    <x v="99"/>
    <n v="1"/>
    <n v="1"/>
    <x v="0"/>
  </r>
  <r>
    <x v="100"/>
    <n v="2"/>
    <n v="2"/>
    <x v="0"/>
  </r>
  <r>
    <x v="101"/>
    <n v="4"/>
    <n v="4"/>
    <x v="0"/>
  </r>
  <r>
    <x v="102"/>
    <n v="1"/>
    <n v="1"/>
    <x v="0"/>
  </r>
  <r>
    <x v="103"/>
    <n v="4"/>
    <n v="4"/>
    <x v="0"/>
  </r>
  <r>
    <x v="104"/>
    <n v="4"/>
    <n v="4"/>
    <x v="0"/>
  </r>
  <r>
    <x v="105"/>
    <n v="8"/>
    <n v="8"/>
    <x v="0"/>
  </r>
  <r>
    <x v="106"/>
    <n v="16"/>
    <n v="16"/>
    <x v="0"/>
  </r>
  <r>
    <x v="107"/>
    <n v="21"/>
    <n v="21"/>
    <x v="0"/>
  </r>
  <r>
    <x v="108"/>
    <n v="9"/>
    <n v="9"/>
    <x v="0"/>
  </r>
  <r>
    <x v="109"/>
    <n v="1"/>
    <n v="1"/>
    <x v="0"/>
  </r>
  <r>
    <x v="110"/>
    <n v="2"/>
    <n v="2"/>
    <x v="0"/>
  </r>
  <r>
    <x v="111"/>
    <n v="2"/>
    <n v="2"/>
    <x v="0"/>
  </r>
  <r>
    <x v="112"/>
    <n v="7"/>
    <n v="7"/>
    <x v="0"/>
  </r>
  <r>
    <x v="113"/>
    <n v="1"/>
    <n v="1"/>
    <x v="0"/>
  </r>
  <r>
    <x v="114"/>
    <n v="6"/>
    <n v="6"/>
    <x v="0"/>
  </r>
  <r>
    <x v="115"/>
    <n v="3"/>
    <n v="3"/>
    <x v="0"/>
  </r>
  <r>
    <x v="116"/>
    <n v="15"/>
    <n v="15"/>
    <x v="0"/>
  </r>
  <r>
    <x v="117"/>
    <n v="2"/>
    <n v="2"/>
    <x v="0"/>
  </r>
  <r>
    <x v="118"/>
    <n v="12"/>
    <n v="12"/>
    <x v="0"/>
  </r>
  <r>
    <x v="119"/>
    <n v="4"/>
    <n v="4"/>
    <x v="0"/>
  </r>
  <r>
    <x v="120"/>
    <n v="5"/>
    <n v="5"/>
    <x v="0"/>
  </r>
  <r>
    <x v="121"/>
    <n v="11"/>
    <n v="11"/>
    <x v="0"/>
  </r>
  <r>
    <x v="122"/>
    <n v="291"/>
    <n v="291"/>
    <x v="0"/>
  </r>
  <r>
    <x v="123"/>
    <n v="3"/>
    <n v="3"/>
    <x v="0"/>
  </r>
  <r>
    <x v="124"/>
    <n v="1"/>
    <n v="1"/>
    <x v="0"/>
  </r>
  <r>
    <x v="125"/>
    <n v="2"/>
    <n v="2"/>
    <x v="0"/>
  </r>
  <r>
    <x v="126"/>
    <n v="4"/>
    <n v="4"/>
    <x v="0"/>
  </r>
  <r>
    <x v="127"/>
    <n v="10"/>
    <n v="10"/>
    <x v="0"/>
  </r>
  <r>
    <x v="128"/>
    <n v="8"/>
    <n v="8"/>
    <x v="0"/>
  </r>
  <r>
    <x v="129"/>
    <n v="8"/>
    <n v="8"/>
    <x v="0"/>
  </r>
  <r>
    <x v="130"/>
    <n v="3"/>
    <n v="3"/>
    <x v="0"/>
  </r>
  <r>
    <x v="131"/>
    <n v="3"/>
    <n v="3"/>
    <x v="0"/>
  </r>
  <r>
    <x v="132"/>
    <n v="1"/>
    <n v="1"/>
    <x v="0"/>
  </r>
  <r>
    <x v="133"/>
    <n v="1"/>
    <n v="1"/>
    <x v="0"/>
  </r>
  <r>
    <x v="134"/>
    <n v="10"/>
    <n v="10"/>
    <x v="0"/>
  </r>
  <r>
    <x v="135"/>
    <n v="1"/>
    <n v="1"/>
    <x v="0"/>
  </r>
  <r>
    <x v="136"/>
    <n v="1"/>
    <n v="1"/>
    <x v="0"/>
  </r>
  <r>
    <x v="137"/>
    <n v="1"/>
    <n v="1"/>
    <x v="0"/>
  </r>
  <r>
    <x v="138"/>
    <n v="1"/>
    <n v="1"/>
    <x v="0"/>
  </r>
  <r>
    <x v="139"/>
    <n v="1"/>
    <n v="1"/>
    <x v="0"/>
  </r>
  <r>
    <x v="140"/>
    <n v="1"/>
    <n v="1"/>
    <x v="0"/>
  </r>
  <r>
    <x v="141"/>
    <n v="1"/>
    <n v="1"/>
    <x v="0"/>
  </r>
  <r>
    <x v="142"/>
    <n v="1"/>
    <n v="1"/>
    <x v="0"/>
  </r>
  <r>
    <x v="143"/>
    <n v="1"/>
    <n v="1"/>
    <x v="0"/>
  </r>
  <r>
    <x v="144"/>
    <n v="1"/>
    <n v="1"/>
    <x v="0"/>
  </r>
  <r>
    <x v="145"/>
    <n v="1"/>
    <n v="1"/>
    <x v="0"/>
  </r>
  <r>
    <x v="146"/>
    <n v="1"/>
    <n v="1"/>
    <x v="0"/>
  </r>
  <r>
    <x v="147"/>
    <n v="2"/>
    <n v="2"/>
    <x v="0"/>
  </r>
  <r>
    <x v="148"/>
    <n v="2"/>
    <n v="2"/>
    <x v="0"/>
  </r>
  <r>
    <x v="149"/>
    <n v="1"/>
    <n v="1"/>
    <x v="0"/>
  </r>
  <r>
    <x v="150"/>
    <n v="1"/>
    <n v="1"/>
    <x v="0"/>
  </r>
  <r>
    <x v="151"/>
    <n v="1"/>
    <n v="1"/>
    <x v="0"/>
  </r>
  <r>
    <x v="152"/>
    <n v="1"/>
    <n v="1"/>
    <x v="0"/>
  </r>
  <r>
    <x v="153"/>
    <n v="8"/>
    <n v="8"/>
    <x v="0"/>
  </r>
  <r>
    <x v="154"/>
    <n v="2"/>
    <n v="2"/>
    <x v="0"/>
  </r>
  <r>
    <x v="155"/>
    <n v="2"/>
    <n v="2"/>
    <x v="0"/>
  </r>
  <r>
    <x v="156"/>
    <n v="1"/>
    <n v="1"/>
    <x v="0"/>
  </r>
  <r>
    <x v="157"/>
    <n v="1"/>
    <n v="1"/>
    <x v="0"/>
  </r>
  <r>
    <x v="158"/>
    <n v="1"/>
    <n v="1"/>
    <x v="0"/>
  </r>
  <r>
    <x v="159"/>
    <n v="1"/>
    <n v="1"/>
    <x v="0"/>
  </r>
  <r>
    <x v="160"/>
    <n v="2"/>
    <n v="2"/>
    <x v="0"/>
  </r>
  <r>
    <x v="161"/>
    <n v="1"/>
    <n v="1"/>
    <x v="0"/>
  </r>
  <r>
    <x v="162"/>
    <n v="1"/>
    <n v="1"/>
    <x v="0"/>
  </r>
  <r>
    <x v="163"/>
    <n v="1"/>
    <n v="1"/>
    <x v="0"/>
  </r>
  <r>
    <x v="164"/>
    <n v="1"/>
    <n v="1"/>
    <x v="0"/>
  </r>
  <r>
    <x v="165"/>
    <n v="1"/>
    <n v="1"/>
    <x v="0"/>
  </r>
  <r>
    <x v="166"/>
    <n v="1"/>
    <n v="1"/>
    <x v="0"/>
  </r>
  <r>
    <x v="167"/>
    <n v="1"/>
    <n v="1"/>
    <x v="0"/>
  </r>
  <r>
    <x v="168"/>
    <n v="1"/>
    <n v="1"/>
    <x v="0"/>
  </r>
  <r>
    <x v="169"/>
    <n v="1"/>
    <n v="1"/>
    <x v="0"/>
  </r>
  <r>
    <x v="170"/>
    <n v="1"/>
    <n v="1"/>
    <x v="0"/>
  </r>
  <r>
    <x v="171"/>
    <n v="2"/>
    <n v="2"/>
    <x v="0"/>
  </r>
  <r>
    <x v="172"/>
    <n v="1"/>
    <n v="1"/>
    <x v="0"/>
  </r>
  <r>
    <x v="173"/>
    <n v="3"/>
    <n v="3"/>
    <x v="0"/>
  </r>
  <r>
    <x v="174"/>
    <n v="1"/>
    <n v="1"/>
    <x v="0"/>
  </r>
  <r>
    <x v="175"/>
    <n v="5"/>
    <n v="5"/>
    <x v="0"/>
  </r>
  <r>
    <x v="176"/>
    <n v="1"/>
    <n v="1"/>
    <x v="0"/>
  </r>
  <r>
    <x v="177"/>
    <n v="1"/>
    <n v="1"/>
    <x v="0"/>
  </r>
  <r>
    <x v="178"/>
    <n v="1"/>
    <n v="1"/>
    <x v="0"/>
  </r>
  <r>
    <x v="179"/>
    <n v="1"/>
    <n v="1"/>
    <x v="0"/>
  </r>
  <r>
    <x v="180"/>
    <n v="1"/>
    <n v="1"/>
    <x v="0"/>
  </r>
  <r>
    <x v="181"/>
    <n v="1"/>
    <n v="1"/>
    <x v="0"/>
  </r>
  <r>
    <x v="182"/>
    <n v="1"/>
    <n v="1"/>
    <x v="0"/>
  </r>
  <r>
    <x v="183"/>
    <n v="1"/>
    <n v="1"/>
    <x v="0"/>
  </r>
  <r>
    <x v="184"/>
    <n v="1"/>
    <n v="1"/>
    <x v="0"/>
  </r>
  <r>
    <x v="185"/>
    <n v="1"/>
    <n v="1"/>
    <x v="0"/>
  </r>
  <r>
    <x v="186"/>
    <n v="7"/>
    <n v="7"/>
    <x v="0"/>
  </r>
  <r>
    <x v="187"/>
    <n v="1"/>
    <n v="1"/>
    <x v="0"/>
  </r>
  <r>
    <x v="188"/>
    <n v="1"/>
    <n v="1"/>
    <x v="0"/>
  </r>
  <r>
    <x v="189"/>
    <n v="1"/>
    <n v="1"/>
    <x v="0"/>
  </r>
  <r>
    <x v="190"/>
    <n v="4"/>
    <n v="4"/>
    <x v="0"/>
  </r>
  <r>
    <x v="191"/>
    <n v="1"/>
    <n v="1"/>
    <x v="0"/>
  </r>
  <r>
    <x v="192"/>
    <n v="3"/>
    <n v="3"/>
    <x v="0"/>
  </r>
  <r>
    <x v="193"/>
    <n v="5"/>
    <n v="5"/>
    <x v="0"/>
  </r>
  <r>
    <x v="194"/>
    <n v="2"/>
    <n v="2"/>
    <x v="0"/>
  </r>
  <r>
    <x v="195"/>
    <n v="6"/>
    <n v="6"/>
    <x v="0"/>
  </r>
  <r>
    <x v="196"/>
    <n v="3"/>
    <n v="3"/>
    <x v="0"/>
  </r>
  <r>
    <x v="197"/>
    <n v="2"/>
    <n v="2"/>
    <x v="0"/>
  </r>
  <r>
    <x v="198"/>
    <n v="1"/>
    <n v="1"/>
    <x v="0"/>
  </r>
  <r>
    <x v="199"/>
    <n v="1"/>
    <n v="1"/>
    <x v="0"/>
  </r>
  <r>
    <x v="200"/>
    <n v="1"/>
    <n v="1"/>
    <x v="0"/>
  </r>
  <r>
    <x v="201"/>
    <n v="1"/>
    <n v="1"/>
    <x v="0"/>
  </r>
  <r>
    <x v="202"/>
    <n v="1"/>
    <n v="1"/>
    <x v="0"/>
  </r>
  <r>
    <x v="203"/>
    <n v="1"/>
    <n v="1"/>
    <x v="0"/>
  </r>
  <r>
    <x v="204"/>
    <n v="2"/>
    <n v="2"/>
    <x v="0"/>
  </r>
  <r>
    <x v="205"/>
    <n v="2"/>
    <n v="2"/>
    <x v="0"/>
  </r>
  <r>
    <x v="206"/>
    <n v="1"/>
    <n v="1"/>
    <x v="0"/>
  </r>
  <r>
    <x v="207"/>
    <n v="1"/>
    <n v="1"/>
    <x v="0"/>
  </r>
  <r>
    <x v="208"/>
    <n v="1"/>
    <n v="1"/>
    <x v="0"/>
  </r>
  <r>
    <x v="209"/>
    <n v="1"/>
    <n v="1"/>
    <x v="0"/>
  </r>
  <r>
    <x v="210"/>
    <n v="1"/>
    <n v="1"/>
    <x v="0"/>
  </r>
  <r>
    <x v="211"/>
    <n v="1"/>
    <n v="1"/>
    <x v="0"/>
  </r>
  <r>
    <x v="212"/>
    <n v="1"/>
    <n v="1"/>
    <x v="0"/>
  </r>
  <r>
    <x v="213"/>
    <n v="1"/>
    <n v="1"/>
    <x v="0"/>
  </r>
  <r>
    <x v="214"/>
    <n v="1"/>
    <n v="1"/>
    <x v="0"/>
  </r>
  <r>
    <x v="215"/>
    <n v="1"/>
    <n v="1"/>
    <x v="0"/>
  </r>
  <r>
    <x v="216"/>
    <n v="1"/>
    <n v="1"/>
    <x v="0"/>
  </r>
  <r>
    <x v="217"/>
    <n v="1"/>
    <n v="1"/>
    <x v="0"/>
  </r>
  <r>
    <x v="218"/>
    <n v="21"/>
    <n v="21"/>
    <x v="0"/>
  </r>
  <r>
    <x v="219"/>
    <n v="1"/>
    <n v="1"/>
    <x v="0"/>
  </r>
  <r>
    <x v="220"/>
    <n v="1"/>
    <n v="1"/>
    <x v="0"/>
  </r>
  <r>
    <x v="221"/>
    <n v="1"/>
    <n v="1"/>
    <x v="0"/>
  </r>
  <r>
    <x v="222"/>
    <n v="1"/>
    <n v="1"/>
    <x v="0"/>
  </r>
  <r>
    <x v="223"/>
    <n v="3"/>
    <n v="3"/>
    <x v="0"/>
  </r>
  <r>
    <x v="224"/>
    <n v="1"/>
    <n v="1"/>
    <x v="0"/>
  </r>
  <r>
    <x v="225"/>
    <n v="1"/>
    <n v="1"/>
    <x v="0"/>
  </r>
  <r>
    <x v="226"/>
    <n v="1"/>
    <n v="1"/>
    <x v="0"/>
  </r>
  <r>
    <x v="227"/>
    <n v="1"/>
    <n v="1"/>
    <x v="0"/>
  </r>
  <r>
    <x v="228"/>
    <n v="1"/>
    <n v="1"/>
    <x v="0"/>
  </r>
  <r>
    <x v="229"/>
    <n v="1"/>
    <n v="1"/>
    <x v="0"/>
  </r>
  <r>
    <x v="230"/>
    <n v="2"/>
    <n v="2"/>
    <x v="0"/>
  </r>
  <r>
    <x v="231"/>
    <n v="1"/>
    <n v="1"/>
    <x v="0"/>
  </r>
  <r>
    <x v="232"/>
    <n v="1"/>
    <n v="1"/>
    <x v="0"/>
  </r>
  <r>
    <x v="233"/>
    <n v="4"/>
    <n v="4"/>
    <x v="0"/>
  </r>
  <r>
    <x v="234"/>
    <n v="1"/>
    <n v="1"/>
    <x v="0"/>
  </r>
  <r>
    <x v="235"/>
    <n v="1"/>
    <n v="1"/>
    <x v="0"/>
  </r>
  <r>
    <x v="236"/>
    <n v="1"/>
    <n v="1"/>
    <x v="0"/>
  </r>
  <r>
    <x v="237"/>
    <n v="3"/>
    <n v="3"/>
    <x v="0"/>
  </r>
  <r>
    <x v="238"/>
    <n v="1"/>
    <n v="1"/>
    <x v="0"/>
  </r>
  <r>
    <x v="239"/>
    <n v="3"/>
    <n v="3"/>
    <x v="0"/>
  </r>
  <r>
    <x v="240"/>
    <n v="1"/>
    <n v="1"/>
    <x v="0"/>
  </r>
  <r>
    <x v="241"/>
    <n v="3"/>
    <n v="3"/>
    <x v="0"/>
  </r>
  <r>
    <x v="242"/>
    <n v="1"/>
    <n v="1"/>
    <x v="0"/>
  </r>
  <r>
    <x v="243"/>
    <n v="1"/>
    <n v="1"/>
    <x v="0"/>
  </r>
  <r>
    <x v="244"/>
    <n v="3"/>
    <n v="3"/>
    <x v="0"/>
  </r>
  <r>
    <x v="245"/>
    <n v="5"/>
    <n v="5"/>
    <x v="0"/>
  </r>
  <r>
    <x v="246"/>
    <n v="1"/>
    <n v="1"/>
    <x v="0"/>
  </r>
  <r>
    <x v="247"/>
    <n v="1"/>
    <n v="1"/>
    <x v="0"/>
  </r>
  <r>
    <x v="248"/>
    <n v="4"/>
    <n v="4"/>
    <x v="0"/>
  </r>
  <r>
    <x v="249"/>
    <n v="1"/>
    <n v="1"/>
    <x v="0"/>
  </r>
  <r>
    <x v="250"/>
    <n v="3"/>
    <n v="3"/>
    <x v="0"/>
  </r>
  <r>
    <x v="251"/>
    <n v="2"/>
    <n v="2"/>
    <x v="0"/>
  </r>
  <r>
    <x v="252"/>
    <n v="1"/>
    <n v="1"/>
    <x v="0"/>
  </r>
  <r>
    <x v="253"/>
    <n v="1"/>
    <n v="1"/>
    <x v="0"/>
  </r>
  <r>
    <x v="254"/>
    <n v="2"/>
    <n v="2"/>
    <x v="0"/>
  </r>
  <r>
    <x v="255"/>
    <n v="1"/>
    <n v="1"/>
    <x v="0"/>
  </r>
  <r>
    <x v="256"/>
    <n v="1"/>
    <n v="1"/>
    <x v="0"/>
  </r>
  <r>
    <x v="257"/>
    <n v="6"/>
    <n v="6"/>
    <x v="0"/>
  </r>
  <r>
    <x v="258"/>
    <n v="1"/>
    <n v="1"/>
    <x v="0"/>
  </r>
  <r>
    <x v="259"/>
    <n v="1"/>
    <n v="1"/>
    <x v="0"/>
  </r>
  <r>
    <x v="260"/>
    <n v="8"/>
    <n v="8"/>
    <x v="0"/>
  </r>
  <r>
    <x v="261"/>
    <n v="5"/>
    <n v="5"/>
    <x v="0"/>
  </r>
  <r>
    <x v="262"/>
    <n v="1"/>
    <n v="1"/>
    <x v="0"/>
  </r>
  <r>
    <x v="263"/>
    <n v="1"/>
    <n v="1"/>
    <x v="0"/>
  </r>
  <r>
    <x v="264"/>
    <n v="1"/>
    <n v="1"/>
    <x v="0"/>
  </r>
  <r>
    <x v="265"/>
    <n v="1"/>
    <n v="1"/>
    <x v="0"/>
  </r>
  <r>
    <x v="266"/>
    <n v="1"/>
    <n v="1"/>
    <x v="0"/>
  </r>
  <r>
    <x v="267"/>
    <n v="1"/>
    <n v="1"/>
    <x v="0"/>
  </r>
  <r>
    <x v="268"/>
    <n v="1"/>
    <n v="1"/>
    <x v="0"/>
  </r>
  <r>
    <x v="269"/>
    <n v="1"/>
    <n v="1"/>
    <x v="0"/>
  </r>
  <r>
    <x v="270"/>
    <n v="1"/>
    <n v="1"/>
    <x v="0"/>
  </r>
  <r>
    <x v="271"/>
    <n v="1"/>
    <n v="1"/>
    <x v="0"/>
  </r>
  <r>
    <x v="272"/>
    <n v="1"/>
    <n v="1"/>
    <x v="0"/>
  </r>
  <r>
    <x v="273"/>
    <n v="1"/>
    <n v="1"/>
    <x v="0"/>
  </r>
  <r>
    <x v="274"/>
    <n v="1"/>
    <n v="1"/>
    <x v="0"/>
  </r>
  <r>
    <x v="275"/>
    <n v="1"/>
    <n v="1"/>
    <x v="0"/>
  </r>
  <r>
    <x v="276"/>
    <n v="1"/>
    <n v="1"/>
    <x v="0"/>
  </r>
  <r>
    <x v="277"/>
    <n v="1"/>
    <n v="1"/>
    <x v="0"/>
  </r>
  <r>
    <x v="278"/>
    <n v="1"/>
    <n v="1"/>
    <x v="0"/>
  </r>
  <r>
    <x v="279"/>
    <n v="1"/>
    <n v="1"/>
    <x v="0"/>
  </r>
  <r>
    <x v="280"/>
    <n v="1"/>
    <n v="1"/>
    <x v="0"/>
  </r>
  <r>
    <x v="281"/>
    <n v="1"/>
    <n v="1"/>
    <x v="0"/>
  </r>
  <r>
    <x v="282"/>
    <n v="1"/>
    <n v="1"/>
    <x v="0"/>
  </r>
  <r>
    <x v="283"/>
    <n v="1"/>
    <n v="1"/>
    <x v="0"/>
  </r>
  <r>
    <x v="284"/>
    <n v="1"/>
    <n v="1"/>
    <x v="0"/>
  </r>
  <r>
    <x v="285"/>
    <n v="1"/>
    <n v="1"/>
    <x v="0"/>
  </r>
  <r>
    <x v="286"/>
    <n v="1"/>
    <n v="1"/>
    <x v="0"/>
  </r>
  <r>
    <x v="287"/>
    <n v="36"/>
    <n v="36"/>
    <x v="0"/>
  </r>
  <r>
    <x v="288"/>
    <n v="1"/>
    <n v="1"/>
    <x v="0"/>
  </r>
  <r>
    <x v="289"/>
    <n v="7"/>
    <n v="7"/>
    <x v="0"/>
  </r>
  <r>
    <x v="290"/>
    <n v="2"/>
    <n v="2"/>
    <x v="0"/>
  </r>
  <r>
    <x v="291"/>
    <n v="89"/>
    <n v="89"/>
    <x v="0"/>
  </r>
  <r>
    <x v="292"/>
    <n v="1"/>
    <n v="1"/>
    <x v="0"/>
  </r>
  <r>
    <x v="293"/>
    <n v="36"/>
    <n v="36"/>
    <x v="0"/>
  </r>
  <r>
    <x v="294"/>
    <n v="3"/>
    <n v="3"/>
    <x v="0"/>
  </r>
  <r>
    <x v="295"/>
    <n v="1"/>
    <n v="1"/>
    <x v="0"/>
  </r>
  <r>
    <x v="296"/>
    <n v="2"/>
    <n v="2"/>
    <x v="0"/>
  </r>
  <r>
    <x v="297"/>
    <n v="3"/>
    <n v="3"/>
    <x v="0"/>
  </r>
  <r>
    <x v="298"/>
    <n v="1"/>
    <n v="1"/>
    <x v="0"/>
  </r>
  <r>
    <x v="299"/>
    <n v="1"/>
    <n v="1"/>
    <x v="0"/>
  </r>
  <r>
    <x v="300"/>
    <n v="1"/>
    <n v="1"/>
    <x v="0"/>
  </r>
  <r>
    <x v="301"/>
    <n v="1"/>
    <n v="1"/>
    <x v="0"/>
  </r>
  <r>
    <x v="302"/>
    <n v="1"/>
    <n v="1"/>
    <x v="0"/>
  </r>
  <r>
    <x v="303"/>
    <n v="1"/>
    <n v="1"/>
    <x v="0"/>
  </r>
  <r>
    <x v="304"/>
    <n v="1"/>
    <n v="1"/>
    <x v="0"/>
  </r>
  <r>
    <x v="305"/>
    <n v="1"/>
    <n v="1"/>
    <x v="0"/>
  </r>
  <r>
    <x v="306"/>
    <n v="1"/>
    <n v="1"/>
    <x v="0"/>
  </r>
  <r>
    <x v="307"/>
    <n v="1"/>
    <n v="1"/>
    <x v="0"/>
  </r>
  <r>
    <x v="308"/>
    <n v="1"/>
    <n v="1"/>
    <x v="0"/>
  </r>
  <r>
    <x v="309"/>
    <n v="3"/>
    <n v="3"/>
    <x v="0"/>
  </r>
  <r>
    <x v="310"/>
    <n v="1"/>
    <n v="1"/>
    <x v="0"/>
  </r>
  <r>
    <x v="311"/>
    <n v="2"/>
    <n v="2"/>
    <x v="0"/>
  </r>
  <r>
    <x v="312"/>
    <n v="41"/>
    <n v="41"/>
    <x v="0"/>
  </r>
  <r>
    <x v="313"/>
    <n v="6"/>
    <n v="6"/>
    <x v="0"/>
  </r>
  <r>
    <x v="314"/>
    <n v="1"/>
    <n v="1"/>
    <x v="0"/>
  </r>
  <r>
    <x v="315"/>
    <n v="1"/>
    <n v="1"/>
    <x v="0"/>
  </r>
  <r>
    <x v="316"/>
    <n v="7"/>
    <n v="7"/>
    <x v="0"/>
  </r>
  <r>
    <x v="317"/>
    <n v="29"/>
    <n v="29"/>
    <x v="0"/>
  </r>
  <r>
    <x v="318"/>
    <n v="397"/>
    <n v="397"/>
    <x v="0"/>
  </r>
  <r>
    <x v="319"/>
    <n v="17"/>
    <n v="17"/>
    <x v="0"/>
  </r>
  <r>
    <x v="320"/>
    <n v="5"/>
    <n v="5"/>
    <x v="0"/>
  </r>
  <r>
    <x v="321"/>
    <n v="1"/>
    <n v="1"/>
    <x v="0"/>
  </r>
  <r>
    <x v="322"/>
    <n v="3"/>
    <n v="3"/>
    <x v="0"/>
  </r>
  <r>
    <x v="323"/>
    <n v="5"/>
    <n v="5"/>
    <x v="0"/>
  </r>
  <r>
    <x v="324"/>
    <n v="5"/>
    <n v="5"/>
    <x v="0"/>
  </r>
  <r>
    <x v="325"/>
    <n v="13"/>
    <n v="13"/>
    <x v="0"/>
  </r>
  <r>
    <x v="326"/>
    <n v="1"/>
    <n v="1"/>
    <x v="0"/>
  </r>
  <r>
    <x v="327"/>
    <n v="1"/>
    <n v="1"/>
    <x v="0"/>
  </r>
  <r>
    <x v="328"/>
    <n v="1"/>
    <n v="1"/>
    <x v="0"/>
  </r>
  <r>
    <x v="329"/>
    <n v="4"/>
    <n v="4"/>
    <x v="0"/>
  </r>
  <r>
    <x v="330"/>
    <n v="1"/>
    <n v="1"/>
    <x v="0"/>
  </r>
  <r>
    <x v="331"/>
    <n v="400"/>
    <n v="400"/>
    <x v="0"/>
  </r>
  <r>
    <x v="332"/>
    <n v="1"/>
    <n v="1"/>
    <x v="0"/>
  </r>
  <r>
    <x v="333"/>
    <n v="1"/>
    <n v="1"/>
    <x v="0"/>
  </r>
  <r>
    <x v="334"/>
    <n v="8"/>
    <n v="8"/>
    <x v="0"/>
  </r>
  <r>
    <x v="335"/>
    <n v="1"/>
    <n v="1"/>
    <x v="0"/>
  </r>
  <r>
    <x v="336"/>
    <n v="1"/>
    <n v="1"/>
    <x v="0"/>
  </r>
  <r>
    <x v="337"/>
    <n v="1"/>
    <n v="1"/>
    <x v="0"/>
  </r>
  <r>
    <x v="338"/>
    <n v="1"/>
    <n v="1"/>
    <x v="0"/>
  </r>
  <r>
    <x v="339"/>
    <n v="3"/>
    <n v="3"/>
    <x v="0"/>
  </r>
  <r>
    <x v="340"/>
    <n v="1"/>
    <n v="1"/>
    <x v="0"/>
  </r>
  <r>
    <x v="341"/>
    <n v="1"/>
    <n v="1"/>
    <x v="0"/>
  </r>
  <r>
    <x v="342"/>
    <n v="2"/>
    <n v="2"/>
    <x v="0"/>
  </r>
  <r>
    <x v="343"/>
    <n v="1"/>
    <n v="1"/>
    <x v="0"/>
  </r>
  <r>
    <x v="344"/>
    <n v="1"/>
    <n v="1"/>
    <x v="0"/>
  </r>
  <r>
    <x v="345"/>
    <n v="1"/>
    <n v="1"/>
    <x v="0"/>
  </r>
  <r>
    <x v="346"/>
    <n v="1"/>
    <n v="1"/>
    <x v="0"/>
  </r>
  <r>
    <x v="347"/>
    <n v="51"/>
    <n v="51"/>
    <x v="0"/>
  </r>
  <r>
    <x v="348"/>
    <n v="3"/>
    <n v="3"/>
    <x v="0"/>
  </r>
  <r>
    <x v="349"/>
    <n v="3"/>
    <n v="3"/>
    <x v="0"/>
  </r>
  <r>
    <x v="350"/>
    <n v="1"/>
    <n v="1"/>
    <x v="0"/>
  </r>
  <r>
    <x v="351"/>
    <n v="5"/>
    <n v="5"/>
    <x v="0"/>
  </r>
  <r>
    <x v="352"/>
    <n v="1"/>
    <n v="1"/>
    <x v="0"/>
  </r>
  <r>
    <x v="353"/>
    <n v="2"/>
    <n v="2"/>
    <x v="0"/>
  </r>
  <r>
    <x v="354"/>
    <n v="1"/>
    <n v="1"/>
    <x v="0"/>
  </r>
  <r>
    <x v="355"/>
    <n v="1"/>
    <n v="1"/>
    <x v="0"/>
  </r>
  <r>
    <x v="356"/>
    <n v="1"/>
    <n v="1"/>
    <x v="0"/>
  </r>
  <r>
    <x v="357"/>
    <n v="1"/>
    <n v="1"/>
    <x v="0"/>
  </r>
  <r>
    <x v="358"/>
    <n v="1"/>
    <n v="1"/>
    <x v="0"/>
  </r>
  <r>
    <x v="359"/>
    <n v="1"/>
    <n v="1"/>
    <x v="0"/>
  </r>
  <r>
    <x v="360"/>
    <n v="1"/>
    <n v="1"/>
    <x v="0"/>
  </r>
  <r>
    <x v="361"/>
    <n v="1"/>
    <n v="1"/>
    <x v="0"/>
  </r>
  <r>
    <x v="362"/>
    <n v="1"/>
    <n v="1"/>
    <x v="0"/>
  </r>
  <r>
    <x v="363"/>
    <n v="2"/>
    <n v="2"/>
    <x v="0"/>
  </r>
  <r>
    <x v="364"/>
    <n v="23"/>
    <n v="23"/>
    <x v="0"/>
  </r>
  <r>
    <x v="365"/>
    <n v="2"/>
    <n v="2"/>
    <x v="0"/>
  </r>
  <r>
    <x v="366"/>
    <n v="1"/>
    <n v="1"/>
    <x v="0"/>
  </r>
  <r>
    <x v="367"/>
    <n v="1"/>
    <n v="1"/>
    <x v="0"/>
  </r>
  <r>
    <x v="368"/>
    <n v="2"/>
    <n v="2"/>
    <x v="0"/>
  </r>
  <r>
    <x v="369"/>
    <n v="1"/>
    <n v="1"/>
    <x v="0"/>
  </r>
  <r>
    <x v="370"/>
    <n v="3"/>
    <n v="3"/>
    <x v="0"/>
  </r>
  <r>
    <x v="371"/>
    <n v="1"/>
    <n v="1"/>
    <x v="0"/>
  </r>
  <r>
    <x v="372"/>
    <n v="2"/>
    <n v="2"/>
    <x v="0"/>
  </r>
  <r>
    <x v="373"/>
    <n v="1"/>
    <n v="1"/>
    <x v="0"/>
  </r>
  <r>
    <x v="374"/>
    <n v="1"/>
    <n v="1"/>
    <x v="0"/>
  </r>
  <r>
    <x v="375"/>
    <n v="10"/>
    <n v="10"/>
    <x v="0"/>
  </r>
  <r>
    <x v="376"/>
    <n v="18"/>
    <n v="18"/>
    <x v="0"/>
  </r>
  <r>
    <x v="377"/>
    <n v="6"/>
    <n v="6"/>
    <x v="0"/>
  </r>
  <r>
    <x v="378"/>
    <n v="15"/>
    <n v="15"/>
    <x v="0"/>
  </r>
  <r>
    <x v="379"/>
    <n v="10"/>
    <n v="10"/>
    <x v="0"/>
  </r>
  <r>
    <x v="380"/>
    <n v="1"/>
    <n v="1"/>
    <x v="0"/>
  </r>
  <r>
    <x v="381"/>
    <n v="2"/>
    <n v="2"/>
    <x v="0"/>
  </r>
  <r>
    <x v="382"/>
    <n v="1"/>
    <n v="1"/>
    <x v="0"/>
  </r>
  <r>
    <x v="383"/>
    <n v="3"/>
    <n v="3"/>
    <x v="0"/>
  </r>
  <r>
    <x v="384"/>
    <n v="1"/>
    <n v="1"/>
    <x v="0"/>
  </r>
  <r>
    <x v="385"/>
    <n v="4"/>
    <n v="4"/>
    <x v="0"/>
  </r>
  <r>
    <x v="386"/>
    <n v="23"/>
    <n v="23"/>
    <x v="0"/>
  </r>
  <r>
    <x v="387"/>
    <n v="17"/>
    <n v="17"/>
    <x v="0"/>
  </r>
  <r>
    <x v="388"/>
    <n v="1"/>
    <n v="1"/>
    <x v="0"/>
  </r>
  <r>
    <x v="389"/>
    <n v="1"/>
    <n v="1"/>
    <x v="0"/>
  </r>
  <r>
    <x v="390"/>
    <n v="9"/>
    <n v="9"/>
    <x v="0"/>
  </r>
  <r>
    <x v="391"/>
    <n v="1"/>
    <n v="1"/>
    <x v="0"/>
  </r>
  <r>
    <x v="392"/>
    <n v="4"/>
    <n v="4"/>
    <x v="0"/>
  </r>
  <r>
    <x v="393"/>
    <n v="11"/>
    <n v="11"/>
    <x v="0"/>
  </r>
  <r>
    <x v="394"/>
    <n v="2"/>
    <n v="2"/>
    <x v="0"/>
  </r>
  <r>
    <x v="395"/>
    <n v="3"/>
    <n v="3"/>
    <x v="0"/>
  </r>
  <r>
    <x v="396"/>
    <n v="3"/>
    <n v="3"/>
    <x v="0"/>
  </r>
  <r>
    <x v="397"/>
    <n v="4"/>
    <n v="4"/>
    <x v="0"/>
  </r>
  <r>
    <x v="398"/>
    <n v="1"/>
    <n v="1"/>
    <x v="0"/>
  </r>
  <r>
    <x v="399"/>
    <n v="19"/>
    <n v="19"/>
    <x v="0"/>
  </r>
  <r>
    <x v="400"/>
    <n v="53"/>
    <n v="53"/>
    <x v="0"/>
  </r>
  <r>
    <x v="401"/>
    <n v="86"/>
    <n v="86"/>
    <x v="0"/>
  </r>
  <r>
    <x v="402"/>
    <n v="15"/>
    <n v="15"/>
    <x v="0"/>
  </r>
  <r>
    <x v="403"/>
    <n v="1"/>
    <n v="1"/>
    <x v="0"/>
  </r>
  <r>
    <x v="404"/>
    <n v="6"/>
    <n v="6"/>
    <x v="0"/>
  </r>
  <r>
    <x v="405"/>
    <n v="2"/>
    <n v="2"/>
    <x v="0"/>
  </r>
  <r>
    <x v="406"/>
    <n v="4"/>
    <n v="4"/>
    <x v="0"/>
  </r>
  <r>
    <x v="407"/>
    <n v="1"/>
    <n v="1"/>
    <x v="0"/>
  </r>
  <r>
    <x v="408"/>
    <n v="1"/>
    <n v="1"/>
    <x v="0"/>
  </r>
  <r>
    <x v="409"/>
    <n v="1"/>
    <n v="1"/>
    <x v="0"/>
  </r>
  <r>
    <x v="410"/>
    <n v="1"/>
    <n v="1"/>
    <x v="0"/>
  </r>
  <r>
    <x v="411"/>
    <n v="1"/>
    <n v="1"/>
    <x v="0"/>
  </r>
  <r>
    <x v="412"/>
    <n v="2"/>
    <n v="2"/>
    <x v="0"/>
  </r>
  <r>
    <x v="413"/>
    <n v="10"/>
    <n v="10"/>
    <x v="0"/>
  </r>
  <r>
    <x v="414"/>
    <n v="2"/>
    <n v="2"/>
    <x v="0"/>
  </r>
  <r>
    <x v="415"/>
    <n v="1"/>
    <n v="1"/>
    <x v="0"/>
  </r>
  <r>
    <x v="416"/>
    <n v="1"/>
    <n v="1"/>
    <x v="0"/>
  </r>
  <r>
    <x v="417"/>
    <n v="1"/>
    <n v="1"/>
    <x v="0"/>
  </r>
  <r>
    <x v="418"/>
    <n v="1"/>
    <n v="1"/>
    <x v="0"/>
  </r>
  <r>
    <x v="419"/>
    <n v="1"/>
    <n v="1"/>
    <x v="0"/>
  </r>
  <r>
    <x v="420"/>
    <n v="1"/>
    <n v="1"/>
    <x v="0"/>
  </r>
  <r>
    <x v="421"/>
    <n v="1"/>
    <n v="1"/>
    <x v="0"/>
  </r>
  <r>
    <x v="422"/>
    <n v="1"/>
    <n v="1"/>
    <x v="0"/>
  </r>
  <r>
    <x v="423"/>
    <n v="1"/>
    <n v="1"/>
    <x v="0"/>
  </r>
  <r>
    <x v="424"/>
    <n v="115"/>
    <n v="115"/>
    <x v="0"/>
  </r>
  <r>
    <x v="425"/>
    <n v="1"/>
    <n v="1"/>
    <x v="0"/>
  </r>
  <r>
    <x v="426"/>
    <n v="1"/>
    <n v="1"/>
    <x v="0"/>
  </r>
  <r>
    <x v="427"/>
    <n v="1"/>
    <n v="1"/>
    <x v="0"/>
  </r>
  <r>
    <x v="428"/>
    <n v="1"/>
    <n v="1"/>
    <x v="0"/>
  </r>
  <r>
    <x v="429"/>
    <n v="1"/>
    <n v="1"/>
    <x v="0"/>
  </r>
  <r>
    <x v="430"/>
    <n v="65"/>
    <n v="65"/>
    <x v="0"/>
  </r>
  <r>
    <x v="431"/>
    <n v="2"/>
    <n v="2"/>
    <x v="0"/>
  </r>
  <r>
    <x v="432"/>
    <n v="1"/>
    <n v="1"/>
    <x v="0"/>
  </r>
  <r>
    <x v="433"/>
    <n v="7"/>
    <n v="7"/>
    <x v="0"/>
  </r>
  <r>
    <x v="434"/>
    <n v="77"/>
    <n v="77"/>
    <x v="0"/>
  </r>
  <r>
    <x v="435"/>
    <n v="10"/>
    <n v="10"/>
    <x v="0"/>
  </r>
  <r>
    <x v="436"/>
    <n v="293"/>
    <n v="293"/>
    <x v="0"/>
  </r>
  <r>
    <x v="437"/>
    <n v="3"/>
    <n v="3"/>
    <x v="0"/>
  </r>
  <r>
    <x v="438"/>
    <n v="8"/>
    <n v="8"/>
    <x v="0"/>
  </r>
  <r>
    <x v="439"/>
    <n v="1"/>
    <n v="1"/>
    <x v="0"/>
  </r>
  <r>
    <x v="440"/>
    <n v="2"/>
    <n v="2"/>
    <x v="0"/>
  </r>
  <r>
    <x v="441"/>
    <n v="1"/>
    <n v="1"/>
    <x v="0"/>
  </r>
  <r>
    <x v="442"/>
    <n v="2"/>
    <n v="2"/>
    <x v="0"/>
  </r>
  <r>
    <x v="443"/>
    <n v="1"/>
    <n v="1"/>
    <x v="0"/>
  </r>
  <r>
    <x v="444"/>
    <n v="1"/>
    <n v="1"/>
    <x v="0"/>
  </r>
  <r>
    <x v="445"/>
    <n v="1"/>
    <n v="1"/>
    <x v="0"/>
  </r>
  <r>
    <x v="446"/>
    <n v="2"/>
    <n v="2"/>
    <x v="0"/>
  </r>
  <r>
    <x v="447"/>
    <n v="1"/>
    <n v="1"/>
    <x v="0"/>
  </r>
  <r>
    <x v="448"/>
    <n v="1"/>
    <n v="1"/>
    <x v="0"/>
  </r>
  <r>
    <x v="449"/>
    <n v="10"/>
    <n v="10"/>
    <x v="0"/>
  </r>
  <r>
    <x v="450"/>
    <n v="1"/>
    <n v="1"/>
    <x v="0"/>
  </r>
  <r>
    <x v="451"/>
    <n v="1"/>
    <n v="1"/>
    <x v="0"/>
  </r>
  <r>
    <x v="452"/>
    <n v="2"/>
    <n v="2"/>
    <x v="0"/>
  </r>
  <r>
    <x v="453"/>
    <n v="1"/>
    <n v="1"/>
    <x v="0"/>
  </r>
  <r>
    <x v="454"/>
    <n v="1"/>
    <n v="1"/>
    <x v="0"/>
  </r>
  <r>
    <x v="455"/>
    <n v="2"/>
    <n v="2"/>
    <x v="0"/>
  </r>
  <r>
    <x v="456"/>
    <n v="1"/>
    <n v="1"/>
    <x v="0"/>
  </r>
  <r>
    <x v="457"/>
    <n v="2"/>
    <n v="2"/>
    <x v="0"/>
  </r>
  <r>
    <x v="458"/>
    <n v="3"/>
    <n v="3"/>
    <x v="0"/>
  </r>
  <r>
    <x v="459"/>
    <n v="2"/>
    <n v="2"/>
    <x v="0"/>
  </r>
  <r>
    <x v="460"/>
    <n v="2"/>
    <n v="2"/>
    <x v="0"/>
  </r>
  <r>
    <x v="461"/>
    <n v="11"/>
    <n v="11"/>
    <x v="0"/>
  </r>
  <r>
    <x v="462"/>
    <n v="1"/>
    <n v="1"/>
    <x v="0"/>
  </r>
  <r>
    <x v="463"/>
    <n v="1"/>
    <n v="1"/>
    <x v="0"/>
  </r>
  <r>
    <x v="464"/>
    <n v="1"/>
    <n v="1"/>
    <x v="0"/>
  </r>
  <r>
    <x v="465"/>
    <n v="14"/>
    <n v="14"/>
    <x v="0"/>
  </r>
  <r>
    <x v="466"/>
    <n v="12"/>
    <n v="12"/>
    <x v="0"/>
  </r>
  <r>
    <x v="467"/>
    <n v="1"/>
    <n v="1"/>
    <x v="0"/>
  </r>
  <r>
    <x v="468"/>
    <n v="1"/>
    <n v="1"/>
    <x v="0"/>
  </r>
  <r>
    <x v="469"/>
    <n v="1"/>
    <n v="1"/>
    <x v="0"/>
  </r>
  <r>
    <x v="470"/>
    <n v="2"/>
    <n v="2"/>
    <x v="0"/>
  </r>
  <r>
    <x v="471"/>
    <n v="3.75"/>
    <n v="3.75"/>
    <x v="0"/>
  </r>
  <r>
    <x v="472"/>
    <n v="1"/>
    <n v="1"/>
    <x v="0"/>
  </r>
  <r>
    <x v="473"/>
    <n v="1"/>
    <n v="1"/>
    <x v="0"/>
  </r>
  <r>
    <x v="474"/>
    <n v="8"/>
    <n v="8"/>
    <x v="0"/>
  </r>
  <r>
    <x v="475"/>
    <n v="2"/>
    <n v="2"/>
    <x v="0"/>
  </r>
  <r>
    <x v="476"/>
    <n v="1"/>
    <n v="1"/>
    <x v="0"/>
  </r>
  <r>
    <x v="477"/>
    <n v="3"/>
    <n v="3"/>
    <x v="0"/>
  </r>
  <r>
    <x v="478"/>
    <n v="2"/>
    <n v="2"/>
    <x v="0"/>
  </r>
  <r>
    <x v="479"/>
    <n v="25"/>
    <n v="25"/>
    <x v="0"/>
  </r>
  <r>
    <x v="480"/>
    <n v="1"/>
    <n v="1"/>
    <x v="0"/>
  </r>
  <r>
    <x v="481"/>
    <n v="2"/>
    <n v="2"/>
    <x v="0"/>
  </r>
  <r>
    <x v="482"/>
    <n v="4"/>
    <n v="4"/>
    <x v="0"/>
  </r>
  <r>
    <x v="483"/>
    <n v="9"/>
    <n v="9"/>
    <x v="0"/>
  </r>
  <r>
    <x v="484"/>
    <n v="1"/>
    <n v="1"/>
    <x v="0"/>
  </r>
  <r>
    <x v="485"/>
    <n v="1"/>
    <n v="1"/>
    <x v="0"/>
  </r>
  <r>
    <x v="486"/>
    <n v="1"/>
    <n v="1"/>
    <x v="0"/>
  </r>
  <r>
    <x v="487"/>
    <n v="1"/>
    <n v="1"/>
    <x v="0"/>
  </r>
  <r>
    <x v="488"/>
    <n v="1"/>
    <n v="1"/>
    <x v="0"/>
  </r>
  <r>
    <x v="489"/>
    <n v="2"/>
    <n v="2"/>
    <x v="0"/>
  </r>
  <r>
    <x v="490"/>
    <n v="3"/>
    <n v="3"/>
    <x v="0"/>
  </r>
  <r>
    <x v="491"/>
    <n v="2"/>
    <n v="2"/>
    <x v="0"/>
  </r>
  <r>
    <x v="492"/>
    <n v="1"/>
    <n v="1"/>
    <x v="0"/>
  </r>
  <r>
    <x v="493"/>
    <n v="1"/>
    <n v="1"/>
    <x v="0"/>
  </r>
  <r>
    <x v="494"/>
    <n v="1"/>
    <n v="1"/>
    <x v="0"/>
  </r>
  <r>
    <x v="495"/>
    <n v="1"/>
    <n v="1"/>
    <x v="0"/>
  </r>
  <r>
    <x v="496"/>
    <n v="2"/>
    <n v="2"/>
    <x v="0"/>
  </r>
  <r>
    <x v="497"/>
    <n v="1"/>
    <n v="1"/>
    <x v="0"/>
  </r>
  <r>
    <x v="498"/>
    <n v="1"/>
    <n v="1"/>
    <x v="0"/>
  </r>
  <r>
    <x v="499"/>
    <n v="1"/>
    <n v="1"/>
    <x v="0"/>
  </r>
  <r>
    <x v="500"/>
    <n v="2"/>
    <n v="2"/>
    <x v="0"/>
  </r>
  <r>
    <x v="501"/>
    <n v="1"/>
    <n v="1"/>
    <x v="0"/>
  </r>
  <r>
    <x v="502"/>
    <n v="29"/>
    <n v="29"/>
    <x v="0"/>
  </r>
  <r>
    <x v="503"/>
    <n v="1"/>
    <n v="1"/>
    <x v="0"/>
  </r>
  <r>
    <x v="504"/>
    <n v="1"/>
    <n v="1"/>
    <x v="0"/>
  </r>
  <r>
    <x v="505"/>
    <n v="6"/>
    <n v="6"/>
    <x v="0"/>
  </r>
  <r>
    <x v="506"/>
    <n v="22"/>
    <n v="22"/>
    <x v="0"/>
  </r>
  <r>
    <x v="507"/>
    <n v="4"/>
    <n v="4"/>
    <x v="0"/>
  </r>
  <r>
    <x v="508"/>
    <n v="9"/>
    <n v="9"/>
    <x v="0"/>
  </r>
  <r>
    <x v="509"/>
    <n v="1"/>
    <n v="1"/>
    <x v="0"/>
  </r>
  <r>
    <x v="510"/>
    <n v="2"/>
    <n v="2"/>
    <x v="0"/>
  </r>
  <r>
    <x v="511"/>
    <n v="1"/>
    <n v="1"/>
    <x v="0"/>
  </r>
  <r>
    <x v="512"/>
    <n v="1"/>
    <n v="1"/>
    <x v="0"/>
  </r>
  <r>
    <x v="513"/>
    <n v="3"/>
    <n v="3"/>
    <x v="0"/>
  </r>
  <r>
    <x v="514"/>
    <n v="1"/>
    <n v="1"/>
    <x v="0"/>
  </r>
  <r>
    <x v="515"/>
    <n v="1"/>
    <n v="1"/>
    <x v="0"/>
  </r>
  <r>
    <x v="516"/>
    <n v="1"/>
    <n v="1"/>
    <x v="0"/>
  </r>
  <r>
    <x v="517"/>
    <n v="1"/>
    <n v="1"/>
    <x v="0"/>
  </r>
  <r>
    <x v="518"/>
    <n v="1"/>
    <n v="1"/>
    <x v="0"/>
  </r>
  <r>
    <x v="519"/>
    <n v="2"/>
    <n v="2"/>
    <x v="0"/>
  </r>
  <r>
    <x v="520"/>
    <n v="1"/>
    <n v="1"/>
    <x v="0"/>
  </r>
  <r>
    <x v="521"/>
    <n v="2"/>
    <n v="2"/>
    <x v="0"/>
  </r>
  <r>
    <x v="522"/>
    <n v="1"/>
    <n v="1"/>
    <x v="0"/>
  </r>
  <r>
    <x v="523"/>
    <n v="2"/>
    <n v="2"/>
    <x v="0"/>
  </r>
  <r>
    <x v="524"/>
    <n v="2"/>
    <n v="2"/>
    <x v="0"/>
  </r>
  <r>
    <x v="525"/>
    <n v="1"/>
    <n v="1"/>
    <x v="0"/>
  </r>
  <r>
    <x v="526"/>
    <n v="2"/>
    <n v="2"/>
    <x v="0"/>
  </r>
  <r>
    <x v="527"/>
    <n v="1"/>
    <n v="1"/>
    <x v="0"/>
  </r>
  <r>
    <x v="528"/>
    <n v="1"/>
    <n v="1"/>
    <x v="0"/>
  </r>
  <r>
    <x v="529"/>
    <n v="1"/>
    <n v="1"/>
    <x v="0"/>
  </r>
  <r>
    <x v="530"/>
    <n v="1"/>
    <n v="1"/>
    <x v="0"/>
  </r>
  <r>
    <x v="531"/>
    <n v="1"/>
    <n v="1"/>
    <x v="0"/>
  </r>
  <r>
    <x v="532"/>
    <n v="1"/>
    <n v="1"/>
    <x v="0"/>
  </r>
  <r>
    <x v="533"/>
    <n v="2"/>
    <n v="2"/>
    <x v="0"/>
  </r>
  <r>
    <x v="534"/>
    <n v="2"/>
    <n v="2"/>
    <x v="0"/>
  </r>
  <r>
    <x v="535"/>
    <n v="2"/>
    <n v="2"/>
    <x v="0"/>
  </r>
  <r>
    <x v="536"/>
    <n v="2"/>
    <n v="2"/>
    <x v="0"/>
  </r>
  <r>
    <x v="537"/>
    <n v="46"/>
    <n v="46"/>
    <x v="0"/>
  </r>
  <r>
    <x v="538"/>
    <n v="1"/>
    <n v="1"/>
    <x v="0"/>
  </r>
  <r>
    <x v="539"/>
    <n v="1"/>
    <n v="1"/>
    <x v="0"/>
  </r>
  <r>
    <x v="540"/>
    <n v="1"/>
    <n v="1"/>
    <x v="0"/>
  </r>
  <r>
    <x v="541"/>
    <m/>
    <n v="0"/>
    <x v="1"/>
  </r>
  <r>
    <x v="542"/>
    <n v="1"/>
    <n v="1"/>
    <x v="0"/>
  </r>
  <r>
    <x v="543"/>
    <n v="1"/>
    <n v="1"/>
    <x v="0"/>
  </r>
  <r>
    <x v="544"/>
    <n v="1"/>
    <n v="1"/>
    <x v="0"/>
  </r>
  <r>
    <x v="545"/>
    <n v="2"/>
    <n v="2"/>
    <x v="0"/>
  </r>
  <r>
    <x v="546"/>
    <n v="2"/>
    <n v="2"/>
    <x v="0"/>
  </r>
  <r>
    <x v="547"/>
    <n v="1"/>
    <n v="1"/>
    <x v="0"/>
  </r>
  <r>
    <x v="548"/>
    <n v="1"/>
    <n v="1"/>
    <x v="0"/>
  </r>
  <r>
    <x v="549"/>
    <n v="3"/>
    <n v="3"/>
    <x v="0"/>
  </r>
  <r>
    <x v="550"/>
    <n v="1"/>
    <n v="1"/>
    <x v="0"/>
  </r>
  <r>
    <x v="551"/>
    <n v="1"/>
    <n v="1"/>
    <x v="0"/>
  </r>
  <r>
    <x v="552"/>
    <n v="1"/>
    <n v="1"/>
    <x v="0"/>
  </r>
  <r>
    <x v="553"/>
    <n v="3"/>
    <n v="3"/>
    <x v="0"/>
  </r>
  <r>
    <x v="554"/>
    <n v="4"/>
    <n v="4"/>
    <x v="0"/>
  </r>
  <r>
    <x v="555"/>
    <n v="1"/>
    <n v="1"/>
    <x v="0"/>
  </r>
  <r>
    <x v="556"/>
    <n v="2"/>
    <n v="2"/>
    <x v="0"/>
  </r>
  <r>
    <x v="557"/>
    <n v="1"/>
    <n v="1"/>
    <x v="0"/>
  </r>
  <r>
    <x v="558"/>
    <n v="1"/>
    <n v="1"/>
    <x v="0"/>
  </r>
  <r>
    <x v="559"/>
    <n v="5"/>
    <n v="5"/>
    <x v="0"/>
  </r>
  <r>
    <x v="560"/>
    <n v="3"/>
    <n v="3"/>
    <x v="0"/>
  </r>
  <r>
    <x v="561"/>
    <n v="1"/>
    <n v="1"/>
    <x v="0"/>
  </r>
  <r>
    <x v="562"/>
    <n v="1"/>
    <n v="1"/>
    <x v="0"/>
  </r>
  <r>
    <x v="563"/>
    <n v="1"/>
    <n v="1"/>
    <x v="0"/>
  </r>
  <r>
    <x v="564"/>
    <n v="1"/>
    <n v="1"/>
    <x v="0"/>
  </r>
  <r>
    <x v="565"/>
    <n v="1"/>
    <n v="1"/>
    <x v="0"/>
  </r>
  <r>
    <x v="566"/>
    <n v="1"/>
    <n v="1"/>
    <x v="0"/>
  </r>
  <r>
    <x v="567"/>
    <n v="69"/>
    <n v="69"/>
    <x v="0"/>
  </r>
  <r>
    <x v="568"/>
    <n v="7"/>
    <n v="7"/>
    <x v="0"/>
  </r>
  <r>
    <x v="569"/>
    <n v="2"/>
    <n v="2"/>
    <x v="0"/>
  </r>
  <r>
    <x v="570"/>
    <n v="17"/>
    <n v="17"/>
    <x v="0"/>
  </r>
  <r>
    <x v="571"/>
    <n v="226"/>
    <n v="226"/>
    <x v="0"/>
  </r>
  <r>
    <x v="572"/>
    <n v="1"/>
    <n v="1"/>
    <x v="0"/>
  </r>
  <r>
    <x v="573"/>
    <n v="1"/>
    <n v="1"/>
    <x v="0"/>
  </r>
  <r>
    <x v="574"/>
    <n v="1"/>
    <n v="1"/>
    <x v="0"/>
  </r>
  <r>
    <x v="575"/>
    <n v="1"/>
    <n v="1"/>
    <x v="0"/>
  </r>
  <r>
    <x v="576"/>
    <n v="1"/>
    <n v="1"/>
    <x v="0"/>
  </r>
  <r>
    <x v="577"/>
    <n v="1"/>
    <n v="1"/>
    <x v="0"/>
  </r>
  <r>
    <x v="578"/>
    <n v="4"/>
    <n v="4"/>
    <x v="0"/>
  </r>
  <r>
    <x v="579"/>
    <n v="1"/>
    <n v="1"/>
    <x v="0"/>
  </r>
  <r>
    <x v="580"/>
    <n v="2"/>
    <n v="2"/>
    <x v="0"/>
  </r>
  <r>
    <x v="581"/>
    <n v="2"/>
    <n v="2"/>
    <x v="0"/>
  </r>
  <r>
    <x v="582"/>
    <n v="1"/>
    <n v="1"/>
    <x v="0"/>
  </r>
  <r>
    <x v="583"/>
    <n v="1"/>
    <n v="1"/>
    <x v="0"/>
  </r>
  <r>
    <x v="584"/>
    <n v="1"/>
    <n v="1"/>
    <x v="0"/>
  </r>
  <r>
    <x v="585"/>
    <n v="8"/>
    <n v="8"/>
    <x v="0"/>
  </r>
  <r>
    <x v="586"/>
    <n v="3"/>
    <n v="3"/>
    <x v="0"/>
  </r>
  <r>
    <x v="587"/>
    <n v="1"/>
    <n v="1"/>
    <x v="0"/>
  </r>
  <r>
    <x v="588"/>
    <n v="1"/>
    <n v="1"/>
    <x v="0"/>
  </r>
  <r>
    <x v="589"/>
    <n v="1"/>
    <n v="1"/>
    <x v="0"/>
  </r>
  <r>
    <x v="590"/>
    <n v="1"/>
    <n v="1"/>
    <x v="0"/>
  </r>
  <r>
    <x v="591"/>
    <n v="1"/>
    <n v="1"/>
    <x v="0"/>
  </r>
  <r>
    <x v="592"/>
    <n v="1"/>
    <n v="1"/>
    <x v="0"/>
  </r>
  <r>
    <x v="593"/>
    <n v="1"/>
    <n v="1"/>
    <x v="0"/>
  </r>
  <r>
    <x v="594"/>
    <n v="2"/>
    <n v="2"/>
    <x v="0"/>
  </r>
  <r>
    <x v="595"/>
    <n v="1"/>
    <n v="1"/>
    <x v="0"/>
  </r>
  <r>
    <x v="596"/>
    <n v="1"/>
    <n v="1"/>
    <x v="0"/>
  </r>
  <r>
    <x v="597"/>
    <n v="1"/>
    <n v="1"/>
    <x v="0"/>
  </r>
  <r>
    <x v="598"/>
    <n v="1"/>
    <n v="1"/>
    <x v="0"/>
  </r>
  <r>
    <x v="599"/>
    <n v="1"/>
    <n v="1"/>
    <x v="0"/>
  </r>
  <r>
    <x v="600"/>
    <n v="1"/>
    <n v="1"/>
    <x v="0"/>
  </r>
  <r>
    <x v="601"/>
    <n v="1"/>
    <n v="1"/>
    <x v="0"/>
  </r>
  <r>
    <x v="602"/>
    <n v="1"/>
    <n v="1"/>
    <x v="0"/>
  </r>
  <r>
    <x v="603"/>
    <n v="1"/>
    <n v="1"/>
    <x v="0"/>
  </r>
  <r>
    <x v="604"/>
    <n v="1"/>
    <n v="1"/>
    <x v="0"/>
  </r>
  <r>
    <x v="605"/>
    <n v="1"/>
    <n v="1"/>
    <x v="0"/>
  </r>
  <r>
    <x v="606"/>
    <n v="5"/>
    <n v="5"/>
    <x v="0"/>
  </r>
  <r>
    <x v="607"/>
    <n v="14"/>
    <n v="14"/>
    <x v="0"/>
  </r>
  <r>
    <x v="608"/>
    <n v="5"/>
    <n v="5"/>
    <x v="0"/>
  </r>
  <r>
    <x v="609"/>
    <n v="2"/>
    <n v="2"/>
    <x v="0"/>
  </r>
  <r>
    <x v="610"/>
    <n v="1"/>
    <n v="1"/>
    <x v="0"/>
  </r>
  <r>
    <x v="611"/>
    <n v="1"/>
    <n v="1"/>
    <x v="0"/>
  </r>
  <r>
    <x v="612"/>
    <n v="1"/>
    <n v="1"/>
    <x v="0"/>
  </r>
  <r>
    <x v="613"/>
    <n v="1"/>
    <n v="1"/>
    <x v="0"/>
  </r>
  <r>
    <x v="614"/>
    <n v="2"/>
    <n v="2"/>
    <x v="0"/>
  </r>
  <r>
    <x v="615"/>
    <n v="1"/>
    <n v="1"/>
    <x v="0"/>
  </r>
  <r>
    <x v="616"/>
    <n v="1"/>
    <n v="1"/>
    <x v="0"/>
  </r>
  <r>
    <x v="617"/>
    <n v="1"/>
    <n v="1"/>
    <x v="0"/>
  </r>
  <r>
    <x v="618"/>
    <n v="10"/>
    <n v="10"/>
    <x v="0"/>
  </r>
  <r>
    <x v="619"/>
    <n v="1"/>
    <n v="1"/>
    <x v="0"/>
  </r>
  <r>
    <x v="620"/>
    <n v="1"/>
    <n v="1"/>
    <x v="0"/>
  </r>
  <r>
    <x v="621"/>
    <n v="1"/>
    <n v="1"/>
    <x v="0"/>
  </r>
  <r>
    <x v="622"/>
    <n v="1"/>
    <n v="1"/>
    <x v="0"/>
  </r>
  <r>
    <x v="623"/>
    <n v="1"/>
    <n v="1"/>
    <x v="0"/>
  </r>
  <r>
    <x v="624"/>
    <n v="1"/>
    <n v="1"/>
    <x v="0"/>
  </r>
  <r>
    <x v="625"/>
    <n v="1"/>
    <n v="1"/>
    <x v="0"/>
  </r>
  <r>
    <x v="626"/>
    <n v="1"/>
    <n v="1"/>
    <x v="0"/>
  </r>
  <r>
    <x v="627"/>
    <n v="1"/>
    <n v="1"/>
    <x v="0"/>
  </r>
  <r>
    <x v="628"/>
    <n v="1"/>
    <n v="1"/>
    <x v="0"/>
  </r>
  <r>
    <x v="629"/>
    <n v="3"/>
    <n v="3"/>
    <x v="0"/>
  </r>
  <r>
    <x v="630"/>
    <n v="1"/>
    <n v="1"/>
    <x v="0"/>
  </r>
  <r>
    <x v="631"/>
    <n v="1"/>
    <n v="1"/>
    <x v="0"/>
  </r>
  <r>
    <x v="632"/>
    <n v="1"/>
    <n v="1"/>
    <x v="0"/>
  </r>
  <r>
    <x v="633"/>
    <n v="1"/>
    <n v="1"/>
    <x v="0"/>
  </r>
  <r>
    <x v="634"/>
    <n v="1"/>
    <n v="1"/>
    <x v="0"/>
  </r>
  <r>
    <x v="635"/>
    <n v="23"/>
    <n v="23"/>
    <x v="0"/>
  </r>
  <r>
    <x v="636"/>
    <n v="11"/>
    <n v="11"/>
    <x v="0"/>
  </r>
  <r>
    <x v="637"/>
    <n v="2"/>
    <n v="2"/>
    <x v="0"/>
  </r>
  <r>
    <x v="638"/>
    <n v="1"/>
    <n v="1"/>
    <x v="0"/>
  </r>
  <r>
    <x v="639"/>
    <n v="1"/>
    <n v="1"/>
    <x v="0"/>
  </r>
  <r>
    <x v="640"/>
    <n v="1"/>
    <n v="1"/>
    <x v="0"/>
  </r>
  <r>
    <x v="641"/>
    <n v="9"/>
    <n v="9"/>
    <x v="0"/>
  </r>
  <r>
    <x v="642"/>
    <n v="5"/>
    <n v="5"/>
    <x v="0"/>
  </r>
  <r>
    <x v="643"/>
    <n v="6"/>
    <n v="6"/>
    <x v="0"/>
  </r>
  <r>
    <x v="644"/>
    <n v="1"/>
    <n v="1"/>
    <x v="0"/>
  </r>
  <r>
    <x v="645"/>
    <n v="2"/>
    <n v="2"/>
    <x v="0"/>
  </r>
  <r>
    <x v="646"/>
    <n v="29"/>
    <n v="29"/>
    <x v="0"/>
  </r>
  <r>
    <x v="647"/>
    <n v="2"/>
    <n v="2"/>
    <x v="0"/>
  </r>
  <r>
    <x v="648"/>
    <n v="1"/>
    <n v="1"/>
    <x v="0"/>
  </r>
  <r>
    <x v="649"/>
    <n v="25"/>
    <n v="25"/>
    <x v="0"/>
  </r>
  <r>
    <x v="650"/>
    <n v="1"/>
    <n v="1"/>
    <x v="0"/>
  </r>
  <r>
    <x v="651"/>
    <n v="16"/>
    <n v="16"/>
    <x v="0"/>
  </r>
  <r>
    <x v="652"/>
    <n v="2"/>
    <n v="2"/>
    <x v="0"/>
  </r>
  <r>
    <x v="653"/>
    <n v="1"/>
    <n v="1"/>
    <x v="0"/>
  </r>
  <r>
    <x v="654"/>
    <n v="29"/>
    <n v="29"/>
    <x v="0"/>
  </r>
  <r>
    <x v="655"/>
    <n v="2"/>
    <n v="2"/>
    <x v="0"/>
  </r>
  <r>
    <x v="656"/>
    <n v="1"/>
    <n v="1"/>
    <x v="0"/>
  </r>
  <r>
    <x v="657"/>
    <n v="1"/>
    <n v="1"/>
    <x v="0"/>
  </r>
  <r>
    <x v="658"/>
    <n v="1"/>
    <n v="1"/>
    <x v="0"/>
  </r>
  <r>
    <x v="659"/>
    <n v="1"/>
    <n v="1"/>
    <x v="0"/>
  </r>
  <r>
    <x v="660"/>
    <n v="1"/>
    <n v="1"/>
    <x v="0"/>
  </r>
  <r>
    <x v="661"/>
    <n v="10"/>
    <n v="10"/>
    <x v="0"/>
  </r>
  <r>
    <x v="662"/>
    <n v="4"/>
    <n v="4"/>
    <x v="0"/>
  </r>
  <r>
    <x v="663"/>
    <n v="3"/>
    <n v="3"/>
    <x v="0"/>
  </r>
  <r>
    <x v="664"/>
    <n v="2"/>
    <n v="2"/>
    <x v="0"/>
  </r>
  <r>
    <x v="665"/>
    <n v="1"/>
    <n v="1"/>
    <x v="0"/>
  </r>
  <r>
    <x v="666"/>
    <n v="1"/>
    <n v="1"/>
    <x v="0"/>
  </r>
  <r>
    <x v="667"/>
    <n v="1"/>
    <n v="1"/>
    <x v="0"/>
  </r>
  <r>
    <x v="668"/>
    <n v="2"/>
    <n v="2"/>
    <x v="0"/>
  </r>
  <r>
    <x v="669"/>
    <n v="1"/>
    <n v="1"/>
    <x v="0"/>
  </r>
  <r>
    <x v="670"/>
    <n v="5"/>
    <n v="5"/>
    <x v="0"/>
  </r>
  <r>
    <x v="671"/>
    <n v="1"/>
    <n v="1"/>
    <x v="0"/>
  </r>
  <r>
    <x v="672"/>
    <n v="4"/>
    <n v="4"/>
    <x v="0"/>
  </r>
  <r>
    <x v="673"/>
    <n v="1"/>
    <n v="1"/>
    <x v="0"/>
  </r>
  <r>
    <x v="674"/>
    <n v="1"/>
    <n v="1"/>
    <x v="0"/>
  </r>
  <r>
    <x v="675"/>
    <n v="1"/>
    <n v="1"/>
    <x v="0"/>
  </r>
  <r>
    <x v="676"/>
    <n v="1"/>
    <n v="1"/>
    <x v="0"/>
  </r>
  <r>
    <x v="677"/>
    <n v="1"/>
    <n v="1"/>
    <x v="0"/>
  </r>
  <r>
    <x v="678"/>
    <n v="1"/>
    <n v="1"/>
    <x v="0"/>
  </r>
  <r>
    <x v="679"/>
    <n v="1"/>
    <n v="1"/>
    <x v="0"/>
  </r>
  <r>
    <x v="680"/>
    <n v="1"/>
    <n v="1"/>
    <x v="0"/>
  </r>
  <r>
    <x v="681"/>
    <n v="2"/>
    <n v="2"/>
    <x v="0"/>
  </r>
  <r>
    <x v="682"/>
    <n v="5"/>
    <n v="5"/>
    <x v="0"/>
  </r>
  <r>
    <x v="683"/>
    <n v="107"/>
    <n v="107"/>
    <x v="0"/>
  </r>
  <r>
    <x v="684"/>
    <n v="22"/>
    <n v="22"/>
    <x v="0"/>
  </r>
  <r>
    <x v="685"/>
    <n v="6"/>
    <n v="6"/>
    <x v="0"/>
  </r>
  <r>
    <x v="686"/>
    <n v="1"/>
    <n v="1"/>
    <x v="0"/>
  </r>
  <r>
    <x v="687"/>
    <n v="1"/>
    <n v="1"/>
    <x v="0"/>
  </r>
  <r>
    <x v="688"/>
    <n v="1"/>
    <n v="1"/>
    <x v="0"/>
  </r>
  <r>
    <x v="689"/>
    <n v="4"/>
    <n v="4"/>
    <x v="0"/>
  </r>
  <r>
    <x v="690"/>
    <n v="3"/>
    <n v="3"/>
    <x v="0"/>
  </r>
  <r>
    <x v="691"/>
    <n v="2"/>
    <n v="2"/>
    <x v="0"/>
  </r>
  <r>
    <x v="692"/>
    <n v="2"/>
    <n v="2"/>
    <x v="0"/>
  </r>
  <r>
    <x v="693"/>
    <n v="17"/>
    <n v="17"/>
    <x v="0"/>
  </r>
  <r>
    <x v="694"/>
    <n v="2"/>
    <n v="2"/>
    <x v="0"/>
  </r>
  <r>
    <x v="695"/>
    <n v="8"/>
    <n v="8"/>
    <x v="0"/>
  </r>
  <r>
    <x v="696"/>
    <n v="10"/>
    <n v="10"/>
    <x v="0"/>
  </r>
  <r>
    <x v="697"/>
    <n v="6"/>
    <n v="6"/>
    <x v="0"/>
  </r>
  <r>
    <x v="698"/>
    <n v="2"/>
    <n v="2"/>
    <x v="0"/>
  </r>
  <r>
    <x v="699"/>
    <n v="5"/>
    <n v="5"/>
    <x v="0"/>
  </r>
  <r>
    <x v="700"/>
    <n v="1"/>
    <n v="1"/>
    <x v="0"/>
  </r>
  <r>
    <x v="701"/>
    <n v="4"/>
    <n v="4"/>
    <x v="0"/>
  </r>
  <r>
    <x v="702"/>
    <n v="5"/>
    <n v="5"/>
    <x v="0"/>
  </r>
  <r>
    <x v="703"/>
    <n v="2"/>
    <n v="2"/>
    <x v="0"/>
  </r>
  <r>
    <x v="704"/>
    <n v="1"/>
    <n v="1"/>
    <x v="0"/>
  </r>
  <r>
    <x v="705"/>
    <n v="1"/>
    <n v="1"/>
    <x v="0"/>
  </r>
  <r>
    <x v="706"/>
    <n v="2"/>
    <n v="2"/>
    <x v="0"/>
  </r>
  <r>
    <x v="707"/>
    <n v="1"/>
    <n v="1"/>
    <x v="0"/>
  </r>
  <r>
    <x v="708"/>
    <n v="6"/>
    <n v="6"/>
    <x v="0"/>
  </r>
  <r>
    <x v="709"/>
    <n v="2"/>
    <n v="2"/>
    <x v="0"/>
  </r>
  <r>
    <x v="710"/>
    <n v="6"/>
    <n v="6"/>
    <x v="0"/>
  </r>
  <r>
    <x v="711"/>
    <n v="2"/>
    <n v="2"/>
    <x v="0"/>
  </r>
  <r>
    <x v="712"/>
    <n v="1"/>
    <n v="1"/>
    <x v="0"/>
  </r>
  <r>
    <x v="713"/>
    <n v="1"/>
    <n v="1"/>
    <x v="0"/>
  </r>
  <r>
    <x v="714"/>
    <n v="1"/>
    <n v="1"/>
    <x v="0"/>
  </r>
  <r>
    <x v="715"/>
    <n v="1"/>
    <n v="1"/>
    <x v="0"/>
  </r>
  <r>
    <x v="716"/>
    <n v="1"/>
    <n v="1"/>
    <x v="0"/>
  </r>
  <r>
    <x v="717"/>
    <n v="1"/>
    <n v="1"/>
    <x v="0"/>
  </r>
  <r>
    <x v="718"/>
    <n v="1"/>
    <n v="1"/>
    <x v="0"/>
  </r>
  <r>
    <x v="719"/>
    <n v="1"/>
    <n v="1"/>
    <x v="0"/>
  </r>
  <r>
    <x v="720"/>
    <n v="7"/>
    <n v="7"/>
    <x v="0"/>
  </r>
  <r>
    <x v="721"/>
    <n v="1"/>
    <n v="1"/>
    <x v="0"/>
  </r>
  <r>
    <x v="722"/>
    <n v="6"/>
    <n v="6"/>
    <x v="0"/>
  </r>
  <r>
    <x v="723"/>
    <n v="1"/>
    <n v="1"/>
    <x v="0"/>
  </r>
  <r>
    <x v="724"/>
    <n v="1"/>
    <n v="1"/>
    <x v="0"/>
  </r>
  <r>
    <x v="725"/>
    <n v="1"/>
    <n v="1"/>
    <x v="0"/>
  </r>
  <r>
    <x v="726"/>
    <n v="1"/>
    <n v="1"/>
    <x v="0"/>
  </r>
  <r>
    <x v="727"/>
    <n v="1"/>
    <n v="1"/>
    <x v="0"/>
  </r>
  <r>
    <x v="728"/>
    <n v="2"/>
    <n v="2"/>
    <x v="0"/>
  </r>
  <r>
    <x v="729"/>
    <n v="2"/>
    <n v="2"/>
    <x v="0"/>
  </r>
  <r>
    <x v="730"/>
    <n v="1"/>
    <n v="1"/>
    <x v="0"/>
  </r>
  <r>
    <x v="731"/>
    <n v="1"/>
    <n v="1"/>
    <x v="0"/>
  </r>
  <r>
    <x v="732"/>
    <n v="1"/>
    <n v="1"/>
    <x v="0"/>
  </r>
  <r>
    <x v="733"/>
    <n v="1"/>
    <n v="1"/>
    <x v="0"/>
  </r>
  <r>
    <x v="734"/>
    <n v="1"/>
    <n v="1"/>
    <x v="0"/>
  </r>
  <r>
    <x v="735"/>
    <n v="1"/>
    <n v="1"/>
    <x v="0"/>
  </r>
  <r>
    <x v="736"/>
    <n v="1"/>
    <n v="1"/>
    <x v="0"/>
  </r>
  <r>
    <x v="737"/>
    <n v="1"/>
    <n v="1"/>
    <x v="0"/>
  </r>
  <r>
    <x v="738"/>
    <n v="1"/>
    <n v="1"/>
    <x v="0"/>
  </r>
  <r>
    <x v="739"/>
    <n v="1"/>
    <n v="1"/>
    <x v="0"/>
  </r>
  <r>
    <x v="740"/>
    <n v="2"/>
    <n v="2"/>
    <x v="0"/>
  </r>
  <r>
    <x v="741"/>
    <n v="1"/>
    <n v="1"/>
    <x v="0"/>
  </r>
  <r>
    <x v="742"/>
    <n v="6"/>
    <n v="6"/>
    <x v="0"/>
  </r>
  <r>
    <x v="743"/>
    <n v="80"/>
    <n v="80"/>
    <x v="0"/>
  </r>
  <r>
    <x v="744"/>
    <n v="1"/>
    <n v="1"/>
    <x v="0"/>
  </r>
  <r>
    <x v="745"/>
    <n v="9"/>
    <n v="9"/>
    <x v="0"/>
  </r>
  <r>
    <x v="746"/>
    <n v="1"/>
    <n v="1"/>
    <x v="0"/>
  </r>
  <r>
    <x v="747"/>
    <n v="1"/>
    <n v="1"/>
    <x v="0"/>
  </r>
  <r>
    <x v="748"/>
    <n v="12"/>
    <n v="12"/>
    <x v="0"/>
  </r>
  <r>
    <x v="749"/>
    <n v="1"/>
    <n v="1"/>
    <x v="0"/>
  </r>
  <r>
    <x v="750"/>
    <n v="7"/>
    <n v="7"/>
    <x v="0"/>
  </r>
  <r>
    <x v="751"/>
    <n v="17"/>
    <n v="17"/>
    <x v="0"/>
  </r>
  <r>
    <x v="752"/>
    <n v="1"/>
    <n v="1"/>
    <x v="0"/>
  </r>
  <r>
    <x v="753"/>
    <n v="1"/>
    <n v="1"/>
    <x v="0"/>
  </r>
  <r>
    <x v="754"/>
    <n v="1"/>
    <n v="1"/>
    <x v="0"/>
  </r>
  <r>
    <x v="755"/>
    <n v="2"/>
    <n v="2"/>
    <x v="0"/>
  </r>
  <r>
    <x v="756"/>
    <n v="1"/>
    <n v="1"/>
    <x v="0"/>
  </r>
  <r>
    <x v="757"/>
    <n v="1"/>
    <n v="1"/>
    <x v="0"/>
  </r>
  <r>
    <x v="758"/>
    <n v="2"/>
    <n v="2"/>
    <x v="0"/>
  </r>
  <r>
    <x v="759"/>
    <n v="3"/>
    <n v="3"/>
    <x v="0"/>
  </r>
  <r>
    <x v="760"/>
    <n v="2"/>
    <n v="2"/>
    <x v="0"/>
  </r>
  <r>
    <x v="761"/>
    <n v="1"/>
    <n v="1"/>
    <x v="0"/>
  </r>
  <r>
    <x v="762"/>
    <n v="1"/>
    <n v="1"/>
    <x v="0"/>
  </r>
  <r>
    <x v="763"/>
    <n v="420"/>
    <n v="420"/>
    <x v="0"/>
  </r>
  <r>
    <x v="764"/>
    <n v="553"/>
    <n v="553"/>
    <x v="0"/>
  </r>
  <r>
    <x v="765"/>
    <n v="127"/>
    <n v="127"/>
    <x v="0"/>
  </r>
  <r>
    <x v="766"/>
    <n v="8"/>
    <n v="8"/>
    <x v="0"/>
  </r>
  <r>
    <x v="767"/>
    <n v="45"/>
    <n v="45"/>
    <x v="0"/>
  </r>
  <r>
    <x v="768"/>
    <n v="464"/>
    <n v="464"/>
    <x v="0"/>
  </r>
  <r>
    <x v="769"/>
    <n v="104"/>
    <n v="104"/>
    <x v="0"/>
  </r>
  <r>
    <x v="770"/>
    <n v="94"/>
    <n v="94"/>
    <x v="0"/>
  </r>
  <r>
    <x v="771"/>
    <n v="2"/>
    <n v="2"/>
    <x v="0"/>
  </r>
  <r>
    <x v="772"/>
    <n v="1"/>
    <n v="1"/>
    <x v="0"/>
  </r>
  <r>
    <x v="773"/>
    <n v="1"/>
    <n v="1"/>
    <x v="0"/>
  </r>
  <r>
    <x v="774"/>
    <n v="1"/>
    <n v="1"/>
    <x v="0"/>
  </r>
  <r>
    <x v="775"/>
    <n v="1"/>
    <n v="1"/>
    <x v="0"/>
  </r>
  <r>
    <x v="776"/>
    <n v="1"/>
    <n v="1"/>
    <x v="0"/>
  </r>
  <r>
    <x v="777"/>
    <n v="1"/>
    <n v="1"/>
    <x v="0"/>
  </r>
  <r>
    <x v="778"/>
    <n v="1"/>
    <n v="1"/>
    <x v="0"/>
  </r>
  <r>
    <x v="779"/>
    <n v="10"/>
    <n v="10"/>
    <x v="0"/>
  </r>
  <r>
    <x v="780"/>
    <n v="1"/>
    <n v="1"/>
    <x v="0"/>
  </r>
  <r>
    <x v="781"/>
    <n v="1"/>
    <n v="1"/>
    <x v="0"/>
  </r>
  <r>
    <x v="782"/>
    <n v="1"/>
    <n v="1"/>
    <x v="0"/>
  </r>
  <r>
    <x v="783"/>
    <n v="1"/>
    <n v="1"/>
    <x v="0"/>
  </r>
  <r>
    <x v="784"/>
    <n v="1"/>
    <n v="1"/>
    <x v="0"/>
  </r>
  <r>
    <x v="785"/>
    <n v="4"/>
    <n v="4"/>
    <x v="0"/>
  </r>
  <r>
    <x v="786"/>
    <n v="1"/>
    <n v="1"/>
    <x v="0"/>
  </r>
  <r>
    <x v="787"/>
    <n v="1"/>
    <n v="1"/>
    <x v="0"/>
  </r>
  <r>
    <x v="788"/>
    <n v="1"/>
    <n v="1"/>
    <x v="0"/>
  </r>
  <r>
    <x v="789"/>
    <n v="1"/>
    <n v="1"/>
    <x v="0"/>
  </r>
  <r>
    <x v="790"/>
    <n v="10"/>
    <n v="10"/>
    <x v="0"/>
  </r>
  <r>
    <x v="791"/>
    <n v="94"/>
    <n v="94"/>
    <x v="0"/>
  </r>
  <r>
    <x v="792"/>
    <n v="50"/>
    <n v="50"/>
    <x v="0"/>
  </r>
  <r>
    <x v="793"/>
    <n v="1"/>
    <n v="1"/>
    <x v="0"/>
  </r>
  <r>
    <x v="794"/>
    <n v="1"/>
    <n v="1"/>
    <x v="0"/>
  </r>
  <r>
    <x v="795"/>
    <n v="1"/>
    <n v="1"/>
    <x v="0"/>
  </r>
  <r>
    <x v="796"/>
    <n v="1"/>
    <n v="1"/>
    <x v="0"/>
  </r>
  <r>
    <x v="797"/>
    <n v="12"/>
    <n v="12"/>
    <x v="0"/>
  </r>
  <r>
    <x v="798"/>
    <n v="142"/>
    <n v="142"/>
    <x v="0"/>
  </r>
  <r>
    <x v="799"/>
    <n v="4"/>
    <n v="4"/>
    <x v="0"/>
  </r>
  <r>
    <x v="800"/>
    <n v="4"/>
    <n v="4"/>
    <x v="0"/>
  </r>
  <r>
    <x v="801"/>
    <n v="2"/>
    <n v="2"/>
    <x v="0"/>
  </r>
  <r>
    <x v="802"/>
    <n v="1"/>
    <n v="1"/>
    <x v="0"/>
  </r>
  <r>
    <x v="803"/>
    <n v="1"/>
    <n v="1"/>
    <x v="0"/>
  </r>
  <r>
    <x v="804"/>
    <n v="1"/>
    <n v="1"/>
    <x v="0"/>
  </r>
  <r>
    <x v="805"/>
    <n v="40"/>
    <n v="40"/>
    <x v="0"/>
  </r>
  <r>
    <x v="806"/>
    <n v="6"/>
    <n v="6"/>
    <x v="0"/>
  </r>
  <r>
    <x v="807"/>
    <n v="1"/>
    <n v="1"/>
    <x v="0"/>
  </r>
  <r>
    <x v="808"/>
    <n v="10"/>
    <n v="10"/>
    <x v="0"/>
  </r>
  <r>
    <x v="809"/>
    <n v="8"/>
    <n v="8"/>
    <x v="0"/>
  </r>
  <r>
    <x v="810"/>
    <n v="2"/>
    <n v="2"/>
    <x v="0"/>
  </r>
  <r>
    <x v="811"/>
    <n v="6"/>
    <n v="6"/>
    <x v="0"/>
  </r>
  <r>
    <x v="812"/>
    <n v="3"/>
    <n v="3"/>
    <x v="0"/>
  </r>
  <r>
    <x v="813"/>
    <n v="3"/>
    <n v="3"/>
    <x v="0"/>
  </r>
  <r>
    <x v="814"/>
    <n v="1"/>
    <n v="1"/>
    <x v="0"/>
  </r>
  <r>
    <x v="815"/>
    <n v="1"/>
    <n v="1"/>
    <x v="0"/>
  </r>
  <r>
    <x v="816"/>
    <n v="1"/>
    <n v="1"/>
    <x v="0"/>
  </r>
  <r>
    <x v="817"/>
    <n v="1"/>
    <n v="1"/>
    <x v="0"/>
  </r>
  <r>
    <x v="818"/>
    <n v="1"/>
    <n v="1"/>
    <x v="0"/>
  </r>
  <r>
    <x v="819"/>
    <n v="1"/>
    <n v="1"/>
    <x v="0"/>
  </r>
  <r>
    <x v="820"/>
    <n v="3"/>
    <n v="3"/>
    <x v="0"/>
  </r>
  <r>
    <x v="821"/>
    <n v="6"/>
    <n v="6"/>
    <x v="0"/>
  </r>
  <r>
    <x v="822"/>
    <n v="1"/>
    <n v="1"/>
    <x v="0"/>
  </r>
  <r>
    <x v="823"/>
    <n v="1"/>
    <n v="1"/>
    <x v="0"/>
  </r>
  <r>
    <x v="824"/>
    <n v="1"/>
    <n v="1"/>
    <x v="0"/>
  </r>
  <r>
    <x v="825"/>
    <n v="44"/>
    <n v="44"/>
    <x v="0"/>
  </r>
  <r>
    <x v="826"/>
    <n v="3"/>
    <n v="3"/>
    <x v="0"/>
  </r>
  <r>
    <x v="827"/>
    <n v="54"/>
    <n v="54"/>
    <x v="0"/>
  </r>
  <r>
    <x v="828"/>
    <n v="54"/>
    <n v="54"/>
    <x v="0"/>
  </r>
  <r>
    <x v="829"/>
    <n v="11"/>
    <n v="11"/>
    <x v="0"/>
  </r>
  <r>
    <x v="830"/>
    <n v="2"/>
    <n v="2"/>
    <x v="0"/>
  </r>
  <r>
    <x v="831"/>
    <n v="3"/>
    <n v="3"/>
    <x v="0"/>
  </r>
  <r>
    <x v="832"/>
    <n v="93"/>
    <n v="93"/>
    <x v="0"/>
  </r>
  <r>
    <x v="833"/>
    <n v="94"/>
    <n v="94"/>
    <x v="0"/>
  </r>
  <r>
    <x v="834"/>
    <n v="10"/>
    <n v="10"/>
    <x v="0"/>
  </r>
  <r>
    <x v="835"/>
    <n v="14"/>
    <n v="14"/>
    <x v="0"/>
  </r>
  <r>
    <x v="836"/>
    <n v="6"/>
    <n v="6"/>
    <x v="0"/>
  </r>
  <r>
    <x v="837"/>
    <n v="2"/>
    <n v="2"/>
    <x v="0"/>
  </r>
  <r>
    <x v="838"/>
    <n v="3"/>
    <n v="3"/>
    <x v="0"/>
  </r>
  <r>
    <x v="839"/>
    <n v="1"/>
    <n v="1"/>
    <x v="0"/>
  </r>
  <r>
    <x v="840"/>
    <n v="2"/>
    <n v="2"/>
    <x v="0"/>
  </r>
  <r>
    <x v="841"/>
    <n v="1"/>
    <n v="1"/>
    <x v="0"/>
  </r>
  <r>
    <x v="842"/>
    <n v="2"/>
    <n v="2"/>
    <x v="0"/>
  </r>
  <r>
    <x v="843"/>
    <n v="3"/>
    <n v="3"/>
    <x v="0"/>
  </r>
  <r>
    <x v="844"/>
    <n v="1"/>
    <n v="1"/>
    <x v="0"/>
  </r>
  <r>
    <x v="845"/>
    <n v="140"/>
    <n v="140"/>
    <x v="0"/>
  </r>
  <r>
    <x v="846"/>
    <n v="85"/>
    <n v="85"/>
    <x v="0"/>
  </r>
  <r>
    <x v="847"/>
    <n v="4"/>
    <n v="4"/>
    <x v="0"/>
  </r>
  <r>
    <x v="848"/>
    <n v="7"/>
    <n v="7"/>
    <x v="0"/>
  </r>
  <r>
    <x v="849"/>
    <n v="2"/>
    <n v="2"/>
    <x v="0"/>
  </r>
  <r>
    <x v="850"/>
    <n v="1"/>
    <n v="1"/>
    <x v="0"/>
  </r>
  <r>
    <x v="851"/>
    <n v="1"/>
    <n v="1"/>
    <x v="0"/>
  </r>
  <r>
    <x v="852"/>
    <n v="1"/>
    <n v="1"/>
    <x v="0"/>
  </r>
  <r>
    <x v="853"/>
    <n v="1"/>
    <n v="1"/>
    <x v="0"/>
  </r>
  <r>
    <x v="854"/>
    <n v="1"/>
    <n v="1"/>
    <x v="0"/>
  </r>
  <r>
    <x v="855"/>
    <n v="2"/>
    <n v="2"/>
    <x v="0"/>
  </r>
  <r>
    <x v="856"/>
    <n v="1"/>
    <n v="1"/>
    <x v="0"/>
  </r>
  <r>
    <x v="857"/>
    <n v="2"/>
    <n v="2"/>
    <x v="0"/>
  </r>
  <r>
    <x v="858"/>
    <n v="1"/>
    <n v="1"/>
    <x v="0"/>
  </r>
  <r>
    <x v="859"/>
    <n v="7"/>
    <n v="7"/>
    <x v="0"/>
  </r>
  <r>
    <x v="860"/>
    <n v="2"/>
    <n v="2"/>
    <x v="0"/>
  </r>
  <r>
    <x v="861"/>
    <n v="44"/>
    <n v="44"/>
    <x v="0"/>
  </r>
  <r>
    <x v="862"/>
    <n v="18"/>
    <n v="18"/>
    <x v="0"/>
  </r>
  <r>
    <x v="863"/>
    <n v="44"/>
    <n v="44"/>
    <x v="0"/>
  </r>
  <r>
    <x v="864"/>
    <n v="12"/>
    <n v="12"/>
    <x v="0"/>
  </r>
  <r>
    <x v="865"/>
    <n v="4"/>
    <n v="4"/>
    <x v="0"/>
  </r>
  <r>
    <x v="866"/>
    <n v="9"/>
    <n v="9"/>
    <x v="0"/>
  </r>
  <r>
    <x v="867"/>
    <n v="100"/>
    <n v="100"/>
    <x v="0"/>
  </r>
  <r>
    <x v="868"/>
    <n v="8"/>
    <n v="8"/>
    <x v="0"/>
  </r>
  <r>
    <x v="869"/>
    <n v="14"/>
    <n v="14"/>
    <x v="0"/>
  </r>
  <r>
    <x v="870"/>
    <n v="7"/>
    <n v="7"/>
    <x v="0"/>
  </r>
  <r>
    <x v="871"/>
    <n v="1"/>
    <n v="1"/>
    <x v="0"/>
  </r>
  <r>
    <x v="872"/>
    <n v="1"/>
    <n v="1"/>
    <x v="0"/>
  </r>
  <r>
    <x v="873"/>
    <n v="9"/>
    <n v="9"/>
    <x v="0"/>
  </r>
  <r>
    <x v="874"/>
    <n v="1"/>
    <n v="1"/>
    <x v="0"/>
  </r>
  <r>
    <x v="875"/>
    <n v="4"/>
    <n v="4"/>
    <x v="0"/>
  </r>
  <r>
    <x v="876"/>
    <n v="1"/>
    <n v="1"/>
    <x v="0"/>
  </r>
  <r>
    <x v="877"/>
    <n v="3"/>
    <n v="3"/>
    <x v="0"/>
  </r>
  <r>
    <x v="878"/>
    <n v="3"/>
    <n v="3"/>
    <x v="0"/>
  </r>
  <r>
    <x v="879"/>
    <n v="59"/>
    <n v="59"/>
    <x v="0"/>
  </r>
  <r>
    <x v="880"/>
    <n v="40"/>
    <n v="40"/>
    <x v="0"/>
  </r>
  <r>
    <x v="881"/>
    <n v="1"/>
    <n v="1"/>
    <x v="0"/>
  </r>
  <r>
    <x v="882"/>
    <n v="7"/>
    <n v="7"/>
    <x v="0"/>
  </r>
  <r>
    <x v="883"/>
    <n v="2"/>
    <n v="2"/>
    <x v="0"/>
  </r>
  <r>
    <x v="884"/>
    <n v="2"/>
    <n v="2"/>
    <x v="0"/>
  </r>
  <r>
    <x v="885"/>
    <n v="2"/>
    <n v="2"/>
    <x v="0"/>
  </r>
  <r>
    <x v="886"/>
    <n v="1"/>
    <n v="1"/>
    <x v="0"/>
  </r>
  <r>
    <x v="887"/>
    <n v="1"/>
    <n v="1"/>
    <x v="0"/>
  </r>
  <r>
    <x v="888"/>
    <n v="5"/>
    <n v="5"/>
    <x v="0"/>
  </r>
  <r>
    <x v="889"/>
    <n v="10"/>
    <n v="10"/>
    <x v="0"/>
  </r>
  <r>
    <x v="890"/>
    <n v="3"/>
    <n v="3"/>
    <x v="0"/>
  </r>
  <r>
    <x v="891"/>
    <n v="1"/>
    <n v="1"/>
    <x v="0"/>
  </r>
  <r>
    <x v="892"/>
    <n v="1"/>
    <n v="1"/>
    <x v="0"/>
  </r>
  <r>
    <x v="893"/>
    <n v="1"/>
    <n v="1"/>
    <x v="0"/>
  </r>
  <r>
    <x v="894"/>
    <n v="4"/>
    <n v="4"/>
    <x v="0"/>
  </r>
  <r>
    <x v="895"/>
    <n v="1"/>
    <n v="1"/>
    <x v="0"/>
  </r>
  <r>
    <x v="896"/>
    <n v="1"/>
    <n v="1"/>
    <x v="0"/>
  </r>
  <r>
    <x v="897"/>
    <n v="1"/>
    <n v="1"/>
    <x v="0"/>
  </r>
  <r>
    <x v="898"/>
    <n v="1"/>
    <n v="1"/>
    <x v="0"/>
  </r>
  <r>
    <x v="899"/>
    <n v="1"/>
    <n v="1"/>
    <x v="0"/>
  </r>
  <r>
    <x v="900"/>
    <n v="5"/>
    <n v="5"/>
    <x v="0"/>
  </r>
  <r>
    <x v="901"/>
    <n v="9"/>
    <n v="9"/>
    <x v="0"/>
  </r>
  <r>
    <x v="902"/>
    <n v="6"/>
    <n v="6"/>
    <x v="0"/>
  </r>
  <r>
    <x v="903"/>
    <n v="6"/>
    <n v="6"/>
    <x v="0"/>
  </r>
  <r>
    <x v="904"/>
    <n v="1"/>
    <n v="1"/>
    <x v="0"/>
  </r>
  <r>
    <x v="905"/>
    <n v="1"/>
    <n v="1"/>
    <x v="0"/>
  </r>
  <r>
    <x v="906"/>
    <n v="28"/>
    <n v="28"/>
    <x v="0"/>
  </r>
  <r>
    <x v="907"/>
    <n v="2"/>
    <n v="2"/>
    <x v="0"/>
  </r>
  <r>
    <x v="908"/>
    <n v="1"/>
    <n v="1"/>
    <x v="0"/>
  </r>
  <r>
    <x v="909"/>
    <n v="16"/>
    <n v="16"/>
    <x v="0"/>
  </r>
  <r>
    <x v="910"/>
    <n v="63"/>
    <n v="63"/>
    <x v="0"/>
  </r>
  <r>
    <x v="911"/>
    <n v="2"/>
    <n v="2"/>
    <x v="0"/>
  </r>
  <r>
    <x v="912"/>
    <n v="2"/>
    <n v="2"/>
    <x v="0"/>
  </r>
  <r>
    <x v="913"/>
    <n v="2"/>
    <n v="2"/>
    <x v="0"/>
  </r>
  <r>
    <x v="914"/>
    <n v="1"/>
    <n v="1"/>
    <x v="0"/>
  </r>
  <r>
    <x v="915"/>
    <n v="2"/>
    <n v="2"/>
    <x v="0"/>
  </r>
  <r>
    <x v="916"/>
    <n v="1"/>
    <n v="1"/>
    <x v="0"/>
  </r>
  <r>
    <x v="917"/>
    <n v="1"/>
    <n v="1"/>
    <x v="0"/>
  </r>
  <r>
    <x v="918"/>
    <n v="1"/>
    <n v="1"/>
    <x v="0"/>
  </r>
  <r>
    <x v="919"/>
    <n v="1"/>
    <n v="1"/>
    <x v="0"/>
  </r>
  <r>
    <x v="920"/>
    <n v="1"/>
    <n v="1"/>
    <x v="0"/>
  </r>
  <r>
    <x v="921"/>
    <n v="1"/>
    <n v="1"/>
    <x v="0"/>
  </r>
  <r>
    <x v="922"/>
    <n v="1"/>
    <n v="1"/>
    <x v="0"/>
  </r>
  <r>
    <x v="923"/>
    <n v="1"/>
    <n v="1"/>
    <x v="0"/>
  </r>
  <r>
    <x v="924"/>
    <n v="1"/>
    <n v="1"/>
    <x v="0"/>
  </r>
  <r>
    <x v="925"/>
    <n v="1"/>
    <n v="1"/>
    <x v="0"/>
  </r>
  <r>
    <x v="926"/>
    <n v="1"/>
    <n v="1"/>
    <x v="0"/>
  </r>
  <r>
    <x v="927"/>
    <n v="1"/>
    <n v="1"/>
    <x v="0"/>
  </r>
  <r>
    <x v="928"/>
    <n v="2"/>
    <n v="2"/>
    <x v="0"/>
  </r>
  <r>
    <x v="929"/>
    <n v="7"/>
    <n v="7"/>
    <x v="0"/>
  </r>
  <r>
    <x v="930"/>
    <n v="5"/>
    <n v="5"/>
    <x v="0"/>
  </r>
  <r>
    <x v="931"/>
    <n v="1"/>
    <n v="1"/>
    <x v="0"/>
  </r>
  <r>
    <x v="932"/>
    <n v="1"/>
    <n v="1"/>
    <x v="0"/>
  </r>
  <r>
    <x v="933"/>
    <n v="6"/>
    <n v="6"/>
    <x v="0"/>
  </r>
  <r>
    <x v="934"/>
    <n v="2"/>
    <n v="2"/>
    <x v="0"/>
  </r>
  <r>
    <x v="935"/>
    <n v="1"/>
    <n v="1"/>
    <x v="0"/>
  </r>
  <r>
    <x v="936"/>
    <n v="1"/>
    <n v="1"/>
    <x v="0"/>
  </r>
  <r>
    <x v="937"/>
    <n v="1"/>
    <n v="1"/>
    <x v="0"/>
  </r>
  <r>
    <x v="938"/>
    <n v="1"/>
    <n v="1"/>
    <x v="0"/>
  </r>
  <r>
    <x v="939"/>
    <n v="1"/>
    <n v="1"/>
    <x v="0"/>
  </r>
  <r>
    <x v="940"/>
    <n v="1"/>
    <n v="1"/>
    <x v="0"/>
  </r>
  <r>
    <x v="941"/>
    <n v="1"/>
    <n v="1"/>
    <x v="0"/>
  </r>
  <r>
    <x v="942"/>
    <n v="2"/>
    <n v="2"/>
    <x v="0"/>
  </r>
  <r>
    <x v="943"/>
    <n v="1"/>
    <n v="1"/>
    <x v="0"/>
  </r>
  <r>
    <x v="944"/>
    <n v="1"/>
    <n v="1"/>
    <x v="0"/>
  </r>
  <r>
    <x v="945"/>
    <n v="3"/>
    <n v="3"/>
    <x v="0"/>
  </r>
  <r>
    <x v="946"/>
    <n v="167"/>
    <n v="167"/>
    <x v="0"/>
  </r>
  <r>
    <x v="947"/>
    <n v="1"/>
    <n v="1"/>
    <x v="0"/>
  </r>
  <r>
    <x v="948"/>
    <n v="1"/>
    <n v="1"/>
    <x v="0"/>
  </r>
  <r>
    <x v="949"/>
    <n v="2"/>
    <n v="2"/>
    <x v="0"/>
  </r>
  <r>
    <x v="950"/>
    <n v="1"/>
    <n v="1"/>
    <x v="0"/>
  </r>
  <r>
    <x v="951"/>
    <n v="1"/>
    <n v="1"/>
    <x v="0"/>
  </r>
  <r>
    <x v="952"/>
    <n v="1"/>
    <n v="1"/>
    <x v="0"/>
  </r>
  <r>
    <x v="953"/>
    <n v="1"/>
    <n v="1"/>
    <x v="0"/>
  </r>
  <r>
    <x v="954"/>
    <n v="1"/>
    <n v="1"/>
    <x v="0"/>
  </r>
  <r>
    <x v="955"/>
    <n v="1"/>
    <n v="1"/>
    <x v="0"/>
  </r>
  <r>
    <x v="956"/>
    <n v="6"/>
    <n v="6"/>
    <x v="0"/>
  </r>
  <r>
    <x v="957"/>
    <n v="2"/>
    <n v="2"/>
    <x v="0"/>
  </r>
  <r>
    <x v="958"/>
    <n v="1"/>
    <n v="1"/>
    <x v="0"/>
  </r>
  <r>
    <x v="959"/>
    <n v="1"/>
    <n v="1"/>
    <x v="0"/>
  </r>
  <r>
    <x v="960"/>
    <n v="1"/>
    <n v="1"/>
    <x v="0"/>
  </r>
  <r>
    <x v="961"/>
    <n v="1"/>
    <n v="1"/>
    <x v="0"/>
  </r>
  <r>
    <x v="962"/>
    <n v="1"/>
    <n v="1"/>
    <x v="0"/>
  </r>
  <r>
    <x v="963"/>
    <n v="1"/>
    <n v="1"/>
    <x v="0"/>
  </r>
  <r>
    <x v="964"/>
    <n v="1"/>
    <n v="1"/>
    <x v="0"/>
  </r>
  <r>
    <x v="965"/>
    <n v="1"/>
    <n v="1"/>
    <x v="0"/>
  </r>
  <r>
    <x v="966"/>
    <n v="1"/>
    <n v="1"/>
    <x v="0"/>
  </r>
  <r>
    <x v="967"/>
    <n v="1"/>
    <n v="1"/>
    <x v="0"/>
  </r>
  <r>
    <x v="968"/>
    <n v="1"/>
    <n v="1"/>
    <x v="0"/>
  </r>
  <r>
    <x v="969"/>
    <n v="1"/>
    <n v="1"/>
    <x v="0"/>
  </r>
  <r>
    <x v="970"/>
    <n v="1"/>
    <n v="1"/>
    <x v="0"/>
  </r>
  <r>
    <x v="971"/>
    <n v="1"/>
    <n v="1"/>
    <x v="0"/>
  </r>
  <r>
    <x v="972"/>
    <n v="1"/>
    <n v="1"/>
    <x v="0"/>
  </r>
  <r>
    <x v="973"/>
    <n v="1"/>
    <n v="1"/>
    <x v="0"/>
  </r>
  <r>
    <x v="974"/>
    <n v="1"/>
    <n v="1"/>
    <x v="0"/>
  </r>
  <r>
    <x v="975"/>
    <n v="1"/>
    <n v="1"/>
    <x v="0"/>
  </r>
  <r>
    <x v="976"/>
    <n v="1"/>
    <n v="1"/>
    <x v="0"/>
  </r>
  <r>
    <x v="977"/>
    <n v="2"/>
    <n v="2"/>
    <x v="0"/>
  </r>
  <r>
    <x v="978"/>
    <n v="2"/>
    <n v="2"/>
    <x v="0"/>
  </r>
  <r>
    <x v="979"/>
    <n v="1"/>
    <n v="1"/>
    <x v="0"/>
  </r>
  <r>
    <x v="980"/>
    <n v="1"/>
    <n v="1"/>
    <x v="0"/>
  </r>
  <r>
    <x v="981"/>
    <n v="9.5"/>
    <n v="9.5"/>
    <x v="0"/>
  </r>
  <r>
    <x v="982"/>
    <n v="1"/>
    <n v="1"/>
    <x v="0"/>
  </r>
  <r>
    <x v="983"/>
    <n v="4"/>
    <n v="4"/>
    <x v="0"/>
  </r>
  <r>
    <x v="984"/>
    <n v="20"/>
    <n v="20"/>
    <x v="0"/>
  </r>
  <r>
    <x v="985"/>
    <n v="5"/>
    <n v="5"/>
    <x v="0"/>
  </r>
  <r>
    <x v="986"/>
    <n v="6"/>
    <n v="6"/>
    <x v="0"/>
  </r>
  <r>
    <x v="987"/>
    <n v="1"/>
    <n v="1"/>
    <x v="0"/>
  </r>
  <r>
    <x v="988"/>
    <n v="20"/>
    <n v="20"/>
    <x v="0"/>
  </r>
  <r>
    <x v="989"/>
    <n v="1"/>
    <n v="1"/>
    <x v="0"/>
  </r>
  <r>
    <x v="990"/>
    <n v="1"/>
    <n v="1"/>
    <x v="0"/>
  </r>
  <r>
    <x v="991"/>
    <n v="10"/>
    <n v="10"/>
    <x v="0"/>
  </r>
  <r>
    <x v="992"/>
    <n v="20"/>
    <n v="20"/>
    <x v="0"/>
  </r>
  <r>
    <x v="993"/>
    <n v="1"/>
    <n v="1"/>
    <x v="0"/>
  </r>
  <r>
    <x v="994"/>
    <n v="2"/>
    <n v="2"/>
    <x v="0"/>
  </r>
  <r>
    <x v="995"/>
    <n v="1"/>
    <n v="1"/>
    <x v="0"/>
  </r>
  <r>
    <x v="996"/>
    <n v="16"/>
    <n v="16"/>
    <x v="0"/>
  </r>
  <r>
    <x v="997"/>
    <n v="1"/>
    <n v="1"/>
    <x v="0"/>
  </r>
  <r>
    <x v="998"/>
    <n v="120"/>
    <n v="120"/>
    <x v="0"/>
  </r>
  <r>
    <x v="999"/>
    <n v="4"/>
    <n v="4"/>
    <x v="0"/>
  </r>
  <r>
    <x v="1000"/>
    <n v="2"/>
    <n v="2"/>
    <x v="0"/>
  </r>
  <r>
    <x v="1001"/>
    <n v="4"/>
    <n v="4"/>
    <x v="0"/>
  </r>
  <r>
    <x v="1002"/>
    <n v="3"/>
    <n v="3"/>
    <x v="0"/>
  </r>
  <r>
    <x v="1003"/>
    <n v="4"/>
    <n v="4"/>
    <x v="0"/>
  </r>
  <r>
    <x v="1004"/>
    <n v="3"/>
    <n v="3"/>
    <x v="0"/>
  </r>
  <r>
    <x v="1005"/>
    <n v="30"/>
    <n v="30"/>
    <x v="0"/>
  </r>
  <r>
    <x v="1006"/>
    <n v="2"/>
    <n v="2"/>
    <x v="0"/>
  </r>
  <r>
    <x v="1007"/>
    <n v="35"/>
    <n v="35"/>
    <x v="0"/>
  </r>
  <r>
    <x v="1008"/>
    <n v="1"/>
    <n v="1"/>
    <x v="0"/>
  </r>
  <r>
    <x v="1009"/>
    <n v="2"/>
    <n v="2"/>
    <x v="0"/>
  </r>
  <r>
    <x v="1010"/>
    <n v="2"/>
    <n v="2"/>
    <x v="0"/>
  </r>
  <r>
    <x v="1011"/>
    <n v="40"/>
    <n v="40"/>
    <x v="0"/>
  </r>
  <r>
    <x v="1012"/>
    <n v="2"/>
    <n v="2"/>
    <x v="0"/>
  </r>
  <r>
    <x v="1013"/>
    <n v="20"/>
    <n v="20"/>
    <x v="0"/>
  </r>
  <r>
    <x v="1014"/>
    <n v="2"/>
    <n v="2"/>
    <x v="0"/>
  </r>
  <r>
    <x v="1015"/>
    <n v="100"/>
    <n v="100"/>
    <x v="0"/>
  </r>
  <r>
    <x v="1016"/>
    <n v="6"/>
    <n v="6"/>
    <x v="0"/>
  </r>
  <r>
    <x v="1017"/>
    <n v="1"/>
    <n v="1"/>
    <x v="0"/>
  </r>
  <r>
    <x v="1018"/>
    <n v="1"/>
    <n v="1"/>
    <x v="0"/>
  </r>
  <r>
    <x v="1019"/>
    <n v="2"/>
    <n v="2"/>
    <x v="0"/>
  </r>
  <r>
    <x v="1020"/>
    <n v="1"/>
    <n v="1"/>
    <x v="0"/>
  </r>
  <r>
    <x v="1021"/>
    <n v="2"/>
    <n v="2"/>
    <x v="0"/>
  </r>
  <r>
    <x v="1022"/>
    <n v="1"/>
    <n v="1"/>
    <x v="0"/>
  </r>
  <r>
    <x v="1023"/>
    <n v="1"/>
    <n v="1"/>
    <x v="0"/>
  </r>
  <r>
    <x v="1024"/>
    <n v="1"/>
    <n v="1"/>
    <x v="0"/>
  </r>
  <r>
    <x v="1025"/>
    <n v="1"/>
    <n v="1"/>
    <x v="0"/>
  </r>
  <r>
    <x v="1026"/>
    <n v="1"/>
    <n v="1"/>
    <x v="0"/>
  </r>
  <r>
    <x v="1027"/>
    <n v="5"/>
    <n v="5"/>
    <x v="0"/>
  </r>
  <r>
    <x v="1028"/>
    <n v="1"/>
    <n v="1"/>
    <x v="0"/>
  </r>
  <r>
    <x v="1029"/>
    <n v="3"/>
    <n v="3"/>
    <x v="0"/>
  </r>
  <r>
    <x v="1030"/>
    <n v="50"/>
    <n v="50"/>
    <x v="0"/>
  </r>
  <r>
    <x v="1031"/>
    <n v="2"/>
    <n v="2"/>
    <x v="0"/>
  </r>
  <r>
    <x v="1032"/>
    <n v="12"/>
    <n v="12"/>
    <x v="0"/>
  </r>
  <r>
    <x v="1033"/>
    <n v="1"/>
    <n v="1"/>
    <x v="0"/>
  </r>
  <r>
    <x v="1034"/>
    <n v="24"/>
    <n v="24"/>
    <x v="0"/>
  </r>
  <r>
    <x v="1035"/>
    <n v="1"/>
    <n v="1"/>
    <x v="0"/>
  </r>
  <r>
    <x v="1036"/>
    <n v="12"/>
    <n v="12"/>
    <x v="0"/>
  </r>
  <r>
    <x v="1037"/>
    <n v="5"/>
    <n v="5"/>
    <x v="0"/>
  </r>
  <r>
    <x v="1038"/>
    <n v="37"/>
    <n v="37"/>
    <x v="0"/>
  </r>
  <r>
    <x v="1039"/>
    <n v="5"/>
    <n v="5"/>
    <x v="0"/>
  </r>
  <r>
    <x v="1040"/>
    <n v="13"/>
    <n v="13"/>
    <x v="0"/>
  </r>
  <r>
    <x v="1041"/>
    <n v="2"/>
    <n v="2"/>
    <x v="0"/>
  </r>
  <r>
    <x v="1042"/>
    <n v="25"/>
    <n v="25"/>
    <x v="0"/>
  </r>
  <r>
    <x v="1043"/>
    <n v="2"/>
    <n v="2"/>
    <x v="0"/>
  </r>
  <r>
    <x v="1044"/>
    <n v="180"/>
    <n v="180"/>
    <x v="0"/>
  </r>
  <r>
    <x v="1045"/>
    <n v="1"/>
    <n v="1"/>
    <x v="0"/>
  </r>
  <r>
    <x v="1046"/>
    <n v="3"/>
    <n v="3"/>
    <x v="0"/>
  </r>
  <r>
    <x v="1047"/>
    <n v="1"/>
    <n v="1"/>
    <x v="0"/>
  </r>
  <r>
    <x v="1048"/>
    <n v="1"/>
    <n v="1"/>
    <x v="0"/>
  </r>
  <r>
    <x v="1049"/>
    <n v="8"/>
    <n v="8"/>
    <x v="0"/>
  </r>
  <r>
    <x v="1050"/>
    <n v="3"/>
    <n v="3"/>
    <x v="0"/>
  </r>
  <r>
    <x v="1051"/>
    <n v="27"/>
    <n v="27"/>
    <x v="0"/>
  </r>
  <r>
    <x v="1052"/>
    <n v="2"/>
    <n v="2"/>
    <x v="0"/>
  </r>
  <r>
    <x v="1053"/>
    <n v="1"/>
    <n v="1"/>
    <x v="0"/>
  </r>
  <r>
    <x v="1054"/>
    <n v="2"/>
    <n v="2"/>
    <x v="0"/>
  </r>
  <r>
    <x v="1055"/>
    <n v="4"/>
    <n v="4"/>
    <x v="0"/>
  </r>
  <r>
    <x v="1056"/>
    <n v="5"/>
    <n v="5"/>
    <x v="0"/>
  </r>
  <r>
    <x v="1057"/>
    <n v="2"/>
    <n v="2"/>
    <x v="0"/>
  </r>
  <r>
    <x v="1058"/>
    <n v="2"/>
    <n v="2"/>
    <x v="0"/>
  </r>
  <r>
    <x v="1059"/>
    <n v="4"/>
    <n v="4"/>
    <x v="0"/>
  </r>
  <r>
    <x v="1060"/>
    <n v="1"/>
    <n v="1"/>
    <x v="0"/>
  </r>
  <r>
    <x v="1061"/>
    <n v="1"/>
    <n v="1"/>
    <x v="0"/>
  </r>
  <r>
    <x v="1062"/>
    <n v="1"/>
    <n v="1"/>
    <x v="0"/>
  </r>
  <r>
    <x v="1063"/>
    <n v="8"/>
    <n v="8"/>
    <x v="0"/>
  </r>
  <r>
    <x v="1064"/>
    <n v="2"/>
    <n v="2"/>
    <x v="0"/>
  </r>
  <r>
    <x v="1065"/>
    <n v="1"/>
    <n v="1"/>
    <x v="0"/>
  </r>
  <r>
    <x v="1066"/>
    <n v="2"/>
    <n v="2"/>
    <x v="0"/>
  </r>
  <r>
    <x v="1067"/>
    <n v="10"/>
    <n v="10"/>
    <x v="0"/>
  </r>
  <r>
    <x v="1068"/>
    <n v="1"/>
    <n v="1"/>
    <x v="0"/>
  </r>
  <r>
    <x v="1069"/>
    <n v="2"/>
    <n v="2"/>
    <x v="0"/>
  </r>
  <r>
    <x v="1070"/>
    <n v="2"/>
    <n v="2"/>
    <x v="0"/>
  </r>
  <r>
    <x v="1071"/>
    <n v="1"/>
    <n v="1"/>
    <x v="0"/>
  </r>
  <r>
    <x v="1072"/>
    <n v="1"/>
    <n v="1"/>
    <x v="0"/>
  </r>
  <r>
    <x v="1073"/>
    <n v="1"/>
    <n v="1"/>
    <x v="0"/>
  </r>
  <r>
    <x v="1074"/>
    <n v="4"/>
    <n v="4"/>
    <x v="0"/>
  </r>
  <r>
    <x v="1075"/>
    <n v="1"/>
    <n v="1"/>
    <x v="0"/>
  </r>
  <r>
    <x v="1076"/>
    <n v="36"/>
    <n v="36"/>
    <x v="0"/>
  </r>
  <r>
    <x v="1077"/>
    <n v="2"/>
    <n v="2"/>
    <x v="0"/>
  </r>
  <r>
    <x v="1078"/>
    <n v="5"/>
    <n v="5"/>
    <x v="0"/>
  </r>
  <r>
    <x v="1079"/>
    <n v="1"/>
    <n v="1"/>
    <x v="0"/>
  </r>
  <r>
    <x v="1080"/>
    <n v="1"/>
    <n v="1"/>
    <x v="0"/>
  </r>
  <r>
    <x v="1081"/>
    <n v="6"/>
    <n v="6"/>
    <x v="0"/>
  </r>
  <r>
    <x v="1082"/>
    <n v="1"/>
    <n v="1"/>
    <x v="0"/>
  </r>
  <r>
    <x v="1083"/>
    <n v="1"/>
    <n v="1"/>
    <x v="0"/>
  </r>
  <r>
    <x v="1084"/>
    <n v="2"/>
    <n v="2"/>
    <x v="0"/>
  </r>
  <r>
    <x v="1085"/>
    <n v="1"/>
    <n v="1"/>
    <x v="0"/>
  </r>
  <r>
    <x v="1086"/>
    <n v="10"/>
    <n v="10"/>
    <x v="0"/>
  </r>
  <r>
    <x v="1087"/>
    <n v="1"/>
    <n v="1"/>
    <x v="0"/>
  </r>
  <r>
    <x v="1088"/>
    <n v="1"/>
    <n v="1"/>
    <x v="0"/>
  </r>
  <r>
    <x v="1089"/>
    <n v="1"/>
    <n v="1"/>
    <x v="0"/>
  </r>
  <r>
    <x v="1090"/>
    <n v="1"/>
    <n v="1"/>
    <x v="0"/>
  </r>
  <r>
    <x v="1091"/>
    <n v="1"/>
    <n v="1"/>
    <x v="0"/>
  </r>
  <r>
    <x v="1092"/>
    <n v="5"/>
    <n v="5"/>
    <x v="0"/>
  </r>
  <r>
    <x v="1093"/>
    <n v="1"/>
    <n v="1"/>
    <x v="0"/>
  </r>
  <r>
    <x v="1094"/>
    <n v="12"/>
    <n v="12"/>
    <x v="0"/>
  </r>
  <r>
    <x v="1095"/>
    <n v="3"/>
    <n v="3"/>
    <x v="0"/>
  </r>
  <r>
    <x v="1096"/>
    <n v="1.5"/>
    <n v="1.5"/>
    <x v="0"/>
  </r>
  <r>
    <x v="1097"/>
    <n v="2"/>
    <n v="2"/>
    <x v="0"/>
  </r>
  <r>
    <x v="1098"/>
    <n v="2"/>
    <n v="2"/>
    <x v="0"/>
  </r>
  <r>
    <x v="1099"/>
    <n v="1"/>
    <n v="1"/>
    <x v="0"/>
  </r>
  <r>
    <x v="1100"/>
    <n v="1"/>
    <n v="1"/>
    <x v="0"/>
  </r>
  <r>
    <x v="1101"/>
    <n v="1"/>
    <n v="1"/>
    <x v="0"/>
  </r>
  <r>
    <x v="1102"/>
    <n v="1"/>
    <n v="1"/>
    <x v="0"/>
  </r>
  <r>
    <x v="1103"/>
    <n v="1"/>
    <n v="1"/>
    <x v="0"/>
  </r>
  <r>
    <x v="1104"/>
    <n v="9"/>
    <n v="9"/>
    <x v="0"/>
  </r>
  <r>
    <x v="1105"/>
    <n v="10"/>
    <n v="10"/>
    <x v="0"/>
  </r>
  <r>
    <x v="1106"/>
    <n v="2"/>
    <n v="2"/>
    <x v="0"/>
  </r>
  <r>
    <x v="1107"/>
    <n v="10"/>
    <n v="10"/>
    <x v="0"/>
  </r>
  <r>
    <x v="1108"/>
    <n v="10"/>
    <n v="10"/>
    <x v="0"/>
  </r>
  <r>
    <x v="1109"/>
    <n v="1"/>
    <n v="1"/>
    <x v="0"/>
  </r>
  <r>
    <x v="1110"/>
    <n v="2"/>
    <n v="2"/>
    <x v="0"/>
  </r>
  <r>
    <x v="1111"/>
    <n v="3"/>
    <n v="3"/>
    <x v="0"/>
  </r>
  <r>
    <x v="1112"/>
    <n v="14"/>
    <n v="14"/>
    <x v="0"/>
  </r>
  <r>
    <x v="1113"/>
    <n v="2"/>
    <n v="2"/>
    <x v="0"/>
  </r>
  <r>
    <x v="1114"/>
    <n v="1"/>
    <n v="1"/>
    <x v="0"/>
  </r>
  <r>
    <x v="1115"/>
    <n v="2"/>
    <n v="2"/>
    <x v="0"/>
  </r>
  <r>
    <x v="1116"/>
    <n v="3"/>
    <n v="3"/>
    <x v="0"/>
  </r>
  <r>
    <x v="1117"/>
    <n v="2"/>
    <n v="2"/>
    <x v="0"/>
  </r>
  <r>
    <x v="1118"/>
    <n v="1"/>
    <n v="1"/>
    <x v="0"/>
  </r>
  <r>
    <x v="1119"/>
    <n v="1"/>
    <n v="1"/>
    <x v="0"/>
  </r>
  <r>
    <x v="1120"/>
    <n v="3"/>
    <n v="3"/>
    <x v="0"/>
  </r>
  <r>
    <x v="1121"/>
    <n v="2"/>
    <n v="2"/>
    <x v="0"/>
  </r>
  <r>
    <x v="1122"/>
    <n v="1"/>
    <n v="1"/>
    <x v="0"/>
  </r>
  <r>
    <x v="1123"/>
    <n v="5"/>
    <n v="5"/>
    <x v="0"/>
  </r>
  <r>
    <x v="1124"/>
    <n v="1"/>
    <n v="1"/>
    <x v="0"/>
  </r>
  <r>
    <x v="1125"/>
    <n v="5"/>
    <n v="5"/>
    <x v="0"/>
  </r>
  <r>
    <x v="1126"/>
    <n v="1"/>
    <n v="1"/>
    <x v="0"/>
  </r>
  <r>
    <x v="1127"/>
    <n v="1"/>
    <n v="1"/>
    <x v="0"/>
  </r>
  <r>
    <x v="1128"/>
    <n v="1"/>
    <n v="1"/>
    <x v="0"/>
  </r>
  <r>
    <x v="1129"/>
    <n v="1"/>
    <n v="1"/>
    <x v="0"/>
  </r>
  <r>
    <x v="1130"/>
    <n v="1"/>
    <n v="1"/>
    <x v="0"/>
  </r>
  <r>
    <x v="1131"/>
    <n v="3"/>
    <n v="3"/>
    <x v="0"/>
  </r>
  <r>
    <x v="1132"/>
    <n v="2"/>
    <n v="2"/>
    <x v="0"/>
  </r>
  <r>
    <x v="1133"/>
    <n v="3"/>
    <n v="3"/>
    <x v="0"/>
  </r>
  <r>
    <x v="1134"/>
    <n v="2"/>
    <n v="2"/>
    <x v="0"/>
  </r>
  <r>
    <x v="1135"/>
    <n v="3"/>
    <n v="3"/>
    <x v="0"/>
  </r>
  <r>
    <x v="1136"/>
    <n v="1"/>
    <n v="1"/>
    <x v="0"/>
  </r>
  <r>
    <x v="1137"/>
    <n v="1"/>
    <n v="1"/>
    <x v="0"/>
  </r>
  <r>
    <x v="1138"/>
    <n v="1"/>
    <n v="1"/>
    <x v="0"/>
  </r>
  <r>
    <x v="1139"/>
    <n v="1"/>
    <n v="1"/>
    <x v="0"/>
  </r>
  <r>
    <x v="1140"/>
    <n v="1"/>
    <n v="1"/>
    <x v="0"/>
  </r>
  <r>
    <x v="1141"/>
    <n v="1"/>
    <n v="1"/>
    <x v="0"/>
  </r>
  <r>
    <x v="1142"/>
    <n v="3"/>
    <n v="3"/>
    <x v="0"/>
  </r>
  <r>
    <x v="1143"/>
    <n v="3"/>
    <n v="3"/>
    <x v="0"/>
  </r>
  <r>
    <x v="1144"/>
    <n v="1"/>
    <n v="1"/>
    <x v="0"/>
  </r>
  <r>
    <x v="1145"/>
    <n v="1"/>
    <n v="1"/>
    <x v="0"/>
  </r>
  <r>
    <x v="1146"/>
    <n v="1"/>
    <n v="1"/>
    <x v="0"/>
  </r>
  <r>
    <x v="1147"/>
    <n v="45"/>
    <n v="45"/>
    <x v="0"/>
  </r>
  <r>
    <x v="1148"/>
    <n v="30"/>
    <n v="30"/>
    <x v="0"/>
  </r>
  <r>
    <x v="1149"/>
    <n v="3"/>
    <n v="3"/>
    <x v="0"/>
  </r>
  <r>
    <x v="1150"/>
    <n v="2"/>
    <n v="2"/>
    <x v="0"/>
  </r>
  <r>
    <x v="1151"/>
    <n v="1"/>
    <n v="1"/>
    <x v="0"/>
  </r>
  <r>
    <x v="1152"/>
    <n v="1"/>
    <n v="1"/>
    <x v="0"/>
  </r>
  <r>
    <x v="1153"/>
    <n v="1"/>
    <n v="1"/>
    <x v="0"/>
  </r>
  <r>
    <x v="1154"/>
    <n v="2"/>
    <n v="2"/>
    <x v="0"/>
  </r>
  <r>
    <x v="1155"/>
    <n v="5"/>
    <n v="5"/>
    <x v="0"/>
  </r>
  <r>
    <x v="1156"/>
    <n v="3"/>
    <n v="3"/>
    <x v="0"/>
  </r>
  <r>
    <x v="1157"/>
    <n v="1"/>
    <n v="1"/>
    <x v="0"/>
  </r>
  <r>
    <x v="1158"/>
    <n v="1"/>
    <n v="1"/>
    <x v="0"/>
  </r>
  <r>
    <x v="1159"/>
    <n v="1"/>
    <n v="1"/>
    <x v="0"/>
  </r>
  <r>
    <x v="1160"/>
    <n v="1"/>
    <n v="1"/>
    <x v="0"/>
  </r>
  <r>
    <x v="1161"/>
    <n v="1"/>
    <n v="1"/>
    <x v="0"/>
  </r>
  <r>
    <x v="1162"/>
    <n v="1"/>
    <n v="1"/>
    <x v="0"/>
  </r>
  <r>
    <x v="1163"/>
    <n v="5"/>
    <n v="5"/>
    <x v="0"/>
  </r>
  <r>
    <x v="1164"/>
    <n v="10"/>
    <n v="10"/>
    <x v="0"/>
  </r>
  <r>
    <x v="1165"/>
    <n v="5"/>
    <n v="5"/>
    <x v="0"/>
  </r>
  <r>
    <x v="1166"/>
    <n v="1"/>
    <n v="1"/>
    <x v="0"/>
  </r>
  <r>
    <x v="1167"/>
    <n v="5"/>
    <n v="5"/>
    <x v="0"/>
  </r>
  <r>
    <x v="1168"/>
    <n v="2"/>
    <n v="2"/>
    <x v="0"/>
  </r>
  <r>
    <x v="1169"/>
    <n v="10"/>
    <n v="10"/>
    <x v="0"/>
  </r>
  <r>
    <x v="1170"/>
    <n v="1"/>
    <n v="1"/>
    <x v="0"/>
  </r>
  <r>
    <x v="1171"/>
    <n v="15"/>
    <n v="15"/>
    <x v="0"/>
  </r>
  <r>
    <x v="1172"/>
    <n v="3"/>
    <n v="3"/>
    <x v="0"/>
  </r>
  <r>
    <x v="1173"/>
    <n v="6"/>
    <n v="6"/>
    <x v="0"/>
  </r>
  <r>
    <x v="1174"/>
    <n v="25"/>
    <n v="25"/>
    <x v="0"/>
  </r>
  <r>
    <x v="1175"/>
    <n v="8"/>
    <n v="8"/>
    <x v="0"/>
  </r>
  <r>
    <x v="1176"/>
    <n v="3"/>
    <n v="3"/>
    <x v="0"/>
  </r>
  <r>
    <x v="1177"/>
    <n v="3"/>
    <n v="3"/>
    <x v="0"/>
  </r>
  <r>
    <x v="1178"/>
    <n v="1"/>
    <n v="1"/>
    <x v="0"/>
  </r>
  <r>
    <x v="1179"/>
    <n v="3"/>
    <n v="3"/>
    <x v="0"/>
  </r>
  <r>
    <x v="1180"/>
    <n v="3"/>
    <n v="3"/>
    <x v="0"/>
  </r>
  <r>
    <x v="1181"/>
    <n v="1"/>
    <n v="1"/>
    <x v="0"/>
  </r>
  <r>
    <x v="1182"/>
    <n v="1"/>
    <n v="1"/>
    <x v="0"/>
  </r>
  <r>
    <x v="1183"/>
    <n v="30"/>
    <n v="30"/>
    <x v="0"/>
  </r>
  <r>
    <x v="1184"/>
    <n v="1"/>
    <n v="1"/>
    <x v="0"/>
  </r>
  <r>
    <x v="1185"/>
    <n v="1"/>
    <n v="1"/>
    <x v="0"/>
  </r>
  <r>
    <x v="1186"/>
    <n v="1"/>
    <n v="1"/>
    <x v="0"/>
  </r>
  <r>
    <x v="1187"/>
    <n v="2"/>
    <n v="2"/>
    <x v="0"/>
  </r>
  <r>
    <x v="1188"/>
    <n v="3"/>
    <n v="3"/>
    <x v="0"/>
  </r>
  <r>
    <x v="1189"/>
    <n v="3"/>
    <n v="3"/>
    <x v="0"/>
  </r>
  <r>
    <x v="1190"/>
    <n v="1"/>
    <n v="1"/>
    <x v="0"/>
  </r>
  <r>
    <x v="1191"/>
    <n v="1"/>
    <n v="1"/>
    <x v="0"/>
  </r>
  <r>
    <x v="1192"/>
    <n v="20"/>
    <n v="20"/>
    <x v="0"/>
  </r>
  <r>
    <x v="1193"/>
    <n v="6"/>
    <n v="6"/>
    <x v="0"/>
  </r>
  <r>
    <x v="1194"/>
    <n v="1"/>
    <n v="1"/>
    <x v="0"/>
  </r>
  <r>
    <x v="1195"/>
    <n v="3"/>
    <n v="3"/>
    <x v="0"/>
  </r>
  <r>
    <x v="1196"/>
    <n v="3"/>
    <n v="3"/>
    <x v="0"/>
  </r>
  <r>
    <x v="1197"/>
    <n v="8"/>
    <n v="8"/>
    <x v="0"/>
  </r>
  <r>
    <x v="1198"/>
    <n v="8"/>
    <n v="8"/>
    <x v="0"/>
  </r>
  <r>
    <x v="1199"/>
    <n v="165"/>
    <n v="165"/>
    <x v="0"/>
  </r>
  <r>
    <x v="1200"/>
    <n v="110"/>
    <n v="110"/>
    <x v="0"/>
  </r>
  <r>
    <x v="1201"/>
    <n v="80"/>
    <n v="80"/>
    <x v="0"/>
  </r>
  <r>
    <x v="1202"/>
    <n v="1.6"/>
    <n v="1.6"/>
    <x v="0"/>
  </r>
  <r>
    <x v="1203"/>
    <n v="25"/>
    <n v="25"/>
    <x v="0"/>
  </r>
  <r>
    <x v="1204"/>
    <n v="10"/>
    <n v="10"/>
    <x v="0"/>
  </r>
  <r>
    <x v="1205"/>
    <n v="12"/>
    <n v="12"/>
    <x v="0"/>
  </r>
  <r>
    <x v="1206"/>
    <n v="80"/>
    <n v="80"/>
    <x v="0"/>
  </r>
  <r>
    <x v="1207"/>
    <n v="2"/>
    <n v="2"/>
    <x v="0"/>
  </r>
  <r>
    <x v="1208"/>
    <n v="3"/>
    <n v="3"/>
    <x v="0"/>
  </r>
  <r>
    <x v="1209"/>
    <n v="3"/>
    <n v="3"/>
    <x v="0"/>
  </r>
  <r>
    <x v="1210"/>
    <n v="1"/>
    <n v="1"/>
    <x v="0"/>
  </r>
  <r>
    <x v="1211"/>
    <n v="6"/>
    <n v="6"/>
    <x v="0"/>
  </r>
  <r>
    <x v="1212"/>
    <n v="390"/>
    <n v="390"/>
    <x v="0"/>
  </r>
  <r>
    <x v="1213"/>
    <n v="2"/>
    <n v="2"/>
    <x v="0"/>
  </r>
  <r>
    <x v="1214"/>
    <n v="1"/>
    <n v="1"/>
    <x v="0"/>
  </r>
  <r>
    <x v="1215"/>
    <n v="1"/>
    <n v="1"/>
    <x v="0"/>
  </r>
  <r>
    <x v="1216"/>
    <n v="1"/>
    <n v="1"/>
    <x v="0"/>
  </r>
  <r>
    <x v="1217"/>
    <n v="1"/>
    <n v="1"/>
    <x v="0"/>
  </r>
  <r>
    <x v="1218"/>
    <n v="2"/>
    <n v="2"/>
    <x v="0"/>
  </r>
  <r>
    <x v="1219"/>
    <n v="0.5"/>
    <n v="0.5"/>
    <x v="0"/>
  </r>
  <r>
    <x v="1220"/>
    <n v="5.9649999999999999"/>
    <n v="5.9649999999999999"/>
    <x v="0"/>
  </r>
  <r>
    <x v="1221"/>
    <n v="9.9550000000000001"/>
    <n v="9.9550000000000001"/>
    <x v="0"/>
  </r>
  <r>
    <x v="1222"/>
    <n v="6.48"/>
    <n v="6.48"/>
    <x v="0"/>
  </r>
  <r>
    <x v="1223"/>
    <n v="7"/>
    <n v="7"/>
    <x v="0"/>
  </r>
  <r>
    <x v="1224"/>
    <n v="1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1E447-0E40-44CC-9375-AF5A6ED5CB55}" name="PivotTable2" cacheId="14" applyNumberFormats="0" applyBorderFormats="0" applyFontFormats="0" applyPatternFormats="0" applyAlignmentFormats="0" applyWidthHeightFormats="1" dataCaption="Miqdar" grandTotalCaption="Y E K U N" updatedVersion="8" minRefreshableVersion="3" preserveFormatting="0" rowGrandTotals="0" colGrandTotals="0" itemPrintTitles="1" mergeItem="1" createdVersion="8" indent="0" compact="0" compactData="0" multipleFieldFilters="0" rowHeaderCaption="Anbarlar / Mal adları" fieldListSortAscending="1">
  <location ref="A1:I1433" firstHeaderRow="1" firstDataRow="3" firstDataCol="3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98"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3"/>
        <item x="1070"/>
        <item x="1071"/>
        <item x="1072"/>
        <item x="977"/>
        <item x="978"/>
        <item x="979"/>
        <item x="980"/>
        <item x="981"/>
        <item x="982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0"/>
        <item x="1"/>
        <item x="2"/>
        <item x="3"/>
        <item x="4"/>
        <item x="5"/>
        <item x="6"/>
        <item x="1054"/>
        <item x="1046"/>
        <item x="1135"/>
        <item x="1136"/>
        <item x="1069"/>
        <item x="971"/>
        <item x="974"/>
        <item x="975"/>
        <item x="976"/>
        <item x="1055"/>
        <item x="1056"/>
        <item x="1057"/>
        <item x="1058"/>
        <item x="1059"/>
        <item x="1060"/>
        <item x="1061"/>
        <item x="1062"/>
        <item x="1063"/>
        <item x="1104"/>
        <item x="1105"/>
        <item x="1118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972"/>
        <item x="1160"/>
        <item x="1030"/>
        <item x="1029"/>
        <item x="1031"/>
        <item x="1032"/>
        <item x="1033"/>
        <item x="1161"/>
        <item x="1162"/>
        <item x="1163"/>
        <item x="1164"/>
        <item x="1165"/>
        <item x="1166"/>
        <item x="1034"/>
        <item x="1167"/>
        <item x="1140"/>
        <item x="1141"/>
        <item x="1142"/>
        <item x="1143"/>
        <item x="1144"/>
        <item x="1145"/>
        <item x="1146"/>
        <item x="1147"/>
        <item x="1148"/>
        <item x="1004"/>
        <item x="1005"/>
        <item x="1149"/>
        <item x="1150"/>
        <item x="1139"/>
        <item x="1137"/>
        <item x="1138"/>
        <item x="1151"/>
        <item x="1152"/>
        <item x="1153"/>
        <item x="1154"/>
        <item x="1155"/>
        <item x="1156"/>
        <item x="1157"/>
        <item x="1035"/>
        <item x="1036"/>
        <item x="1037"/>
        <item x="1028"/>
        <item x="1039"/>
        <item x="1040"/>
        <item x="1041"/>
        <item x="1038"/>
        <item x="1042"/>
        <item x="1043"/>
        <item x="1158"/>
        <item x="1159"/>
        <item x="1045"/>
        <item x="1168"/>
        <item x="1169"/>
        <item x="1170"/>
        <item x="1073"/>
        <item x="1171"/>
        <item x="1074"/>
        <item x="1172"/>
        <item x="1173"/>
        <item x="1090"/>
        <item x="1174"/>
        <item x="1175"/>
        <item x="1176"/>
        <item x="1044"/>
        <item x="1177"/>
        <item x="1091"/>
        <item x="1064"/>
        <item x="1065"/>
        <item x="1047"/>
        <item x="1048"/>
        <item x="1051"/>
        <item x="1049"/>
        <item x="1052"/>
        <item x="1050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78"/>
        <item x="1027"/>
        <item x="1053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066"/>
        <item x="1067"/>
        <item x="10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6">
        <item m="1" x="1225"/>
        <item x="231"/>
        <item x="210"/>
        <item x="208"/>
        <item x="209"/>
        <item x="211"/>
        <item x="212"/>
        <item x="217"/>
        <item x="215"/>
        <item x="216"/>
        <item x="213"/>
        <item x="214"/>
        <item x="155"/>
        <item x="154"/>
        <item x="153"/>
        <item x="152"/>
        <item x="151"/>
        <item x="150"/>
        <item x="537"/>
        <item x="569"/>
        <item x="686"/>
        <item x="549"/>
        <item x="688"/>
        <item x="548"/>
        <item x="550"/>
        <item x="547"/>
        <item x="689"/>
        <item x="690"/>
        <item x="563"/>
        <item x="782"/>
        <item x="349"/>
        <item x="345"/>
        <item x="348"/>
        <item x="346"/>
        <item x="347"/>
        <item x="134"/>
        <item x="576"/>
        <item x="579"/>
        <item x="578"/>
        <item x="776"/>
        <item x="783"/>
        <item x="784"/>
        <item x="818"/>
        <item x="819"/>
        <item x="817"/>
        <item x="590"/>
        <item x="591"/>
        <item x="586"/>
        <item x="585"/>
        <item x="584"/>
        <item x="589"/>
        <item x="587"/>
        <item x="588"/>
        <item x="495"/>
        <item x="493"/>
        <item x="494"/>
        <item x="496"/>
        <item x="498"/>
        <item x="497"/>
        <item x="459"/>
        <item x="757"/>
        <item x="752"/>
        <item x="756"/>
        <item x="751"/>
        <item x="755"/>
        <item x="753"/>
        <item x="754"/>
        <item x="424"/>
        <item x="617"/>
        <item x="319"/>
        <item x="612"/>
        <item x="602"/>
        <item x="594"/>
        <item x="909"/>
        <item x="913"/>
        <item x="873"/>
        <item x="593"/>
        <item x="582"/>
        <item x="583"/>
        <item x="581"/>
        <item x="580"/>
        <item x="559"/>
        <item x="299"/>
        <item x="636"/>
        <item x="635"/>
        <item x="608"/>
        <item x="789"/>
        <item x="379"/>
        <item x="787"/>
        <item x="104"/>
        <item x="462"/>
        <item x="850"/>
        <item x="815"/>
        <item x="813"/>
        <item x="814"/>
        <item x="856"/>
        <item x="816"/>
        <item x="381"/>
        <item x="374"/>
        <item x="352"/>
        <item x="857"/>
        <item x="849"/>
        <item x="788"/>
        <item x="854"/>
        <item x="853"/>
        <item x="852"/>
        <item x="467"/>
        <item x="387"/>
        <item x="625"/>
        <item x="627"/>
        <item x="623"/>
        <item x="628"/>
        <item x="766"/>
        <item x="624"/>
        <item x="638"/>
        <item x="626"/>
        <item x="650"/>
        <item x="809"/>
        <item x="654"/>
        <item x="655"/>
        <item x="651"/>
        <item x="648"/>
        <item x="647"/>
        <item x="645"/>
        <item x="646"/>
        <item x="653"/>
        <item x="652"/>
        <item x="469"/>
        <item x="472"/>
        <item x="774"/>
        <item x="146"/>
        <item x="147"/>
        <item x="145"/>
        <item x="205"/>
        <item x="659"/>
        <item x="226"/>
        <item x="798"/>
        <item x="224"/>
        <item x="223"/>
        <item x="222"/>
        <item x="227"/>
        <item x="225"/>
        <item x="161"/>
        <item x="162"/>
        <item x="728"/>
        <item x="120"/>
        <item x="1067"/>
        <item x="916"/>
        <item x="283"/>
        <item x="474"/>
        <item x="300"/>
        <item x="304"/>
        <item x="302"/>
        <item x="301"/>
        <item x="303"/>
        <item x="667"/>
        <item x="378"/>
        <item x="532"/>
        <item x="710"/>
        <item x="572"/>
        <item x="683"/>
        <item x="681"/>
        <item x="709"/>
        <item x="552"/>
        <item x="536"/>
        <item x="682"/>
        <item x="243"/>
        <item x="870"/>
        <item x="712"/>
        <item x="715"/>
        <item x="244"/>
        <item x="245"/>
        <item x="567"/>
        <item x="566"/>
        <item x="405"/>
        <item x="397"/>
        <item x="707"/>
        <item x="551"/>
        <item x="711"/>
        <item x="553"/>
        <item x="410"/>
        <item x="544"/>
        <item x="407"/>
        <item x="554"/>
        <item x="246"/>
        <item x="699"/>
        <item x="719"/>
        <item x="697"/>
        <item x="696"/>
        <item x="560"/>
        <item x="403"/>
        <item x="708"/>
        <item x="718"/>
        <item x="691"/>
        <item x="716"/>
        <item x="235"/>
        <item x="102"/>
        <item x="106"/>
        <item x="101"/>
        <item x="848"/>
        <item x="824"/>
        <item x="831"/>
        <item x="206"/>
        <item x="207"/>
        <item x="895"/>
        <item x="488"/>
        <item x="887"/>
        <item x="476"/>
        <item x="501"/>
        <item x="511"/>
        <item x="507"/>
        <item x="508"/>
        <item x="482"/>
        <item x="512"/>
        <item x="477"/>
        <item x="510"/>
        <item x="486"/>
        <item x="505"/>
        <item x="504"/>
        <item x="509"/>
        <item x="513"/>
        <item x="485"/>
        <item x="881"/>
        <item x="880"/>
        <item x="502"/>
        <item x="503"/>
        <item x="366"/>
        <item x="419"/>
        <item x="489"/>
        <item x="420"/>
        <item x="592"/>
        <item x="958"/>
        <item x="939"/>
        <item x="965"/>
        <item x="119"/>
        <item x="284"/>
        <item x="526"/>
        <item x="791"/>
        <item x="804"/>
        <item x="479"/>
        <item x="923"/>
        <item x="480"/>
        <item x="896"/>
        <item x="297"/>
        <item x="524"/>
        <item x="139"/>
        <item x="770"/>
        <item x="327"/>
        <item x="329"/>
        <item x="842"/>
        <item x="839"/>
        <item x="333"/>
        <item x="332"/>
        <item x="330"/>
        <item x="331"/>
        <item x="325"/>
        <item x="326"/>
        <item x="334"/>
        <item x="324"/>
        <item x="840"/>
        <item x="841"/>
        <item x="116"/>
        <item x="117"/>
        <item x="118"/>
        <item x="844"/>
        <item x="176"/>
        <item x="328"/>
        <item x="575"/>
        <item x="427"/>
        <item x="385"/>
        <item x="384"/>
        <item x="383"/>
        <item x="386"/>
        <item x="382"/>
        <item x="793"/>
        <item x="519"/>
        <item x="901"/>
        <item x="935"/>
        <item x="203"/>
        <item x="365"/>
        <item x="421"/>
        <item x="863"/>
        <item x="422"/>
        <item x="86"/>
        <item x="91"/>
        <item x="92"/>
        <item x="85"/>
        <item x="84"/>
        <item x="159"/>
        <item x="83"/>
        <item x="82"/>
        <item x="88"/>
        <item x="179"/>
        <item x="884"/>
        <item x="434"/>
        <item x="175"/>
        <item x="193"/>
        <item x="195"/>
        <item x="191"/>
        <item x="372"/>
        <item x="373"/>
        <item x="371"/>
        <item x="194"/>
        <item x="435"/>
        <item x="431"/>
        <item x="433"/>
        <item x="432"/>
        <item x="89"/>
        <item x="174"/>
        <item x="196"/>
        <item x="90"/>
        <item x="192"/>
        <item x="60"/>
        <item x="64"/>
        <item x="55"/>
        <item x="66"/>
        <item x="33"/>
        <item x="63"/>
        <item x="56"/>
        <item x="57"/>
        <item x="62"/>
        <item x="26"/>
        <item x="59"/>
        <item x="58"/>
        <item x="65"/>
        <item x="61"/>
        <item x="52"/>
        <item x="78"/>
        <item x="77"/>
        <item x="71"/>
        <item x="53"/>
        <item x="27"/>
        <item x="79"/>
        <item x="32"/>
        <item x="46"/>
        <item x="47"/>
        <item x="76"/>
        <item x="44"/>
        <item x="37"/>
        <item x="43"/>
        <item x="45"/>
        <item x="75"/>
        <item x="36"/>
        <item x="34"/>
        <item x="21"/>
        <item x="51"/>
        <item x="73"/>
        <item x="69"/>
        <item x="48"/>
        <item x="70"/>
        <item x="29"/>
        <item x="31"/>
        <item x="24"/>
        <item x="74"/>
        <item x="7"/>
        <item x="8"/>
        <item x="18"/>
        <item x="13"/>
        <item x="67"/>
        <item x="41"/>
        <item x="38"/>
        <item x="42"/>
        <item x="39"/>
        <item x="40"/>
        <item x="35"/>
        <item x="49"/>
        <item x="50"/>
        <item x="68"/>
        <item x="80"/>
        <item x="81"/>
        <item x="23"/>
        <item x="22"/>
        <item x="72"/>
        <item x="30"/>
        <item x="16"/>
        <item x="25"/>
        <item x="28"/>
        <item x="17"/>
        <item x="20"/>
        <item x="19"/>
        <item x="642"/>
        <item x="643"/>
        <item x="836"/>
        <item x="803"/>
        <item x="802"/>
        <item x="801"/>
        <item x="837"/>
        <item x="835"/>
        <item x="800"/>
        <item x="799"/>
        <item x="717"/>
        <item x="525"/>
        <item x="610"/>
        <item x="599"/>
        <item x="600"/>
        <item x="613"/>
        <item x="615"/>
        <item x="601"/>
        <item x="616"/>
        <item x="614"/>
        <item x="605"/>
        <item x="622"/>
        <item x="620"/>
        <item x="609"/>
        <item x="430"/>
        <item x="309"/>
        <item x="10"/>
        <item x="137"/>
        <item x="197"/>
        <item x="724"/>
        <item x="637"/>
        <item x="606"/>
        <item x="662"/>
        <item x="834"/>
        <item x="439"/>
        <item x="281"/>
        <item x="97"/>
        <item x="311"/>
        <item x="426"/>
        <item x="364"/>
        <item x="795"/>
        <item x="890"/>
        <item x="889"/>
        <item x="882"/>
        <item x="833"/>
        <item x="891"/>
        <item x="453"/>
        <item x="877"/>
        <item x="876"/>
        <item x="748"/>
        <item x="122"/>
        <item x="737"/>
        <item x="115"/>
        <item x="437"/>
        <item x="894"/>
        <item x="769"/>
        <item x="934"/>
        <item x="762"/>
        <item x="761"/>
        <item x="764"/>
        <item x="763"/>
        <item x="888"/>
        <item x="12"/>
        <item x="9"/>
        <item x="367"/>
        <item x="279"/>
        <item x="738"/>
        <item x="291"/>
        <item x="292"/>
        <item x="720"/>
        <item x="722"/>
        <item x="723"/>
        <item x="721"/>
        <item x="443"/>
        <item x="444"/>
        <item x="445"/>
        <item x="521"/>
        <item x="703"/>
        <item x="702"/>
        <item x="492"/>
        <item x="533"/>
        <item x="872"/>
        <item x="871"/>
        <item x="546"/>
        <item x="408"/>
        <item x="530"/>
        <item x="531"/>
        <item x="701"/>
        <item x="562"/>
        <item x="404"/>
        <item x="695"/>
        <item x="694"/>
        <item x="704"/>
        <item x="543"/>
        <item x="705"/>
        <item x="878"/>
        <item x="98"/>
        <item x="307"/>
        <item x="306"/>
        <item x="825"/>
        <item x="396"/>
        <item x="394"/>
        <item x="393"/>
        <item x="395"/>
        <item x="391"/>
        <item x="323"/>
        <item x="322"/>
        <item x="218"/>
        <item x="305"/>
        <item x="163"/>
        <item x="726"/>
        <item x="727"/>
        <item x="806"/>
        <item x="182"/>
        <item x="184"/>
        <item x="183"/>
        <item x="132"/>
        <item x="644"/>
        <item x="619"/>
        <item x="487"/>
        <item x="743"/>
        <item x="199"/>
        <item x="574"/>
        <item x="465"/>
        <item x="919"/>
        <item x="219"/>
        <item x="164"/>
        <item x="775"/>
        <item x="698"/>
        <item x="706"/>
        <item x="541"/>
        <item x="389"/>
        <item x="242"/>
        <item x="540"/>
        <item x="542"/>
        <item x="564"/>
        <item x="668"/>
        <item x="669"/>
        <item x="670"/>
        <item x="99"/>
        <item x="109"/>
        <item x="111"/>
        <item x="827"/>
        <item x="452"/>
        <item x="845"/>
        <item x="484"/>
        <item x="506"/>
        <item x="858"/>
        <item x="483"/>
        <item x="478"/>
        <item x="785"/>
        <item x="786"/>
        <item x="490"/>
        <item x="375"/>
        <item x="851"/>
        <item x="368"/>
        <item x="663"/>
        <item x="932"/>
        <item x="173"/>
        <item x="611"/>
        <item x="455"/>
        <item x="456"/>
        <item x="598"/>
        <item x="771"/>
        <item x="448"/>
        <item x="729"/>
        <item x="221"/>
        <item x="805"/>
        <item x="910"/>
        <item x="911"/>
        <item x="912"/>
        <item x="914"/>
        <item x="915"/>
        <item x="903"/>
        <item x="905"/>
        <item x="954"/>
        <item x="953"/>
        <item x="666"/>
        <item x="665"/>
        <item x="607"/>
        <item x="621"/>
        <item x="360"/>
        <item x="136"/>
        <item x="220"/>
        <item x="121"/>
        <item x="298"/>
        <item x="123"/>
        <item x="14"/>
        <item x="355"/>
        <item x="353"/>
        <item x="354"/>
        <item x="160"/>
        <item x="341"/>
        <item x="603"/>
        <item x="900"/>
        <item x="906"/>
        <item x="357"/>
        <item x="356"/>
        <item x="528"/>
        <item x="135"/>
        <item x="143"/>
        <item x="499"/>
        <item x="927"/>
        <item x="926"/>
        <item x="897"/>
        <item x="922"/>
        <item x="959"/>
        <item x="937"/>
        <item x="960"/>
        <item x="938"/>
        <item x="963"/>
        <item x="942"/>
        <item x="773"/>
        <item x="520"/>
        <item x="523"/>
        <item x="522"/>
        <item x="961"/>
        <item x="899"/>
        <item x="228"/>
        <item x="236"/>
        <item x="144"/>
        <item x="128"/>
        <item x="127"/>
        <item x="177"/>
        <item x="126"/>
        <item x="125"/>
        <item x="124"/>
        <item x="133"/>
        <item x="1065"/>
        <item x="406"/>
        <item x="241"/>
        <item x="250"/>
        <item x="401"/>
        <item x="249"/>
        <item x="390"/>
        <item x="238"/>
        <item x="402"/>
        <item x="821"/>
        <item x="822"/>
        <item x="561"/>
        <item x="780"/>
        <item x="779"/>
        <item x="778"/>
        <item x="96"/>
        <item x="94"/>
        <item x="93"/>
        <item x="95"/>
        <item x="823"/>
        <item x="380"/>
        <item x="351"/>
        <item x="781"/>
        <item x="344"/>
        <item x="361"/>
        <item x="188"/>
        <item x="187"/>
        <item x="930"/>
        <item x="931"/>
        <item x="458"/>
        <item x="308"/>
        <item x="1066"/>
        <item x="310"/>
        <item x="807"/>
        <item x="925"/>
        <item x="945"/>
        <item x="944"/>
        <item x="293"/>
        <item x="294"/>
        <item x="198"/>
        <item x="190"/>
        <item x="920"/>
        <item x="278"/>
        <item x="772"/>
        <item x="140"/>
        <item x="338"/>
        <item x="337"/>
        <item x="343"/>
        <item x="131"/>
        <item x="874"/>
        <item x="618"/>
        <item x="230"/>
        <item x="464"/>
        <item x="229"/>
        <item x="141"/>
        <item x="475"/>
        <item x="797"/>
        <item x="796"/>
        <item x="875"/>
        <item x="156"/>
        <item x="186"/>
        <item x="138"/>
        <item x="200"/>
        <item x="735"/>
        <item x="189"/>
        <item x="170"/>
        <item x="166"/>
        <item x="168"/>
        <item x="169"/>
        <item x="165"/>
        <item x="739"/>
        <item x="314"/>
        <item x="315"/>
        <item x="313"/>
        <item x="130"/>
        <item x="514"/>
        <item x="933"/>
        <item x="577"/>
        <item x="808"/>
        <item x="500"/>
        <item x="463"/>
        <item x="859"/>
        <item x="962"/>
        <item x="604"/>
        <item x="907"/>
        <item x="968"/>
        <item x="671"/>
        <item x="672"/>
        <item x="673"/>
        <item x="680"/>
        <item x="677"/>
        <item x="676"/>
        <item x="675"/>
        <item x="678"/>
        <item x="679"/>
        <item x="674"/>
        <item x="661"/>
        <item x="928"/>
        <item x="481"/>
        <item x="747"/>
        <item x="321"/>
        <item x="262"/>
        <item x="251"/>
        <item x="270"/>
        <item x="257"/>
        <item x="252"/>
        <item x="265"/>
        <item x="255"/>
        <item x="269"/>
        <item x="266"/>
        <item x="256"/>
        <item x="273"/>
        <item x="272"/>
        <item x="259"/>
        <item x="268"/>
        <item x="264"/>
        <item x="261"/>
        <item x="258"/>
        <item x="260"/>
        <item x="263"/>
        <item x="253"/>
        <item x="267"/>
        <item x="271"/>
        <item x="254"/>
        <item x="274"/>
        <item x="296"/>
        <item x="295"/>
        <item x="790"/>
        <item x="892"/>
        <item x="468"/>
        <item x="440"/>
        <item x="449"/>
        <item x="883"/>
        <item x="640"/>
        <item x="641"/>
        <item x="558"/>
        <item x="557"/>
        <item x="555"/>
        <item x="556"/>
        <item x="908"/>
        <item x="950"/>
        <item x="742"/>
        <item x="936"/>
        <item x="941"/>
        <item x="951"/>
        <item x="949"/>
        <item x="285"/>
        <item x="204"/>
        <item x="461"/>
        <item x="460"/>
        <item x="441"/>
        <item x="657"/>
        <item x="740"/>
        <item x="741"/>
        <item x="336"/>
        <item x="335"/>
        <item x="744"/>
        <item x="948"/>
        <item x="929"/>
        <item x="316"/>
        <item x="792"/>
        <item x="811"/>
        <item x="869"/>
        <item x="885"/>
        <item x="838"/>
        <item x="886"/>
        <item x="339"/>
        <item x="450"/>
        <item x="810"/>
        <item x="340"/>
        <item x="377"/>
        <item x="451"/>
        <item x="376"/>
        <item x="359"/>
        <item x="157"/>
        <item x="893"/>
        <item x="664"/>
        <item x="639"/>
        <item x="350"/>
        <item x="656"/>
        <item x="414"/>
        <item x="750"/>
        <item x="749"/>
        <item x="470"/>
        <item x="466"/>
        <item x="868"/>
        <item x="855"/>
        <item x="767"/>
        <item x="171"/>
        <item x="660"/>
        <item x="446"/>
        <item x="447"/>
        <item x="595"/>
        <item x="794"/>
        <item x="233"/>
        <item x="234"/>
        <item x="232"/>
        <item x="527"/>
        <item x="633"/>
        <item x="630"/>
        <item x="629"/>
        <item x="632"/>
        <item x="631"/>
        <item x="428"/>
        <item x="276"/>
        <item x="277"/>
        <item x="904"/>
        <item x="180"/>
        <item x="946"/>
        <item x="87"/>
        <item x="370"/>
        <item x="457"/>
        <item x="275"/>
        <item x="768"/>
        <item x="142"/>
        <item x="746"/>
        <item x="491"/>
        <item x="418"/>
        <item x="865"/>
        <item x="416"/>
        <item x="415"/>
        <item x="777"/>
        <item x="471"/>
        <item x="860"/>
        <item x="318"/>
        <item x="634"/>
        <item x="129"/>
        <item x="201"/>
        <item x="202"/>
        <item x="392"/>
        <item x="539"/>
        <item x="687"/>
        <item x="714"/>
        <item x="713"/>
        <item x="535"/>
        <item x="538"/>
        <item x="400"/>
        <item x="399"/>
        <item x="534"/>
        <item x="411"/>
        <item x="568"/>
        <item x="239"/>
        <item x="545"/>
        <item x="240"/>
        <item x="248"/>
        <item x="700"/>
        <item x="247"/>
        <item x="570"/>
        <item x="692"/>
        <item x="693"/>
        <item x="571"/>
        <item x="107"/>
        <item x="100"/>
        <item x="832"/>
        <item x="105"/>
        <item x="829"/>
        <item x="826"/>
        <item x="830"/>
        <item x="103"/>
        <item x="413"/>
        <item x="730"/>
        <item x="745"/>
        <item x="398"/>
        <item x="597"/>
        <item x="902"/>
        <item x="317"/>
        <item x="442"/>
        <item x="172"/>
        <item x="288"/>
        <item x="287"/>
        <item x="289"/>
        <item x="436"/>
        <item x="423"/>
        <item x="158"/>
        <item x="149"/>
        <item x="473"/>
        <item x="148"/>
        <item x="178"/>
        <item x="918"/>
        <item x="943"/>
        <item x="732"/>
        <item x="734"/>
        <item x="733"/>
        <item x="282"/>
        <item x="973"/>
        <item x="974"/>
        <item x="975"/>
        <item x="976"/>
        <item x="977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978"/>
        <item x="979"/>
        <item x="980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1001"/>
        <item x="1002"/>
        <item x="1003"/>
        <item x="1004"/>
        <item x="1005"/>
        <item x="1006"/>
        <item x="1007"/>
        <item x="1008"/>
        <item x="1009"/>
        <item x="1011"/>
        <item x="1012"/>
        <item x="1013"/>
        <item x="1014"/>
        <item x="1015"/>
        <item x="1017"/>
        <item x="1018"/>
        <item x="1019"/>
        <item x="1020"/>
        <item x="1021"/>
        <item x="0"/>
        <item x="1"/>
        <item x="2"/>
        <item x="3"/>
        <item x="4"/>
        <item x="5"/>
        <item x="1049"/>
        <item x="1041"/>
        <item x="1130"/>
        <item x="1131"/>
        <item x="1064"/>
        <item x="966"/>
        <item x="969"/>
        <item x="970"/>
        <item x="971"/>
        <item x="1050"/>
        <item x="1051"/>
        <item x="1052"/>
        <item x="1053"/>
        <item x="1054"/>
        <item x="1055"/>
        <item x="1056"/>
        <item x="1057"/>
        <item x="1058"/>
        <item x="1099"/>
        <item x="1100"/>
        <item x="1113"/>
        <item x="454"/>
        <item x="1101"/>
        <item x="1103"/>
        <item x="1104"/>
        <item x="1105"/>
        <item x="1106"/>
        <item x="1107"/>
        <item x="1108"/>
        <item x="1109"/>
        <item x="1110"/>
        <item x="1111"/>
        <item x="369"/>
        <item x="967"/>
        <item x="1155"/>
        <item x="1010"/>
        <item x="1025"/>
        <item x="1024"/>
        <item x="1028"/>
        <item x="1156"/>
        <item x="1157"/>
        <item x="1158"/>
        <item x="1159"/>
        <item x="1160"/>
        <item x="1161"/>
        <item x="1029"/>
        <item x="1162"/>
        <item x="1135"/>
        <item x="1136"/>
        <item x="1137"/>
        <item x="1138"/>
        <item x="1139"/>
        <item x="1140"/>
        <item x="1141"/>
        <item x="1142"/>
        <item x="1143"/>
        <item x="999"/>
        <item x="1000"/>
        <item x="1144"/>
        <item x="1145"/>
        <item x="1134"/>
        <item x="1132"/>
        <item x="1133"/>
        <item x="1146"/>
        <item x="1148"/>
        <item x="1149"/>
        <item x="1150"/>
        <item x="1151"/>
        <item x="1152"/>
        <item x="1030"/>
        <item x="1031"/>
        <item x="1032"/>
        <item x="1023"/>
        <item x="1034"/>
        <item x="1035"/>
        <item x="1036"/>
        <item x="1033"/>
        <item x="1037"/>
        <item x="1038"/>
        <item x="1153"/>
        <item x="1154"/>
        <item x="1163"/>
        <item x="1164"/>
        <item x="1165"/>
        <item x="1068"/>
        <item x="1166"/>
        <item x="1069"/>
        <item x="1167"/>
        <item x="1168"/>
        <item x="1085"/>
        <item x="1169"/>
        <item x="1170"/>
        <item x="1171"/>
        <item x="1039"/>
        <item x="1172"/>
        <item x="1086"/>
        <item x="1060"/>
        <item x="1046"/>
        <item x="1044"/>
        <item x="1047"/>
        <item x="1045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73"/>
        <item x="110"/>
        <item x="112"/>
        <item x="286"/>
        <item x="362"/>
        <item x="388"/>
        <item x="409"/>
        <item x="417"/>
        <item x="429"/>
        <item x="731"/>
        <item x="736"/>
        <item x="820"/>
        <item x="862"/>
        <item x="867"/>
        <item x="6"/>
        <item x="11"/>
        <item x="15"/>
        <item x="54"/>
        <item x="108"/>
        <item x="113"/>
        <item x="114"/>
        <item x="167"/>
        <item x="181"/>
        <item x="185"/>
        <item x="237"/>
        <item x="280"/>
        <item x="290"/>
        <item x="312"/>
        <item x="320"/>
        <item x="342"/>
        <item x="358"/>
        <item x="363"/>
        <item x="412"/>
        <item x="425"/>
        <item x="438"/>
        <item x="515"/>
        <item x="516"/>
        <item x="517"/>
        <item x="518"/>
        <item x="529"/>
        <item x="565"/>
        <item x="573"/>
        <item x="596"/>
        <item x="649"/>
        <item x="658"/>
        <item x="684"/>
        <item x="685"/>
        <item x="725"/>
        <item x="758"/>
        <item x="759"/>
        <item x="760"/>
        <item x="765"/>
        <item x="812"/>
        <item x="828"/>
        <item x="843"/>
        <item x="846"/>
        <item x="847"/>
        <item x="861"/>
        <item x="864"/>
        <item x="866"/>
        <item x="879"/>
        <item x="898"/>
        <item x="917"/>
        <item x="921"/>
        <item x="924"/>
        <item x="940"/>
        <item x="947"/>
        <item x="952"/>
        <item x="955"/>
        <item x="956"/>
        <item x="957"/>
        <item x="964"/>
        <item x="972"/>
        <item x="981"/>
        <item x="982"/>
        <item x="998"/>
        <item x="1016"/>
        <item x="1022"/>
        <item x="1026"/>
        <item x="1027"/>
        <item x="1040"/>
        <item x="1042"/>
        <item x="1043"/>
        <item x="1048"/>
        <item x="105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102"/>
        <item x="1112"/>
        <item x="114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061"/>
        <item x="1062"/>
        <item x="10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5"/>
        <item x="6"/>
        <item x="1"/>
        <item x="2"/>
        <item x="0"/>
        <item x="3"/>
        <item x="4"/>
        <item m="1"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sd="0" x="1"/>
        <item x="0"/>
        <item m="1"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3"/>
    <field x="7"/>
  </rowFields>
  <rowItems count="1430">
    <i>
      <x v="968"/>
      <x v="354"/>
      <x v="2"/>
    </i>
    <i>
      <x v="969"/>
      <x v="355"/>
      <x v="2"/>
    </i>
    <i>
      <x v="970"/>
      <x v="443"/>
      <x v="2"/>
    </i>
    <i>
      <x v="971"/>
      <x v="406"/>
      <x v="2"/>
    </i>
    <i>
      <x v="972"/>
      <x v="1086"/>
      <x v="2"/>
    </i>
    <i>
      <x v="973"/>
      <x v="442"/>
      <x v="2"/>
    </i>
    <i>
      <x v="974"/>
      <x v="357"/>
      <x v="2"/>
    </i>
    <i>
      <x v="975"/>
      <x v="567"/>
      <x v="2"/>
    </i>
    <i>
      <x v="976"/>
      <x v="1087"/>
      <x v="2"/>
    </i>
    <i>
      <x v="977"/>
      <x v="374"/>
      <x v="2"/>
    </i>
    <i>
      <x v="978"/>
      <x v="377"/>
      <x v="2"/>
    </i>
    <i>
      <x v="979"/>
      <x v="356"/>
      <x v="2"/>
    </i>
    <i>
      <x v="980"/>
      <x v="379"/>
      <x v="2"/>
    </i>
    <i>
      <x v="981"/>
      <x v="378"/>
      <x v="2"/>
    </i>
    <i>
      <x v="982"/>
      <x v="344"/>
      <x v="2"/>
    </i>
    <i>
      <x v="983"/>
      <x v="371"/>
      <x v="2"/>
    </i>
    <i>
      <x v="984"/>
      <x v="370"/>
      <x v="2"/>
    </i>
    <i>
      <x v="985"/>
      <x v="352"/>
      <x v="2"/>
    </i>
    <i>
      <x v="986"/>
      <x v="375"/>
      <x v="2"/>
    </i>
    <i>
      <x v="987"/>
      <x v="321"/>
      <x v="2"/>
    </i>
    <i>
      <x v="988"/>
      <x v="331"/>
      <x v="2"/>
    </i>
    <i>
      <x v="989"/>
      <x v="376"/>
      <x v="2"/>
    </i>
    <i>
      <x v="990"/>
      <x v="350"/>
      <x v="2"/>
    </i>
    <i>
      <x v="991"/>
      <x v="373"/>
      <x v="2"/>
    </i>
    <i>
      <x v="992"/>
      <x v="351"/>
      <x v="2"/>
    </i>
    <i>
      <x v="993"/>
      <x v="333"/>
      <x v="2"/>
    </i>
    <i>
      <x v="994"/>
      <x v="316"/>
      <x v="2"/>
    </i>
    <i>
      <x v="995"/>
      <x v="343"/>
      <x v="2"/>
    </i>
    <i>
      <x v="996"/>
      <x v="364"/>
      <x v="2"/>
    </i>
    <i>
      <x v="997"/>
      <x v="342"/>
      <x v="2"/>
    </i>
    <i>
      <x v="998"/>
      <x v="338"/>
      <x v="2"/>
    </i>
    <i>
      <x v="999"/>
      <x v="360"/>
      <x v="2"/>
    </i>
    <i>
      <x v="1000"/>
      <x v="362"/>
      <x v="2"/>
    </i>
    <i>
      <x v="1001"/>
      <x v="363"/>
      <x v="2"/>
    </i>
    <i>
      <x v="1002"/>
      <x v="359"/>
      <x v="2"/>
    </i>
    <i>
      <x v="1003"/>
      <x v="361"/>
      <x v="2"/>
    </i>
    <i>
      <x v="1004"/>
      <x v="339"/>
      <x v="2"/>
    </i>
    <i>
      <x v="1005"/>
      <x v="337"/>
      <x v="2"/>
    </i>
    <i>
      <x v="1006"/>
      <x v="340"/>
      <x v="2"/>
    </i>
    <i>
      <x v="1007"/>
      <x v="334"/>
      <x v="2"/>
    </i>
    <i>
      <x v="1008"/>
      <x v="335"/>
      <x v="2"/>
    </i>
    <i>
      <x v="1009"/>
      <x v="348"/>
      <x v="2"/>
    </i>
    <i>
      <x v="1010"/>
      <x v="365"/>
      <x v="2"/>
    </i>
    <i>
      <x v="1011"/>
      <x v="366"/>
      <x v="2"/>
    </i>
    <i>
      <x v="1012"/>
      <x v="345"/>
      <x v="2"/>
    </i>
    <i>
      <x v="1013"/>
      <x v="326"/>
      <x v="2"/>
    </i>
    <i>
      <x v="1014"/>
      <x v="330"/>
      <x v="2"/>
    </i>
    <i>
      <x v="1015"/>
      <x v="1088"/>
      <x v="2"/>
    </i>
    <i>
      <x v="1016"/>
      <x v="314"/>
      <x v="2"/>
    </i>
    <i>
      <x v="1017"/>
      <x v="318"/>
      <x v="2"/>
    </i>
    <i>
      <x v="1018"/>
      <x v="319"/>
      <x v="2"/>
    </i>
    <i>
      <x v="1019"/>
      <x v="323"/>
      <x v="2"/>
    </i>
    <i>
      <x v="1020"/>
      <x v="322"/>
      <x v="2"/>
    </i>
    <i>
      <x v="1021"/>
      <x v="312"/>
      <x v="2"/>
    </i>
    <i>
      <x v="1022"/>
      <x v="325"/>
      <x v="2"/>
    </i>
    <i>
      <x v="1023"/>
      <x v="320"/>
      <x v="2"/>
    </i>
    <i>
      <x v="1024"/>
      <x v="317"/>
      <x v="2"/>
    </i>
    <i>
      <x v="1025"/>
      <x v="313"/>
      <x v="2"/>
    </i>
    <i>
      <x v="1026"/>
      <x v="324"/>
      <x v="1"/>
    </i>
    <i r="2">
      <x v="2"/>
    </i>
    <i r="2">
      <x v="3"/>
    </i>
    <i>
      <x v="1027"/>
      <x v="315"/>
      <x v="2"/>
    </i>
    <i>
      <x v="1028"/>
      <x v="358"/>
      <x v="2"/>
    </i>
    <i>
      <x v="1029"/>
      <x v="367"/>
      <x v="2"/>
    </i>
    <i>
      <x v="1030"/>
      <x v="347"/>
      <x v="2"/>
    </i>
    <i>
      <x v="1031"/>
      <x v="349"/>
      <x v="2"/>
    </i>
    <i>
      <x v="1032"/>
      <x v="329"/>
      <x v="2"/>
    </i>
    <i>
      <x v="1033"/>
      <x v="372"/>
      <x v="2"/>
    </i>
    <i>
      <x v="1034"/>
      <x v="346"/>
      <x v="2"/>
    </i>
    <i>
      <x v="1035"/>
      <x v="353"/>
      <x v="2"/>
    </i>
    <i>
      <x v="1036"/>
      <x v="341"/>
      <x v="2"/>
    </i>
    <i>
      <x v="1037"/>
      <x v="336"/>
      <x v="2"/>
    </i>
    <i>
      <x v="1038"/>
      <x v="328"/>
      <x v="2"/>
    </i>
    <i>
      <x v="1039"/>
      <x v="327"/>
      <x v="2"/>
    </i>
    <i>
      <x v="1040"/>
      <x v="332"/>
      <x v="2"/>
    </i>
    <i>
      <x v="1041"/>
      <x v="368"/>
      <x v="2"/>
    </i>
    <i>
      <x v="1042"/>
      <x v="369"/>
      <x v="2"/>
    </i>
    <i>
      <x v="1043"/>
      <x v="290"/>
      <x v="2"/>
    </i>
    <i>
      <x v="1044"/>
      <x v="289"/>
      <x v="2"/>
    </i>
    <i>
      <x v="1045"/>
      <x v="287"/>
      <x v="2"/>
    </i>
    <i>
      <x v="1046"/>
      <x v="286"/>
      <x v="2"/>
    </i>
    <i>
      <x v="1047"/>
      <x v="283"/>
      <x v="2"/>
    </i>
    <i>
      <x v="1048"/>
      <x v="817"/>
      <x v="2"/>
    </i>
    <i>
      <x v="1049"/>
      <x v="291"/>
      <x v="2"/>
    </i>
    <i>
      <x v="1050"/>
      <x v="307"/>
      <x v="2"/>
    </i>
    <i>
      <x v="1051"/>
      <x v="310"/>
      <x v="2"/>
    </i>
    <i>
      <x v="1052"/>
      <x v="284"/>
      <x v="2"/>
    </i>
    <i>
      <x v="1053"/>
      <x v="285"/>
      <x v="2"/>
    </i>
    <i>
      <x v="1054"/>
      <x v="625"/>
      <x v="2"/>
    </i>
    <i>
      <x v="1055"/>
      <x v="624"/>
      <x v="2"/>
    </i>
    <i>
      <x v="1056"/>
      <x v="626"/>
      <x v="2"/>
    </i>
    <i>
      <x v="1057"/>
      <x v="623"/>
      <x v="2"/>
    </i>
    <i>
      <x v="1058"/>
      <x v="416"/>
      <x v="2"/>
    </i>
    <i>
      <x v="1059"/>
      <x v="476"/>
      <x v="2"/>
    </i>
    <i>
      <x v="1060"/>
      <x v="519"/>
      <x v="2"/>
    </i>
    <i>
      <x v="1061"/>
      <x v="860"/>
      <x v="2"/>
    </i>
    <i>
      <x v="1062"/>
      <x v="198"/>
      <x v="2"/>
    </i>
    <i>
      <x v="1063"/>
      <x v="196"/>
      <x v="2"/>
    </i>
    <i>
      <x v="1064"/>
      <x v="866"/>
      <x v="2"/>
    </i>
    <i>
      <x v="1065"/>
      <x v="89"/>
      <x v="2"/>
    </i>
    <i>
      <x v="1066"/>
      <x v="862"/>
      <x v="2"/>
    </i>
    <i>
      <x v="1067"/>
      <x v="197"/>
      <x v="2"/>
    </i>
    <i>
      <x v="1068"/>
      <x v="859"/>
      <x v="2"/>
    </i>
    <i>
      <x v="1069"/>
      <x v="1089"/>
      <x v="2"/>
    </i>
    <i>
      <x v="1070"/>
      <x v="520"/>
      <x v="2"/>
    </i>
    <i>
      <x v="1071"/>
      <x v="1072"/>
      <x v="2"/>
    </i>
    <i>
      <x v="1072"/>
      <x v="521"/>
      <x v="2"/>
    </i>
    <i>
      <x v="1073"/>
      <x v="1073"/>
      <x v="2"/>
    </i>
    <i>
      <x v="1074"/>
      <x v="1090"/>
      <x v="2"/>
    </i>
    <i>
      <x v="1075"/>
      <x v="1091"/>
      <x v="2"/>
    </i>
    <i>
      <x v="1076"/>
      <x v="432"/>
      <x v="2"/>
    </i>
    <i>
      <x v="1077"/>
      <x v="261"/>
      <x v="2"/>
    </i>
    <i>
      <x v="1078"/>
      <x v="262"/>
      <x v="2"/>
    </i>
    <i>
      <x v="1079"/>
      <x v="263"/>
      <x v="2"/>
    </i>
    <i>
      <x v="1080"/>
      <x v="234"/>
      <x v="2"/>
    </i>
    <i>
      <x v="1081"/>
      <x v="145"/>
      <x v="2"/>
    </i>
    <i>
      <x v="1082"/>
      <x v="564"/>
      <x v="2"/>
    </i>
    <i>
      <x v="1083"/>
      <x v="430"/>
      <x v="2"/>
    </i>
    <i>
      <x v="1084"/>
      <x v="566"/>
      <x v="2"/>
    </i>
    <i>
      <x v="1085"/>
      <x v="606"/>
      <x v="2"/>
    </i>
    <i>
      <x v="1086"/>
      <x v="605"/>
      <x v="2"/>
    </i>
    <i>
      <x v="1087"/>
      <x v="604"/>
      <x v="2"/>
    </i>
    <i>
      <x v="1088"/>
      <x v="602"/>
      <x v="2"/>
    </i>
    <i>
      <x v="1089"/>
      <x v="601"/>
      <x v="2"/>
    </i>
    <i>
      <x v="1090"/>
      <x v="834"/>
      <x v="2"/>
    </i>
    <i>
      <x v="1091"/>
      <x v="682"/>
      <x v="2"/>
    </i>
    <i>
      <x v="1092"/>
      <x v="656"/>
      <x v="2"/>
    </i>
    <i>
      <x v="1093"/>
      <x v="496"/>
      <x v="2"/>
    </i>
    <i>
      <x v="1094"/>
      <x v="607"/>
      <x v="2"/>
    </i>
    <i>
      <x v="1095"/>
      <x v="35"/>
      <x v="2"/>
    </i>
    <i>
      <x v="1096"/>
      <x v="579"/>
      <x v="2"/>
    </i>
    <i>
      <x v="1097"/>
      <x v="562"/>
      <x v="2"/>
    </i>
    <i>
      <x v="1098"/>
      <x v="407"/>
      <x v="2"/>
    </i>
    <i>
      <x v="1099"/>
      <x v="669"/>
      <x v="1"/>
    </i>
    <i r="2">
      <x v="2"/>
    </i>
    <i r="2">
      <x v="3"/>
    </i>
    <i>
      <x v="1100"/>
      <x v="245"/>
      <x v="1"/>
    </i>
    <i r="2">
      <x v="2"/>
    </i>
    <i r="2">
      <x v="3"/>
    </i>
    <i>
      <x v="1101"/>
      <x v="652"/>
      <x v="2"/>
    </i>
    <i>
      <x v="1102"/>
      <x v="662"/>
      <x v="1"/>
    </i>
    <i r="2">
      <x v="2"/>
    </i>
    <i r="2">
      <x v="3"/>
    </i>
    <i>
      <x v="1103"/>
      <x v="822"/>
      <x v="2"/>
    </i>
    <i>
      <x v="1104"/>
      <x v="580"/>
      <x v="2"/>
    </i>
    <i>
      <x v="1105"/>
      <x v="600"/>
      <x v="2"/>
    </i>
    <i>
      <x v="1106"/>
      <x v="132"/>
      <x v="2"/>
    </i>
    <i>
      <x v="1107"/>
      <x v="130"/>
      <x v="2"/>
    </i>
    <i>
      <x v="1108"/>
      <x v="131"/>
      <x v="2"/>
    </i>
    <i>
      <x v="1109"/>
      <x v="884"/>
      <x v="2"/>
    </i>
    <i>
      <x v="1110"/>
      <x v="882"/>
      <x v="2"/>
    </i>
    <i>
      <x v="1111"/>
      <x v="17"/>
      <x v="2"/>
    </i>
    <i>
      <x v="1112"/>
      <x v="16"/>
      <x v="2"/>
    </i>
    <i>
      <x v="1113"/>
      <x v="15"/>
      <x v="2"/>
    </i>
    <i>
      <x v="1114"/>
      <x v="14"/>
      <x v="2"/>
    </i>
    <i>
      <x v="1115"/>
      <x v="13"/>
      <x v="2"/>
    </i>
    <i>
      <x v="1116"/>
      <x v="12"/>
      <x v="2"/>
    </i>
    <i>
      <x v="1117"/>
      <x v="667"/>
      <x v="2"/>
    </i>
    <i>
      <x v="1118"/>
      <x v="782"/>
      <x v="2"/>
    </i>
    <i r="2">
      <x v="6"/>
    </i>
    <i>
      <x v="1119"/>
      <x v="881"/>
      <x v="2"/>
    </i>
    <i>
      <x v="1120"/>
      <x v="288"/>
      <x v="2"/>
    </i>
    <i>
      <x v="1121"/>
      <x v="571"/>
      <x v="1"/>
    </i>
    <i r="2">
      <x v="2"/>
    </i>
    <i r="2">
      <x v="3"/>
    </i>
    <i>
      <x v="1122"/>
      <x v="142"/>
      <x/>
    </i>
    <i r="2">
      <x v="1"/>
    </i>
    <i r="2">
      <x v="2"/>
    </i>
    <i>
      <x v="1123"/>
      <x v="143"/>
      <x/>
    </i>
    <i r="2">
      <x v="1"/>
    </i>
    <i r="2">
      <x v="2"/>
    </i>
    <i>
      <x v="1124"/>
      <x v="489"/>
      <x/>
    </i>
    <i r="2">
      <x v="1"/>
    </i>
    <i r="2">
      <x v="2"/>
    </i>
    <i>
      <x v="1125"/>
      <x v="506"/>
      <x v="2"/>
    </i>
    <i>
      <x v="1126"/>
      <x v="677"/>
      <x v="2"/>
    </i>
    <i>
      <x v="1127"/>
      <x v="674"/>
      <x/>
    </i>
    <i r="2">
      <x v="1"/>
    </i>
    <i r="2">
      <x v="2"/>
    </i>
    <i>
      <x v="1128"/>
      <x v="1092"/>
      <x v="2"/>
    </i>
    <i>
      <x v="1129"/>
      <x v="675"/>
      <x v="2"/>
    </i>
    <i>
      <x v="1130"/>
      <x v="676"/>
      <x v="2"/>
    </i>
    <i>
      <x v="1131"/>
      <x v="673"/>
      <x v="2"/>
    </i>
    <i>
      <x v="1132"/>
      <x v="796"/>
      <x v="2"/>
    </i>
    <i>
      <x v="1133"/>
      <x v="875"/>
      <x v="2"/>
    </i>
    <i>
      <x v="1134"/>
      <x v="538"/>
      <x v="1"/>
    </i>
    <i r="2">
      <x v="2"/>
    </i>
    <i r="2">
      <x v="3"/>
    </i>
    <i>
      <x v="1135"/>
      <x v="308"/>
      <x v="2"/>
    </i>
    <i>
      <x v="1136"/>
      <x v="295"/>
      <x v="2"/>
    </i>
    <i>
      <x v="1137"/>
      <x v="265"/>
      <x v="2"/>
    </i>
    <i>
      <x v="1138"/>
      <x v="603"/>
      <x v="2"/>
    </i>
    <i>
      <x v="1139"/>
      <x v="885"/>
      <x v="2"/>
    </i>
    <i>
      <x v="1140"/>
      <x v="292"/>
      <x v="2"/>
    </i>
    <i>
      <x v="1141"/>
      <x v="815"/>
      <x v="2"/>
    </i>
    <i>
      <x v="1142"/>
      <x v="1093"/>
      <x v="2"/>
    </i>
    <i>
      <x v="1143"/>
      <x v="493"/>
      <x v="2"/>
    </i>
    <i>
      <x v="1144"/>
      <x v="495"/>
      <x v="2"/>
    </i>
    <i>
      <x v="1145"/>
      <x v="494"/>
      <x v="2"/>
    </i>
    <i>
      <x v="1146"/>
      <x v="1094"/>
      <x v="2"/>
    </i>
    <i>
      <x v="1147"/>
      <x v="668"/>
      <x v="2"/>
    </i>
    <i>
      <x v="1148"/>
      <x v="634"/>
      <x v="2"/>
    </i>
    <i>
      <x v="1149"/>
      <x v="633"/>
      <x v="2"/>
    </i>
    <i>
      <x v="1150"/>
      <x v="672"/>
      <x v="2"/>
    </i>
    <i>
      <x v="1151"/>
      <x v="648"/>
      <x v="2"/>
    </i>
    <i>
      <x v="1152"/>
      <x v="298"/>
      <x v="2"/>
    </i>
    <i>
      <x v="1153"/>
      <x v="311"/>
      <x v="2"/>
    </i>
    <i>
      <x v="1154"/>
      <x v="296"/>
      <x v="2"/>
    </i>
    <i>
      <x v="1155"/>
      <x v="302"/>
      <x v="2"/>
    </i>
    <i>
      <x v="1156"/>
      <x v="297"/>
      <x v="2"/>
    </i>
    <i>
      <x v="1157"/>
      <x v="309"/>
      <x v="2"/>
    </i>
    <i>
      <x v="1158"/>
      <x v="408"/>
      <x v="2"/>
    </i>
    <i>
      <x v="1159"/>
      <x v="647"/>
      <x v="2"/>
    </i>
    <i>
      <x v="1160"/>
      <x v="501"/>
      <x v="2"/>
    </i>
    <i>
      <x v="1161"/>
      <x v="670"/>
      <x v="2"/>
    </i>
    <i>
      <x v="1162"/>
      <x v="835"/>
      <x v="2"/>
    </i>
    <i>
      <x v="1163"/>
      <x v="836"/>
      <x v="2"/>
    </i>
    <i>
      <x v="1164"/>
      <x v="278"/>
      <x v="2"/>
    </i>
    <i>
      <x v="1165"/>
      <x v="755"/>
      <x v="2"/>
    </i>
    <i>
      <x v="1166"/>
      <x v="133"/>
      <x v="2"/>
    </i>
    <i>
      <x v="1167"/>
      <x v="202"/>
      <x v="2"/>
    </i>
    <i r="2">
      <x v="4"/>
    </i>
    <i>
      <x v="1168"/>
      <x v="203"/>
      <x v="2"/>
    </i>
    <i>
      <x v="1169"/>
      <x v="3"/>
      <x v="2"/>
    </i>
    <i>
      <x v="1170"/>
      <x v="4"/>
      <x v="2"/>
    </i>
    <i>
      <x v="1171"/>
      <x v="2"/>
      <x v="2"/>
    </i>
    <i>
      <x v="1172"/>
      <x v="5"/>
      <x v="2"/>
    </i>
    <i>
      <x v="1173"/>
      <x v="6"/>
      <x v="2"/>
    </i>
    <i>
      <x v="1174"/>
      <x v="10"/>
      <x v="2"/>
    </i>
    <i>
      <x v="1175"/>
      <x v="11"/>
      <x v="2"/>
    </i>
    <i>
      <x v="1176"/>
      <x v="8"/>
      <x v="2"/>
    </i>
    <i>
      <x v="1177"/>
      <x v="9"/>
      <x v="2"/>
    </i>
    <i>
      <x v="1178"/>
      <x v="7"/>
      <x v="2"/>
    </i>
    <i>
      <x v="1179"/>
      <x v="487"/>
      <x v="2"/>
    </i>
    <i>
      <x v="1180"/>
      <x v="505"/>
      <x v="2"/>
    </i>
    <i>
      <x v="1181"/>
      <x v="563"/>
      <x v="2"/>
    </i>
    <i>
      <x v="1182"/>
      <x v="546"/>
      <x v="2"/>
    </i>
    <i>
      <x v="1183"/>
      <x v="139"/>
      <x v="2"/>
    </i>
    <i>
      <x v="1184"/>
      <x v="138"/>
      <x v="2"/>
    </i>
    <i>
      <x v="1185"/>
      <x v="137"/>
      <x v="2"/>
    </i>
    <i>
      <x v="1186"/>
      <x v="141"/>
      <x v="1"/>
    </i>
    <i r="2">
      <x v="2"/>
    </i>
    <i r="2">
      <x v="3"/>
    </i>
    <i r="2">
      <x v="4"/>
    </i>
    <i>
      <x v="1187"/>
      <x v="135"/>
      <x v="2"/>
    </i>
    <i>
      <x v="1188"/>
      <x v="140"/>
      <x v="2"/>
    </i>
    <i>
      <x v="1189"/>
      <x v="598"/>
      <x v="2"/>
    </i>
    <i>
      <x v="1190"/>
      <x v="661"/>
      <x v="2"/>
    </i>
    <i>
      <x v="1191"/>
      <x v="659"/>
      <x v="2"/>
    </i>
    <i>
      <x v="1192"/>
      <x v="1"/>
      <x v="2"/>
    </i>
    <i>
      <x v="1193"/>
      <x v="804"/>
      <x v="2"/>
    </i>
    <i>
      <x v="1194"/>
      <x v="802"/>
      <x v="2"/>
    </i>
    <i>
      <x v="1195"/>
      <x v="803"/>
      <x v="2"/>
    </i>
    <i>
      <x v="1196"/>
      <x v="195"/>
      <x v="2"/>
    </i>
    <i>
      <x v="1197"/>
      <x v="599"/>
      <x v="1"/>
    </i>
    <i r="2">
      <x v="2"/>
    </i>
    <i r="2">
      <x v="3"/>
    </i>
    <i>
      <x v="1198"/>
      <x v="1095"/>
      <x v="2"/>
    </i>
    <i>
      <x v="1199"/>
      <x v="615"/>
      <x v="2"/>
    </i>
    <i>
      <x v="1200"/>
      <x v="849"/>
      <x v="2"/>
    </i>
    <i>
      <x v="1201"/>
      <x v="851"/>
      <x v="2"/>
    </i>
    <i>
      <x v="1202"/>
      <x v="610"/>
      <x v="2"/>
    </i>
    <i>
      <x v="1203"/>
      <x v="512"/>
      <x v="2"/>
    </i>
    <i>
      <x v="1204"/>
      <x v="166"/>
      <x v="2"/>
    </i>
    <i>
      <x v="1205"/>
      <x v="170"/>
      <x v="2"/>
    </i>
    <i>
      <x v="1206"/>
      <x v="171"/>
      <x v="2"/>
    </i>
    <i>
      <x v="1207"/>
      <x v="184"/>
      <x v="2"/>
    </i>
    <i>
      <x v="1208"/>
      <x v="854"/>
      <x v="2"/>
    </i>
    <i>
      <x v="1209"/>
      <x v="852"/>
      <x v="2"/>
    </i>
    <i>
      <x v="1210"/>
      <x v="613"/>
      <x v="2"/>
    </i>
    <i>
      <x v="1211"/>
      <x v="611"/>
      <x v="2"/>
    </i>
    <i>
      <x v="1212"/>
      <x v="710"/>
      <x v="2"/>
    </i>
    <i>
      <x v="1213"/>
      <x v="713"/>
      <x v="2"/>
    </i>
    <i>
      <x v="1214"/>
      <x v="728"/>
      <x v="2"/>
    </i>
    <i>
      <x v="1215"/>
      <x v="731"/>
      <x v="2"/>
    </i>
    <i>
      <x v="1216"/>
      <x v="715"/>
      <x v="2"/>
    </i>
    <i>
      <x v="1217"/>
      <x v="718"/>
      <x v="2"/>
    </i>
    <i>
      <x v="1218"/>
      <x v="712"/>
      <x v="2"/>
    </i>
    <i>
      <x v="1219"/>
      <x v="725"/>
      <x v="2"/>
    </i>
    <i>
      <x v="1220"/>
      <x v="721"/>
      <x v="2"/>
    </i>
    <i>
      <x v="1221"/>
      <x v="726"/>
      <x v="2"/>
    </i>
    <i>
      <x v="1222"/>
      <x v="724"/>
      <x v="2"/>
    </i>
    <i>
      <x v="1223"/>
      <x v="709"/>
      <x v="2"/>
    </i>
    <i>
      <x v="1224"/>
      <x v="727"/>
      <x v="2"/>
    </i>
    <i>
      <x v="1225"/>
      <x v="723"/>
      <x v="2"/>
    </i>
    <i>
      <x v="1226"/>
      <x v="714"/>
      <x v="2"/>
    </i>
    <i>
      <x v="1227"/>
      <x v="717"/>
      <x v="2"/>
    </i>
    <i>
      <x v="1228"/>
      <x v="729"/>
      <x v="2"/>
    </i>
    <i>
      <x v="1229"/>
      <x v="722"/>
      <x v="2"/>
    </i>
    <i>
      <x v="1230"/>
      <x v="716"/>
      <x v="2"/>
    </i>
    <i>
      <x v="1231"/>
      <x v="711"/>
      <x v="2"/>
    </i>
    <i>
      <x v="1232"/>
      <x v="730"/>
      <x v="2"/>
    </i>
    <i>
      <x v="1233"/>
      <x v="720"/>
      <x v="2"/>
    </i>
    <i>
      <x v="1234"/>
      <x v="719"/>
      <x v="2"/>
    </i>
    <i>
      <x v="1235"/>
      <x v="732"/>
      <x v="2"/>
    </i>
    <i>
      <x v="1236"/>
      <x v="820"/>
      <x v="2"/>
    </i>
    <i>
      <x v="1237"/>
      <x v="812"/>
      <x v="2"/>
    </i>
    <i>
      <x v="1238"/>
      <x v="813"/>
      <x v="2"/>
    </i>
    <i>
      <x v="1239"/>
      <x v="650"/>
      <x v="2"/>
    </i>
    <i>
      <x v="1240"/>
      <x v="445"/>
      <x v="2"/>
    </i>
    <i>
      <x v="1241"/>
      <x v="1096"/>
      <x v="2"/>
    </i>
    <i>
      <x v="1242"/>
      <x v="415"/>
      <x v="2"/>
    </i>
    <i>
      <x v="1243"/>
      <x v="891"/>
      <x v="2"/>
    </i>
    <i>
      <x v="1244"/>
      <x v="148"/>
      <x v="1"/>
    </i>
    <i r="2">
      <x v="2"/>
    </i>
    <i r="2">
      <x v="3"/>
    </i>
    <i>
      <x v="1245"/>
      <x v="235"/>
      <x v="2"/>
    </i>
    <i>
      <x v="1246"/>
      <x v="754"/>
      <x v="2"/>
    </i>
    <i>
      <x v="1247"/>
      <x v="1074"/>
      <x v="2"/>
    </i>
    <i>
      <x v="1248"/>
      <x v="877"/>
      <x v="2"/>
    </i>
    <i>
      <x v="1249"/>
      <x v="876"/>
      <x v="2"/>
    </i>
    <i>
      <x v="1250"/>
      <x v="878"/>
      <x v="2"/>
    </i>
    <i>
      <x v="1251"/>
      <x v="1097"/>
      <x v="2"/>
    </i>
    <i>
      <x v="1252"/>
      <x v="447"/>
      <x v="2"/>
    </i>
    <i>
      <x v="1253"/>
      <x v="448"/>
      <x v="2"/>
    </i>
    <i>
      <x v="1254"/>
      <x v="645"/>
      <x v="2"/>
    </i>
    <i>
      <x v="1255"/>
      <x v="646"/>
      <x v="2"/>
    </i>
    <i>
      <x v="1256"/>
      <x v="734"/>
      <x v="2"/>
    </i>
    <i>
      <x v="1257"/>
      <x v="733"/>
      <x v="2"/>
    </i>
    <i>
      <x v="1258"/>
      <x v="243"/>
      <x v="2"/>
    </i>
    <i>
      <x v="1259"/>
      <x v="565"/>
      <x v="2"/>
    </i>
    <i>
      <x v="1260"/>
      <x v="82"/>
      <x v="1"/>
    </i>
    <i r="2">
      <x v="2"/>
    </i>
    <i r="2">
      <x v="3"/>
    </i>
    <i>
      <x v="1261"/>
      <x v="150"/>
      <x v="2"/>
    </i>
    <i>
      <x v="1262"/>
      <x v="153"/>
      <x v="1"/>
    </i>
    <i r="2">
      <x v="2"/>
    </i>
    <i r="2">
      <x v="3"/>
    </i>
    <i>
      <x v="1263"/>
      <x v="152"/>
      <x v="2"/>
    </i>
    <i>
      <x v="1264"/>
      <x v="154"/>
      <x v="2"/>
    </i>
    <i>
      <x v="1265"/>
      <x v="151"/>
      <x v="1"/>
    </i>
    <i r="2">
      <x v="2"/>
    </i>
    <i r="2">
      <x v="3"/>
    </i>
    <i>
      <x v="1266"/>
      <x v="488"/>
      <x v="2"/>
    </i>
    <i>
      <x v="1267"/>
      <x v="478"/>
      <x v="2"/>
    </i>
    <i>
      <x v="1268"/>
      <x v="477"/>
      <x v="2"/>
    </i>
    <i>
      <x v="1269"/>
      <x v="638"/>
      <x v="2"/>
    </i>
    <i>
      <x v="1270"/>
      <x v="405"/>
      <x v="2"/>
    </i>
    <i>
      <x v="1271"/>
      <x v="640"/>
      <x v="1"/>
    </i>
    <i r="2">
      <x v="2"/>
    </i>
    <i r="2">
      <x v="3"/>
    </i>
    <i>
      <x v="1272"/>
      <x v="417"/>
      <x v="2"/>
    </i>
    <i>
      <x v="1273"/>
      <x v="1098"/>
      <x v="2"/>
    </i>
    <i>
      <x v="1274"/>
      <x v="681"/>
      <x v="2"/>
    </i>
    <i>
      <x v="1275"/>
      <x v="679"/>
      <x v="2"/>
    </i>
    <i>
      <x v="1276"/>
      <x v="680"/>
      <x v="2"/>
    </i>
    <i>
      <x v="1277"/>
      <x v="767"/>
      <x v="2"/>
    </i>
    <i>
      <x v="1278"/>
      <x v="873"/>
      <x v="1"/>
    </i>
    <i r="2">
      <x v="2"/>
    </i>
    <i r="2">
      <x v="3"/>
    </i>
    <i>
      <x v="1279"/>
      <x v="832"/>
      <x v="2"/>
    </i>
    <i>
      <x v="1280"/>
      <x v="69"/>
      <x v="2"/>
    </i>
    <i>
      <x v="1281"/>
      <x v="1099"/>
      <x v="2"/>
    </i>
    <i>
      <x v="1282"/>
      <x v="708"/>
      <x v="2"/>
    </i>
    <i>
      <x v="1283"/>
      <x v="486"/>
      <x v="2"/>
    </i>
    <i>
      <x v="1284"/>
      <x v="485"/>
      <x v="2"/>
    </i>
    <i>
      <x v="1285"/>
      <x v="258"/>
      <x v="2"/>
    </i>
    <i>
      <x v="1286"/>
      <x v="255"/>
      <x v="2"/>
    </i>
    <i>
      <x v="1287"/>
      <x v="256"/>
      <x v="2"/>
    </i>
    <i>
      <x v="1288"/>
      <x v="247"/>
      <x v="2"/>
    </i>
    <i>
      <x v="1289"/>
      <x v="266"/>
      <x v="2"/>
    </i>
    <i>
      <x v="1290"/>
      <x v="248"/>
      <x v="2"/>
    </i>
    <i>
      <x v="1291"/>
      <x v="253"/>
      <x v="2"/>
    </i>
    <i>
      <x v="1292"/>
      <x v="254"/>
      <x v="2"/>
    </i>
    <i>
      <x v="1293"/>
      <x v="252"/>
      <x v="2"/>
    </i>
    <i>
      <x v="1294"/>
      <x v="251"/>
      <x v="2"/>
    </i>
    <i>
      <x v="1295"/>
      <x v="257"/>
      <x v="2"/>
    </i>
    <i>
      <x v="1296"/>
      <x v="763"/>
      <x v="2"/>
    </i>
    <i>
      <x v="1297"/>
      <x v="762"/>
      <x v="2"/>
    </i>
    <i>
      <x v="1298"/>
      <x v="654"/>
      <x v="1"/>
    </i>
    <i r="2">
      <x v="2"/>
    </i>
    <i r="2">
      <x v="3"/>
    </i>
    <i>
      <x v="1299"/>
      <x v="653"/>
      <x v="1"/>
    </i>
    <i r="2">
      <x v="2"/>
    </i>
    <i r="2">
      <x v="3"/>
    </i>
    <i>
      <x v="1300"/>
      <x v="774"/>
      <x/>
    </i>
    <i r="2">
      <x v="1"/>
    </i>
    <i r="2">
      <x v="2"/>
    </i>
    <i r="2">
      <x v="3"/>
    </i>
    <i r="2">
      <x v="6"/>
    </i>
    <i>
      <x v="1301"/>
      <x v="777"/>
      <x v="2"/>
    </i>
    <i>
      <x v="1302"/>
      <x v="572"/>
      <x v="2"/>
    </i>
    <i>
      <x v="1303"/>
      <x v="1100"/>
      <x v="2"/>
    </i>
    <i>
      <x v="1304"/>
      <x v="655"/>
      <x v="1"/>
    </i>
    <i r="2">
      <x v="2"/>
    </i>
    <i r="2">
      <x v="3"/>
    </i>
    <i>
      <x v="1305"/>
      <x v="631"/>
      <x/>
    </i>
    <i r="2">
      <x v="1"/>
    </i>
    <i r="2">
      <x v="2"/>
    </i>
    <i>
      <x v="1306"/>
      <x v="31"/>
      <x v="2"/>
    </i>
    <i>
      <x v="1307"/>
      <x v="33"/>
      <x v="2"/>
    </i>
    <i>
      <x v="1308"/>
      <x v="34"/>
      <x v="1"/>
    </i>
    <i r="2">
      <x v="2"/>
    </i>
    <i r="2">
      <x v="3"/>
    </i>
    <i>
      <x v="1309"/>
      <x v="32"/>
      <x v="2"/>
    </i>
    <i>
      <x v="1310"/>
      <x v="30"/>
      <x v="2"/>
    </i>
    <i>
      <x v="1311"/>
      <x v="786"/>
      <x/>
    </i>
    <i r="2">
      <x v="1"/>
    </i>
    <i r="2">
      <x v="2"/>
    </i>
    <i>
      <x v="1312"/>
      <x v="629"/>
      <x v="2"/>
    </i>
    <i>
      <x v="1313"/>
      <x v="99"/>
      <x v="2"/>
    </i>
    <i>
      <x v="1314"/>
      <x v="569"/>
      <x/>
    </i>
    <i r="2">
      <x v="1"/>
    </i>
    <i r="2">
      <x v="2"/>
    </i>
    <i>
      <x v="1315"/>
      <x v="570"/>
      <x v="1"/>
    </i>
    <i r="2">
      <x v="2"/>
    </i>
    <i r="2">
      <x v="3"/>
    </i>
    <i>
      <x v="1316"/>
      <x v="568"/>
      <x v="1"/>
    </i>
    <i r="2">
      <x v="2"/>
    </i>
    <i r="2">
      <x v="3"/>
    </i>
    <i>
      <x v="1317"/>
      <x v="577"/>
      <x v="2"/>
    </i>
    <i>
      <x v="1318"/>
      <x v="576"/>
      <x v="1"/>
    </i>
    <i r="2">
      <x v="2"/>
    </i>
    <i r="2">
      <x v="3"/>
    </i>
    <i>
      <x v="1319"/>
      <x v="1101"/>
      <x v="2"/>
    </i>
    <i>
      <x v="1320"/>
      <x v="781"/>
      <x v="2"/>
    </i>
    <i r="2">
      <x v="6"/>
    </i>
    <i>
      <x v="1321"/>
      <x v="561"/>
      <x v="2"/>
    </i>
    <i>
      <x v="1322"/>
      <x v="632"/>
      <x v="2"/>
    </i>
    <i>
      <x v="1323"/>
      <x v="1075"/>
      <x v="2"/>
    </i>
    <i>
      <x v="1324"/>
      <x v="1102"/>
      <x/>
    </i>
    <i r="2">
      <x v="1"/>
    </i>
    <i r="2">
      <x v="2"/>
    </i>
    <i>
      <x v="1325"/>
      <x v="419"/>
      <x v="2"/>
    </i>
    <i>
      <x v="1326"/>
      <x v="279"/>
      <x v="2"/>
    </i>
    <i r="2">
      <x v="4"/>
    </i>
    <i>
      <x v="1327"/>
      <x v="226"/>
      <x v="2"/>
    </i>
    <i>
      <x v="1328"/>
      <x v="444"/>
      <x v="2"/>
    </i>
    <i>
      <x v="1329"/>
      <x v="535"/>
      <x v="2"/>
    </i>
    <i>
      <x v="1330"/>
      <x v="988"/>
      <x v="1"/>
    </i>
    <i r="2">
      <x v="2"/>
    </i>
    <i r="2">
      <x v="3"/>
    </i>
    <i>
      <x v="1331"/>
      <x v="818"/>
      <x v="2"/>
    </i>
    <i>
      <x v="1332"/>
      <x v="301"/>
      <x v="2"/>
    </i>
    <i>
      <x v="1333"/>
      <x v="299"/>
      <x v="2"/>
    </i>
    <i>
      <x v="1334"/>
      <x v="300"/>
      <x v="2"/>
    </i>
    <i>
      <x v="1335"/>
      <x v="98"/>
      <x v="2"/>
    </i>
    <i>
      <x v="1336"/>
      <x v="533"/>
      <x v="2"/>
    </i>
    <i>
      <x v="1337"/>
      <x v="780"/>
      <x v="2"/>
    </i>
    <i r="2">
      <x v="6"/>
    </i>
    <i>
      <x v="1338"/>
      <x v="778"/>
      <x v="2"/>
    </i>
    <i r="2">
      <x v="6"/>
    </i>
    <i>
      <x v="1339"/>
      <x v="156"/>
      <x v="2"/>
    </i>
    <i>
      <x v="1340"/>
      <x v="87"/>
      <x v="2"/>
    </i>
    <i>
      <x v="1341"/>
      <x v="628"/>
      <x v="2"/>
    </i>
    <i>
      <x v="1342"/>
      <x v="97"/>
      <x v="2"/>
    </i>
    <i>
      <x v="1343"/>
      <x v="273"/>
      <x v="2"/>
    </i>
    <i>
      <x v="1344"/>
      <x v="271"/>
      <x v="2"/>
    </i>
    <i>
      <x v="1345"/>
      <x v="270"/>
      <x v="2"/>
    </i>
    <i>
      <x v="1346"/>
      <x v="269"/>
      <x v="2"/>
    </i>
    <i>
      <x v="1347"/>
      <x v="272"/>
      <x v="2"/>
    </i>
    <i>
      <x v="1348"/>
      <x v="107"/>
      <x v="2"/>
    </i>
    <i>
      <x v="1349"/>
      <x v="1076"/>
      <x v="2"/>
    </i>
    <i>
      <x v="1350"/>
      <x v="511"/>
      <x v="2"/>
    </i>
    <i>
      <x v="1351"/>
      <x v="614"/>
      <x v="2"/>
    </i>
    <i>
      <x v="1352"/>
      <x v="484"/>
      <x v="2"/>
    </i>
    <i>
      <x v="1353"/>
      <x v="837"/>
      <x v="2"/>
    </i>
    <i>
      <x v="1354"/>
      <x v="482"/>
      <x v="2"/>
    </i>
    <i>
      <x v="1355"/>
      <x v="481"/>
      <x v="2"/>
    </i>
    <i>
      <x v="1356"/>
      <x v="483"/>
      <x v="2"/>
    </i>
    <i>
      <x v="1357"/>
      <x v="480"/>
      <x v="2"/>
    </i>
    <i>
      <x v="1358"/>
      <x v="175"/>
      <x v="2"/>
    </i>
    <i>
      <x v="1359"/>
      <x v="870"/>
      <x v="2"/>
    </i>
    <i>
      <x v="1360"/>
      <x v="845"/>
      <x v="2"/>
    </i>
    <i>
      <x v="1361"/>
      <x v="844"/>
      <x v="2"/>
    </i>
    <i>
      <x v="1362"/>
      <x v="612"/>
      <x v="2"/>
    </i>
    <i>
      <x v="1363"/>
      <x v="616"/>
      <x v="2"/>
    </i>
    <i>
      <x v="1364"/>
      <x v="190"/>
      <x v="2"/>
    </i>
    <i>
      <x v="1365"/>
      <x v="469"/>
      <x v="2"/>
    </i>
    <i>
      <x v="1366"/>
      <x v="174"/>
      <x v="2"/>
    </i>
    <i>
      <x v="1367"/>
      <x v="609"/>
      <x v="2"/>
    </i>
    <i>
      <x v="1368"/>
      <x v="182"/>
      <x v="2"/>
    </i>
    <i>
      <x v="1369"/>
      <x v="464"/>
      <x v="2"/>
    </i>
    <i>
      <x v="1370"/>
      <x v="1077"/>
      <x v="2"/>
    </i>
    <i>
      <x v="1371"/>
      <x v="180"/>
      <x v="2"/>
    </i>
    <i>
      <x v="1372"/>
      <x v="847"/>
      <x v="2"/>
    </i>
    <i>
      <x v="1373"/>
      <x v="1103"/>
      <x v="2"/>
    </i>
    <i>
      <x v="1374"/>
      <x v="867"/>
      <x v="2"/>
    </i>
    <i>
      <x v="1375"/>
      <x v="788"/>
      <x v="2"/>
    </i>
    <i>
      <x v="1376"/>
      <x v="828"/>
      <x v="2"/>
    </i>
    <i>
      <x v="1377"/>
      <x v="827"/>
      <x v="2"/>
    </i>
    <i>
      <x v="1378"/>
      <x v="1078"/>
      <x v="2"/>
    </i>
    <i>
      <x v="1379"/>
      <x v="825"/>
      <x v="2"/>
    </i>
    <i>
      <x v="1380"/>
      <x v="227"/>
      <x v="2"/>
    </i>
    <i>
      <x v="1381"/>
      <x v="229"/>
      <x v="2"/>
    </i>
    <i>
      <x v="1382"/>
      <x v="280"/>
      <x v="2"/>
    </i>
    <i r="2">
      <x v="4"/>
    </i>
    <i>
      <x v="1383"/>
      <x v="282"/>
      <x v="2"/>
    </i>
    <i>
      <x v="1384"/>
      <x v="880"/>
      <x v="2"/>
    </i>
    <i>
      <x v="1385"/>
      <x v="67"/>
      <x v="2"/>
    </i>
    <i>
      <x v="1386"/>
      <x v="1104"/>
      <x v="2"/>
    </i>
    <i>
      <x v="1387"/>
      <x v="418"/>
      <x v="2"/>
    </i>
    <i>
      <x v="1388"/>
      <x v="268"/>
      <x v="2"/>
    </i>
    <i>
      <x v="1389"/>
      <x v="811"/>
      <x v="2"/>
    </i>
    <i>
      <x v="1390"/>
      <x v="1079"/>
      <x/>
    </i>
    <i r="2">
      <x v="1"/>
    </i>
    <i r="2">
      <x v="2"/>
    </i>
    <i>
      <x v="1391"/>
      <x v="404"/>
      <x v="1"/>
    </i>
    <i r="2">
      <x v="2"/>
    </i>
    <i r="2">
      <x v="3"/>
    </i>
    <i>
      <x v="1392"/>
      <x v="304"/>
      <x v="2"/>
    </i>
    <i>
      <x v="1393"/>
      <x v="306"/>
      <x v="2"/>
    </i>
    <i>
      <x v="1394"/>
      <x v="305"/>
      <x v="2"/>
    </i>
    <i>
      <x v="1395"/>
      <x v="294"/>
      <x v="2"/>
    </i>
    <i>
      <x v="1396"/>
      <x v="303"/>
      <x v="2"/>
    </i>
    <i>
      <x v="1397"/>
      <x v="879"/>
      <x/>
    </i>
    <i r="2">
      <x v="1"/>
    </i>
    <i r="2">
      <x v="2"/>
    </i>
    <i>
      <x v="1398"/>
      <x v="433"/>
      <x v="2"/>
    </i>
    <i>
      <x v="1399"/>
      <x v="1105"/>
      <x v="2"/>
    </i>
    <i>
      <x v="1400"/>
      <x v="414"/>
      <x v="2"/>
    </i>
    <i>
      <x v="1401"/>
      <x v="738"/>
      <x v="2"/>
    </i>
    <i>
      <x v="1402"/>
      <x v="758"/>
      <x v="2"/>
    </i>
    <i>
      <x v="1403"/>
      <x v="874"/>
      <x v="2"/>
    </i>
    <i>
      <x v="1404"/>
      <x v="453"/>
      <x v="2"/>
    </i>
    <i>
      <x v="1405"/>
      <x v="454"/>
      <x v="2"/>
    </i>
    <i>
      <x v="1406"/>
      <x v="455"/>
      <x v="2"/>
    </i>
    <i>
      <x v="1407"/>
      <x v="798"/>
      <x v="2"/>
    </i>
    <i>
      <x v="1408"/>
      <x v="799"/>
      <x v="2"/>
    </i>
    <i>
      <x v="1409"/>
      <x v="544"/>
      <x v="1"/>
    </i>
    <i r="2">
      <x v="2"/>
    </i>
    <i r="2">
      <x v="3"/>
    </i>
    <i>
      <x v="1410"/>
      <x v="739"/>
      <x v="2"/>
    </i>
    <i>
      <x v="1411"/>
      <x v="775"/>
      <x v="2"/>
    </i>
    <i r="2">
      <x v="6"/>
    </i>
    <i>
      <x v="1412"/>
      <x v="779"/>
      <x v="2"/>
    </i>
    <i>
      <x v="1413"/>
      <x v="523"/>
      <x v="2"/>
    </i>
    <i>
      <x v="1414"/>
      <x v="426"/>
      <x v="2"/>
    </i>
    <i>
      <x v="1415"/>
      <x v="977"/>
      <x v="1"/>
    </i>
    <i r="2">
      <x v="2"/>
    </i>
    <i r="2">
      <x v="3"/>
    </i>
    <i>
      <x v="1416"/>
      <x v="540"/>
      <x v="2"/>
    </i>
    <i>
      <x v="1417"/>
      <x v="541"/>
      <x v="2"/>
    </i>
    <i>
      <x v="1418"/>
      <x v="819"/>
      <x v="2"/>
    </i>
    <i>
      <x v="1419"/>
      <x v="637"/>
      <x v="2"/>
    </i>
    <i>
      <x v="1420"/>
      <x v="59"/>
      <x v="2"/>
    </i>
    <i>
      <x v="1421"/>
      <x v="757"/>
      <x v="2"/>
    </i>
    <i>
      <x v="1422"/>
      <x v="756"/>
      <x v="2"/>
    </i>
    <i>
      <x v="1423"/>
      <x v="90"/>
      <x v="2"/>
    </i>
    <i>
      <x v="1424"/>
      <x v="688"/>
      <x v="2"/>
    </i>
    <i>
      <x v="1425"/>
      <x v="660"/>
      <x v="2"/>
    </i>
    <i>
      <x v="1426"/>
      <x v="503"/>
      <x v="2"/>
    </i>
    <i>
      <x v="1427"/>
      <x v="792"/>
      <x v="2"/>
    </i>
    <i>
      <x v="1428"/>
      <x v="106"/>
      <x v="2"/>
    </i>
    <i>
      <x v="1429"/>
      <x v="737"/>
      <x v="2"/>
    </i>
    <i>
      <x v="1430"/>
      <x v="127"/>
      <x v="2"/>
    </i>
    <i>
      <x v="1431"/>
      <x v="791"/>
      <x v="2"/>
    </i>
    <i>
      <x v="1432"/>
      <x v="830"/>
      <x v="2"/>
    </i>
    <i r="2">
      <x v="4"/>
    </i>
    <i>
      <x v="1433"/>
      <x v="128"/>
      <x v="2"/>
    </i>
    <i>
      <x v="1434"/>
      <x v="883"/>
      <x v="2"/>
    </i>
    <i>
      <x v="1435"/>
      <x v="149"/>
      <x v="2"/>
    </i>
    <i>
      <x v="1436"/>
      <x v="663"/>
      <x v="2"/>
    </i>
    <i>
      <x v="1437"/>
      <x v="207"/>
      <x v="2"/>
    </i>
    <i>
      <x v="1438"/>
      <x v="214"/>
      <x v="2"/>
    </i>
    <i>
      <x v="1439"/>
      <x v="529"/>
      <x v="2"/>
    </i>
    <i>
      <x v="1440"/>
      <x v="239"/>
      <x v="2"/>
    </i>
    <i>
      <x v="1441"/>
      <x v="241"/>
      <x v="2"/>
    </i>
    <i>
      <x v="1442"/>
      <x v="706"/>
      <x v="2"/>
    </i>
    <i>
      <x v="1443"/>
      <x v="212"/>
      <x v="2"/>
    </i>
    <i>
      <x v="1444"/>
      <x v="528"/>
      <x v="2"/>
    </i>
    <i>
      <x v="1445"/>
      <x v="525"/>
      <x v="2"/>
    </i>
    <i>
      <x v="1446"/>
      <x v="221"/>
      <x v="2"/>
    </i>
    <i>
      <x v="1447"/>
      <x v="216"/>
      <x v="2"/>
    </i>
    <i>
      <x v="1448"/>
      <x v="499"/>
      <x v="2"/>
    </i>
    <i>
      <x v="1449"/>
      <x v="205"/>
      <x v="2"/>
    </i>
    <i>
      <x v="1450"/>
      <x v="228"/>
      <x v="2"/>
    </i>
    <i>
      <x v="1451"/>
      <x v="532"/>
      <x v="2"/>
    </i>
    <i>
      <x v="1452"/>
      <x v="824"/>
      <x v="2"/>
    </i>
    <i>
      <x v="1453"/>
      <x v="459"/>
      <x v="2"/>
    </i>
    <i>
      <x v="1454"/>
      <x v="54"/>
      <x v="2"/>
    </i>
    <i>
      <x v="1455"/>
      <x v="55"/>
      <x v="2"/>
    </i>
    <i>
      <x v="1456"/>
      <x v="53"/>
      <x v="2"/>
    </i>
    <i>
      <x v="1457"/>
      <x v="56"/>
      <x v="2"/>
    </i>
    <i>
      <x v="1458"/>
      <x v="58"/>
      <x v="2"/>
    </i>
    <i>
      <x v="1459"/>
      <x v="57"/>
      <x v="2"/>
    </i>
    <i>
      <x v="1460"/>
      <x v="581"/>
      <x v="2"/>
    </i>
    <i>
      <x v="1461"/>
      <x v="687"/>
      <x v="2"/>
    </i>
    <i>
      <x v="1462"/>
      <x v="208"/>
      <x v="2"/>
    </i>
    <i>
      <x v="1463"/>
      <x v="224"/>
      <x v="2"/>
    </i>
    <i>
      <x v="1464"/>
      <x v="225"/>
      <x v="2"/>
    </i>
    <i>
      <x v="1465"/>
      <x v="218"/>
      <x v="2"/>
    </i>
    <i>
      <x v="1466"/>
      <x v="217"/>
      <x v="2"/>
    </i>
    <i>
      <x v="1467"/>
      <x v="526"/>
      <x v="2"/>
    </i>
    <i>
      <x v="1468"/>
      <x v="210"/>
      <x v="2"/>
    </i>
    <i>
      <x v="1469"/>
      <x v="211"/>
      <x v="2"/>
    </i>
    <i>
      <x v="1470"/>
      <x v="219"/>
      <x v="2"/>
    </i>
    <i>
      <x v="1471"/>
      <x v="215"/>
      <x v="2"/>
    </i>
    <i>
      <x v="1472"/>
      <x v="209"/>
      <x v="2"/>
    </i>
    <i>
      <x v="1473"/>
      <x v="213"/>
      <x v="2"/>
    </i>
    <i>
      <x v="1474"/>
      <x v="220"/>
      <x v="2"/>
    </i>
    <i>
      <x v="1475"/>
      <x v="683"/>
      <x v="2"/>
    </i>
    <i>
      <x v="1476"/>
      <x v="1106"/>
      <x v="2"/>
    </i>
    <i>
      <x v="1477"/>
      <x v="1107"/>
      <x v="2"/>
    </i>
    <i>
      <x v="1478"/>
      <x v="1108"/>
      <x v="2"/>
    </i>
    <i>
      <x v="1479"/>
      <x v="1109"/>
      <x v="2"/>
    </i>
    <i>
      <x v="1480"/>
      <x v="275"/>
      <x v="2"/>
    </i>
    <i>
      <x v="1481"/>
      <x v="593"/>
      <x v="2"/>
    </i>
    <i>
      <x v="1482"/>
      <x v="456"/>
      <x v="2"/>
    </i>
    <i>
      <x v="1483"/>
      <x v="595"/>
      <x v="2"/>
    </i>
    <i>
      <x v="1484"/>
      <x v="594"/>
      <x v="2"/>
    </i>
    <i>
      <x v="1485"/>
      <x v="244"/>
      <x v="1"/>
    </i>
    <i r="2">
      <x v="2"/>
    </i>
    <i r="2">
      <x v="3"/>
    </i>
    <i>
      <x v="1486"/>
      <x v="391"/>
      <x v="2"/>
    </i>
    <i>
      <x v="1487"/>
      <x v="236"/>
      <x v="2"/>
    </i>
    <i>
      <x v="1488"/>
      <x v="805"/>
      <x v="1"/>
    </i>
    <i r="2">
      <x v="2"/>
    </i>
    <i r="2">
      <x v="3"/>
    </i>
    <i>
      <x v="1489"/>
      <x v="578"/>
      <x v="2"/>
    </i>
    <i>
      <x v="1490"/>
      <x v="1110"/>
      <x v="2"/>
    </i>
    <i>
      <x v="1491"/>
      <x v="465"/>
      <x v="2"/>
    </i>
    <i>
      <x v="1492"/>
      <x v="466"/>
      <x v="2"/>
    </i>
    <i>
      <x v="1493"/>
      <x v="157"/>
      <x v="2"/>
    </i>
    <i>
      <x v="1494"/>
      <x v="460"/>
      <x v="2"/>
    </i>
    <i>
      <x v="1495"/>
      <x v="846"/>
      <x v="2"/>
    </i>
    <i>
      <x v="1496"/>
      <x v="842"/>
      <x v="2"/>
    </i>
    <i>
      <x v="1497"/>
      <x v="164"/>
      <x v="2"/>
    </i>
    <i>
      <x v="1498"/>
      <x v="18"/>
      <x v="2"/>
    </i>
    <i>
      <x v="1499"/>
      <x v="843"/>
      <x v="2"/>
    </i>
    <i>
      <x v="1500"/>
      <x v="838"/>
      <x v="2"/>
    </i>
    <i>
      <x v="1501"/>
      <x v="513"/>
      <x v="2"/>
    </i>
    <i>
      <x v="1502"/>
      <x v="510"/>
      <x v="2"/>
    </i>
    <i>
      <x v="1503"/>
      <x v="514"/>
      <x v="2"/>
    </i>
    <i>
      <x v="1504"/>
      <x v="473"/>
      <x v="2"/>
    </i>
    <i>
      <x v="1505"/>
      <x v="181"/>
      <x v="2"/>
    </i>
    <i>
      <x v="1506"/>
      <x v="850"/>
      <x v="2"/>
    </i>
    <i>
      <x v="1507"/>
      <x v="463"/>
      <x v="2"/>
    </i>
    <i>
      <x v="1508"/>
      <x v="25"/>
      <x v="2"/>
    </i>
    <i>
      <x v="1509"/>
      <x v="23"/>
      <x v="2"/>
    </i>
    <i>
      <x v="1510"/>
      <x v="21"/>
      <x v="2"/>
    </i>
    <i>
      <x v="1511"/>
      <x v="24"/>
      <x v="2"/>
    </i>
    <i>
      <x v="1512"/>
      <x v="177"/>
      <x v="2"/>
    </i>
    <i>
      <x v="1513"/>
      <x v="163"/>
      <x v="2"/>
    </i>
    <i>
      <x v="1514"/>
      <x v="179"/>
      <x v="2"/>
    </i>
    <i>
      <x v="1515"/>
      <x v="183"/>
      <x v="2"/>
    </i>
    <i>
      <x v="1516"/>
      <x v="745"/>
      <x v="2"/>
    </i>
    <i>
      <x v="1517"/>
      <x v="746"/>
      <x v="2"/>
    </i>
    <i>
      <x v="1518"/>
      <x v="744"/>
      <x v="2"/>
    </i>
    <i>
      <x v="1519"/>
      <x v="743"/>
      <x v="2"/>
    </i>
    <i>
      <x v="1520"/>
      <x v="81"/>
      <x v="2"/>
    </i>
    <i>
      <x v="1521"/>
      <x v="189"/>
      <x v="2"/>
    </i>
    <i>
      <x v="1522"/>
      <x v="619"/>
      <x v="2"/>
    </i>
    <i>
      <x v="1523"/>
      <x v="468"/>
      <x v="2"/>
    </i>
    <i>
      <x v="1524"/>
      <x v="28"/>
      <x v="2"/>
    </i>
    <i>
      <x v="1525"/>
      <x v="515"/>
      <x v="2"/>
    </i>
    <i>
      <x v="1526"/>
      <x v="1111"/>
      <x v="2"/>
    </i>
    <i>
      <x v="1527"/>
      <x v="173"/>
      <x v="2"/>
    </i>
    <i>
      <x v="1528"/>
      <x v="172"/>
      <x v="2"/>
    </i>
    <i>
      <x v="1529"/>
      <x v="848"/>
      <x v="2"/>
    </i>
    <i>
      <x v="1530"/>
      <x v="19"/>
      <x v="2"/>
    </i>
    <i>
      <x v="1531"/>
      <x v="855"/>
      <x v="2"/>
    </i>
    <i>
      <x v="1532"/>
      <x v="858"/>
      <x v="2"/>
    </i>
    <i>
      <x v="1533"/>
      <x v="159"/>
      <x v="2"/>
    </i>
    <i>
      <x v="1534"/>
      <x v="1112"/>
      <x v="1"/>
    </i>
    <i r="2">
      <x v="2"/>
    </i>
    <i r="2">
      <x v="3"/>
    </i>
    <i>
      <x v="1535"/>
      <x v="502"/>
      <x v="1"/>
    </i>
    <i r="2">
      <x v="2"/>
    </i>
    <i r="2">
      <x v="3"/>
    </i>
    <i>
      <x v="1536"/>
      <x v="267"/>
      <x v="2"/>
    </i>
    <i>
      <x v="1537"/>
      <x v="36"/>
      <x v="2"/>
    </i>
    <i>
      <x v="1538"/>
      <x v="685"/>
      <x v="2"/>
    </i>
    <i>
      <x v="1539"/>
      <x v="38"/>
      <x v="2"/>
    </i>
    <i>
      <x v="1540"/>
      <x v="37"/>
      <x v="2"/>
    </i>
    <i>
      <x v="1541"/>
      <x v="80"/>
      <x v="2"/>
    </i>
    <i>
      <x v="1542"/>
      <x v="79"/>
      <x v="2"/>
    </i>
    <i>
      <x v="1543"/>
      <x v="77"/>
      <x v="2"/>
    </i>
    <i>
      <x v="1544"/>
      <x v="78"/>
      <x v="2"/>
    </i>
    <i>
      <x v="1545"/>
      <x v="49"/>
      <x v="2"/>
    </i>
    <i>
      <x v="1546"/>
      <x v="48"/>
      <x v="2"/>
    </i>
    <i>
      <x v="1547"/>
      <x v="47"/>
      <x v="2"/>
    </i>
    <i>
      <x v="1548"/>
      <x v="51"/>
      <x v="2"/>
    </i>
    <i>
      <x v="1549"/>
      <x v="52"/>
      <x v="2"/>
    </i>
    <i>
      <x v="1550"/>
      <x v="50"/>
      <x v="2"/>
    </i>
    <i>
      <x v="1551"/>
      <x v="45"/>
      <x v="2"/>
    </i>
    <i>
      <x v="1552"/>
      <x v="46"/>
      <x v="2"/>
    </i>
    <i>
      <x v="1553"/>
      <x v="230"/>
      <x v="2"/>
    </i>
    <i>
      <x v="1554"/>
      <x v="76"/>
      <x v="2"/>
    </i>
    <i>
      <x v="1555"/>
      <x v="72"/>
      <x v="2"/>
    </i>
    <i>
      <x v="1556"/>
      <x v="800"/>
      <x v="2"/>
    </i>
    <i>
      <x v="1557"/>
      <x v="1113"/>
      <x v="2"/>
    </i>
    <i>
      <x v="1558"/>
      <x v="871"/>
      <x v="2"/>
    </i>
    <i>
      <x v="1559"/>
      <x v="542"/>
      <x v="2"/>
    </i>
    <i>
      <x v="1560"/>
      <x v="393"/>
      <x v="2"/>
    </i>
    <i>
      <x v="1561"/>
      <x v="394"/>
      <x v="2"/>
    </i>
    <i>
      <x v="1562"/>
      <x v="397"/>
      <x/>
    </i>
    <i r="2">
      <x v="1"/>
    </i>
    <i r="2">
      <x v="2"/>
    </i>
    <i>
      <x v="1563"/>
      <x v="71"/>
      <x v="1"/>
    </i>
    <i r="2">
      <x v="2"/>
    </i>
    <i r="2">
      <x v="3"/>
    </i>
    <i>
      <x v="1564"/>
      <x v="573"/>
      <x v="2"/>
    </i>
    <i>
      <x v="1565"/>
      <x v="691"/>
      <x v="2"/>
    </i>
    <i>
      <x v="1566"/>
      <x v="400"/>
      <x v="2"/>
    </i>
    <i>
      <x v="1567"/>
      <x v="411"/>
      <x v="2"/>
    </i>
    <i>
      <x v="1568"/>
      <x v="559"/>
      <x v="2"/>
    </i>
    <i>
      <x v="1569"/>
      <x v="85"/>
      <x v="2"/>
    </i>
    <i>
      <x v="1570"/>
      <x v="403"/>
      <x v="1"/>
    </i>
    <i r="2">
      <x v="2"/>
    </i>
    <i r="2">
      <x v="3"/>
    </i>
    <i>
      <x v="1571"/>
      <x v="392"/>
      <x/>
    </i>
    <i r="2">
      <x v="1"/>
    </i>
    <i r="2">
      <x v="2"/>
    </i>
    <i>
      <x v="1572"/>
      <x v="539"/>
      <x v="2"/>
    </i>
    <i>
      <x v="1573"/>
      <x v="70"/>
      <x v="2"/>
    </i>
    <i>
      <x v="1574"/>
      <x v="395"/>
      <x v="2"/>
    </i>
    <i>
      <x v="1575"/>
      <x v="399"/>
      <x v="2"/>
    </i>
    <i>
      <x v="1576"/>
      <x v="396"/>
      <x v="2"/>
    </i>
    <i>
      <x v="1577"/>
      <x v="398"/>
      <x/>
    </i>
    <i r="2">
      <x v="1"/>
    </i>
    <i r="2">
      <x v="2"/>
    </i>
    <i r="2">
      <x v="3"/>
    </i>
    <i r="2">
      <x v="8"/>
    </i>
    <i>
      <x v="1578"/>
      <x v="68"/>
      <x/>
    </i>
    <i r="2">
      <x v="1"/>
    </i>
    <i r="2">
      <x v="2"/>
    </i>
    <i r="2">
      <x v="3"/>
    </i>
    <i>
      <x v="1579"/>
      <x v="658"/>
      <x v="2"/>
    </i>
    <i>
      <x v="1580"/>
      <x v="498"/>
      <x/>
    </i>
    <i r="2">
      <x v="1"/>
    </i>
    <i r="2">
      <x v="2"/>
    </i>
    <i>
      <x v="1581"/>
      <x v="402"/>
      <x v="2"/>
    </i>
    <i r="2">
      <x v="6"/>
    </i>
    <i>
      <x v="1582"/>
      <x v="560"/>
      <x v="2"/>
    </i>
    <i>
      <x v="1583"/>
      <x v="401"/>
      <x v="2"/>
    </i>
    <i>
      <x v="1584"/>
      <x v="110"/>
      <x v="2"/>
    </i>
    <i>
      <x v="1585"/>
      <x v="113"/>
      <x v="2"/>
    </i>
    <i>
      <x v="1586"/>
      <x v="108"/>
      <x v="2"/>
    </i>
    <i>
      <x v="1587"/>
      <x v="115"/>
      <x v="2"/>
    </i>
    <i>
      <x v="1588"/>
      <x v="109"/>
      <x v="2"/>
    </i>
    <i>
      <x v="1589"/>
      <x v="111"/>
      <x v="2"/>
    </i>
    <i>
      <x v="1590"/>
      <x v="808"/>
      <x v="2"/>
    </i>
    <i>
      <x v="1591"/>
      <x v="807"/>
      <x v="2"/>
    </i>
    <i>
      <x v="1592"/>
      <x v="810"/>
      <x v="2"/>
    </i>
    <i>
      <x v="1593"/>
      <x v="809"/>
      <x v="2"/>
    </i>
    <i>
      <x v="1594"/>
      <x v="806"/>
      <x v="2"/>
    </i>
    <i>
      <x v="1595"/>
      <x v="833"/>
      <x v="1"/>
    </i>
    <i r="2">
      <x v="2"/>
    </i>
    <i r="2">
      <x v="3"/>
    </i>
    <i>
      <x v="1596"/>
      <x v="84"/>
      <x v="2"/>
    </i>
    <i>
      <x v="1597"/>
      <x v="83"/>
      <x v="2"/>
    </i>
    <i>
      <x v="1598"/>
      <x v="410"/>
      <x v="2"/>
    </i>
    <i>
      <x v="1599"/>
      <x v="114"/>
      <x v="2"/>
    </i>
    <i>
      <x v="1600"/>
      <x v="785"/>
      <x v="2"/>
    </i>
    <i>
      <x v="1601"/>
      <x v="741"/>
      <x v="2"/>
    </i>
    <i>
      <x v="1602"/>
      <x v="742"/>
      <x v="2"/>
    </i>
    <i>
      <x v="1603"/>
      <x v="380"/>
      <x v="2"/>
    </i>
    <i>
      <x v="1604"/>
      <x v="381"/>
      <x v="2"/>
    </i>
    <i>
      <x v="1605"/>
      <x v="497"/>
      <x v="2"/>
    </i>
    <i>
      <x v="1606"/>
      <x v="123"/>
      <x v="2"/>
    </i>
    <i>
      <x v="1607"/>
      <x v="124"/>
      <x v="2"/>
    </i>
    <i>
      <x v="1608"/>
      <x v="122"/>
      <x v="2"/>
    </i>
    <i>
      <x v="1609"/>
      <x v="121"/>
      <x v="2"/>
    </i>
    <i>
      <x v="1610"/>
      <x v="1114"/>
      <x v="2"/>
    </i>
    <i>
      <x v="1611"/>
      <x v="116"/>
      <x v="1"/>
    </i>
    <i r="2">
      <x v="2"/>
    </i>
    <i r="2">
      <x v="3"/>
    </i>
    <i>
      <x v="1612"/>
      <x v="120"/>
      <x v="2"/>
    </i>
    <i>
      <x v="1613"/>
      <x v="126"/>
      <x v="2"/>
    </i>
    <i>
      <x v="1614"/>
      <x v="125"/>
      <x v="2"/>
    </i>
    <i>
      <x v="1615"/>
      <x v="118"/>
      <x v="2"/>
    </i>
    <i>
      <x v="1616"/>
      <x v="119"/>
      <x v="2"/>
    </i>
    <i>
      <x v="1617"/>
      <x v="787"/>
      <x v="2"/>
    </i>
    <i>
      <x v="1618"/>
      <x v="759"/>
      <x v="2"/>
    </i>
    <i>
      <x v="1619"/>
      <x v="1115"/>
      <x v="1"/>
    </i>
    <i r="2">
      <x v="2"/>
    </i>
    <i r="2">
      <x v="3"/>
    </i>
    <i>
      <x v="1620"/>
      <x v="134"/>
      <x v="2"/>
    </i>
    <i>
      <x v="1621"/>
      <x v="797"/>
      <x v="2"/>
    </i>
    <i>
      <x v="1622"/>
      <x v="704"/>
      <x v="2"/>
    </i>
    <i>
      <x v="1623"/>
      <x v="412"/>
      <x v="2"/>
    </i>
    <i>
      <x v="1624"/>
      <x v="536"/>
      <x v="2"/>
    </i>
    <i>
      <x v="1625"/>
      <x v="784"/>
      <x v="2"/>
    </i>
    <i r="2">
      <x v="6"/>
    </i>
    <i>
      <x v="1626"/>
      <x v="558"/>
      <x v="2"/>
    </i>
    <i>
      <x v="1627"/>
      <x v="557"/>
      <x v="2"/>
    </i>
    <i>
      <x v="1628"/>
      <x v="155"/>
      <x v="2"/>
    </i>
    <i>
      <x v="1629"/>
      <x v="516"/>
      <x v="2"/>
    </i>
    <i>
      <x v="1630"/>
      <x v="517"/>
      <x v="2"/>
    </i>
    <i>
      <x v="1631"/>
      <x v="518"/>
      <x v="2"/>
    </i>
    <i>
      <x v="1632"/>
      <x v="1110"/>
      <x v="2"/>
    </i>
    <i>
      <x v="1633"/>
      <x v="694"/>
      <x v="2"/>
    </i>
    <i>
      <x v="1634"/>
      <x v="695"/>
      <x v="2"/>
    </i>
    <i>
      <x v="1635"/>
      <x v="696"/>
      <x v="2"/>
    </i>
    <i>
      <x v="1636"/>
      <x v="703"/>
      <x v="2"/>
    </i>
    <i>
      <x v="1637"/>
      <x v="700"/>
      <x v="2"/>
    </i>
    <i>
      <x v="1638"/>
      <x v="699"/>
      <x v="2"/>
    </i>
    <i>
      <x v="1639"/>
      <x v="698"/>
      <x v="2"/>
    </i>
    <i>
      <x v="1640"/>
      <x v="701"/>
      <x v="2"/>
    </i>
    <i>
      <x v="1641"/>
      <x v="702"/>
      <x v="2"/>
    </i>
    <i>
      <x v="1642"/>
      <x v="697"/>
      <x v="2"/>
    </i>
    <i>
      <x v="1643"/>
      <x v="161"/>
      <x v="2"/>
    </i>
    <i>
      <x v="1644"/>
      <x v="165"/>
      <x v="2"/>
    </i>
    <i>
      <x v="1645"/>
      <x v="160"/>
      <x v="2"/>
    </i>
    <i>
      <x v="1646"/>
      <x v="1116"/>
      <x v="2"/>
    </i>
    <i>
      <x v="1647"/>
      <x v="1117"/>
      <x v="2"/>
    </i>
    <i>
      <x v="1648"/>
      <x v="20"/>
      <x v="2"/>
    </i>
    <i>
      <x v="1649"/>
      <x v="839"/>
      <x v="2"/>
    </i>
    <i>
      <x v="1650"/>
      <x v="22"/>
      <x v="2"/>
    </i>
    <i>
      <x v="1651"/>
      <x v="26"/>
      <x v="2"/>
    </i>
    <i>
      <x v="1652"/>
      <x v="27"/>
      <x v="2"/>
    </i>
    <i>
      <x v="1653"/>
      <x v="193"/>
      <x v="2"/>
    </i>
    <i>
      <x v="1654"/>
      <x v="856"/>
      <x v="2"/>
    </i>
    <i>
      <x v="1655"/>
      <x v="857"/>
      <x v="2"/>
    </i>
    <i>
      <x v="1656"/>
      <x v="471"/>
      <x v="2"/>
    </i>
    <i>
      <x v="1657"/>
      <x v="470"/>
      <x v="2"/>
    </i>
    <i>
      <x v="1658"/>
      <x v="188"/>
      <x v="2"/>
    </i>
    <i>
      <x v="1659"/>
      <x v="187"/>
      <x v="2"/>
    </i>
    <i>
      <x v="1660"/>
      <x v="508"/>
      <x v="2"/>
    </i>
    <i>
      <x v="1661"/>
      <x v="185"/>
      <x v="2"/>
    </i>
    <i>
      <x v="1662"/>
      <x v="853"/>
      <x v="2"/>
    </i>
    <i>
      <x v="1663"/>
      <x v="467"/>
      <x v="2"/>
    </i>
    <i>
      <x v="1664"/>
      <x v="458"/>
      <x v="2"/>
    </i>
    <i>
      <x v="1665"/>
      <x v="457"/>
      <x v="2"/>
    </i>
    <i>
      <x v="1666"/>
      <x v="472"/>
      <x v="2"/>
    </i>
    <i>
      <x v="1667"/>
      <x v="474"/>
      <x v="2"/>
    </i>
    <i>
      <x v="1668"/>
      <x v="509"/>
      <x v="2"/>
    </i>
    <i>
      <x v="1669"/>
      <x v="176"/>
      <x v="2"/>
    </i>
    <i>
      <x v="1670"/>
      <x v="191"/>
      <x v="2"/>
    </i>
    <i>
      <x v="1671"/>
      <x v="162"/>
      <x v="2"/>
    </i>
    <i>
      <x v="1672"/>
      <x v="158"/>
      <x v="2"/>
    </i>
    <i>
      <x v="1673"/>
      <x v="178"/>
      <x v="2"/>
    </i>
    <i>
      <x v="1674"/>
      <x v="168"/>
      <x v="2"/>
    </i>
    <i>
      <x v="1675"/>
      <x v="841"/>
      <x v="2"/>
    </i>
    <i>
      <x v="1676"/>
      <x v="840"/>
      <x v="2"/>
    </i>
    <i>
      <x v="1677"/>
      <x v="169"/>
      <x v="2"/>
    </i>
    <i>
      <x v="1678"/>
      <x v="194"/>
      <x v="2"/>
    </i>
    <i>
      <x v="1679"/>
      <x v="390"/>
      <x v="2"/>
    </i>
    <i>
      <x v="1680"/>
      <x v="192"/>
      <x v="2"/>
    </i>
    <i>
      <x v="1681"/>
      <x v="186"/>
      <x v="2"/>
    </i>
    <i>
      <x v="1682"/>
      <x v="449"/>
      <x v="2"/>
    </i>
    <i>
      <x v="1683"/>
      <x v="452"/>
      <x v="2"/>
    </i>
    <i>
      <x v="1684"/>
      <x v="450"/>
      <x v="2"/>
    </i>
    <i>
      <x v="1685"/>
      <x v="451"/>
      <x v="2"/>
    </i>
    <i>
      <x v="1686"/>
      <x v="409"/>
      <x v="2"/>
    </i>
    <i>
      <x v="1687"/>
      <x v="1118"/>
      <x v="2"/>
    </i>
    <i>
      <x v="1688"/>
      <x v="490"/>
      <x v="2"/>
    </i>
    <i>
      <x v="1689"/>
      <x v="491"/>
      <x v="2"/>
    </i>
    <i>
      <x v="1690"/>
      <x v="144"/>
      <x v="2"/>
    </i>
    <i>
      <x v="1691"/>
      <x v="545"/>
      <x v="1"/>
    </i>
    <i r="2">
      <x v="2"/>
    </i>
    <i r="2">
      <x v="3"/>
    </i>
    <i>
      <x v="1692"/>
      <x v="868"/>
      <x v="2"/>
    </i>
    <i r="2">
      <x v="4"/>
    </i>
    <i>
      <x v="1693"/>
      <x v="1080"/>
      <x v="2"/>
    </i>
    <i>
      <x v="1694"/>
      <x v="888"/>
      <x v="2"/>
    </i>
    <i>
      <x v="1695"/>
      <x v="890"/>
      <x v="2"/>
    </i>
    <i>
      <x v="1696"/>
      <x v="889"/>
      <x v="2"/>
    </i>
    <i>
      <x v="1697"/>
      <x v="671"/>
      <x v="2"/>
    </i>
    <i>
      <x v="1698"/>
      <x v="1081"/>
      <x v="2"/>
    </i>
    <i>
      <x v="1699"/>
      <x v="431"/>
      <x v="2"/>
    </i>
    <i>
      <x v="1700"/>
      <x v="446"/>
      <x v="2"/>
    </i>
    <i>
      <x v="1701"/>
      <x v="678"/>
      <x v="2"/>
    </i>
    <i>
      <x v="1702"/>
      <x v="760"/>
      <x v="2"/>
    </i>
    <i>
      <x v="1703"/>
      <x v="761"/>
      <x v="2"/>
    </i>
    <i>
      <x v="1704"/>
      <x v="749"/>
      <x v="2"/>
    </i>
    <i>
      <x v="1705"/>
      <x v="500"/>
      <x v="1"/>
    </i>
    <i r="2">
      <x v="2"/>
    </i>
    <i r="2">
      <x v="3"/>
    </i>
    <i>
      <x v="1706"/>
      <x v="764"/>
      <x v="2"/>
    </i>
    <i>
      <x v="1707"/>
      <x v="869"/>
      <x v="2"/>
    </i>
    <i>
      <x v="1708"/>
      <x v="823"/>
      <x v="2"/>
    </i>
    <i>
      <x v="1709"/>
      <x v="707"/>
      <x v="2"/>
    </i>
    <i>
      <x v="1710"/>
      <x v="429"/>
      <x v="2"/>
    </i>
    <i>
      <x v="1711"/>
      <x v="790"/>
      <x v="2"/>
    </i>
    <i>
      <x v="1712"/>
      <x v="789"/>
      <x v="2"/>
    </i>
    <i>
      <x v="1713"/>
      <x v="63"/>
      <x v="2"/>
    </i>
    <i>
      <x v="1714"/>
      <x v="61"/>
      <x v="2"/>
    </i>
    <i>
      <x v="1715"/>
      <x v="65"/>
      <x v="2"/>
    </i>
    <i>
      <x v="1716"/>
      <x v="66"/>
      <x v="2"/>
    </i>
    <i>
      <x v="1717"/>
      <x v="64"/>
      <x v="2"/>
    </i>
    <i>
      <x v="1718"/>
      <x v="62"/>
      <x v="2"/>
    </i>
    <i>
      <x v="1719"/>
      <x v="60"/>
      <x v="2"/>
    </i>
    <i>
      <x v="1720"/>
      <x v="1119"/>
      <x v="2"/>
    </i>
    <i>
      <x v="1721"/>
      <x v="1120"/>
      <x v="2"/>
    </i>
    <i>
      <x v="1722"/>
      <x v="1121"/>
      <x v="2"/>
    </i>
    <i>
      <x v="1723"/>
      <x v="438"/>
      <x v="2"/>
    </i>
    <i>
      <x v="1724"/>
      <x v="437"/>
      <x v="2"/>
    </i>
    <i>
      <x v="1725"/>
      <x v="440"/>
      <x v="2"/>
    </i>
    <i>
      <x v="1726"/>
      <x v="439"/>
      <x v="2"/>
    </i>
    <i>
      <x v="1727"/>
      <x v="1122"/>
      <x v="2"/>
    </i>
    <i>
      <x v="1728"/>
      <x v="112"/>
      <x v="2"/>
    </i>
    <i>
      <x v="1729"/>
      <x v="795"/>
      <x v="2"/>
    </i>
    <i>
      <x v="1730"/>
      <x v="1110"/>
      <x v="2"/>
    </i>
    <i>
      <x v="1731"/>
      <x v="821"/>
      <x v="2"/>
    </i>
    <i>
      <x v="1732"/>
      <x v="435"/>
      <x v="2"/>
    </i>
    <i>
      <x v="1733"/>
      <x v="246"/>
      <x v="2"/>
    </i>
    <i>
      <x v="1734"/>
      <x v="543"/>
      <x v="2"/>
    </i>
    <i>
      <x v="1735"/>
      <x v="651"/>
      <x v="2"/>
    </i>
    <i>
      <x v="1736"/>
      <x v="592"/>
      <x v="2"/>
    </i>
    <i>
      <x v="1737"/>
      <x v="129"/>
      <x v="2"/>
    </i>
    <i>
      <x v="1738"/>
      <x v="507"/>
      <x v="2"/>
    </i>
    <i>
      <x v="1739"/>
      <x v="39"/>
      <x v="2"/>
    </i>
    <i>
      <x v="1740"/>
      <x v="829"/>
      <x v="2"/>
    </i>
    <i>
      <x v="1741"/>
      <x v="622"/>
      <x v="2"/>
    </i>
    <i>
      <x v="1742"/>
      <x v="621"/>
      <x v="2"/>
    </i>
    <i>
      <x v="1743"/>
      <x v="620"/>
      <x v="2"/>
    </i>
    <i>
      <x v="1744"/>
      <x v="630"/>
      <x v="2"/>
    </i>
    <i>
      <x v="1745"/>
      <x v="29"/>
      <x/>
    </i>
    <i r="2">
      <x v="1"/>
    </i>
    <i r="2">
      <x v="2"/>
    </i>
    <i>
      <x v="1746"/>
      <x v="40"/>
      <x v="2"/>
    </i>
    <i>
      <x v="1747"/>
      <x v="41"/>
      <x v="2"/>
    </i>
    <i>
      <x v="1748"/>
      <x v="530"/>
      <x v="2"/>
    </i>
    <i>
      <x v="1749"/>
      <x v="531"/>
      <x v="2"/>
    </i>
    <i>
      <x v="1750"/>
      <x v="88"/>
      <x v="1"/>
    </i>
    <i r="2">
      <x v="2"/>
    </i>
    <i r="2">
      <x v="3"/>
    </i>
    <i>
      <x v="1751"/>
      <x v="102"/>
      <x v="2"/>
    </i>
    <i>
      <x v="1752"/>
      <x v="86"/>
      <x v="2"/>
    </i>
    <i>
      <x v="1753"/>
      <x v="735"/>
      <x v="2"/>
    </i>
    <i>
      <x v="1754"/>
      <x v="237"/>
      <x v="2"/>
    </i>
    <i>
      <x v="1755"/>
      <x v="768"/>
      <x v="2"/>
    </i>
    <i>
      <x v="1756"/>
      <x v="274"/>
      <x v="2"/>
    </i>
    <i>
      <x v="1757"/>
      <x v="801"/>
      <x v="2"/>
    </i>
    <i>
      <x v="1758"/>
      <x v="420"/>
      <x v="2"/>
    </i>
    <i>
      <x v="1759"/>
      <x v="665"/>
      <x v="2"/>
    </i>
    <i>
      <x v="1760"/>
      <x v="664"/>
      <x v="2"/>
    </i>
    <i>
      <x v="1761"/>
      <x v="136"/>
      <x v="1"/>
    </i>
    <i r="2">
      <x v="2"/>
    </i>
    <i r="2">
      <x v="3"/>
    </i>
    <i>
      <x v="1762"/>
      <x v="389"/>
      <x v="2"/>
    </i>
    <i>
      <x v="1763"/>
      <x v="388"/>
      <x v="2"/>
    </i>
    <i>
      <x v="1764"/>
      <x v="385"/>
      <x v="2"/>
    </i>
    <i>
      <x v="1765"/>
      <x v="384"/>
      <x v="2"/>
    </i>
    <i>
      <x v="1766"/>
      <x v="383"/>
      <x v="2"/>
    </i>
    <i>
      <x v="1767"/>
      <x v="238"/>
      <x v="2"/>
    </i>
    <i>
      <x v="1768"/>
      <x v="547"/>
      <x v="2"/>
    </i>
    <i>
      <x v="1769"/>
      <x v="492"/>
      <x v="2"/>
    </i>
    <i>
      <x v="1770"/>
      <x v="641"/>
      <x v="2"/>
    </i>
    <i>
      <x v="1771"/>
      <x v="686"/>
      <x v="2"/>
    </i>
    <i>
      <x v="1772"/>
      <x v="117"/>
      <x v="2"/>
    </i>
    <i>
      <x v="1773"/>
      <x v="776"/>
      <x v="2"/>
    </i>
    <i r="2">
      <x v="6"/>
    </i>
    <i>
      <x v="1774"/>
      <x v="769"/>
      <x v="2"/>
    </i>
    <i r="2">
      <x v="6"/>
    </i>
    <i>
      <x v="1775"/>
      <x v="1123"/>
      <x v="2"/>
    </i>
    <i r="2">
      <x v="6"/>
    </i>
    <i>
      <x v="1776"/>
      <x v="93"/>
      <x v="2"/>
    </i>
    <i>
      <x v="1777"/>
      <x v="94"/>
      <x v="2"/>
    </i>
    <i>
      <x v="1778"/>
      <x v="92"/>
      <x v="2"/>
    </i>
    <i>
      <x v="1779"/>
      <x v="96"/>
      <x v="2"/>
    </i>
    <i>
      <x v="1780"/>
      <x v="44"/>
      <x v="2"/>
    </i>
    <i>
      <x v="1781"/>
      <x v="42"/>
      <x v="2"/>
    </i>
    <i>
      <x v="1782"/>
      <x v="43"/>
      <x v="2"/>
    </i>
    <i>
      <x v="1783"/>
      <x v="1082"/>
      <x v="2"/>
    </i>
    <i>
      <x v="1784"/>
      <x v="617"/>
      <x v="2"/>
    </i>
    <i>
      <x v="1785"/>
      <x v="618"/>
      <x v="2"/>
    </i>
    <i>
      <x v="1786"/>
      <x v="627"/>
      <x v="2"/>
    </i>
    <i>
      <x v="1787"/>
      <x v="200"/>
      <x v="2"/>
    </i>
    <i>
      <x v="1788"/>
      <x v="479"/>
      <x v="2"/>
    </i>
    <i>
      <x v="1789"/>
      <x v="864"/>
      <x v="2"/>
    </i>
    <i>
      <x v="1790"/>
      <x v="522"/>
      <x v="2"/>
    </i>
    <i>
      <x v="1791"/>
      <x v="1124"/>
      <x v="2"/>
    </i>
    <i>
      <x v="1792"/>
      <x v="863"/>
      <x v="2"/>
    </i>
    <i>
      <x v="1793"/>
      <x v="865"/>
      <x v="2"/>
    </i>
    <i>
      <x v="1794"/>
      <x v="201"/>
      <x v="2"/>
    </i>
    <i>
      <x v="1795"/>
      <x v="861"/>
      <x v="2"/>
    </i>
    <i>
      <x v="1796"/>
      <x v="424"/>
      <x v="2"/>
    </i>
    <i>
      <x v="1797"/>
      <x v="413"/>
      <x v="2"/>
    </i>
    <i>
      <x v="1798"/>
      <x v="387"/>
      <x v="2"/>
    </i>
    <i>
      <x v="1799"/>
      <x v="382"/>
      <x v="2"/>
    </i>
    <i>
      <x v="1800"/>
      <x v="386"/>
      <x v="2"/>
    </i>
    <i>
      <x v="1801"/>
      <x v="772"/>
      <x v="2"/>
    </i>
    <i r="2">
      <x v="6"/>
    </i>
    <i>
      <x v="1802"/>
      <x v="250"/>
      <x v="2"/>
    </i>
    <i>
      <x v="1803"/>
      <x v="259"/>
      <x v="2"/>
    </i>
    <i>
      <x v="1804"/>
      <x v="260"/>
      <x v="2"/>
    </i>
    <i>
      <x v="1805"/>
      <x v="249"/>
      <x v="2"/>
    </i>
    <i>
      <x v="1806"/>
      <x v="1125"/>
      <x v="2"/>
    </i>
    <i>
      <x v="1807"/>
      <x v="264"/>
      <x v="2"/>
    </i>
    <i>
      <x v="1808"/>
      <x v="524"/>
      <x v="2"/>
    </i>
    <i>
      <x v="1809"/>
      <x v="1126"/>
      <x v="2"/>
    </i>
    <i>
      <x v="1810"/>
      <x v="1127"/>
      <x v="1"/>
    </i>
    <i r="2">
      <x v="2"/>
    </i>
    <i r="2">
      <x v="3"/>
    </i>
    <i>
      <x v="1811"/>
      <x v="199"/>
      <x v="2"/>
    </i>
    <i>
      <x v="1812"/>
      <x v="101"/>
      <x v="2"/>
    </i>
    <i>
      <x v="1813"/>
      <x v="91"/>
      <x v="2"/>
    </i>
    <i>
      <x v="1814"/>
      <x v="534"/>
      <x v="2"/>
    </i>
    <i>
      <x v="1815"/>
      <x v="105"/>
      <x v="2"/>
    </i>
    <i>
      <x v="1816"/>
      <x v="104"/>
      <x v="2"/>
    </i>
    <i>
      <x v="1817"/>
      <x v="103"/>
      <x v="1"/>
    </i>
    <i r="2">
      <x v="2"/>
    </i>
    <i r="2">
      <x v="3"/>
    </i>
    <i>
      <x v="1818"/>
      <x v="794"/>
      <x v="2"/>
    </i>
    <i>
      <x v="1819"/>
      <x v="95"/>
      <x v="2"/>
    </i>
    <i>
      <x v="1820"/>
      <x v="100"/>
      <x v="2"/>
    </i>
    <i>
      <x v="1821"/>
      <x v="527"/>
      <x v="2"/>
    </i>
    <i>
      <x v="1822"/>
      <x v="689"/>
      <x v="2"/>
    </i>
    <i>
      <x v="1823"/>
      <x v="831"/>
      <x v="2"/>
    </i>
    <i>
      <x v="1824"/>
      <x v="1128"/>
      <x v="2"/>
    </i>
    <i>
      <x v="1825"/>
      <x v="1083"/>
      <x v="2"/>
    </i>
    <i>
      <x v="1826"/>
      <x v="281"/>
      <x v="2"/>
    </i>
    <i r="2">
      <x v="4"/>
    </i>
    <i>
      <x v="1827"/>
      <x v="1129"/>
      <x v="2"/>
    </i>
    <i>
      <x v="1828"/>
      <x v="826"/>
      <x v="2"/>
    </i>
    <i>
      <x v="1829"/>
      <x v="1130"/>
      <x v="2"/>
    </i>
    <i>
      <x v="1830"/>
      <x v="1084"/>
      <x v="2"/>
    </i>
    <i>
      <x v="1831"/>
      <x v="793"/>
      <x v="2"/>
    </i>
    <i>
      <x v="1832"/>
      <x v="770"/>
      <x v="2"/>
    </i>
    <i r="2">
      <x v="6"/>
    </i>
    <i>
      <x v="1833"/>
      <x v="167"/>
      <x v="2"/>
    </i>
    <i>
      <x v="1834"/>
      <x v="462"/>
      <x v="2"/>
    </i>
    <i>
      <x v="1835"/>
      <x v="461"/>
      <x v="2"/>
    </i>
    <i>
      <x v="1836"/>
      <x v="75"/>
      <x v="2"/>
    </i>
    <i>
      <x v="1837"/>
      <x v="657"/>
      <x v="2"/>
    </i>
    <i>
      <x v="1838"/>
      <x v="666"/>
      <x v="2"/>
    </i>
    <i>
      <x v="1839"/>
      <x v="428"/>
      <x v="2"/>
    </i>
    <i>
      <x v="1840"/>
      <x v="427"/>
      <x v="2"/>
    </i>
    <i>
      <x v="1841"/>
      <x v="475"/>
      <x v="2"/>
    </i>
    <i>
      <x v="1842"/>
      <x v="1131"/>
      <x v="2"/>
    </i>
    <i>
      <x v="1843"/>
      <x v="223"/>
      <x v="2"/>
    </i>
    <i>
      <x v="1844"/>
      <x v="222"/>
      <x v="2"/>
    </i>
    <i>
      <x v="1845"/>
      <x v="423"/>
      <x v="2"/>
    </i>
    <i>
      <x v="1846"/>
      <x v="740"/>
      <x v="2"/>
    </i>
    <i>
      <x v="1847"/>
      <x v="293"/>
      <x v="2"/>
    </i>
    <i>
      <x v="1848"/>
      <x v="771"/>
      <x v="1"/>
    </i>
    <i r="2">
      <x v="2"/>
    </i>
    <i r="2">
      <x v="3"/>
    </i>
    <i>
      <x v="1849"/>
      <x v="773"/>
      <x v="2"/>
    </i>
    <i r="2">
      <x v="6"/>
    </i>
    <i>
      <x v="1850"/>
      <x v="206"/>
      <x v="2"/>
    </i>
    <i>
      <x v="1851"/>
      <x v="441"/>
      <x v="2"/>
    </i>
    <i>
      <x v="1852"/>
      <x v="422"/>
      <x v="2"/>
    </i>
    <i>
      <x v="1853"/>
      <x v="421"/>
      <x v="2"/>
    </i>
    <i>
      <x v="1854"/>
      <x v="425"/>
      <x v="2"/>
    </i>
    <i>
      <x v="1855"/>
      <x v="736"/>
      <x v="2"/>
    </i>
    <i>
      <x v="1856"/>
      <x v="783"/>
      <x v="2"/>
    </i>
    <i r="2">
      <x v="6"/>
    </i>
    <i>
      <x v="1857"/>
      <x v="434"/>
      <x v="2"/>
    </i>
    <i>
      <x v="1858"/>
      <x v="204"/>
      <x v="2"/>
    </i>
    <i>
      <x v="1859"/>
      <x v="242"/>
      <x v="2"/>
    </i>
    <i>
      <x v="1860"/>
      <x v="1110"/>
      <x v="2"/>
    </i>
    <i>
      <x v="1861"/>
      <x v="584"/>
      <x v="1"/>
    </i>
    <i r="2">
      <x v="2"/>
    </i>
    <i r="2">
      <x v="3"/>
    </i>
    <i>
      <x v="1862"/>
      <x v="1132"/>
      <x v="1"/>
    </i>
    <i r="2">
      <x v="2"/>
    </i>
    <i r="2">
      <x v="3"/>
    </i>
    <i>
      <x v="1863"/>
      <x v="597"/>
      <x v="2"/>
    </i>
    <i>
      <x v="1864"/>
      <x v="574"/>
      <x v="2"/>
    </i>
    <i>
      <x v="1865"/>
      <x v="276"/>
      <x v="2"/>
    </i>
    <i>
      <x v="1866"/>
      <x v="872"/>
      <x v="2"/>
    </i>
    <i>
      <x v="1867"/>
      <x v="553"/>
      <x v="2"/>
    </i>
    <i>
      <x v="1868"/>
      <x v="814"/>
      <x v="2"/>
    </i>
    <i>
      <x v="1869"/>
      <x v="554"/>
      <x v="2"/>
    </i>
    <i>
      <x v="1870"/>
      <x v="575"/>
      <x v="2"/>
    </i>
    <i>
      <x v="1871"/>
      <x v="692"/>
      <x v="2"/>
    </i>
    <i>
      <x v="1872"/>
      <x v="747"/>
      <x v="2"/>
    </i>
    <i>
      <x v="1873"/>
      <x v="73"/>
      <x v="2"/>
    </i>
    <i>
      <x v="1874"/>
      <x v="548"/>
      <x v="2"/>
    </i>
    <i>
      <x v="1875"/>
      <x v="549"/>
      <x v="2"/>
    </i>
    <i>
      <x v="1876"/>
      <x v="550"/>
      <x v="2"/>
    </i>
    <i>
      <x v="1877"/>
      <x v="74"/>
      <x v="2"/>
    </i>
    <i>
      <x v="1878"/>
      <x v="551"/>
      <x v="2"/>
    </i>
    <i>
      <x v="1879"/>
      <x v="552"/>
      <x v="2"/>
    </i>
    <i>
      <x v="1880"/>
      <x v="147"/>
      <x v="2"/>
    </i>
    <i>
      <x v="1881"/>
      <x v="1110"/>
      <x v="2"/>
    </i>
    <i>
      <x v="1882"/>
      <x v="1133"/>
      <x v="2"/>
    </i>
    <i r="2">
      <x v="5"/>
    </i>
    <i>
      <x v="1883"/>
      <x v="886"/>
      <x v="1"/>
    </i>
    <i r="2">
      <x v="2"/>
    </i>
    <i r="2">
      <x v="3"/>
    </i>
    <i>
      <x v="1884"/>
      <x v="504"/>
      <x v="2"/>
    </i>
    <i>
      <x v="1885"/>
      <x v="649"/>
      <x v="2"/>
    </i>
    <i>
      <x v="1886"/>
      <x v="1134"/>
      <x v="2"/>
    </i>
    <i>
      <x v="1887"/>
      <x v="585"/>
      <x v="2"/>
    </i>
    <i>
      <x v="1888"/>
      <x v="240"/>
      <x v="1"/>
    </i>
    <i r="2">
      <x v="2"/>
    </i>
    <i r="2">
      <x v="3"/>
    </i>
    <i>
      <x v="1889"/>
      <x v="1135"/>
      <x v="2"/>
    </i>
    <i>
      <x v="1890"/>
      <x v="642"/>
      <x v="2"/>
    </i>
    <i>
      <x v="1891"/>
      <x v="583"/>
      <x v="1"/>
    </i>
    <i r="2">
      <x v="2"/>
    </i>
    <i r="2">
      <x v="3"/>
    </i>
    <i>
      <x v="1892"/>
      <x v="582"/>
      <x v="2"/>
    </i>
    <i>
      <x v="1893"/>
      <x v="705"/>
      <x v="1"/>
    </i>
    <i r="2">
      <x v="2"/>
    </i>
    <i r="2">
      <x v="3"/>
    </i>
    <i>
      <x v="1894"/>
      <x v="766"/>
      <x v="2"/>
    </i>
    <i>
      <x v="1895"/>
      <x v="635"/>
      <x/>
    </i>
    <i r="2">
      <x v="1"/>
    </i>
    <i r="2">
      <x v="2"/>
    </i>
    <i>
      <x v="1896"/>
      <x v="636"/>
      <x v="2"/>
    </i>
    <i>
      <x v="1897"/>
      <x v="537"/>
      <x v="2"/>
    </i>
    <i>
      <x v="1898"/>
      <x v="684"/>
      <x v="2"/>
    </i>
    <i>
      <x v="1899"/>
      <x v="436"/>
      <x v="2"/>
    </i>
    <i>
      <x v="1900"/>
      <x v="1110"/>
      <x v="2"/>
    </i>
    <i>
      <x v="1901"/>
      <x v="277"/>
      <x v="2"/>
    </i>
    <i>
      <x v="1902"/>
      <x v="750"/>
      <x v="2"/>
    </i>
    <i>
      <x v="1903"/>
      <x v="587"/>
      <x v="2"/>
    </i>
    <i>
      <x v="1904"/>
      <x v="589"/>
      <x v="2"/>
    </i>
    <i>
      <x v="1905"/>
      <x v="232"/>
      <x v="2"/>
    </i>
    <i>
      <x v="1906"/>
      <x v="1136"/>
      <x v="2"/>
    </i>
    <i>
      <x v="1907"/>
      <x v="751"/>
      <x v="2"/>
    </i>
    <i>
      <x v="1908"/>
      <x v="591"/>
      <x v="2"/>
    </i>
    <i>
      <x v="1909"/>
      <x v="887"/>
      <x v="2"/>
    </i>
    <i>
      <x v="1910"/>
      <x v="644"/>
      <x v="2"/>
    </i>
    <i>
      <x v="1911"/>
      <x v="643"/>
      <x/>
    </i>
    <i r="2">
      <x v="1"/>
    </i>
    <i r="2">
      <x v="2"/>
    </i>
    <i>
      <x v="1912"/>
      <x v="816"/>
      <x v="2"/>
    </i>
    <i>
      <x v="1913"/>
      <x v="1137"/>
      <x v="2"/>
    </i>
    <i>
      <x v="1914"/>
      <x v="765"/>
      <x v="2"/>
    </i>
    <i>
      <x v="1915"/>
      <x v="753"/>
      <x v="2"/>
    </i>
    <i>
      <x v="1916"/>
      <x v="748"/>
      <x v="2"/>
    </i>
    <i>
      <x v="1917"/>
      <x v="752"/>
      <x v="2"/>
    </i>
    <i>
      <x v="1918"/>
      <x v="1138"/>
      <x v="2"/>
    </i>
    <i>
      <x v="1919"/>
      <x v="556"/>
      <x v="2"/>
    </i>
    <i>
      <x v="1920"/>
      <x v="555"/>
      <x v="2"/>
    </i>
    <i>
      <x v="1921"/>
      <x v="1139"/>
      <x v="2"/>
    </i>
    <i>
      <x v="1922"/>
      <x v="1140"/>
      <x v="2"/>
    </i>
    <i>
      <x v="1923"/>
      <x v="1141"/>
      <x v="2"/>
    </i>
    <i>
      <x v="1924"/>
      <x v="231"/>
      <x v="2"/>
    </i>
    <i>
      <x v="1925"/>
      <x v="586"/>
      <x v="2"/>
    </i>
    <i>
      <x v="1926"/>
      <x v="588"/>
      <x v="2"/>
    </i>
    <i>
      <x v="1927"/>
      <x v="596"/>
      <x v="2"/>
    </i>
    <i>
      <x v="1928"/>
      <x v="690"/>
      <x v="2"/>
    </i>
    <i>
      <x v="1929"/>
      <x v="590"/>
      <x v="2"/>
    </i>
    <i>
      <x v="1930"/>
      <x v="1142"/>
      <x v="2"/>
    </i>
    <i>
      <x v="1931"/>
      <x v="233"/>
      <x v="1"/>
    </i>
    <i r="2">
      <x v="2"/>
    </i>
    <i r="2">
      <x v="3"/>
    </i>
    <i>
      <x v="1932"/>
      <x v="693"/>
      <x v="1"/>
    </i>
    <i r="2">
      <x v="5"/>
    </i>
    <i>
      <x v="1933"/>
      <x v="608"/>
      <x v="4"/>
    </i>
    <i>
      <x v="1934"/>
      <x v="639"/>
      <x v="4"/>
    </i>
    <i>
      <x v="1935"/>
      <x v="146"/>
      <x v="4"/>
    </i>
    <i>
      <x v="1936"/>
      <x v="1143"/>
      <x/>
    </i>
    <i r="2">
      <x v="1"/>
    </i>
    <i r="2">
      <x v="5"/>
    </i>
    <i>
      <x v="1937"/>
      <x v="892"/>
      <x/>
    </i>
    <i r="2">
      <x v="1"/>
    </i>
    <i r="2">
      <x v="5"/>
    </i>
    <i>
      <x v="1938"/>
      <x v="893"/>
      <x/>
    </i>
    <i r="2">
      <x v="1"/>
    </i>
    <i r="2">
      <x v="5"/>
    </i>
    <i>
      <x v="1939"/>
      <x v="894"/>
      <x/>
    </i>
    <i r="2">
      <x v="1"/>
    </i>
    <i r="2">
      <x v="5"/>
    </i>
    <i>
      <x v="1940"/>
      <x v="895"/>
      <x v="5"/>
    </i>
    <i r="2">
      <x v="6"/>
    </i>
    <i>
      <x v="1941"/>
      <x v="896"/>
      <x/>
    </i>
    <i r="2">
      <x v="1"/>
    </i>
    <i r="2">
      <x v="5"/>
    </i>
    <i>
      <x v="1942"/>
      <x v="897"/>
      <x v="4"/>
    </i>
    <i>
      <x v="1943"/>
      <x v="898"/>
      <x v="5"/>
    </i>
    <i>
      <x v="1944"/>
      <x v="899"/>
      <x v="5"/>
    </i>
    <i>
      <x v="1945"/>
      <x v="900"/>
      <x v="5"/>
    </i>
    <i>
      <x v="1946"/>
      <x v="901"/>
      <x v="5"/>
    </i>
    <i>
      <x v="1947"/>
      <x v="902"/>
      <x v="5"/>
    </i>
    <i>
      <x v="1948"/>
      <x v="903"/>
      <x v="5"/>
    </i>
    <i>
      <x v="1949"/>
      <x v="904"/>
      <x v="5"/>
    </i>
    <i>
      <x v="1950"/>
      <x v="905"/>
      <x v="5"/>
    </i>
    <i>
      <x v="1951"/>
      <x v="906"/>
      <x v="5"/>
    </i>
    <i>
      <x v="1952"/>
      <x v="907"/>
      <x v="5"/>
    </i>
    <i>
      <x v="1953"/>
      <x v="908"/>
      <x v="5"/>
    </i>
    <i>
      <x v="1954"/>
      <x v="909"/>
      <x v="5"/>
    </i>
    <i>
      <x v="1955"/>
      <x v="910"/>
      <x v="5"/>
    </i>
    <i>
      <x v="1956"/>
      <x v="911"/>
      <x v="5"/>
    </i>
    <i>
      <x v="1957"/>
      <x v="912"/>
      <x v="5"/>
    </i>
    <i>
      <x v="1958"/>
      <x v="913"/>
      <x v="5"/>
    </i>
    <i r="2">
      <x v="6"/>
    </i>
    <i>
      <x v="1959"/>
      <x v="914"/>
      <x v="4"/>
    </i>
    <i r="2">
      <x v="5"/>
    </i>
    <i r="2">
      <x v="6"/>
    </i>
    <i>
      <x v="1960"/>
      <x v="915"/>
      <x v="5"/>
    </i>
    <i r="2">
      <x v="6"/>
    </i>
    <i>
      <x v="1961"/>
      <x v="1144"/>
      <x v="4"/>
    </i>
    <i r="2">
      <x v="5"/>
    </i>
    <i r="2">
      <x v="6"/>
    </i>
    <i>
      <x v="1962"/>
      <x v="1145"/>
      <x v="4"/>
    </i>
    <i r="2">
      <x v="5"/>
    </i>
    <i r="2">
      <x v="6"/>
    </i>
    <i>
      <x v="1963"/>
      <x v="916"/>
      <x v="4"/>
    </i>
    <i r="2">
      <x v="5"/>
    </i>
    <i>
      <x v="1964"/>
      <x v="917"/>
      <x v="5"/>
    </i>
    <i>
      <x v="1965"/>
      <x v="918"/>
      <x v="5"/>
    </i>
    <i>
      <x v="1966"/>
      <x v="919"/>
      <x v="5"/>
    </i>
    <i>
      <x v="1967"/>
      <x v="920"/>
      <x v="5"/>
    </i>
    <i>
      <x v="1968"/>
      <x v="921"/>
      <x v="5"/>
    </i>
    <i>
      <x v="1969"/>
      <x v="922"/>
      <x v="5"/>
    </i>
    <i>
      <x v="1970"/>
      <x v="923"/>
      <x v="5"/>
    </i>
    <i>
      <x v="1971"/>
      <x v="924"/>
      <x v="5"/>
    </i>
    <i>
      <x v="1972"/>
      <x v="925"/>
      <x v="5"/>
    </i>
    <i r="2">
      <x v="6"/>
    </i>
    <i>
      <x v="1973"/>
      <x v="926"/>
      <x v="5"/>
    </i>
    <i>
      <x v="1974"/>
      <x v="927"/>
      <x v="5"/>
    </i>
    <i>
      <x v="1975"/>
      <x v="928"/>
      <x v="5"/>
    </i>
    <i>
      <x v="1976"/>
      <x v="929"/>
      <x v="5"/>
    </i>
    <i>
      <x v="1977"/>
      <x v="930"/>
      <x v="5"/>
    </i>
    <i>
      <x v="1978"/>
      <x v="1146"/>
      <x v="5"/>
    </i>
    <i>
      <x v="1979"/>
      <x v="931"/>
      <x v="4"/>
    </i>
    <i>
      <x v="1980"/>
      <x v="932"/>
      <x v="4"/>
    </i>
    <i>
      <x v="1981"/>
      <x v="933"/>
      <x v="4"/>
    </i>
    <i>
      <x v="1982"/>
      <x v="934"/>
      <x v="4"/>
    </i>
    <i>
      <x v="1983"/>
      <x v="935"/>
      <x v="4"/>
    </i>
    <i>
      <x v="1984"/>
      <x v="936"/>
      <x v="4"/>
    </i>
    <i>
      <x v="1985"/>
      <x v="937"/>
      <x v="4"/>
    </i>
    <i>
      <x v="1986"/>
      <x v="938"/>
      <x v="4"/>
    </i>
    <i>
      <x v="1987"/>
      <x v="939"/>
      <x v="4"/>
    </i>
    <i>
      <x v="1988"/>
      <x v="991"/>
      <x v="4"/>
    </i>
    <i>
      <x v="1989"/>
      <x v="940"/>
      <x v="4"/>
    </i>
    <i r="2">
      <x v="5"/>
    </i>
    <i r="2">
      <x v="6"/>
    </i>
    <i>
      <x v="1990"/>
      <x v="941"/>
      <x v="4"/>
    </i>
    <i>
      <x v="1991"/>
      <x v="942"/>
      <x v="4"/>
    </i>
    <i>
      <x v="1992"/>
      <x v="943"/>
      <x v="4"/>
    </i>
    <i>
      <x v="1993"/>
      <x v="944"/>
      <x v="4"/>
    </i>
    <i>
      <x v="1994"/>
      <x v="1147"/>
      <x v="1"/>
    </i>
    <i r="2">
      <x v="3"/>
    </i>
    <i r="2">
      <x v="4"/>
    </i>
    <i>
      <x v="1995"/>
      <x v="945"/>
      <x v="1"/>
    </i>
    <i r="2">
      <x v="3"/>
    </i>
    <i r="2">
      <x v="4"/>
    </i>
    <i>
      <x v="1996"/>
      <x v="946"/>
      <x v="4"/>
    </i>
    <i>
      <x v="1997"/>
      <x v="947"/>
      <x v="4"/>
    </i>
    <i>
      <x v="1998"/>
      <x v="948"/>
      <x v="4"/>
    </i>
    <i>
      <x v="1999"/>
      <x v="949"/>
      <x v="4"/>
    </i>
    <i>
      <x v="2000"/>
      <x v="950"/>
      <x v="4"/>
    </i>
    <i>
      <x v="2001"/>
      <x v="951"/>
      <x v="4"/>
    </i>
    <i>
      <x v="2002"/>
      <x v="952"/>
      <x v="4"/>
    </i>
    <i>
      <x v="2003"/>
      <x v="953"/>
      <x v="1"/>
    </i>
    <i r="2">
      <x v="3"/>
    </i>
    <i r="2">
      <x v="4"/>
    </i>
    <i>
      <x v="2004"/>
      <x v="954"/>
      <x v="4"/>
    </i>
    <i>
      <x v="2005"/>
      <x v="955"/>
      <x v="4"/>
    </i>
    <i>
      <x v="2006"/>
      <x v="1085"/>
      <x v="4"/>
    </i>
    <i>
      <x v="2007"/>
      <x v="956"/>
      <x v="4"/>
    </i>
    <i>
      <x v="2008"/>
      <x v="957"/>
      <x v="4"/>
    </i>
    <i r="2">
      <x v="5"/>
    </i>
    <i>
      <x v="2009"/>
      <x v="958"/>
      <x v="5"/>
    </i>
    <i>
      <x v="2010"/>
      <x v="959"/>
      <x v="5"/>
    </i>
    <i>
      <x v="2011"/>
      <x v="960"/>
      <x v="2"/>
    </i>
    <i>
      <x v="2012"/>
      <x v="961"/>
      <x v="1"/>
    </i>
    <i r="2">
      <x v="2"/>
    </i>
    <i r="2">
      <x v="3"/>
    </i>
    <i>
      <x v="2013"/>
      <x v="962"/>
      <x v="5"/>
    </i>
    <i>
      <x v="2014"/>
      <x v="963"/>
      <x v="5"/>
    </i>
    <i>
      <x v="2015"/>
      <x v="964"/>
      <x v="5"/>
    </i>
    <i>
      <x v="2016"/>
      <x v="965"/>
      <x v="4"/>
    </i>
    <i>
      <x v="2017"/>
      <x v="966"/>
      <x v="4"/>
    </i>
    <i>
      <x v="2018"/>
      <x v="967"/>
      <x v="4"/>
    </i>
    <i>
      <x v="2019"/>
      <x v="968"/>
      <x v="4"/>
    </i>
    <i>
      <x v="2020"/>
      <x v="969"/>
      <x v="4"/>
    </i>
    <i>
      <x v="2021"/>
      <x v="970"/>
      <x v="4"/>
    </i>
    <i>
      <x v="2022"/>
      <x v="971"/>
      <x v="4"/>
    </i>
    <i>
      <x v="2023"/>
      <x v="972"/>
      <x v="4"/>
    </i>
    <i>
      <x v="2024"/>
      <x v="973"/>
      <x v="4"/>
    </i>
    <i>
      <x v="2025"/>
      <x v="974"/>
      <x v="5"/>
    </i>
    <i>
      <x v="2026"/>
      <x v="975"/>
      <x v="5"/>
    </i>
    <i>
      <x v="2027"/>
      <x v="976"/>
      <x v="5"/>
    </i>
    <i>
      <x v="2028"/>
      <x v="978"/>
      <x v="5"/>
    </i>
    <i>
      <x v="2029"/>
      <x v="1183"/>
      <x v="5"/>
    </i>
    <i>
      <x v="2030"/>
      <x v="979"/>
      <x v="5"/>
    </i>
    <i>
      <x v="2031"/>
      <x v="980"/>
      <x v="5"/>
    </i>
    <i>
      <x v="2032"/>
      <x v="981"/>
      <x v="5"/>
    </i>
    <i>
      <x v="2033"/>
      <x v="982"/>
      <x v="5"/>
    </i>
    <i>
      <x v="2034"/>
      <x v="983"/>
      <x v="5"/>
    </i>
    <i>
      <x v="2035"/>
      <x v="984"/>
      <x v="5"/>
    </i>
    <i>
      <x v="2036"/>
      <x v="985"/>
      <x v="5"/>
    </i>
    <i>
      <x v="2037"/>
      <x v="986"/>
      <x v="5"/>
    </i>
    <i>
      <x v="2038"/>
      <x v="987"/>
      <x v="5"/>
    </i>
    <i>
      <x v="2039"/>
      <x v="1184"/>
      <x v="5"/>
    </i>
    <i>
      <x v="2040"/>
      <x v="989"/>
      <x v="1"/>
    </i>
    <i r="2">
      <x v="2"/>
    </i>
    <i r="2">
      <x v="3"/>
    </i>
    <i>
      <x v="2041"/>
      <x v="990"/>
      <x v="4"/>
    </i>
    <i r="2">
      <x v="6"/>
    </i>
    <i>
      <x v="2042"/>
      <x v="992"/>
      <x v="4"/>
    </i>
    <i>
      <x v="2043"/>
      <x v="993"/>
      <x v="4"/>
    </i>
    <i>
      <x v="2044"/>
      <x v="1149"/>
      <x v="4"/>
    </i>
    <i>
      <x v="2045"/>
      <x v="1150"/>
      <x v="4"/>
    </i>
    <i>
      <x v="2046"/>
      <x v="994"/>
      <x v="4"/>
    </i>
    <i>
      <x v="2047"/>
      <x v="995"/>
      <x v="5"/>
    </i>
    <i>
      <x v="2048"/>
      <x v="996"/>
      <x v="5"/>
    </i>
    <i>
      <x v="2049"/>
      <x v="997"/>
      <x v="5"/>
    </i>
    <i>
      <x v="2050"/>
      <x v="998"/>
      <x v="5"/>
    </i>
    <i>
      <x v="2051"/>
      <x v="999"/>
      <x v="5"/>
    </i>
    <i>
      <x v="2052"/>
      <x v="1000"/>
      <x v="5"/>
    </i>
    <i>
      <x v="2053"/>
      <x v="1001"/>
      <x v="4"/>
    </i>
    <i r="2">
      <x v="5"/>
    </i>
    <i>
      <x v="2054"/>
      <x v="1002"/>
      <x v="5"/>
    </i>
    <i>
      <x v="2055"/>
      <x v="1003"/>
      <x v="5"/>
    </i>
    <i>
      <x v="2056"/>
      <x v="1004"/>
      <x v="5"/>
    </i>
    <i>
      <x v="2057"/>
      <x v="1005"/>
      <x v="5"/>
    </i>
    <i>
      <x v="2058"/>
      <x v="1006"/>
      <x v="5"/>
    </i>
    <i>
      <x v="2059"/>
      <x v="1007"/>
      <x v="5"/>
    </i>
    <i>
      <x v="2060"/>
      <x v="1008"/>
      <x v="5"/>
    </i>
    <i>
      <x v="2061"/>
      <x v="1009"/>
      <x v="5"/>
    </i>
    <i>
      <x v="2062"/>
      <x v="1010"/>
      <x v="5"/>
    </i>
    <i>
      <x v="2063"/>
      <x v="1011"/>
      <x v="5"/>
    </i>
    <i>
      <x v="2064"/>
      <x v="1012"/>
      <x v="5"/>
    </i>
    <i>
      <x v="2065"/>
      <x v="1013"/>
      <x v="5"/>
    </i>
    <i>
      <x v="2066"/>
      <x v="1014"/>
      <x v="5"/>
    </i>
    <i>
      <x v="2067"/>
      <x v="1015"/>
      <x v="5"/>
    </i>
    <i>
      <x v="2068"/>
      <x v="1016"/>
      <x v="5"/>
    </i>
    <i>
      <x v="2069"/>
      <x v="1017"/>
      <x v="5"/>
    </i>
    <i>
      <x v="2070"/>
      <x v="1018"/>
      <x v="5"/>
    </i>
    <i>
      <x v="2071"/>
      <x v="1019"/>
      <x v="5"/>
    </i>
    <i>
      <x v="2072"/>
      <x v="1185"/>
      <x v="4"/>
    </i>
    <i r="2">
      <x v="5"/>
    </i>
    <i>
      <x v="2073"/>
      <x v="1020"/>
      <x v="5"/>
    </i>
    <i>
      <x v="2074"/>
      <x v="1021"/>
      <x v="5"/>
    </i>
    <i>
      <x v="2075"/>
      <x v="1022"/>
      <x v="5"/>
    </i>
    <i>
      <x v="2076"/>
      <x v="1023"/>
      <x v="5"/>
    </i>
    <i>
      <x v="2077"/>
      <x v="1024"/>
      <x v="4"/>
    </i>
    <i>
      <x v="2078"/>
      <x v="1025"/>
      <x v="4"/>
    </i>
    <i>
      <x v="2079"/>
      <x v="1026"/>
      <x v="4"/>
    </i>
    <i>
      <x v="2080"/>
      <x v="1027"/>
      <x v="4"/>
    </i>
    <i>
      <x v="2081"/>
      <x v="1028"/>
      <x v="4"/>
    </i>
    <i>
      <x v="2082"/>
      <x v="1029"/>
      <x v="4"/>
    </i>
    <i>
      <x v="2083"/>
      <x v="1030"/>
      <x v="4"/>
    </i>
    <i>
      <x v="2084"/>
      <x v="1031"/>
      <x v="4"/>
    </i>
    <i>
      <x v="2085"/>
      <x v="1032"/>
      <x v="4"/>
    </i>
    <i>
      <x v="2086"/>
      <x v="1033"/>
      <x v="4"/>
    </i>
    <i>
      <x v="2087"/>
      <x v="1034"/>
      <x v="4"/>
    </i>
    <i>
      <x v="2088"/>
      <x v="1035"/>
      <x v="4"/>
    </i>
    <i>
      <x v="2089"/>
      <x v="1036"/>
      <x v="4"/>
    </i>
    <i>
      <x v="2090"/>
      <x v="1151"/>
      <x v="4"/>
    </i>
    <i>
      <x v="2091"/>
      <x v="1037"/>
      <x v="4"/>
    </i>
    <i>
      <x v="2092"/>
      <x v="1038"/>
      <x v="4"/>
    </i>
    <i>
      <x v="2093"/>
      <x v="1039"/>
      <x v="4"/>
    </i>
    <i>
      <x v="2094"/>
      <x v="1040"/>
      <x v="4"/>
    </i>
    <i>
      <x v="2095"/>
      <x v="1041"/>
      <x v="4"/>
    </i>
    <i>
      <x v="2096"/>
      <x v="1042"/>
      <x v="4"/>
    </i>
    <i>
      <x v="2097"/>
      <x v="1043"/>
      <x v="4"/>
    </i>
    <i>
      <x v="2098"/>
      <x v="1044"/>
      <x v="4"/>
    </i>
    <i>
      <x v="2099"/>
      <x v="1045"/>
      <x v="4"/>
    </i>
    <i>
      <x v="2100"/>
      <x v="1046"/>
      <x v="4"/>
    </i>
    <i>
      <x v="2101"/>
      <x v="1047"/>
      <x v="4"/>
    </i>
    <i>
      <x v="2102"/>
      <x v="1048"/>
      <x v="4"/>
    </i>
    <i>
      <x v="2103"/>
      <x v="1049"/>
      <x v="5"/>
    </i>
    <i>
      <x v="2104"/>
      <x v="1050"/>
      <x v="5"/>
    </i>
    <i>
      <x v="2105"/>
      <x v="1051"/>
      <x v="4"/>
    </i>
    <i>
      <x v="2106"/>
      <x v="1155"/>
      <x v="5"/>
    </i>
    <i>
      <x v="2107"/>
      <x v="1052"/>
      <x v="5"/>
    </i>
    <i>
      <x v="2108"/>
      <x v="1152"/>
      <x v="4"/>
    </i>
    <i>
      <x v="2109"/>
      <x v="1153"/>
      <x v="4"/>
    </i>
    <i>
      <x v="2110"/>
      <x v="1053"/>
      <x v="4"/>
    </i>
    <i>
      <x v="2111"/>
      <x v="1054"/>
      <x v="4"/>
    </i>
    <i>
      <x v="2112"/>
      <x v="1055"/>
      <x v="4"/>
    </i>
    <i>
      <x v="2113"/>
      <x v="1056"/>
      <x v="4"/>
    </i>
    <i r="2">
      <x v="5"/>
    </i>
    <i>
      <x v="2114"/>
      <x v="1057"/>
      <x v="4"/>
    </i>
    <i>
      <x v="2115"/>
      <x v="1058"/>
      <x v="4"/>
    </i>
    <i>
      <x v="2116"/>
      <x v="1059"/>
      <x v="4"/>
    </i>
    <i>
      <x v="2117"/>
      <x v="1060"/>
      <x v="4"/>
    </i>
    <i>
      <x v="2118"/>
      <x v="1061"/>
      <x v="4"/>
    </i>
    <i>
      <x v="2119"/>
      <x v="1062"/>
      <x v="4"/>
    </i>
    <i>
      <x v="2120"/>
      <x v="1063"/>
      <x v="4"/>
    </i>
    <i>
      <x v="2121"/>
      <x v="1064"/>
      <x v="4"/>
    </i>
    <i>
      <x v="2122"/>
      <x v="1065"/>
      <x v="4"/>
    </i>
    <i>
      <x v="2123"/>
      <x v="1066"/>
      <x v="4"/>
    </i>
    <i>
      <x v="2124"/>
      <x v="1067"/>
      <x v="4"/>
    </i>
    <i>
      <x v="2125"/>
      <x v="1068"/>
      <x v="4"/>
    </i>
    <i>
      <x v="2126"/>
      <x v="1069"/>
      <x v="4"/>
    </i>
    <i>
      <x v="2127"/>
      <x v="1070"/>
      <x v="5"/>
    </i>
    <i>
      <x v="2128"/>
      <x v="1071"/>
      <x v="5"/>
    </i>
    <i>
      <x v="2129"/>
      <x v="1148"/>
      <x v="4"/>
    </i>
    <i>
      <x v="2130"/>
      <x v="1154"/>
      <x v="4"/>
    </i>
    <i>
      <x v="2131"/>
      <x v="1156"/>
      <x v="4"/>
    </i>
    <i>
      <x v="2132"/>
      <x v="1157"/>
      <x v="4"/>
    </i>
    <i>
      <x v="2133"/>
      <x v="1158"/>
      <x v="4"/>
    </i>
    <i>
      <x v="2134"/>
      <x v="1159"/>
      <x v="4"/>
    </i>
    <i>
      <x v="2135"/>
      <x v="1160"/>
      <x v="4"/>
    </i>
    <i>
      <x v="2136"/>
      <x v="1161"/>
      <x v="4"/>
    </i>
    <i>
      <x v="2137"/>
      <x v="1162"/>
      <x v="4"/>
    </i>
    <i>
      <x v="2138"/>
      <x v="1163"/>
      <x v="4"/>
    </i>
    <i>
      <x v="2139"/>
      <x v="1164"/>
      <x v="4"/>
    </i>
    <i>
      <x v="2140"/>
      <x v="1165"/>
      <x v="4"/>
    </i>
    <i>
      <x v="2141"/>
      <x v="1166"/>
      <x v="4"/>
    </i>
    <i>
      <x v="2142"/>
      <x v="1167"/>
      <x v="4"/>
    </i>
    <i>
      <x v="2143"/>
      <x v="1168"/>
      <x v="4"/>
    </i>
    <i>
      <x v="2144"/>
      <x v="1169"/>
      <x v="4"/>
    </i>
    <i>
      <x v="2145"/>
      <x v="1170"/>
      <x v="4"/>
    </i>
    <i>
      <x v="2146"/>
      <x v="1171"/>
      <x v="4"/>
    </i>
    <i>
      <x v="2147"/>
      <x v="1172"/>
      <x v="4"/>
    </i>
    <i>
      <x v="2148"/>
      <x v="1173"/>
      <x v="4"/>
    </i>
    <i>
      <x v="2149"/>
      <x v="1174"/>
      <x v="4"/>
    </i>
    <i>
      <x v="2150"/>
      <x v="1175"/>
      <x v="4"/>
    </i>
    <i>
      <x v="2151"/>
      <x v="1176"/>
      <x v="4"/>
    </i>
    <i>
      <x v="2152"/>
      <x v="1177"/>
      <x v="4"/>
    </i>
    <i>
      <x v="2153"/>
      <x v="1178"/>
      <x v="4"/>
    </i>
    <i>
      <x v="2154"/>
      <x v="1179"/>
      <x v="4"/>
    </i>
    <i>
      <x v="2155"/>
      <x v="1180"/>
      <x v="4"/>
    </i>
    <i>
      <x v="2156"/>
      <x v="1181"/>
      <x v="4"/>
    </i>
    <i>
      <x v="2157"/>
      <x v="1182"/>
      <x v="4"/>
    </i>
    <i>
      <x v="2158"/>
      <x v="1186"/>
      <x v="5"/>
    </i>
    <i>
      <x v="2159"/>
      <x v="1187"/>
      <x v="4"/>
    </i>
    <i>
      <x v="2160"/>
      <x v="1188"/>
      <x v="4"/>
    </i>
    <i>
      <x v="2161"/>
      <x v="1189"/>
      <x v="4"/>
    </i>
    <i>
      <x v="2162"/>
      <x v="1190"/>
      <x v="4"/>
    </i>
    <i>
      <x v="2163"/>
      <x v="1191"/>
      <x v="4"/>
    </i>
    <i>
      <x v="2164"/>
      <x v="1192"/>
      <x v="5"/>
    </i>
    <i>
      <x v="2165"/>
      <x v="1193"/>
      <x v="5"/>
    </i>
    <i>
      <x v="2166"/>
      <x v="1194"/>
      <x v="5"/>
    </i>
    <i>
      <x v="2167"/>
      <x v="1195"/>
      <x v="5"/>
    </i>
    <i>
      <x v="2168"/>
      <x v="1196"/>
      <x v="5"/>
    </i>
    <i>
      <x v="2169"/>
      <x v="1197"/>
      <x v="5"/>
    </i>
    <i>
      <x v="2170"/>
      <x v="1198"/>
      <x v="5"/>
    </i>
    <i>
      <x v="2171"/>
      <x v="1199"/>
      <x v="5"/>
    </i>
    <i>
      <x v="2172"/>
      <x v="1200"/>
      <x v="5"/>
    </i>
    <i>
      <x v="2173"/>
      <x v="1201"/>
      <x v="5"/>
    </i>
    <i>
      <x v="2174"/>
      <x v="1202"/>
      <x v="5"/>
    </i>
    <i>
      <x v="2175"/>
      <x v="1203"/>
      <x v="5"/>
    </i>
    <i>
      <x v="2176"/>
      <x v="1204"/>
      <x v="5"/>
    </i>
    <i>
      <x v="2177"/>
      <x v="1205"/>
      <x v="5"/>
    </i>
    <i>
      <x v="2178"/>
      <x v="1206"/>
      <x v="4"/>
    </i>
    <i>
      <x v="2179"/>
      <x v="1207"/>
      <x v="4"/>
    </i>
    <i>
      <x v="2180"/>
      <x v="1208"/>
      <x v="4"/>
    </i>
    <i>
      <x v="2181"/>
      <x v="1209"/>
      <x v="4"/>
    </i>
    <i>
      <x v="2182"/>
      <x v="1210"/>
      <x v="4"/>
    </i>
    <i>
      <x v="2183"/>
      <x v="1211"/>
      <x v="4"/>
    </i>
    <i>
      <x v="2184"/>
      <x v="1212"/>
      <x v="4"/>
    </i>
    <i>
      <x v="2185"/>
      <x v="1213"/>
      <x v="4"/>
    </i>
    <i>
      <x v="2186"/>
      <x v="1214"/>
      <x v="4"/>
    </i>
    <i>
      <x v="2187"/>
      <x v="1215"/>
      <x v="4"/>
    </i>
    <i>
      <x v="2188"/>
      <x v="1216"/>
      <x v="4"/>
    </i>
    <i>
      <x v="2189"/>
      <x v="1217"/>
      <x v="4"/>
    </i>
    <i>
      <x v="2190"/>
      <x v="1218"/>
      <x v="4"/>
    </i>
    <i>
      <x v="2191"/>
      <x v="1219"/>
      <x v="4"/>
    </i>
    <i>
      <x v="2192"/>
      <x v="1220"/>
      <x v="4"/>
    </i>
    <i>
      <x v="2193"/>
      <x v="1221"/>
      <x v="5"/>
    </i>
    <i>
      <x v="2194"/>
      <x v="1222"/>
      <x v="5"/>
    </i>
    <i>
      <x v="2195"/>
      <x v="1223"/>
      <x v="2"/>
    </i>
    <i>
      <x v="2196"/>
      <x v="1224"/>
      <x v="5"/>
    </i>
    <i>
      <x v="2197"/>
      <x v="1225"/>
      <x v="5"/>
    </i>
  </rowItems>
  <colFields count="2">
    <field x="8"/>
    <field x="-2"/>
  </colFields>
  <colItems count="6">
    <i>
      <x/>
      <x/>
    </i>
    <i r="1" i="1">
      <x v="1"/>
    </i>
    <i>
      <x v="1"/>
      <x/>
    </i>
    <i r="1" i="1">
      <x v="1"/>
    </i>
    <i>
      <x v="3"/>
      <x/>
    </i>
    <i r="1" i="1">
      <x v="1"/>
    </i>
  </colItems>
  <dataFields count="2">
    <dataField name="Giriş " fld="4" baseField="0" baseItem="0"/>
    <dataField name="Çıxış " fld="5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5FB73-A9DB-49FA-928B-E911C1C6954F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l adları" fieldListSortAscending="1">
  <location ref="A1:B1227" firstHeaderRow="1" firstDataRow="1" firstDataCol="1"/>
  <pivotFields count="4">
    <pivotField axis="axisRow" showAll="0">
      <items count="1327">
        <item x="243"/>
        <item x="222"/>
        <item x="220"/>
        <item x="221"/>
        <item x="223"/>
        <item x="224"/>
        <item x="229"/>
        <item x="227"/>
        <item x="228"/>
        <item x="225"/>
        <item x="226"/>
        <item x="167"/>
        <item x="166"/>
        <item x="165"/>
        <item x="164"/>
        <item x="163"/>
        <item x="162"/>
        <item m="1" x="1256"/>
        <item x="549"/>
        <item x="581"/>
        <item x="698"/>
        <item x="561"/>
        <item x="700"/>
        <item x="560"/>
        <item x="562"/>
        <item x="559"/>
        <item x="701"/>
        <item x="702"/>
        <item m="1" x="1257"/>
        <item x="575"/>
        <item m="1" x="1320"/>
        <item x="794"/>
        <item x="361"/>
        <item x="357"/>
        <item x="360"/>
        <item x="358"/>
        <item x="359"/>
        <item x="146"/>
        <item x="588"/>
        <item x="591"/>
        <item x="590"/>
        <item x="788"/>
        <item x="795"/>
        <item x="796"/>
        <item x="830"/>
        <item x="831"/>
        <item x="829"/>
        <item m="1" x="1317"/>
        <item x="602"/>
        <item x="603"/>
        <item x="598"/>
        <item x="597"/>
        <item x="596"/>
        <item x="601"/>
        <item x="599"/>
        <item x="600"/>
        <item x="507"/>
        <item x="505"/>
        <item x="506"/>
        <item x="508"/>
        <item x="510"/>
        <item x="509"/>
        <item x="471"/>
        <item x="769"/>
        <item x="764"/>
        <item x="768"/>
        <item x="763"/>
        <item x="767"/>
        <item x="765"/>
        <item x="766"/>
        <item x="436"/>
        <item x="629"/>
        <item m="1" x="1268"/>
        <item x="331"/>
        <item x="624"/>
        <item x="614"/>
        <item x="606"/>
        <item x="921"/>
        <item x="925"/>
        <item x="885"/>
        <item x="605"/>
        <item x="594"/>
        <item x="595"/>
        <item x="593"/>
        <item x="592"/>
        <item x="571"/>
        <item x="311"/>
        <item x="648"/>
        <item x="647"/>
        <item x="620"/>
        <item x="801"/>
        <item x="391"/>
        <item x="799"/>
        <item m="1" x="1228"/>
        <item x="116"/>
        <item m="1" x="1325"/>
        <item x="474"/>
        <item x="862"/>
        <item x="827"/>
        <item x="825"/>
        <item x="826"/>
        <item x="868"/>
        <item x="828"/>
        <item x="393"/>
        <item x="386"/>
        <item x="364"/>
        <item x="869"/>
        <item x="861"/>
        <item x="800"/>
        <item x="866"/>
        <item x="865"/>
        <item x="864"/>
        <item x="479"/>
        <item x="399"/>
        <item x="637"/>
        <item x="639"/>
        <item x="635"/>
        <item x="640"/>
        <item x="778"/>
        <item x="636"/>
        <item x="650"/>
        <item x="638"/>
        <item x="662"/>
        <item x="821"/>
        <item x="666"/>
        <item x="667"/>
        <item x="663"/>
        <item x="660"/>
        <item x="659"/>
        <item m="1" x="1253"/>
        <item x="657"/>
        <item x="658"/>
        <item x="665"/>
        <item x="664"/>
        <item x="481"/>
        <item x="484"/>
        <item x="786"/>
        <item x="158"/>
        <item x="159"/>
        <item x="157"/>
        <item x="217"/>
        <item x="671"/>
        <item x="238"/>
        <item x="810"/>
        <item x="236"/>
        <item x="235"/>
        <item x="234"/>
        <item x="239"/>
        <item x="237"/>
        <item x="173"/>
        <item x="174"/>
        <item x="740"/>
        <item x="132"/>
        <item x="928"/>
        <item x="295"/>
        <item x="486"/>
        <item m="1" x="1316"/>
        <item x="312"/>
        <item x="316"/>
        <item x="314"/>
        <item x="313"/>
        <item x="315"/>
        <item x="679"/>
        <item x="390"/>
        <item x="544"/>
        <item x="722"/>
        <item x="584"/>
        <item x="695"/>
        <item x="693"/>
        <item x="721"/>
        <item x="564"/>
        <item x="548"/>
        <item x="694"/>
        <item x="255"/>
        <item x="882"/>
        <item x="724"/>
        <item x="727"/>
        <item x="256"/>
        <item x="257"/>
        <item x="579"/>
        <item x="578"/>
        <item x="417"/>
        <item x="409"/>
        <item x="719"/>
        <item x="563"/>
        <item x="723"/>
        <item x="565"/>
        <item x="422"/>
        <item x="556"/>
        <item x="419"/>
        <item x="566"/>
        <item m="1" x="1310"/>
        <item x="258"/>
        <item m="1" x="1234"/>
        <item x="711"/>
        <item x="731"/>
        <item x="709"/>
        <item x="708"/>
        <item x="572"/>
        <item x="415"/>
        <item x="720"/>
        <item x="730"/>
        <item x="703"/>
        <item x="728"/>
        <item x="247"/>
        <item x="114"/>
        <item x="118"/>
        <item x="113"/>
        <item x="860"/>
        <item x="836"/>
        <item x="843"/>
        <item m="1" x="1265"/>
        <item x="218"/>
        <item x="219"/>
        <item x="907"/>
        <item x="500"/>
        <item m="1" x="1280"/>
        <item x="899"/>
        <item x="488"/>
        <item x="513"/>
        <item x="523"/>
        <item x="519"/>
        <item x="520"/>
        <item x="494"/>
        <item x="524"/>
        <item x="489"/>
        <item x="522"/>
        <item x="498"/>
        <item x="517"/>
        <item x="516"/>
        <item x="521"/>
        <item x="525"/>
        <item x="497"/>
        <item x="893"/>
        <item x="892"/>
        <item x="514"/>
        <item x="515"/>
        <item x="378"/>
        <item x="431"/>
        <item x="501"/>
        <item x="432"/>
        <item x="604"/>
        <item m="1" x="1241"/>
        <item m="1" x="1285"/>
        <item x="970"/>
        <item x="951"/>
        <item x="977"/>
        <item x="131"/>
        <item x="296"/>
        <item m="1" x="1276"/>
        <item x="538"/>
        <item x="803"/>
        <item x="816"/>
        <item m="1" x="1225"/>
        <item m="1" x="1233"/>
        <item x="491"/>
        <item x="935"/>
        <item x="492"/>
        <item x="908"/>
        <item x="309"/>
        <item x="536"/>
        <item x="151"/>
        <item x="782"/>
        <item x="339"/>
        <item x="341"/>
        <item x="854"/>
        <item x="851"/>
        <item x="345"/>
        <item x="344"/>
        <item x="342"/>
        <item x="343"/>
        <item x="337"/>
        <item x="338"/>
        <item x="346"/>
        <item x="336"/>
        <item x="852"/>
        <item x="853"/>
        <item x="128"/>
        <item x="129"/>
        <item x="130"/>
        <item x="856"/>
        <item x="188"/>
        <item x="340"/>
        <item x="587"/>
        <item x="439"/>
        <item x="397"/>
        <item x="396"/>
        <item x="395"/>
        <item x="398"/>
        <item x="394"/>
        <item x="805"/>
        <item x="531"/>
        <item x="913"/>
        <item x="947"/>
        <item x="215"/>
        <item x="377"/>
        <item x="433"/>
        <item x="875"/>
        <item x="434"/>
        <item x="98"/>
        <item x="103"/>
        <item x="104"/>
        <item x="97"/>
        <item x="96"/>
        <item x="171"/>
        <item x="95"/>
        <item x="94"/>
        <item x="100"/>
        <item x="191"/>
        <item x="896"/>
        <item x="446"/>
        <item x="187"/>
        <item x="205"/>
        <item x="207"/>
        <item x="203"/>
        <item x="384"/>
        <item x="385"/>
        <item x="383"/>
        <item x="206"/>
        <item x="447"/>
        <item x="443"/>
        <item x="445"/>
        <item x="444"/>
        <item x="101"/>
        <item x="186"/>
        <item x="208"/>
        <item x="102"/>
        <item x="204"/>
        <item m="1" x="1227"/>
        <item x="72"/>
        <item x="76"/>
        <item x="67"/>
        <item x="78"/>
        <item x="45"/>
        <item x="75"/>
        <item x="68"/>
        <item x="69"/>
        <item x="74"/>
        <item x="38"/>
        <item x="71"/>
        <item x="70"/>
        <item x="77"/>
        <item x="73"/>
        <item x="64"/>
        <item x="90"/>
        <item x="89"/>
        <item x="83"/>
        <item x="65"/>
        <item x="39"/>
        <item x="91"/>
        <item x="44"/>
        <item x="58"/>
        <item x="59"/>
        <item x="88"/>
        <item x="56"/>
        <item x="49"/>
        <item x="55"/>
        <item x="57"/>
        <item x="87"/>
        <item x="48"/>
        <item x="46"/>
        <item x="33"/>
        <item x="63"/>
        <item x="85"/>
        <item x="81"/>
        <item x="60"/>
        <item x="82"/>
        <item x="41"/>
        <item x="43"/>
        <item x="36"/>
        <item x="86"/>
        <item x="9"/>
        <item x="10"/>
        <item x="30"/>
        <item x="20"/>
        <item x="79"/>
        <item x="53"/>
        <item x="50"/>
        <item x="54"/>
        <item x="51"/>
        <item x="52"/>
        <item x="47"/>
        <item x="61"/>
        <item x="62"/>
        <item x="80"/>
        <item x="92"/>
        <item x="93"/>
        <item x="35"/>
        <item x="34"/>
        <item x="84"/>
        <item x="42"/>
        <item x="26"/>
        <item x="37"/>
        <item x="40"/>
        <item x="28"/>
        <item x="32"/>
        <item x="31"/>
        <item x="654"/>
        <item x="655"/>
        <item x="848"/>
        <item x="815"/>
        <item x="814"/>
        <item x="813"/>
        <item x="849"/>
        <item x="847"/>
        <item x="812"/>
        <item x="811"/>
        <item x="729"/>
        <item x="537"/>
        <item x="622"/>
        <item x="611"/>
        <item x="612"/>
        <item x="625"/>
        <item x="627"/>
        <item x="613"/>
        <item x="628"/>
        <item x="626"/>
        <item x="617"/>
        <item x="634"/>
        <item x="632"/>
        <item x="621"/>
        <item x="442"/>
        <item x="321"/>
        <item x="14"/>
        <item x="149"/>
        <item x="209"/>
        <item x="736"/>
        <item m="1" x="1318"/>
        <item x="649"/>
        <item x="618"/>
        <item x="674"/>
        <item x="846"/>
        <item x="451"/>
        <item x="293"/>
        <item x="109"/>
        <item m="1" x="1312"/>
        <item m="1" x="1309"/>
        <item x="323"/>
        <item x="438"/>
        <item x="376"/>
        <item x="807"/>
        <item x="902"/>
        <item x="901"/>
        <item x="894"/>
        <item x="845"/>
        <item x="903"/>
        <item x="465"/>
        <item x="889"/>
        <item x="888"/>
        <item x="760"/>
        <item x="134"/>
        <item x="749"/>
        <item x="127"/>
        <item x="449"/>
        <item x="906"/>
        <item m="1" x="1242"/>
        <item x="781"/>
        <item x="946"/>
        <item m="1" x="1262"/>
        <item x="774"/>
        <item m="1" x="1261"/>
        <item x="773"/>
        <item x="776"/>
        <item x="775"/>
        <item x="900"/>
        <item x="18"/>
        <item x="12"/>
        <item x="379"/>
        <item x="291"/>
        <item x="750"/>
        <item m="1" x="1237"/>
        <item x="303"/>
        <item m="1" x="1236"/>
        <item m="1" x="1238"/>
        <item x="304"/>
        <item x="732"/>
        <item x="734"/>
        <item x="735"/>
        <item x="733"/>
        <item x="455"/>
        <item x="456"/>
        <item x="457"/>
        <item x="533"/>
        <item x="715"/>
        <item x="714"/>
        <item x="504"/>
        <item x="545"/>
        <item x="884"/>
        <item x="883"/>
        <item x="558"/>
        <item x="420"/>
        <item x="542"/>
        <item x="543"/>
        <item x="713"/>
        <item x="574"/>
        <item x="416"/>
        <item x="707"/>
        <item x="706"/>
        <item x="716"/>
        <item x="555"/>
        <item x="717"/>
        <item x="890"/>
        <item x="110"/>
        <item x="319"/>
        <item x="318"/>
        <item x="837"/>
        <item x="408"/>
        <item x="406"/>
        <item x="405"/>
        <item x="407"/>
        <item x="403"/>
        <item x="335"/>
        <item x="334"/>
        <item x="230"/>
        <item x="317"/>
        <item x="175"/>
        <item m="1" x="1258"/>
        <item x="738"/>
        <item x="739"/>
        <item m="1" x="1266"/>
        <item x="818"/>
        <item x="194"/>
        <item x="196"/>
        <item x="195"/>
        <item x="144"/>
        <item m="1" x="1252"/>
        <item x="656"/>
        <item x="631"/>
        <item x="499"/>
        <item x="755"/>
        <item x="211"/>
        <item x="586"/>
        <item m="1" x="1251"/>
        <item m="1" x="1248"/>
        <item x="477"/>
        <item x="931"/>
        <item x="231"/>
        <item x="176"/>
        <item x="787"/>
        <item x="710"/>
        <item x="718"/>
        <item x="553"/>
        <item x="401"/>
        <item x="254"/>
        <item x="552"/>
        <item x="554"/>
        <item x="576"/>
        <item x="680"/>
        <item x="681"/>
        <item x="682"/>
        <item x="111"/>
        <item x="121"/>
        <item x="123"/>
        <item x="839"/>
        <item x="464"/>
        <item m="1" x="1267"/>
        <item x="857"/>
        <item x="496"/>
        <item x="518"/>
        <item x="870"/>
        <item x="495"/>
        <item x="490"/>
        <item x="797"/>
        <item x="798"/>
        <item x="502"/>
        <item x="387"/>
        <item x="863"/>
        <item x="380"/>
        <item x="675"/>
        <item x="944"/>
        <item x="185"/>
        <item x="623"/>
        <item x="467"/>
        <item x="468"/>
        <item x="610"/>
        <item x="783"/>
        <item x="460"/>
        <item x="741"/>
        <item x="233"/>
        <item x="817"/>
        <item x="922"/>
        <item x="923"/>
        <item x="924"/>
        <item x="926"/>
        <item x="927"/>
        <item x="915"/>
        <item x="917"/>
        <item x="966"/>
        <item x="965"/>
        <item x="678"/>
        <item x="677"/>
        <item x="619"/>
        <item x="633"/>
        <item x="372"/>
        <item m="1" x="1240"/>
        <item x="148"/>
        <item x="232"/>
        <item x="133"/>
        <item x="310"/>
        <item x="135"/>
        <item m="1" x="1226"/>
        <item x="22"/>
        <item x="367"/>
        <item x="365"/>
        <item x="366"/>
        <item x="172"/>
        <item x="353"/>
        <item x="615"/>
        <item x="912"/>
        <item m="1" x="1283"/>
        <item m="1" x="1284"/>
        <item x="918"/>
        <item x="369"/>
        <item m="1" x="1244"/>
        <item x="368"/>
        <item x="540"/>
        <item x="147"/>
        <item x="155"/>
        <item x="511"/>
        <item x="939"/>
        <item x="938"/>
        <item x="909"/>
        <item x="934"/>
        <item m="1" x="1278"/>
        <item m="1" x="1282"/>
        <item x="971"/>
        <item x="949"/>
        <item x="972"/>
        <item x="950"/>
        <item x="975"/>
        <item x="954"/>
        <item x="785"/>
        <item x="532"/>
        <item x="535"/>
        <item x="534"/>
        <item m="1" x="1321"/>
        <item x="973"/>
        <item x="911"/>
        <item x="240"/>
        <item x="248"/>
        <item x="156"/>
        <item x="140"/>
        <item x="139"/>
        <item x="189"/>
        <item x="138"/>
        <item x="137"/>
        <item x="136"/>
        <item x="145"/>
        <item m="1" x="1315"/>
        <item x="418"/>
        <item x="253"/>
        <item x="262"/>
        <item x="413"/>
        <item m="1" x="1307"/>
        <item m="1" x="1311"/>
        <item x="261"/>
        <item x="402"/>
        <item x="250"/>
        <item x="414"/>
        <item m="1" x="1313"/>
        <item x="833"/>
        <item x="834"/>
        <item x="573"/>
        <item x="792"/>
        <item x="791"/>
        <item x="790"/>
        <item x="108"/>
        <item x="106"/>
        <item x="105"/>
        <item x="107"/>
        <item m="1" x="1303"/>
        <item x="835"/>
        <item x="392"/>
        <item x="363"/>
        <item x="793"/>
        <item m="1" x="1323"/>
        <item x="356"/>
        <item x="373"/>
        <item x="200"/>
        <item x="199"/>
        <item x="942"/>
        <item x="943"/>
        <item x="470"/>
        <item x="320"/>
        <item m="1" x="1272"/>
        <item x="322"/>
        <item x="819"/>
        <item x="937"/>
        <item m="1" x="1274"/>
        <item x="957"/>
        <item x="956"/>
        <item x="305"/>
        <item x="306"/>
        <item x="210"/>
        <item x="202"/>
        <item x="932"/>
        <item m="1" x="1324"/>
        <item x="290"/>
        <item x="784"/>
        <item x="152"/>
        <item x="350"/>
        <item x="349"/>
        <item m="1" x="1239"/>
        <item x="355"/>
        <item x="143"/>
        <item x="886"/>
        <item x="630"/>
        <item x="242"/>
        <item x="476"/>
        <item x="241"/>
        <item x="153"/>
        <item x="487"/>
        <item x="809"/>
        <item x="808"/>
        <item x="887"/>
        <item m="1" x="1259"/>
        <item x="168"/>
        <item x="198"/>
        <item x="150"/>
        <item x="212"/>
        <item x="747"/>
        <item x="201"/>
        <item x="182"/>
        <item x="178"/>
        <item m="1" x="1231"/>
        <item x="180"/>
        <item x="181"/>
        <item x="177"/>
        <item x="751"/>
        <item x="326"/>
        <item x="327"/>
        <item x="325"/>
        <item x="142"/>
        <item x="526"/>
        <item x="945"/>
        <item x="589"/>
        <item x="820"/>
        <item x="512"/>
        <item x="475"/>
        <item x="871"/>
        <item x="974"/>
        <item x="616"/>
        <item x="919"/>
        <item m="1" x="1286"/>
        <item m="1" x="1319"/>
        <item m="1" x="1235"/>
        <item x="683"/>
        <item x="684"/>
        <item x="685"/>
        <item x="692"/>
        <item x="689"/>
        <item x="688"/>
        <item x="687"/>
        <item x="690"/>
        <item x="691"/>
        <item x="686"/>
        <item x="673"/>
        <item x="940"/>
        <item x="493"/>
        <item x="759"/>
        <item x="333"/>
        <item x="274"/>
        <item x="263"/>
        <item x="282"/>
        <item x="269"/>
        <item x="264"/>
        <item x="277"/>
        <item x="267"/>
        <item x="281"/>
        <item x="278"/>
        <item x="268"/>
        <item x="285"/>
        <item x="284"/>
        <item x="271"/>
        <item x="280"/>
        <item x="276"/>
        <item x="273"/>
        <item x="270"/>
        <item x="272"/>
        <item x="275"/>
        <item x="265"/>
        <item x="279"/>
        <item x="283"/>
        <item x="266"/>
        <item x="286"/>
        <item x="308"/>
        <item x="307"/>
        <item x="802"/>
        <item x="904"/>
        <item x="480"/>
        <item m="1" x="1232"/>
        <item x="452"/>
        <item x="461"/>
        <item x="895"/>
        <item x="652"/>
        <item x="653"/>
        <item x="570"/>
        <item x="569"/>
        <item x="567"/>
        <item x="568"/>
        <item x="920"/>
        <item x="962"/>
        <item m="1" x="1281"/>
        <item x="754"/>
        <item x="948"/>
        <item x="953"/>
        <item x="963"/>
        <item x="961"/>
        <item x="297"/>
        <item x="216"/>
        <item x="473"/>
        <item x="472"/>
        <item x="453"/>
        <item m="1" x="1246"/>
        <item x="669"/>
        <item x="752"/>
        <item x="753"/>
        <item m="1" x="1306"/>
        <item x="348"/>
        <item x="347"/>
        <item m="1" x="1302"/>
        <item x="756"/>
        <item x="960"/>
        <item x="941"/>
        <item x="328"/>
        <item x="804"/>
        <item x="823"/>
        <item x="881"/>
        <item x="897"/>
        <item x="850"/>
        <item x="898"/>
        <item x="351"/>
        <item x="462"/>
        <item x="822"/>
        <item x="352"/>
        <item m="1" x="1264"/>
        <item x="389"/>
        <item x="463"/>
        <item x="388"/>
        <item x="371"/>
        <item x="169"/>
        <item x="905"/>
        <item x="676"/>
        <item x="651"/>
        <item x="362"/>
        <item x="668"/>
        <item x="426"/>
        <item x="762"/>
        <item x="761"/>
        <item x="482"/>
        <item x="478"/>
        <item x="880"/>
        <item x="867"/>
        <item x="779"/>
        <item x="183"/>
        <item x="672"/>
        <item x="458"/>
        <item x="459"/>
        <item x="607"/>
        <item x="806"/>
        <item x="245"/>
        <item x="246"/>
        <item x="244"/>
        <item x="539"/>
        <item x="645"/>
        <item x="642"/>
        <item x="641"/>
        <item x="644"/>
        <item x="643"/>
        <item x="440"/>
        <item m="1" x="1269"/>
        <item x="288"/>
        <item x="289"/>
        <item x="916"/>
        <item x="192"/>
        <item x="958"/>
        <item x="99"/>
        <item x="382"/>
        <item x="469"/>
        <item x="287"/>
        <item x="780"/>
        <item x="154"/>
        <item x="758"/>
        <item x="503"/>
        <item x="430"/>
        <item x="877"/>
        <item x="428"/>
        <item x="427"/>
        <item m="1" x="1229"/>
        <item m="1" x="1230"/>
        <item x="789"/>
        <item x="483"/>
        <item x="872"/>
        <item x="330"/>
        <item x="646"/>
        <item x="141"/>
        <item x="213"/>
        <item x="214"/>
        <item x="404"/>
        <item x="551"/>
        <item x="699"/>
        <item x="726"/>
        <item x="725"/>
        <item x="547"/>
        <item x="550"/>
        <item x="412"/>
        <item x="411"/>
        <item x="546"/>
        <item x="423"/>
        <item x="580"/>
        <item x="251"/>
        <item x="557"/>
        <item m="1" x="1308"/>
        <item m="1" x="1314"/>
        <item x="252"/>
        <item x="260"/>
        <item x="712"/>
        <item x="259"/>
        <item x="582"/>
        <item x="704"/>
        <item x="705"/>
        <item x="583"/>
        <item m="1" x="1271"/>
        <item x="119"/>
        <item x="112"/>
        <item x="844"/>
        <item x="117"/>
        <item x="841"/>
        <item x="838"/>
        <item x="842"/>
        <item x="115"/>
        <item x="425"/>
        <item m="1" x="1254"/>
        <item x="742"/>
        <item m="1" x="1260"/>
        <item x="757"/>
        <item x="410"/>
        <item m="1" x="1270"/>
        <item x="609"/>
        <item x="914"/>
        <item x="329"/>
        <item x="454"/>
        <item x="184"/>
        <item m="1" x="1305"/>
        <item m="1" x="1304"/>
        <item x="300"/>
        <item x="299"/>
        <item x="301"/>
        <item x="448"/>
        <item x="435"/>
        <item x="170"/>
        <item m="1" x="1243"/>
        <item x="161"/>
        <item x="485"/>
        <item x="160"/>
        <item x="190"/>
        <item x="930"/>
        <item m="1" x="1277"/>
        <item x="955"/>
        <item x="744"/>
        <item x="746"/>
        <item x="745"/>
        <item x="294"/>
        <item m="1" x="1247"/>
        <item m="1" x="1245"/>
        <item x="541"/>
        <item x="993"/>
        <item x="995"/>
        <item x="997"/>
        <item x="980"/>
        <item m="1" x="1287"/>
        <item x="985"/>
        <item x="986"/>
        <item x="1101"/>
        <item x="987"/>
        <item x="1103"/>
        <item x="988"/>
        <item x="1105"/>
        <item x="990"/>
        <item x="1107"/>
        <item x="1109"/>
        <item x="1111"/>
        <item x="1113"/>
        <item x="1116"/>
        <item x="1117"/>
        <item x="1118"/>
        <item x="1119"/>
        <item x="1120"/>
        <item x="1121"/>
        <item x="1122"/>
        <item x="1123"/>
        <item x="1125"/>
        <item x="991"/>
        <item x="992"/>
        <item x="994"/>
        <item m="1" x="1288"/>
        <item m="1" x="1289"/>
        <item x="0"/>
        <item x="999"/>
        <item x="1000"/>
        <item x="1002"/>
        <item x="1004"/>
        <item x="1106"/>
        <item x="1130"/>
        <item x="1006"/>
        <item x="1008"/>
        <item x="1010"/>
        <item x="1012"/>
        <item x="1014"/>
        <item x="1016"/>
        <item x="1018"/>
        <item x="1020"/>
        <item x="1022"/>
        <item x="1024"/>
        <item m="1" x="1290"/>
        <item x="1032"/>
        <item x="1034"/>
        <item x="1036"/>
        <item x="1038"/>
        <item x="1040"/>
        <item x="1041"/>
        <item x="1043"/>
        <item x="1045"/>
        <item x="1047"/>
        <item m="1" x="1322"/>
        <item x="1051"/>
        <item x="1053"/>
        <item x="1055"/>
        <item x="1057"/>
        <item x="1131"/>
        <item x="1059"/>
        <item m="1" x="1291"/>
        <item x="1001"/>
        <item x="1064"/>
        <item x="1066"/>
        <item x="1068"/>
        <item x="1070"/>
        <item x="1"/>
        <item x="989"/>
        <item x="3"/>
        <item x="4"/>
        <item x="5"/>
        <item x="6"/>
        <item x="7"/>
        <item m="1" x="1292"/>
        <item x="2"/>
        <item x="11"/>
        <item x="978"/>
        <item x="981"/>
        <item x="982"/>
        <item x="983"/>
        <item x="13"/>
        <item x="15"/>
        <item x="17"/>
        <item x="19"/>
        <item x="21"/>
        <item x="23"/>
        <item x="25"/>
        <item x="27"/>
        <item x="1069"/>
        <item x="1071"/>
        <item x="1096"/>
        <item x="29"/>
        <item x="466"/>
        <item x="1073"/>
        <item m="1" x="1298"/>
        <item x="1077"/>
        <item x="1079"/>
        <item x="1081"/>
        <item x="1083"/>
        <item x="1085"/>
        <item x="1086"/>
        <item x="1088"/>
        <item x="1090"/>
        <item x="1092"/>
        <item m="1" x="1300"/>
        <item x="381"/>
        <item x="979"/>
        <item x="1155"/>
        <item x="1072"/>
        <item x="1074"/>
        <item x="1076"/>
        <item x="1049"/>
        <item x="1078"/>
        <item m="1" x="1293"/>
        <item m="1" x="1294"/>
        <item x="1084"/>
        <item x="1156"/>
        <item x="1157"/>
        <item x="1158"/>
        <item x="1159"/>
        <item x="1160"/>
        <item x="1161"/>
        <item x="1003"/>
        <item x="1162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34"/>
        <item x="1028"/>
        <item x="1132"/>
        <item x="1030"/>
        <item x="1133"/>
        <item x="1146"/>
        <item m="1" x="1301"/>
        <item x="1148"/>
        <item x="1149"/>
        <item x="1150"/>
        <item x="1151"/>
        <item x="1152"/>
        <item x="1087"/>
        <item x="1089"/>
        <item x="1091"/>
        <item x="1095"/>
        <item x="1097"/>
        <item x="1098"/>
        <item x="1093"/>
        <item x="1099"/>
        <item x="1100"/>
        <item x="1153"/>
        <item x="1154"/>
        <item m="1" x="1295"/>
        <item x="1163"/>
        <item x="1164"/>
        <item x="1165"/>
        <item x="1005"/>
        <item x="1166"/>
        <item x="1007"/>
        <item x="1167"/>
        <item x="1168"/>
        <item x="1042"/>
        <item x="1169"/>
        <item x="1170"/>
        <item x="1171"/>
        <item x="1102"/>
        <item x="1172"/>
        <item x="1044"/>
        <item m="1" x="1299"/>
        <item x="1126"/>
        <item m="1" x="1296"/>
        <item m="1" x="1297"/>
        <item x="1114"/>
        <item x="1009"/>
        <item x="1115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12"/>
        <item x="1173"/>
        <item m="1" x="1249"/>
        <item m="1" x="1255"/>
        <item m="1" x="1263"/>
        <item m="1" x="1273"/>
        <item m="1" x="1275"/>
        <item m="1" x="1279"/>
        <item x="122"/>
        <item x="124"/>
        <item x="298"/>
        <item x="374"/>
        <item x="400"/>
        <item x="421"/>
        <item x="429"/>
        <item x="441"/>
        <item m="1" x="1250"/>
        <item x="743"/>
        <item x="748"/>
        <item x="832"/>
        <item x="874"/>
        <item x="879"/>
        <item x="8"/>
        <item x="16"/>
        <item x="24"/>
        <item x="66"/>
        <item x="120"/>
        <item x="125"/>
        <item x="126"/>
        <item x="179"/>
        <item x="193"/>
        <item x="197"/>
        <item x="249"/>
        <item x="292"/>
        <item x="302"/>
        <item x="324"/>
        <item x="332"/>
        <item x="354"/>
        <item x="370"/>
        <item x="375"/>
        <item x="424"/>
        <item x="437"/>
        <item x="450"/>
        <item x="527"/>
        <item x="528"/>
        <item x="529"/>
        <item x="530"/>
        <item x="577"/>
        <item x="585"/>
        <item x="608"/>
        <item x="661"/>
        <item x="670"/>
        <item x="696"/>
        <item x="697"/>
        <item x="737"/>
        <item x="770"/>
        <item x="771"/>
        <item x="772"/>
        <item x="777"/>
        <item x="824"/>
        <item x="840"/>
        <item x="855"/>
        <item x="858"/>
        <item x="859"/>
        <item x="873"/>
        <item x="876"/>
        <item x="878"/>
        <item x="891"/>
        <item x="910"/>
        <item x="929"/>
        <item x="933"/>
        <item x="936"/>
        <item x="952"/>
        <item x="959"/>
        <item x="964"/>
        <item x="967"/>
        <item x="968"/>
        <item x="969"/>
        <item x="976"/>
        <item x="984"/>
        <item x="996"/>
        <item x="998"/>
        <item x="1011"/>
        <item x="1013"/>
        <item x="1015"/>
        <item x="1017"/>
        <item x="1019"/>
        <item x="1021"/>
        <item x="1023"/>
        <item x="1025"/>
        <item x="1026"/>
        <item x="1027"/>
        <item x="1029"/>
        <item x="1031"/>
        <item x="1033"/>
        <item x="1035"/>
        <item x="1037"/>
        <item x="1039"/>
        <item x="1046"/>
        <item x="1048"/>
        <item x="1050"/>
        <item x="1052"/>
        <item x="1054"/>
        <item x="1056"/>
        <item x="1058"/>
        <item x="1060"/>
        <item x="1061"/>
        <item x="1062"/>
        <item x="1063"/>
        <item x="1065"/>
        <item x="1067"/>
        <item x="1075"/>
        <item x="1080"/>
        <item x="1082"/>
        <item x="1094"/>
        <item x="1104"/>
        <item x="1108"/>
        <item x="1110"/>
        <item x="1124"/>
        <item x="114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127"/>
        <item x="1128"/>
        <item x="1129"/>
        <item t="default"/>
      </items>
    </pivotField>
    <pivotField showAll="0"/>
    <pivotField showAll="0"/>
    <pivotField dataField="1" showAll="0"/>
  </pivotFields>
  <rowFields count="1">
    <field x="0"/>
  </rowFields>
  <rowItems count="12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4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2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2"/>
    </i>
    <i>
      <x v="213"/>
    </i>
    <i>
      <x v="214"/>
    </i>
    <i>
      <x v="215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4"/>
    </i>
    <i>
      <x v="245"/>
    </i>
    <i>
      <x v="246"/>
    </i>
    <i>
      <x v="247"/>
    </i>
    <i>
      <x v="248"/>
    </i>
    <i>
      <x v="250"/>
    </i>
    <i>
      <x v="251"/>
    </i>
    <i>
      <x v="252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6"/>
    </i>
    <i>
      <x v="457"/>
    </i>
    <i>
      <x v="459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1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7"/>
    </i>
    <i>
      <x v="518"/>
    </i>
    <i>
      <x v="520"/>
    </i>
    <i>
      <x v="521"/>
    </i>
    <i>
      <x v="522"/>
    </i>
    <i>
      <x v="523"/>
    </i>
    <i>
      <x v="524"/>
    </i>
    <i>
      <x v="526"/>
    </i>
    <i>
      <x v="527"/>
    </i>
    <i>
      <x v="528"/>
    </i>
    <i>
      <x v="529"/>
    </i>
    <i>
      <x v="530"/>
    </i>
    <i>
      <x v="531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5"/>
    </i>
    <i>
      <x v="596"/>
    </i>
    <i>
      <x v="597"/>
    </i>
    <i>
      <x v="598"/>
    </i>
    <i>
      <x v="599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11"/>
    </i>
    <i>
      <x v="612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9"/>
    </i>
    <i>
      <x v="650"/>
    </i>
    <i>
      <x v="651"/>
    </i>
    <i>
      <x v="652"/>
    </i>
    <i>
      <x v="655"/>
    </i>
    <i>
      <x v="656"/>
    </i>
    <i>
      <x v="657"/>
    </i>
    <i>
      <x v="658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1"/>
    </i>
    <i>
      <x v="672"/>
    </i>
    <i>
      <x v="673"/>
    </i>
    <i>
      <x v="674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5"/>
    </i>
    <i>
      <x v="686"/>
    </i>
    <i>
      <x v="687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7"/>
    </i>
    <i>
      <x v="698"/>
    </i>
    <i>
      <x v="699"/>
    </i>
    <i>
      <x v="700"/>
    </i>
    <i>
      <x v="701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4"/>
    </i>
    <i>
      <x v="815"/>
    </i>
    <i>
      <x v="816"/>
    </i>
    <i>
      <x v="818"/>
    </i>
    <i>
      <x v="819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3"/>
    </i>
    <i>
      <x v="935"/>
    </i>
    <i>
      <x v="936"/>
    </i>
    <i>
      <x v="938"/>
    </i>
    <i>
      <x v="939"/>
    </i>
    <i>
      <x v="940"/>
    </i>
    <i>
      <x v="941"/>
    </i>
    <i>
      <x v="942"/>
    </i>
    <i>
      <x v="945"/>
    </i>
    <i>
      <x v="946"/>
    </i>
    <i>
      <x v="947"/>
    </i>
    <i>
      <x v="948"/>
    </i>
    <i>
      <x v="949"/>
    </i>
    <i>
      <x v="950"/>
    </i>
    <i>
      <x v="952"/>
    </i>
    <i>
      <x v="953"/>
    </i>
    <i>
      <x v="954"/>
    </i>
    <i>
      <x v="955"/>
    </i>
    <i>
      <x v="956"/>
    </i>
    <i>
      <x v="958"/>
    </i>
    <i>
      <x v="959"/>
    </i>
    <i>
      <x v="960"/>
    </i>
    <i>
      <x v="961"/>
    </i>
    <i>
      <x v="962"/>
    </i>
    <i>
      <x v="965"/>
    </i>
    <i>
      <x v="966"/>
    </i>
    <i>
      <x v="967"/>
    </i>
    <i>
      <x v="968"/>
    </i>
    <i>
      <x v="969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5"/>
    </i>
    <i>
      <x v="1026"/>
    </i>
    <i>
      <x v="1027"/>
    </i>
    <i>
      <x v="1028"/>
    </i>
    <i>
      <x v="1029"/>
    </i>
    <i>
      <x v="1030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6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 t="grand">
      <x/>
    </i>
  </rowItems>
  <colItems count="1">
    <i/>
  </colItems>
  <dataFields count="1">
    <dataField name="Fərq " fld="3" baseField="0" baseItem="0"/>
  </dataFields>
  <formats count="10">
    <format dxfId="173">
      <pivotArea field="0" type="button" dataOnly="0" labelOnly="1" outline="0" axis="axisRow" fieldPosition="0"/>
    </format>
    <format dxfId="172">
      <pivotArea dataOnly="0" labelOnly="1" outline="0" axis="axisValues" fieldPosition="0"/>
    </format>
    <format dxfId="171">
      <pivotArea field="0" type="button" dataOnly="0" labelOnly="1" outline="0" axis="axisRow" fieldPosition="0"/>
    </format>
    <format dxfId="170">
      <pivotArea dataOnly="0" labelOnly="1" outline="0" axis="axisValues" fieldPosition="0"/>
    </format>
    <format dxfId="169">
      <pivotArea field="0" type="button" dataOnly="0" labelOnly="1" outline="0" axis="axisRow" fieldPosition="0"/>
    </format>
    <format dxfId="168">
      <pivotArea dataOnly="0" labelOnly="1" outline="0" axis="axisValues" fieldPosition="0"/>
    </format>
    <format dxfId="167">
      <pivotArea field="0" type="button" dataOnly="0" labelOnly="1" outline="0" axis="axisRow" fieldPosition="0"/>
    </format>
    <format dxfId="166">
      <pivotArea dataOnly="0" labelOnly="1" outline="0" axis="axisValues" fieldPosition="0"/>
    </format>
    <format dxfId="165">
      <pivotArea field="0" type="button" dataOnly="0" labelOnly="1" outline="0" axis="axisRow" fieldPosition="0"/>
    </format>
    <format dxfId="164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28DA7-A12F-4634-9B1E-DE0887B2F1BE}" name="PivotTable2" cacheId="14" applyNumberFormats="0" applyBorderFormats="0" applyFontFormats="0" applyPatternFormats="0" applyAlignmentFormats="0" applyWidthHeightFormats="1" dataCaption="Values" grandTotalCaption="Y E K U N" updatedVersion="8" minRefreshableVersion="3" rowGrandTotals="0" colGrandTotals="0" itemPrintTitles="1" createdVersion="8" indent="0" compact="0" compactData="0" multipleFieldFilters="0" rowHeaderCaption="Anbarlar / Mal adları" fieldListSortAscending="1">
  <location ref="A3:F1332" firstHeaderRow="0" firstDataRow="1" firstDataCol="3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98"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3"/>
        <item x="1070"/>
        <item x="1071"/>
        <item x="1072"/>
        <item x="977"/>
        <item x="978"/>
        <item x="979"/>
        <item x="980"/>
        <item x="981"/>
        <item x="982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0"/>
        <item x="1"/>
        <item x="2"/>
        <item x="3"/>
        <item x="4"/>
        <item x="5"/>
        <item x="6"/>
        <item x="1054"/>
        <item x="1046"/>
        <item x="1135"/>
        <item x="1136"/>
        <item x="1069"/>
        <item x="971"/>
        <item x="974"/>
        <item x="975"/>
        <item x="976"/>
        <item x="1055"/>
        <item x="1056"/>
        <item x="1057"/>
        <item x="1058"/>
        <item x="1059"/>
        <item x="1060"/>
        <item x="1061"/>
        <item x="1062"/>
        <item x="1063"/>
        <item x="1104"/>
        <item x="1105"/>
        <item x="1118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972"/>
        <item x="1160"/>
        <item x="1030"/>
        <item x="1029"/>
        <item x="1031"/>
        <item x="1032"/>
        <item x="1033"/>
        <item x="1161"/>
        <item x="1162"/>
        <item x="1163"/>
        <item x="1164"/>
        <item x="1165"/>
        <item x="1166"/>
        <item x="1034"/>
        <item x="1167"/>
        <item x="1140"/>
        <item x="1141"/>
        <item x="1142"/>
        <item x="1143"/>
        <item x="1144"/>
        <item x="1145"/>
        <item x="1146"/>
        <item x="1147"/>
        <item x="1148"/>
        <item x="1004"/>
        <item x="1005"/>
        <item x="1149"/>
        <item x="1150"/>
        <item x="1139"/>
        <item x="1137"/>
        <item x="1138"/>
        <item x="1151"/>
        <item x="1152"/>
        <item x="1153"/>
        <item x="1154"/>
        <item x="1155"/>
        <item x="1156"/>
        <item x="1157"/>
        <item x="1035"/>
        <item x="1036"/>
        <item x="1037"/>
        <item x="1028"/>
        <item x="1039"/>
        <item x="1040"/>
        <item x="1041"/>
        <item x="1038"/>
        <item x="1042"/>
        <item x="1043"/>
        <item x="1158"/>
        <item x="1159"/>
        <item x="1045"/>
        <item x="1168"/>
        <item x="1169"/>
        <item x="1170"/>
        <item x="1073"/>
        <item x="1171"/>
        <item x="1074"/>
        <item x="1172"/>
        <item x="1173"/>
        <item x="1090"/>
        <item x="1174"/>
        <item x="1175"/>
        <item x="1176"/>
        <item x="1044"/>
        <item x="1177"/>
        <item x="1091"/>
        <item x="1064"/>
        <item x="1065"/>
        <item x="1047"/>
        <item x="1048"/>
        <item x="1051"/>
        <item x="1049"/>
        <item x="1052"/>
        <item x="1050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78"/>
        <item x="1027"/>
        <item x="1053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066"/>
        <item x="1067"/>
        <item x="10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226">
        <item x="1111"/>
        <item x="515"/>
        <item x="517"/>
        <item x="282"/>
        <item x="733"/>
        <item x="734"/>
        <item x="732"/>
        <item x="985"/>
        <item x="984"/>
        <item x="943"/>
        <item x="921"/>
        <item x="918"/>
        <item x="178"/>
        <item x="148"/>
        <item x="1161"/>
        <item x="1131"/>
        <item x="473"/>
        <item x="149"/>
        <item x="1072"/>
        <item x="1153"/>
        <item x="425"/>
        <item x="158"/>
        <item x="423"/>
        <item x="436"/>
        <item x="1212"/>
        <item x="1133"/>
        <item x="1028"/>
        <item x="1170"/>
        <item x="1127"/>
        <item x="289"/>
        <item x="287"/>
        <item x="288"/>
        <item x="362"/>
        <item x="286"/>
        <item x="172"/>
        <item x="442"/>
        <item x="317"/>
        <item x="902"/>
        <item x="597"/>
        <item x="864"/>
        <item x="398"/>
        <item x="745"/>
        <item x="1119"/>
        <item x="759"/>
        <item x="1004"/>
        <item x="978"/>
        <item x="1019"/>
        <item x="979"/>
        <item x="1005"/>
        <item x="730"/>
        <item x="658"/>
        <item x="413"/>
        <item x="103"/>
        <item x="830"/>
        <item x="826"/>
        <item x="829"/>
        <item x="105"/>
        <item x="832"/>
        <item x="100"/>
        <item x="107"/>
        <item x="866"/>
        <item x="571"/>
        <item x="693"/>
        <item x="692"/>
        <item x="570"/>
        <item x="247"/>
        <item x="700"/>
        <item x="248"/>
        <item x="240"/>
        <item x="862"/>
        <item x="417"/>
        <item x="545"/>
        <item x="239"/>
        <item x="568"/>
        <item x="411"/>
        <item x="534"/>
        <item x="399"/>
        <item x="400"/>
        <item x="538"/>
        <item x="535"/>
        <item x="713"/>
        <item x="714"/>
        <item x="687"/>
        <item x="539"/>
        <item x="392"/>
        <item x="202"/>
        <item x="201"/>
        <item x="1055"/>
        <item x="1175"/>
        <item x="129"/>
        <item x="1185"/>
        <item x="1012"/>
        <item x="634"/>
        <item x="318"/>
        <item x="860"/>
        <item x="993"/>
        <item x="1011"/>
        <item x="471"/>
        <item x="777"/>
        <item x="114"/>
        <item x="113"/>
        <item x="415"/>
        <item x="416"/>
        <item x="865"/>
        <item x="418"/>
        <item x="491"/>
        <item x="1110"/>
        <item x="746"/>
        <item x="142"/>
        <item x="768"/>
        <item x="275"/>
        <item x="1162"/>
        <item x="457"/>
        <item x="370"/>
        <item x="1060"/>
        <item x="87"/>
        <item x="946"/>
        <item x="180"/>
        <item x="1139"/>
        <item x="1140"/>
        <item x="1137"/>
        <item x="1138"/>
        <item x="1054"/>
        <item x="904"/>
        <item x="966"/>
        <item x="1193"/>
        <item x="277"/>
        <item x="276"/>
        <item x="1009"/>
        <item x="861"/>
        <item x="428"/>
        <item x="1196"/>
        <item x="1198"/>
        <item x="631"/>
        <item x="632"/>
        <item x="629"/>
        <item x="630"/>
        <item x="633"/>
        <item x="527"/>
        <item x="1090"/>
        <item x="232"/>
        <item x="234"/>
        <item x="233"/>
        <item x="794"/>
        <item x="595"/>
        <item x="447"/>
        <item x="446"/>
        <item x="660"/>
        <item x="171"/>
        <item x="767"/>
        <item x="855"/>
        <item x="868"/>
        <item x="466"/>
        <item x="470"/>
        <item x="1086"/>
        <item x="749"/>
        <item x="750"/>
        <item x="414"/>
        <item x="1088"/>
        <item x="1094"/>
        <item x="656"/>
        <item x="350"/>
        <item x="639"/>
        <item x="664"/>
        <item x="893"/>
        <item x="157"/>
        <item x="359"/>
        <item x="1152"/>
        <item x="376"/>
        <item x="451"/>
        <item x="377"/>
        <item x="812"/>
        <item x="340"/>
        <item x="810"/>
        <item x="450"/>
        <item x="339"/>
        <item x="1063"/>
        <item x="886"/>
        <item x="838"/>
        <item x="885"/>
        <item x="869"/>
        <item x="811"/>
        <item x="792"/>
        <item x="316"/>
        <item x="929"/>
        <item x="948"/>
        <item x="744"/>
        <item x="335"/>
        <item x="336"/>
        <item x="388"/>
        <item x="110"/>
        <item x="741"/>
        <item x="740"/>
        <item x="657"/>
        <item x="516"/>
        <item x="992"/>
        <item x="1158"/>
        <item x="1157"/>
        <item x="441"/>
        <item x="460"/>
        <item x="461"/>
        <item x="204"/>
        <item x="285"/>
        <item x="949"/>
        <item x="951"/>
        <item x="941"/>
        <item x="936"/>
        <item x="742"/>
        <item x="947"/>
        <item x="1039"/>
        <item x="950"/>
        <item x="908"/>
        <item x="980"/>
        <item x="1015"/>
        <item x="556"/>
        <item x="555"/>
        <item x="557"/>
        <item x="558"/>
        <item x="1059"/>
        <item x="641"/>
        <item x="640"/>
        <item x="883"/>
        <item x="449"/>
        <item x="1100"/>
        <item x="1160"/>
        <item x="440"/>
        <item x="1159"/>
        <item x="181"/>
        <item x="468"/>
        <item x="892"/>
        <item x="790"/>
        <item x="295"/>
        <item x="296"/>
        <item x="274"/>
        <item x="254"/>
        <item x="271"/>
        <item x="267"/>
        <item x="253"/>
        <item x="263"/>
        <item x="260"/>
        <item x="258"/>
        <item x="261"/>
        <item x="264"/>
        <item x="268"/>
        <item x="259"/>
        <item x="272"/>
        <item x="273"/>
        <item x="256"/>
        <item x="266"/>
        <item x="269"/>
        <item x="255"/>
        <item x="265"/>
        <item x="252"/>
        <item x="257"/>
        <item x="270"/>
        <item x="251"/>
        <item x="262"/>
        <item x="321"/>
        <item x="747"/>
        <item x="481"/>
        <item x="1136"/>
        <item x="928"/>
        <item x="661"/>
        <item x="674"/>
        <item x="679"/>
        <item x="678"/>
        <item x="675"/>
        <item x="676"/>
        <item x="677"/>
        <item x="680"/>
        <item x="673"/>
        <item x="672"/>
        <item x="671"/>
        <item x="1132"/>
        <item x="968"/>
        <item x="280"/>
        <item x="964"/>
        <item x="907"/>
        <item x="1203"/>
        <item x="604"/>
        <item x="962"/>
        <item x="859"/>
        <item x="463"/>
        <item x="500"/>
        <item x="808"/>
        <item x="577"/>
        <item x="1177"/>
        <item x="933"/>
        <item x="1176"/>
        <item x="514"/>
        <item x="1199"/>
        <item x="1200"/>
        <item x="1206"/>
        <item x="1201"/>
        <item x="130"/>
        <item x="1126"/>
        <item x="1168"/>
        <item x="2"/>
        <item x="1057"/>
        <item x="1167"/>
        <item x="1218"/>
        <item x="313"/>
        <item x="315"/>
        <item x="314"/>
        <item x="1001"/>
        <item x="1002"/>
        <item x="1003"/>
        <item x="739"/>
        <item x="165"/>
        <item x="169"/>
        <item x="168"/>
        <item x="167"/>
        <item x="166"/>
        <item x="170"/>
        <item x="189"/>
        <item x="735"/>
        <item x="200"/>
        <item x="138"/>
        <item x="1056"/>
        <item x="1050"/>
        <item x="1058"/>
        <item x="186"/>
        <item x="156"/>
        <item x="758"/>
        <item x="875"/>
        <item x="967"/>
        <item x="796"/>
        <item x="797"/>
        <item x="475"/>
        <item x="141"/>
        <item x="229"/>
        <item x="464"/>
        <item x="230"/>
        <item x="454"/>
        <item x="1216"/>
        <item x="618"/>
        <item x="874"/>
        <item x="131"/>
        <item x="343"/>
        <item x="342"/>
        <item x="337"/>
        <item x="338"/>
        <item x="140"/>
        <item x="772"/>
        <item x="971"/>
        <item x="278"/>
        <item x="920"/>
        <item x="190"/>
        <item x="1109"/>
        <item x="1112"/>
        <item x="198"/>
        <item x="294"/>
        <item x="293"/>
        <item x="944"/>
        <item x="945"/>
        <item x="898"/>
        <item x="925"/>
        <item x="807"/>
        <item x="310"/>
        <item x="879"/>
        <item x="1178"/>
        <item x="1066"/>
        <item x="308"/>
        <item x="458"/>
        <item x="931"/>
        <item x="369"/>
        <item x="930"/>
        <item x="187"/>
        <item x="188"/>
        <item x="361"/>
        <item x="344"/>
        <item x="781"/>
        <item x="351"/>
        <item x="380"/>
        <item x="823"/>
        <item x="95"/>
        <item x="93"/>
        <item x="94"/>
        <item x="96"/>
        <item x="778"/>
        <item x="779"/>
        <item x="780"/>
        <item x="561"/>
        <item x="822"/>
        <item x="821"/>
        <item x="402"/>
        <item x="238"/>
        <item x="390"/>
        <item x="249"/>
        <item x="820"/>
        <item x="731"/>
        <item x="409"/>
        <item x="401"/>
        <item x="250"/>
        <item x="241"/>
        <item x="406"/>
        <item x="867"/>
        <item x="112"/>
        <item x="1065"/>
        <item x="133"/>
        <item x="124"/>
        <item x="125"/>
        <item x="126"/>
        <item x="177"/>
        <item x="127"/>
        <item x="128"/>
        <item x="144"/>
        <item x="236"/>
        <item x="228"/>
        <item x="1051"/>
        <item x="899"/>
        <item x="961"/>
        <item x="1000"/>
        <item x="1223"/>
        <item x="1224"/>
        <item x="1209"/>
        <item x="1017"/>
        <item x="1029"/>
        <item x="1081"/>
        <item x="1080"/>
        <item x="5"/>
        <item x="996"/>
        <item x="997"/>
        <item x="995"/>
        <item x="998"/>
        <item x="1155"/>
        <item x="522"/>
        <item x="523"/>
        <item x="520"/>
        <item x="773"/>
        <item x="1184"/>
        <item x="942"/>
        <item x="963"/>
        <item x="938"/>
        <item x="960"/>
        <item x="937"/>
        <item x="959"/>
        <item x="952"/>
        <item x="924"/>
        <item x="922"/>
        <item x="897"/>
        <item x="926"/>
        <item x="927"/>
        <item x="1108"/>
        <item x="499"/>
        <item x="143"/>
        <item x="135"/>
        <item x="1076"/>
        <item x="528"/>
        <item x="356"/>
        <item x="438"/>
        <item x="357"/>
        <item x="906"/>
        <item x="956"/>
        <item x="955"/>
        <item x="900"/>
        <item x="1084"/>
        <item x="603"/>
        <item x="341"/>
        <item x="160"/>
        <item x="1096"/>
        <item x="3"/>
        <item x="1016"/>
        <item x="1114"/>
        <item x="1115"/>
        <item x="354"/>
        <item x="353"/>
        <item x="355"/>
        <item x="14"/>
        <item x="15"/>
        <item x="1205"/>
        <item x="123"/>
        <item x="298"/>
        <item x="121"/>
        <item x="1047"/>
        <item x="1083"/>
        <item x="220"/>
        <item x="136"/>
        <item x="358"/>
        <item x="1143"/>
        <item x="360"/>
        <item x="0"/>
        <item x="1"/>
        <item x="1102"/>
        <item x="1106"/>
        <item x="1104"/>
        <item x="1103"/>
        <item x="1105"/>
        <item x="621"/>
        <item x="607"/>
        <item x="665"/>
        <item x="666"/>
        <item x="953"/>
        <item x="954"/>
        <item x="905"/>
        <item x="903"/>
        <item x="915"/>
        <item x="914"/>
        <item x="912"/>
        <item x="911"/>
        <item x="910"/>
        <item x="805"/>
        <item x="221"/>
        <item x="729"/>
        <item x="448"/>
        <item x="1186"/>
        <item x="771"/>
        <item x="1045"/>
        <item x="1040"/>
        <item x="981"/>
        <item x="598"/>
        <item x="456"/>
        <item x="455"/>
        <item x="611"/>
        <item x="173"/>
        <item x="932"/>
        <item x="663"/>
        <item x="368"/>
        <item x="1032"/>
        <item x="1031"/>
        <item x="1030"/>
        <item x="1204"/>
        <item x="851"/>
        <item x="375"/>
        <item x="490"/>
        <item x="786"/>
        <item x="785"/>
        <item x="478"/>
        <item x="483"/>
        <item x="858"/>
        <item x="506"/>
        <item x="484"/>
        <item x="845"/>
        <item x="846"/>
        <item x="452"/>
        <item x="1008"/>
        <item x="1034"/>
        <item x="1007"/>
        <item x="827"/>
        <item x="111"/>
        <item x="109"/>
        <item x="99"/>
        <item x="670"/>
        <item x="669"/>
        <item x="668"/>
        <item x="564"/>
        <item x="542"/>
        <item x="540"/>
        <item x="242"/>
        <item x="389"/>
        <item x="541"/>
        <item x="706"/>
        <item x="698"/>
        <item x="775"/>
        <item x="1197"/>
        <item x="164"/>
        <item x="219"/>
        <item x="1128"/>
        <item x="919"/>
        <item x="1087"/>
        <item x="465"/>
        <item x="1189"/>
        <item x="1049"/>
        <item x="1146"/>
        <item x="518"/>
        <item x="573"/>
        <item x="574"/>
        <item x="199"/>
        <item x="743"/>
        <item x="487"/>
        <item x="619"/>
        <item x="644"/>
        <item x="596"/>
        <item x="1213"/>
        <item x="132"/>
        <item x="183"/>
        <item x="184"/>
        <item x="182"/>
        <item x="806"/>
        <item x="1182"/>
        <item x="1181"/>
        <item x="843"/>
        <item x="727"/>
        <item x="726"/>
        <item x="725"/>
        <item x="163"/>
        <item x="1075"/>
        <item x="1074"/>
        <item x="1148"/>
        <item x="1192"/>
        <item x="305"/>
        <item x="1033"/>
        <item x="1073"/>
        <item x="218"/>
        <item x="322"/>
        <item x="323"/>
        <item x="391"/>
        <item x="395"/>
        <item x="393"/>
        <item x="394"/>
        <item x="396"/>
        <item x="825"/>
        <item x="306"/>
        <item x="307"/>
        <item x="98"/>
        <item x="878"/>
        <item x="705"/>
        <item x="543"/>
        <item x="704"/>
        <item x="694"/>
        <item x="695"/>
        <item x="404"/>
        <item x="562"/>
        <item x="701"/>
        <item x="531"/>
        <item x="530"/>
        <item x="408"/>
        <item x="546"/>
        <item x="871"/>
        <item x="872"/>
        <item x="533"/>
        <item x="492"/>
        <item x="702"/>
        <item x="703"/>
        <item x="1195"/>
        <item x="1046"/>
        <item x="521"/>
        <item x="1062"/>
        <item x="445"/>
        <item x="444"/>
        <item x="443"/>
        <item x="721"/>
        <item x="723"/>
        <item x="722"/>
        <item x="720"/>
        <item x="292"/>
        <item x="320"/>
        <item x="290"/>
        <item x="291"/>
        <item x="312"/>
        <item x="738"/>
        <item x="1099"/>
        <item x="279"/>
        <item x="367"/>
        <item x="9"/>
        <item x="12"/>
        <item x="888"/>
        <item x="763"/>
        <item x="764"/>
        <item x="761"/>
        <item x="760"/>
        <item x="762"/>
        <item x="765"/>
        <item x="934"/>
        <item x="769"/>
        <item x="412"/>
        <item x="1174"/>
        <item x="1053"/>
        <item x="1052"/>
        <item x="894"/>
        <item x="1183"/>
        <item x="1125"/>
        <item x="977"/>
        <item x="1124"/>
        <item x="972"/>
        <item x="437"/>
        <item x="1069"/>
        <item x="1113"/>
        <item x="115"/>
        <item x="737"/>
        <item x="1071"/>
        <item x="1169"/>
        <item x="1149"/>
        <item x="122"/>
        <item x="1150"/>
        <item x="748"/>
        <item x="876"/>
        <item x="877"/>
        <item x="1154"/>
        <item x="453"/>
        <item x="891"/>
        <item x="833"/>
        <item x="882"/>
        <item x="889"/>
        <item x="890"/>
        <item x="795"/>
        <item x="364"/>
        <item x="426"/>
        <item x="736"/>
        <item x="429"/>
        <item x="311"/>
        <item x="529"/>
        <item x="97"/>
        <item x="281"/>
        <item x="439"/>
        <item x="834"/>
        <item x="662"/>
        <item x="606"/>
        <item x="637"/>
        <item x="724"/>
        <item x="197"/>
        <item x="137"/>
        <item x="10"/>
        <item x="309"/>
        <item x="430"/>
        <item x="1064"/>
        <item x="609"/>
        <item x="620"/>
        <item x="622"/>
        <item x="605"/>
        <item x="614"/>
        <item x="616"/>
        <item x="601"/>
        <item x="615"/>
        <item x="613"/>
        <item x="1061"/>
        <item x="600"/>
        <item x="599"/>
        <item x="610"/>
        <item x="525"/>
        <item x="717"/>
        <item x="799"/>
        <item x="800"/>
        <item x="835"/>
        <item x="837"/>
        <item x="801"/>
        <item x="802"/>
        <item x="803"/>
        <item x="836"/>
        <item x="643"/>
        <item x="642"/>
        <item x="19"/>
        <item x="20"/>
        <item x="17"/>
        <item x="28"/>
        <item x="25"/>
        <item x="16"/>
        <item x="30"/>
        <item x="72"/>
        <item x="22"/>
        <item x="23"/>
        <item x="81"/>
        <item x="80"/>
        <item x="68"/>
        <item x="50"/>
        <item x="49"/>
        <item x="35"/>
        <item x="40"/>
        <item x="39"/>
        <item x="42"/>
        <item x="38"/>
        <item x="41"/>
        <item x="67"/>
        <item x="13"/>
        <item x="18"/>
        <item x="8"/>
        <item x="7"/>
        <item x="74"/>
        <item x="24"/>
        <item x="31"/>
        <item x="29"/>
        <item x="70"/>
        <item x="48"/>
        <item x="69"/>
        <item x="73"/>
        <item x="51"/>
        <item x="21"/>
        <item x="34"/>
        <item x="36"/>
        <item x="75"/>
        <item x="45"/>
        <item x="43"/>
        <item x="37"/>
        <item x="44"/>
        <item x="76"/>
        <item x="47"/>
        <item x="46"/>
        <item x="32"/>
        <item x="79"/>
        <item x="27"/>
        <item x="53"/>
        <item x="71"/>
        <item x="77"/>
        <item x="78"/>
        <item x="52"/>
        <item x="61"/>
        <item x="65"/>
        <item x="58"/>
        <item x="59"/>
        <item x="26"/>
        <item x="62"/>
        <item x="57"/>
        <item x="56"/>
        <item x="63"/>
        <item x="33"/>
        <item x="66"/>
        <item x="55"/>
        <item x="64"/>
        <item x="60"/>
        <item x="54"/>
        <item x="192"/>
        <item x="90"/>
        <item x="196"/>
        <item x="174"/>
        <item x="89"/>
        <item x="432"/>
        <item x="433"/>
        <item x="431"/>
        <item x="435"/>
        <item x="194"/>
        <item x="371"/>
        <item x="373"/>
        <item x="372"/>
        <item x="191"/>
        <item x="195"/>
        <item x="193"/>
        <item x="175"/>
        <item x="434"/>
        <item x="1215"/>
        <item x="884"/>
        <item x="179"/>
        <item x="88"/>
        <item x="82"/>
        <item x="83"/>
        <item x="159"/>
        <item x="84"/>
        <item x="85"/>
        <item x="92"/>
        <item x="91"/>
        <item x="86"/>
        <item x="422"/>
        <item x="983"/>
        <item x="1208"/>
        <item x="1093"/>
        <item x="863"/>
        <item x="1092"/>
        <item x="421"/>
        <item x="365"/>
        <item x="987"/>
        <item x="1014"/>
        <item x="986"/>
        <item x="1013"/>
        <item x="203"/>
        <item x="1021"/>
        <item x="1082"/>
        <item x="935"/>
        <item x="901"/>
        <item x="1097"/>
        <item x="519"/>
        <item x="982"/>
        <item x="1041"/>
        <item x="4"/>
        <item x="793"/>
        <item x="382"/>
        <item x="386"/>
        <item x="383"/>
        <item x="384"/>
        <item x="385"/>
        <item x="1180"/>
        <item x="1179"/>
        <item x="1214"/>
        <item x="427"/>
        <item x="976"/>
        <item x="575"/>
        <item x="328"/>
        <item x="176"/>
        <item x="1171"/>
        <item x="1085"/>
        <item x="1038"/>
        <item x="1130"/>
        <item x="844"/>
        <item x="118"/>
        <item x="117"/>
        <item x="116"/>
        <item x="841"/>
        <item x="840"/>
        <item x="324"/>
        <item x="334"/>
        <item x="326"/>
        <item x="325"/>
        <item x="331"/>
        <item x="330"/>
        <item x="332"/>
        <item x="333"/>
        <item x="839"/>
        <item x="842"/>
        <item x="329"/>
        <item x="327"/>
        <item x="1026"/>
        <item x="770"/>
        <item x="139"/>
        <item x="524"/>
        <item x="297"/>
        <item x="896"/>
        <item x="480"/>
        <item x="923"/>
        <item x="479"/>
        <item x="185"/>
        <item x="11"/>
        <item x="804"/>
        <item x="791"/>
        <item x="1098"/>
        <item x="1095"/>
        <item x="526"/>
        <item x="1089"/>
        <item x="917"/>
        <item x="1142"/>
        <item x="284"/>
        <item x="119"/>
        <item x="965"/>
        <item x="939"/>
        <item x="958"/>
        <item x="957"/>
        <item x="363"/>
        <item x="592"/>
        <item x="420"/>
        <item x="489"/>
        <item x="419"/>
        <item x="366"/>
        <item x="503"/>
        <item x="502"/>
        <item x="880"/>
        <item x="881"/>
        <item x="485"/>
        <item x="513"/>
        <item x="509"/>
        <item x="504"/>
        <item x="505"/>
        <item x="486"/>
        <item x="510"/>
        <item x="477"/>
        <item x="512"/>
        <item x="482"/>
        <item x="508"/>
        <item x="507"/>
        <item x="511"/>
        <item x="501"/>
        <item x="476"/>
        <item x="887"/>
        <item x="1188"/>
        <item x="940"/>
        <item x="488"/>
        <item x="1172"/>
        <item x="1147"/>
        <item x="1116"/>
        <item x="1117"/>
        <item x="895"/>
        <item x="207"/>
        <item x="1042"/>
        <item x="1070"/>
        <item x="1077"/>
        <item x="1043"/>
        <item x="1163"/>
        <item x="206"/>
        <item x="1024"/>
        <item x="1025"/>
        <item x="828"/>
        <item x="831"/>
        <item x="824"/>
        <item x="848"/>
        <item x="101"/>
        <item x="106"/>
        <item x="102"/>
        <item x="235"/>
        <item x="716"/>
        <item x="691"/>
        <item x="718"/>
        <item x="708"/>
        <item x="403"/>
        <item x="560"/>
        <item x="696"/>
        <item x="697"/>
        <item x="719"/>
        <item x="699"/>
        <item x="565"/>
        <item x="237"/>
        <item x="246"/>
        <item x="554"/>
        <item x="407"/>
        <item x="544"/>
        <item x="410"/>
        <item x="553"/>
        <item x="711"/>
        <item x="551"/>
        <item x="707"/>
        <item x="397"/>
        <item x="405"/>
        <item x="566"/>
        <item x="567"/>
        <item x="245"/>
        <item x="244"/>
        <item x="715"/>
        <item x="712"/>
        <item x="870"/>
        <item x="243"/>
        <item x="682"/>
        <item x="536"/>
        <item x="552"/>
        <item x="709"/>
        <item x="681"/>
        <item x="683"/>
        <item x="572"/>
        <item x="710"/>
        <item x="532"/>
        <item x="378"/>
        <item x="1141"/>
        <item x="667"/>
        <item x="303"/>
        <item x="301"/>
        <item x="302"/>
        <item x="304"/>
        <item x="300"/>
        <item x="474"/>
        <item x="1151"/>
        <item x="973"/>
        <item x="1121"/>
        <item x="974"/>
        <item x="1120"/>
        <item x="283"/>
        <item x="1044"/>
        <item x="1166"/>
        <item x="916"/>
        <item x="1101"/>
        <item x="1067"/>
        <item x="120"/>
        <item x="1006"/>
        <item x="1035"/>
        <item x="728"/>
        <item x="162"/>
        <item x="161"/>
        <item x="1210"/>
        <item x="225"/>
        <item x="227"/>
        <item x="1145"/>
        <item x="222"/>
        <item x="223"/>
        <item x="224"/>
        <item x="1144"/>
        <item x="798"/>
        <item x="226"/>
        <item x="659"/>
        <item x="205"/>
        <item x="145"/>
        <item x="147"/>
        <item x="1129"/>
        <item x="146"/>
        <item x="994"/>
        <item x="989"/>
        <item x="988"/>
        <item x="991"/>
        <item x="990"/>
        <item x="774"/>
        <item x="1022"/>
        <item x="472"/>
        <item x="1018"/>
        <item x="1191"/>
        <item x="1190"/>
        <item x="1010"/>
        <item x="1187"/>
        <item x="469"/>
        <item x="1023"/>
        <item x="1037"/>
        <item x="652"/>
        <item x="653"/>
        <item x="646"/>
        <item x="645"/>
        <item x="649"/>
        <item x="647"/>
        <item x="648"/>
        <item x="651"/>
        <item x="655"/>
        <item x="654"/>
        <item x="809"/>
        <item x="650"/>
        <item x="626"/>
        <item x="638"/>
        <item x="624"/>
        <item x="766"/>
        <item x="628"/>
        <item x="623"/>
        <item x="1202"/>
        <item x="627"/>
        <item x="625"/>
        <item x="387"/>
        <item x="467"/>
        <item x="852"/>
        <item x="853"/>
        <item x="854"/>
        <item x="969"/>
        <item x="1211"/>
        <item x="788"/>
        <item x="849"/>
        <item x="857"/>
        <item x="352"/>
        <item x="374"/>
        <item x="381"/>
        <item x="816"/>
        <item x="856"/>
        <item x="814"/>
        <item x="813"/>
        <item x="815"/>
        <item x="970"/>
        <item x="850"/>
        <item x="462"/>
        <item x="1091"/>
        <item x="999"/>
        <item x="1036"/>
        <item x="1134"/>
        <item x="1156"/>
        <item x="1173"/>
        <item x="104"/>
        <item x="108"/>
        <item x="1020"/>
        <item x="1048"/>
        <item x="787"/>
        <item x="379"/>
        <item x="789"/>
        <item x="608"/>
        <item x="635"/>
        <item x="636"/>
        <item x="1068"/>
        <item x="299"/>
        <item x="1165"/>
        <item x="1164"/>
        <item x="1079"/>
        <item x="1078"/>
        <item x="1107"/>
        <item x="559"/>
        <item x="580"/>
        <item x="581"/>
        <item x="583"/>
        <item x="582"/>
        <item x="593"/>
        <item x="873"/>
        <item x="1027"/>
        <item x="975"/>
        <item x="1122"/>
        <item x="1123"/>
        <item x="913"/>
        <item x="909"/>
        <item x="594"/>
        <item x="602"/>
        <item x="612"/>
        <item x="319"/>
        <item x="847"/>
        <item x="617"/>
        <item x="424"/>
        <item x="1222"/>
        <item x="1221"/>
        <item x="1220"/>
        <item x="1219"/>
        <item x="1135"/>
        <item x="754"/>
        <item x="753"/>
        <item x="755"/>
        <item x="751"/>
        <item x="756"/>
        <item x="752"/>
        <item x="757"/>
        <item x="1217"/>
        <item x="459"/>
        <item x="497"/>
        <item x="498"/>
        <item x="496"/>
        <item x="494"/>
        <item x="493"/>
        <item x="495"/>
        <item x="6"/>
        <item x="1118"/>
        <item x="588"/>
        <item x="587"/>
        <item x="589"/>
        <item x="584"/>
        <item x="585"/>
        <item x="586"/>
        <item x="591"/>
        <item x="590"/>
        <item x="817"/>
        <item x="819"/>
        <item x="818"/>
        <item x="784"/>
        <item x="783"/>
        <item x="776"/>
        <item x="578"/>
        <item x="579"/>
        <item x="576"/>
        <item x="134"/>
        <item x="347"/>
        <item x="346"/>
        <item x="348"/>
        <item x="345"/>
        <item x="349"/>
        <item x="782"/>
        <item x="563"/>
        <item x="685"/>
        <item x="690"/>
        <item x="689"/>
        <item x="547"/>
        <item x="550"/>
        <item x="548"/>
        <item x="688"/>
        <item x="549"/>
        <item x="686"/>
        <item x="569"/>
        <item x="537"/>
        <item x="684"/>
        <item x="150"/>
        <item x="151"/>
        <item x="152"/>
        <item x="153"/>
        <item x="154"/>
        <item x="155"/>
        <item x="214"/>
        <item x="213"/>
        <item x="216"/>
        <item x="215"/>
        <item x="217"/>
        <item x="212"/>
        <item x="211"/>
        <item x="209"/>
        <item x="1207"/>
        <item x="208"/>
        <item x="210"/>
        <item x="1194"/>
        <item x="231"/>
        <item m="1" x="12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m="1"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8"/>
    <field x="3"/>
    <field x="2"/>
  </rowFields>
  <rowItems count="1329">
    <i>
      <x/>
      <x v="23"/>
      <x v="1397"/>
    </i>
    <i r="1">
      <x v="87"/>
      <x v="2021"/>
    </i>
    <i r="1">
      <x v="114"/>
      <x v="2107"/>
    </i>
    <i r="1">
      <x v="122"/>
      <x v="2020"/>
    </i>
    <i r="1">
      <x v="161"/>
      <x v="1311"/>
    </i>
    <i r="1">
      <x v="175"/>
      <x v="1300"/>
    </i>
    <i r="1">
      <x v="176"/>
      <x v="2197"/>
    </i>
    <i r="1">
      <x v="218"/>
      <x v="2106"/>
    </i>
    <i r="1">
      <x v="298"/>
      <x v="2023"/>
    </i>
    <i r="1">
      <x v="312"/>
      <x v="1127"/>
    </i>
    <i r="1">
      <x v="318"/>
      <x v="2022"/>
    </i>
    <i r="1">
      <x v="319"/>
      <x v="2016"/>
    </i>
    <i r="1">
      <x v="320"/>
      <x v="2024"/>
    </i>
    <i r="1">
      <x v="354"/>
      <x v="1911"/>
    </i>
    <i r="1">
      <x v="366"/>
      <x v="1895"/>
    </i>
    <i r="1">
      <x v="370"/>
      <x v="1305"/>
    </i>
    <i r="1">
      <x v="409"/>
      <x v="2017"/>
    </i>
    <i r="1">
      <x v="466"/>
      <x v="1314"/>
    </i>
    <i r="1">
      <x v="562"/>
      <x v="2007"/>
    </i>
    <i r="1">
      <x v="570"/>
      <x v="1580"/>
    </i>
    <i r="1">
      <x v="585"/>
      <x v="1124"/>
    </i>
    <i r="1">
      <x v="627"/>
      <x v="2196"/>
    </i>
    <i r="1">
      <x v="657"/>
      <x v="2019"/>
    </i>
    <i r="1">
      <x v="658"/>
      <x v="2018"/>
    </i>
    <i r="1">
      <x v="662"/>
      <x v="1941"/>
    </i>
    <i r="1">
      <x v="664"/>
      <x v="1936"/>
    </i>
    <i r="1">
      <x v="689"/>
      <x v="1390"/>
    </i>
    <i r="1">
      <x v="711"/>
      <x v="1577"/>
    </i>
    <i r="1">
      <x v="712"/>
      <x v="1562"/>
    </i>
    <i r="1">
      <x v="715"/>
      <x v="2195"/>
    </i>
    <i r="1">
      <x v="718"/>
      <x v="1571"/>
    </i>
    <i r="1">
      <x v="831"/>
      <x v="1963"/>
    </i>
    <i r="1">
      <x v="913"/>
      <x v="1324"/>
    </i>
    <i r="1">
      <x v="1014"/>
      <x v="1937"/>
    </i>
    <i r="1">
      <x v="1016"/>
      <x v="1938"/>
    </i>
    <i r="1">
      <x v="1028"/>
      <x v="1123"/>
    </i>
    <i r="1">
      <x v="1029"/>
      <x v="1122"/>
    </i>
    <i r="1">
      <x v="1113"/>
      <x v="2130"/>
    </i>
    <i r="1">
      <x v="1135"/>
      <x v="1939"/>
    </i>
    <i r="1">
      <x v="1145"/>
      <x v="1578"/>
    </i>
    <i r="1">
      <x v="1192"/>
      <x v="1745"/>
    </i>
    <i>
      <x v="1"/>
      <x v="1"/>
      <x v="1476"/>
    </i>
    <i r="1">
      <x v="2"/>
      <x v="1478"/>
    </i>
    <i r="1">
      <x v="3"/>
      <x v="1243"/>
    </i>
    <i r="1">
      <x v="4"/>
      <x v="1695"/>
    </i>
    <i r="1">
      <x v="5"/>
      <x v="1696"/>
    </i>
    <i r="1">
      <x v="6"/>
      <x v="1694"/>
    </i>
    <i r="1">
      <x v="7"/>
      <x v="1965"/>
    </i>
    <i r="1">
      <x v="8"/>
      <x v="1964"/>
    </i>
    <i r="1">
      <x v="9"/>
      <x v="1909"/>
    </i>
    <i r="1">
      <x v="10"/>
      <x v="1886"/>
    </i>
    <i r="1">
      <x v="11"/>
      <x v="1883"/>
    </i>
    <i r="1">
      <x v="12"/>
      <x v="1139"/>
    </i>
    <i r="1">
      <x v="13"/>
      <x v="1109"/>
    </i>
    <i r="1">
      <x v="16"/>
      <x v="1434"/>
    </i>
    <i r="1">
      <x v="17"/>
      <x v="1110"/>
    </i>
    <i r="1">
      <x v="20"/>
      <x v="1386"/>
    </i>
    <i r="1">
      <x v="21"/>
      <x v="1119"/>
    </i>
    <i r="1">
      <x v="22"/>
      <x v="1384"/>
    </i>
    <i r="1">
      <x v="23"/>
      <x v="1397"/>
    </i>
    <i r="1">
      <x v="26"/>
      <x v="2046"/>
    </i>
    <i r="1">
      <x v="29"/>
      <x v="1250"/>
    </i>
    <i r="1">
      <x v="30"/>
      <x v="1248"/>
    </i>
    <i r="1">
      <x v="31"/>
      <x v="1249"/>
    </i>
    <i r="1">
      <x v="32"/>
      <x v="1323"/>
    </i>
    <i r="1">
      <x v="33"/>
      <x v="1247"/>
    </i>
    <i r="1">
      <x v="34"/>
      <x v="1133"/>
    </i>
    <i r="1">
      <x v="35"/>
      <x v="1403"/>
    </i>
    <i r="1">
      <x v="36"/>
      <x v="1278"/>
    </i>
    <i r="1">
      <x v="37"/>
      <x v="1866"/>
    </i>
    <i r="1">
      <x v="38"/>
      <x v="1558"/>
    </i>
    <i r="1">
      <x v="39"/>
      <x v="1827"/>
    </i>
    <i r="1">
      <x v="40"/>
      <x v="1359"/>
    </i>
    <i r="1">
      <x v="41"/>
      <x v="1707"/>
    </i>
    <i r="1">
      <x v="43"/>
      <x v="1721"/>
    </i>
    <i r="1">
      <x v="44"/>
      <x v="1982"/>
    </i>
    <i r="1">
      <x v="45"/>
      <x v="1958"/>
    </i>
    <i r="1">
      <x v="46"/>
      <x v="1997"/>
    </i>
    <i r="1">
      <x v="47"/>
      <x v="1959"/>
    </i>
    <i r="1">
      <x v="48"/>
      <x v="1983"/>
    </i>
    <i r="1">
      <x v="49"/>
      <x v="1692"/>
    </i>
    <i r="1">
      <x v="50"/>
      <x v="1619"/>
    </i>
    <i r="1">
      <x v="51"/>
      <x v="1374"/>
    </i>
    <i r="1">
      <x v="52"/>
      <x v="1064"/>
    </i>
    <i r="1">
      <x v="53"/>
      <x v="1793"/>
    </i>
    <i r="1">
      <x v="54"/>
      <x v="1789"/>
    </i>
    <i r="1">
      <x v="55"/>
      <x v="1792"/>
    </i>
    <i r="1">
      <x v="56"/>
      <x v="1066"/>
    </i>
    <i r="1">
      <x v="57"/>
      <x v="1795"/>
    </i>
    <i r="1">
      <x v="58"/>
      <x v="1061"/>
    </i>
    <i r="1">
      <x v="59"/>
      <x v="1068"/>
    </i>
    <i r="1">
      <x v="60"/>
      <x v="1829"/>
    </i>
    <i r="1">
      <x v="61"/>
      <x v="1532"/>
    </i>
    <i r="1">
      <x v="62"/>
      <x v="1655"/>
    </i>
    <i r="1">
      <x v="63"/>
      <x v="1654"/>
    </i>
    <i r="1">
      <x v="64"/>
      <x v="1531"/>
    </i>
    <i r="1">
      <x v="65"/>
      <x v="1208"/>
    </i>
    <i r="1">
      <x v="66"/>
      <x v="1662"/>
    </i>
    <i r="1">
      <x v="67"/>
      <x v="1209"/>
    </i>
    <i r="1">
      <x v="68"/>
      <x v="1201"/>
    </i>
    <i r="1">
      <x v="69"/>
      <x v="1825"/>
    </i>
    <i r="1">
      <x v="70"/>
      <x v="1378"/>
    </i>
    <i r="1">
      <x v="71"/>
      <x v="1506"/>
    </i>
    <i r="1">
      <x v="72"/>
      <x v="1200"/>
    </i>
    <i r="1">
      <x v="73"/>
      <x v="1529"/>
    </i>
    <i r="1">
      <x v="74"/>
      <x v="1372"/>
    </i>
    <i r="1">
      <x v="75"/>
      <x v="1495"/>
    </i>
    <i r="1">
      <x v="76"/>
      <x v="1360"/>
    </i>
    <i r="1">
      <x v="77"/>
      <x v="1361"/>
    </i>
    <i r="1">
      <x v="78"/>
      <x v="1499"/>
    </i>
    <i r="1">
      <x v="79"/>
      <x v="1496"/>
    </i>
    <i r="1">
      <x v="80"/>
      <x v="1675"/>
    </i>
    <i r="1">
      <x v="81"/>
      <x v="1676"/>
    </i>
    <i r="1">
      <x v="82"/>
      <x v="1649"/>
    </i>
    <i r="1">
      <x v="83"/>
      <x v="1500"/>
    </i>
    <i r="1">
      <x v="84"/>
      <x v="1353"/>
    </i>
    <i r="1">
      <x v="85"/>
      <x v="1163"/>
    </i>
    <i r="1">
      <x v="86"/>
      <x v="1162"/>
    </i>
    <i r="1">
      <x v="89"/>
      <x v="1090"/>
    </i>
    <i r="1">
      <x v="91"/>
      <x v="1990"/>
    </i>
    <i r="1">
      <x v="92"/>
      <x v="1595"/>
    </i>
    <i r="1">
      <x v="93"/>
      <x v="1279"/>
    </i>
    <i r="1">
      <x v="94"/>
      <x v="1823"/>
    </i>
    <i r="1">
      <x v="95"/>
      <x v="1973"/>
    </i>
    <i r="1">
      <x v="96"/>
      <x v="1989"/>
    </i>
    <i r="1">
      <x v="97"/>
      <x v="1432"/>
    </i>
    <i r="1">
      <x v="98"/>
      <x v="1740"/>
    </i>
    <i r="1">
      <x v="99"/>
      <x v="1075"/>
    </i>
    <i r="1">
      <x v="100"/>
      <x v="1074"/>
    </i>
    <i r="1">
      <x v="101"/>
      <x v="1376"/>
    </i>
    <i r="1">
      <x v="102"/>
      <x v="1377"/>
    </i>
    <i r="1">
      <x v="103"/>
      <x v="1828"/>
    </i>
    <i r="1">
      <x v="104"/>
      <x v="1379"/>
    </i>
    <i r="1">
      <x v="105"/>
      <x v="1452"/>
    </i>
    <i r="1">
      <x v="107"/>
      <x v="1708"/>
    </i>
    <i r="1">
      <x v="108"/>
      <x v="1103"/>
    </i>
    <i r="1">
      <x v="109"/>
      <x v="1731"/>
    </i>
    <i r="1">
      <x v="110"/>
      <x v="1236"/>
    </i>
    <i r="1">
      <x v="112"/>
      <x v="1418"/>
    </i>
    <i r="1">
      <x v="113"/>
      <x v="1331"/>
    </i>
    <i r="1">
      <x v="115"/>
      <x v="1048"/>
    </i>
    <i r="1">
      <x v="116"/>
      <x v="1912"/>
    </i>
    <i r="1">
      <x v="117"/>
      <x v="1141"/>
    </i>
    <i r="1">
      <x v="123"/>
      <x v="1868"/>
    </i>
    <i r="1">
      <x v="124"/>
      <x v="2012"/>
    </i>
    <i r="1">
      <x v="126"/>
      <x v="1238"/>
    </i>
    <i r="1">
      <x v="127"/>
      <x v="1237"/>
    </i>
    <i r="1">
      <x v="128"/>
      <x v="1987"/>
    </i>
    <i r="1">
      <x v="129"/>
      <x v="1824"/>
    </i>
    <i r="1">
      <x v="130"/>
      <x v="1389"/>
    </i>
    <i r="1">
      <x v="133"/>
      <x v="1592"/>
    </i>
    <i r="1">
      <x v="134"/>
      <x v="1593"/>
    </i>
    <i r="1">
      <x v="135"/>
      <x v="1590"/>
    </i>
    <i r="1">
      <x v="136"/>
      <x v="1591"/>
    </i>
    <i r="1">
      <x v="137"/>
      <x v="1594"/>
    </i>
    <i r="1">
      <x v="138"/>
      <x v="1488"/>
    </i>
    <i r="1">
      <x v="140"/>
      <x v="1193"/>
    </i>
    <i r="1">
      <x v="141"/>
      <x v="1195"/>
    </i>
    <i r="1">
      <x v="142"/>
      <x v="1194"/>
    </i>
    <i r="1">
      <x v="143"/>
      <x v="1757"/>
    </i>
    <i r="1">
      <x v="144"/>
      <x v="1556"/>
    </i>
    <i r="1">
      <x v="145"/>
      <x v="1408"/>
    </i>
    <i r="1">
      <x v="146"/>
      <x v="1407"/>
    </i>
    <i r="1">
      <x v="147"/>
      <x v="1621"/>
    </i>
    <i r="1">
      <x v="148"/>
      <x v="1132"/>
    </i>
    <i r="1">
      <x v="149"/>
      <x v="1729"/>
    </i>
    <i r="1">
      <x v="150"/>
      <x v="1818"/>
    </i>
    <i r="1">
      <x v="151"/>
      <x v="1831"/>
    </i>
    <i r="1">
      <x v="152"/>
      <x v="1427"/>
    </i>
    <i r="1">
      <x v="153"/>
      <x v="1431"/>
    </i>
    <i r="1">
      <x v="155"/>
      <x v="1711"/>
    </i>
    <i r="1">
      <x v="156"/>
      <x v="1712"/>
    </i>
    <i r="1">
      <x v="157"/>
      <x v="1375"/>
    </i>
    <i r="1">
      <x v="160"/>
      <x v="1617"/>
    </i>
    <i r="1">
      <x v="161"/>
      <x v="1311"/>
    </i>
    <i r="1">
      <x v="162"/>
      <x v="1600"/>
    </i>
    <i r="1">
      <x v="163"/>
      <x v="1625"/>
    </i>
    <i r="1">
      <x v="164"/>
      <x v="1856"/>
    </i>
    <i r="1">
      <x v="165"/>
      <x v="1118"/>
    </i>
    <i r="1">
      <x v="166"/>
      <x v="1320"/>
    </i>
    <i r="1">
      <x v="168"/>
      <x v="1337"/>
    </i>
    <i r="1">
      <x v="169"/>
      <x v="1412"/>
    </i>
    <i r="1">
      <x v="170"/>
      <x v="1338"/>
    </i>
    <i r="1">
      <x v="171"/>
      <x v="1775"/>
    </i>
    <i r="1">
      <x v="172"/>
      <x v="1301"/>
    </i>
    <i r="1">
      <x v="173"/>
      <x v="1773"/>
    </i>
    <i r="1">
      <x v="174"/>
      <x v="1411"/>
    </i>
    <i r="1">
      <x v="175"/>
      <x v="1300"/>
    </i>
    <i r="1">
      <x v="177"/>
      <x v="1849"/>
    </i>
    <i r="1">
      <x v="178"/>
      <x v="1801"/>
    </i>
    <i r="1">
      <x v="179"/>
      <x v="1848"/>
    </i>
    <i r="1">
      <x v="180"/>
      <x v="1832"/>
    </i>
    <i r="1">
      <x v="181"/>
      <x v="1774"/>
    </i>
    <i r="1">
      <x v="182"/>
      <x v="1755"/>
    </i>
    <i r="1">
      <x v="183"/>
      <x v="1277"/>
    </i>
    <i r="1">
      <x v="184"/>
      <x v="1894"/>
    </i>
    <i r="1">
      <x v="185"/>
      <x v="1914"/>
    </i>
    <i r="1">
      <x v="186"/>
      <x v="1706"/>
    </i>
    <i r="1">
      <x v="187"/>
      <x v="1296"/>
    </i>
    <i r="1">
      <x v="188"/>
      <x v="1297"/>
    </i>
    <i r="1">
      <x v="189"/>
      <x v="1349"/>
    </i>
    <i r="1">
      <x v="190"/>
      <x v="1071"/>
    </i>
    <i r="1">
      <x v="191"/>
      <x v="1703"/>
    </i>
    <i r="1">
      <x v="192"/>
      <x v="1702"/>
    </i>
    <i r="1">
      <x v="193"/>
      <x v="1618"/>
    </i>
    <i r="1">
      <x v="194"/>
      <x v="1477"/>
    </i>
    <i r="1">
      <x v="195"/>
      <x v="1972"/>
    </i>
    <i r="1">
      <x v="198"/>
      <x v="1402"/>
    </i>
    <i r="1">
      <x v="199"/>
      <x v="1421"/>
    </i>
    <i r="1">
      <x v="200"/>
      <x v="1422"/>
    </i>
    <i r="1">
      <x v="201"/>
      <x v="1165"/>
    </i>
    <i r="1">
      <x v="202"/>
      <x v="1246"/>
    </i>
    <i r="1">
      <x v="203"/>
      <x v="1915"/>
    </i>
    <i r="1">
      <x v="204"/>
      <x v="1917"/>
    </i>
    <i r="1">
      <x v="205"/>
      <x v="1907"/>
    </i>
    <i r="1">
      <x v="206"/>
      <x v="1902"/>
    </i>
    <i r="1">
      <x v="207"/>
      <x v="1704"/>
    </i>
    <i r="1">
      <x v="208"/>
      <x v="1913"/>
    </i>
    <i r="1">
      <x v="209"/>
      <x v="2103"/>
    </i>
    <i r="1">
      <x v="210"/>
      <x v="1916"/>
    </i>
    <i r="1">
      <x v="211"/>
      <x v="1872"/>
    </i>
    <i r="1">
      <x v="212"/>
      <x v="1960"/>
    </i>
    <i r="1">
      <x v="213"/>
      <x v="1993"/>
    </i>
    <i r="1">
      <x v="214"/>
      <x v="1517"/>
    </i>
    <i r="1">
      <x v="215"/>
      <x v="1516"/>
    </i>
    <i r="1">
      <x v="216"/>
      <x v="1518"/>
    </i>
    <i r="1">
      <x v="217"/>
      <x v="1519"/>
    </i>
    <i r="1">
      <x v="219"/>
      <x v="1602"/>
    </i>
    <i r="1">
      <x v="220"/>
      <x v="1601"/>
    </i>
    <i r="1">
      <x v="221"/>
      <x v="1846"/>
    </i>
    <i r="1">
      <x v="222"/>
      <x v="1410"/>
    </i>
    <i r="1">
      <x v="225"/>
      <x v="1401"/>
    </i>
    <i r="1">
      <x v="227"/>
      <x v="1142"/>
    </i>
    <i r="1">
      <x v="228"/>
      <x v="1429"/>
    </i>
    <i r="1">
      <x v="229"/>
      <x v="1855"/>
    </i>
    <i r="1">
      <x v="230"/>
      <x v="1753"/>
    </i>
    <i r="1">
      <x v="231"/>
      <x v="1256"/>
    </i>
    <i r="1">
      <x v="232"/>
      <x v="1257"/>
    </i>
    <i r="1">
      <x v="233"/>
      <x v="1235"/>
    </i>
    <i r="1">
      <x v="234"/>
      <x v="1215"/>
    </i>
    <i r="1">
      <x v="235"/>
      <x v="1232"/>
    </i>
    <i r="1">
      <x v="236"/>
      <x v="1228"/>
    </i>
    <i r="1">
      <x v="237"/>
      <x v="1214"/>
    </i>
    <i r="1">
      <x v="238"/>
      <x v="1224"/>
    </i>
    <i r="1">
      <x v="239"/>
      <x v="1221"/>
    </i>
    <i r="1">
      <x v="240"/>
      <x v="1219"/>
    </i>
    <i r="1">
      <x v="241"/>
      <x v="1222"/>
    </i>
    <i r="1">
      <x v="242"/>
      <x v="1225"/>
    </i>
    <i r="1">
      <x v="243"/>
      <x v="1229"/>
    </i>
    <i r="1">
      <x v="244"/>
      <x v="1220"/>
    </i>
    <i r="1">
      <x v="245"/>
      <x v="1233"/>
    </i>
    <i r="1">
      <x v="246"/>
      <x v="1234"/>
    </i>
    <i r="1">
      <x v="247"/>
      <x v="1217"/>
    </i>
    <i r="1">
      <x v="248"/>
      <x v="1227"/>
    </i>
    <i r="1">
      <x v="249"/>
      <x v="1230"/>
    </i>
    <i r="1">
      <x v="250"/>
      <x v="1216"/>
    </i>
    <i r="1">
      <x v="251"/>
      <x v="1226"/>
    </i>
    <i r="1">
      <x v="252"/>
      <x v="1213"/>
    </i>
    <i r="1">
      <x v="253"/>
      <x v="1218"/>
    </i>
    <i r="1">
      <x v="254"/>
      <x v="1231"/>
    </i>
    <i r="1">
      <x v="255"/>
      <x v="1212"/>
    </i>
    <i r="1">
      <x v="256"/>
      <x v="1223"/>
    </i>
    <i r="1">
      <x v="257"/>
      <x v="1282"/>
    </i>
    <i r="1">
      <x v="258"/>
      <x v="1709"/>
    </i>
    <i r="1">
      <x v="259"/>
      <x v="1442"/>
    </i>
    <i r="1">
      <x v="261"/>
      <x v="1893"/>
    </i>
    <i r="1">
      <x v="262"/>
      <x v="1622"/>
    </i>
    <i r="1">
      <x v="263"/>
      <x v="1636"/>
    </i>
    <i r="1">
      <x v="264"/>
      <x v="1641"/>
    </i>
    <i r="1">
      <x v="265"/>
      <x v="1640"/>
    </i>
    <i r="1">
      <x v="266"/>
      <x v="1637"/>
    </i>
    <i r="1">
      <x v="267"/>
      <x v="1638"/>
    </i>
    <i r="1">
      <x v="268"/>
      <x v="1639"/>
    </i>
    <i r="1">
      <x v="269"/>
      <x v="1642"/>
    </i>
    <i r="1">
      <x v="270"/>
      <x v="1635"/>
    </i>
    <i r="1">
      <x v="271"/>
      <x v="1634"/>
    </i>
    <i r="1">
      <x v="272"/>
      <x v="1633"/>
    </i>
    <i r="1">
      <x v="274"/>
      <x v="1932"/>
    </i>
    <i r="1">
      <x v="275"/>
      <x v="1241"/>
    </i>
    <i r="1">
      <x v="276"/>
      <x v="1930"/>
    </i>
    <i r="1">
      <x v="277"/>
      <x v="1871"/>
    </i>
    <i r="1">
      <x v="279"/>
      <x v="1565"/>
    </i>
    <i r="1">
      <x v="280"/>
      <x v="1928"/>
    </i>
    <i r="1">
      <x v="281"/>
      <x v="1822"/>
    </i>
    <i r="1">
      <x v="282"/>
      <x v="1424"/>
    </i>
    <i r="1">
      <x v="283"/>
      <x v="1461"/>
    </i>
    <i r="1">
      <x v="284"/>
      <x v="1771"/>
    </i>
    <i r="1">
      <x v="285"/>
      <x v="1538"/>
    </i>
    <i r="1">
      <x v="287"/>
      <x v="1898"/>
    </i>
    <i r="1">
      <x v="289"/>
      <x v="1475"/>
    </i>
    <i r="1">
      <x v="294"/>
      <x v="1091"/>
    </i>
    <i r="1">
      <x v="297"/>
      <x v="2002"/>
    </i>
    <i r="1">
      <x v="301"/>
      <x v="1274"/>
    </i>
    <i r="1">
      <x v="302"/>
      <x v="1276"/>
    </i>
    <i r="1">
      <x v="303"/>
      <x v="1275"/>
    </i>
    <i r="1">
      <x v="304"/>
      <x v="1979"/>
    </i>
    <i r="1">
      <x v="305"/>
      <x v="1980"/>
    </i>
    <i r="1">
      <x v="306"/>
      <x v="1981"/>
    </i>
    <i r="1">
      <x v="307"/>
      <x v="1701"/>
    </i>
    <i r="1">
      <x v="308"/>
      <x v="1126"/>
    </i>
    <i r="1">
      <x v="309"/>
      <x v="1130"/>
    </i>
    <i r="1">
      <x v="310"/>
      <x v="1129"/>
    </i>
    <i r="1">
      <x v="311"/>
      <x v="1128"/>
    </i>
    <i r="1">
      <x v="312"/>
      <x v="1127"/>
    </i>
    <i r="1">
      <x v="313"/>
      <x v="1131"/>
    </i>
    <i r="1">
      <x v="314"/>
      <x v="1150"/>
    </i>
    <i r="1">
      <x v="315"/>
      <x v="1697"/>
    </i>
    <i r="1">
      <x v="316"/>
      <x v="1161"/>
    </i>
    <i r="1">
      <x v="317"/>
      <x v="1099"/>
    </i>
    <i r="1">
      <x v="321"/>
      <x v="1147"/>
    </i>
    <i r="1">
      <x v="322"/>
      <x v="1117"/>
    </i>
    <i r="1">
      <x v="323"/>
      <x v="1720"/>
    </i>
    <i r="1">
      <x v="324"/>
      <x v="1838"/>
    </i>
    <i r="1">
      <x v="325"/>
      <x v="2040"/>
    </i>
    <i r="1">
      <x v="326"/>
      <x v="1759"/>
    </i>
    <i r="1">
      <x v="327"/>
      <x v="1760"/>
    </i>
    <i r="1">
      <x v="328"/>
      <x v="1436"/>
    </i>
    <i r="1">
      <x v="329"/>
      <x v="1102"/>
    </i>
    <i r="1">
      <x v="330"/>
      <x v="1190"/>
    </i>
    <i r="1">
      <x v="331"/>
      <x v="1425"/>
    </i>
    <i r="1">
      <x v="332"/>
      <x v="1191"/>
    </i>
    <i r="1">
      <x v="333"/>
      <x v="1415"/>
    </i>
    <i r="1">
      <x v="335"/>
      <x v="1579"/>
    </i>
    <i r="1">
      <x v="336"/>
      <x v="1837"/>
    </i>
    <i r="1">
      <x v="337"/>
      <x v="1092"/>
    </i>
    <i r="1">
      <x v="338"/>
      <x v="1304"/>
    </i>
    <i r="1">
      <x v="339"/>
      <x v="1303"/>
    </i>
    <i r="1">
      <x v="340"/>
      <x v="1298"/>
    </i>
    <i r="1">
      <x v="341"/>
      <x v="1299"/>
    </i>
    <i r="1">
      <x v="342"/>
      <x v="1101"/>
    </i>
    <i r="1">
      <x v="343"/>
      <x v="1735"/>
    </i>
    <i r="1">
      <x v="344"/>
      <x v="2015"/>
    </i>
    <i r="1">
      <x v="345"/>
      <x v="1239"/>
    </i>
    <i r="1">
      <x v="346"/>
      <x v="1885"/>
    </i>
    <i r="1">
      <x v="347"/>
      <x v="1151"/>
    </i>
    <i r="1">
      <x v="350"/>
      <x v="1159"/>
    </i>
    <i r="1">
      <x v="351"/>
      <x v="1255"/>
    </i>
    <i r="1">
      <x v="352"/>
      <x v="1254"/>
    </i>
    <i r="1">
      <x v="353"/>
      <x v="1910"/>
    </i>
    <i r="1">
      <x v="354"/>
      <x v="1911"/>
    </i>
    <i r="1">
      <x v="355"/>
      <x v="1862"/>
    </i>
    <i r="1">
      <x v="356"/>
      <x v="1890"/>
    </i>
    <i r="1">
      <x v="357"/>
      <x v="1770"/>
    </i>
    <i r="1">
      <x v="358"/>
      <x v="1271"/>
    </i>
    <i r="1">
      <x v="359"/>
      <x v="1842"/>
    </i>
    <i r="1">
      <x v="362"/>
      <x v="1269"/>
    </i>
    <i r="1">
      <x v="363"/>
      <x v="1419"/>
    </i>
    <i r="1">
      <x v="364"/>
      <x v="1896"/>
    </i>
    <i r="1">
      <x v="365"/>
      <x v="1330"/>
    </i>
    <i r="1">
      <x v="366"/>
      <x v="1895"/>
    </i>
    <i r="1">
      <x v="367"/>
      <x v="1148"/>
    </i>
    <i r="1">
      <x v="368"/>
      <x v="1149"/>
    </i>
    <i r="1">
      <x v="369"/>
      <x v="1322"/>
    </i>
    <i r="1">
      <x v="370"/>
      <x v="1305"/>
    </i>
    <i r="1">
      <x v="371"/>
      <x v="1744"/>
    </i>
    <i r="1">
      <x v="372"/>
      <x v="1312"/>
    </i>
    <i r="1">
      <x v="373"/>
      <x v="1341"/>
    </i>
    <i r="1">
      <x v="374"/>
      <x v="1786"/>
    </i>
    <i r="1">
      <x v="375"/>
      <x v="1056"/>
    </i>
    <i r="1">
      <x v="376"/>
      <x v="1054"/>
    </i>
    <i r="1">
      <x v="377"/>
      <x v="1055"/>
    </i>
    <i r="1">
      <x v="378"/>
      <x v="1057"/>
    </i>
    <i r="1">
      <x v="379"/>
      <x v="1741"/>
    </i>
    <i r="1">
      <x v="380"/>
      <x v="1742"/>
    </i>
    <i r="1">
      <x v="381"/>
      <x v="1743"/>
    </i>
    <i r="1">
      <x v="382"/>
      <x v="1522"/>
    </i>
    <i r="1">
      <x v="383"/>
      <x v="1785"/>
    </i>
    <i r="1">
      <x v="384"/>
      <x v="1784"/>
    </i>
    <i r="1">
      <x v="385"/>
      <x v="1363"/>
    </i>
    <i r="1">
      <x v="386"/>
      <x v="1199"/>
    </i>
    <i r="1">
      <x v="387"/>
      <x v="1351"/>
    </i>
    <i r="1">
      <x v="388"/>
      <x v="1210"/>
    </i>
    <i r="1">
      <x v="389"/>
      <x v="1783"/>
    </i>
    <i r="1">
      <x v="390"/>
      <x v="1693"/>
    </i>
    <i r="1">
      <x v="391"/>
      <x v="1370"/>
    </i>
    <i r="1">
      <x v="392"/>
      <x v="1362"/>
    </i>
    <i r="1">
      <x v="393"/>
      <x v="1211"/>
    </i>
    <i r="1">
      <x v="394"/>
      <x v="1202"/>
    </i>
    <i r="1">
      <x v="395"/>
      <x v="1367"/>
    </i>
    <i r="1">
      <x v="396"/>
      <x v="1830"/>
    </i>
    <i r="1">
      <x v="397"/>
      <x v="1073"/>
    </i>
    <i r="1">
      <x v="399"/>
      <x v="1094"/>
    </i>
    <i r="1">
      <x v="400"/>
      <x v="1085"/>
    </i>
    <i r="1">
      <x v="401"/>
      <x v="1086"/>
    </i>
    <i r="1">
      <x v="402"/>
      <x v="1087"/>
    </i>
    <i r="1">
      <x v="403"/>
      <x v="1138"/>
    </i>
    <i r="1">
      <x v="404"/>
      <x v="1088"/>
    </i>
    <i r="1">
      <x v="405"/>
      <x v="1089"/>
    </i>
    <i r="1">
      <x v="406"/>
      <x v="1105"/>
    </i>
    <i r="1">
      <x v="407"/>
      <x v="1197"/>
    </i>
    <i r="1">
      <x v="408"/>
      <x v="1189"/>
    </i>
    <i r="1">
      <x v="410"/>
      <x v="1863"/>
    </i>
    <i r="1">
      <x v="411"/>
      <x v="1927"/>
    </i>
    <i r="1">
      <x v="412"/>
      <x v="2065"/>
    </i>
    <i r="1">
      <x v="416"/>
      <x v="1995"/>
    </i>
    <i r="1">
      <x v="417"/>
      <x v="2053"/>
    </i>
    <i r="1">
      <x v="420"/>
      <x v="2005"/>
    </i>
    <i r="1">
      <x v="421"/>
      <x v="1976"/>
    </i>
    <i r="1">
      <x v="422"/>
      <x v="1977"/>
    </i>
    <i r="1">
      <x v="423"/>
      <x v="1975"/>
    </i>
    <i r="1">
      <x v="424"/>
      <x v="1978"/>
    </i>
    <i r="1">
      <x v="426"/>
      <x v="1483"/>
    </i>
    <i r="1">
      <x v="427"/>
      <x v="1484"/>
    </i>
    <i r="1">
      <x v="428"/>
      <x v="1481"/>
    </i>
    <i r="1">
      <x v="429"/>
      <x v="1736"/>
    </i>
    <i r="1">
      <x v="431"/>
      <x v="1908"/>
    </i>
    <i r="1">
      <x v="432"/>
      <x v="1929"/>
    </i>
    <i r="1">
      <x v="433"/>
      <x v="1904"/>
    </i>
    <i r="1">
      <x v="434"/>
      <x v="1926"/>
    </i>
    <i r="1">
      <x v="435"/>
      <x v="1903"/>
    </i>
    <i r="1">
      <x v="436"/>
      <x v="1925"/>
    </i>
    <i r="1">
      <x v="437"/>
      <x v="1918"/>
    </i>
    <i r="1">
      <x v="438"/>
      <x v="1889"/>
    </i>
    <i r="1">
      <x v="439"/>
      <x v="1887"/>
    </i>
    <i r="1">
      <x v="440"/>
      <x v="1861"/>
    </i>
    <i r="1">
      <x v="441"/>
      <x v="1891"/>
    </i>
    <i r="1">
      <x v="442"/>
      <x v="1892"/>
    </i>
    <i r="1">
      <x v="444"/>
      <x v="1460"/>
    </i>
    <i r="1">
      <x v="445"/>
      <x v="1104"/>
    </i>
    <i r="1">
      <x v="446"/>
      <x v="1096"/>
    </i>
    <i r="1">
      <x v="448"/>
      <x v="1489"/>
    </i>
    <i r="1">
      <x v="449"/>
      <x v="1317"/>
    </i>
    <i r="1">
      <x v="450"/>
      <x v="1399"/>
    </i>
    <i r="1">
      <x v="451"/>
      <x v="1318"/>
    </i>
    <i r="1">
      <x v="452"/>
      <x v="1870"/>
    </i>
    <i r="1">
      <x v="453"/>
      <x v="1922"/>
    </i>
    <i r="1">
      <x v="454"/>
      <x v="1921"/>
    </i>
    <i r="1">
      <x v="455"/>
      <x v="1864"/>
    </i>
    <i r="1">
      <x v="457"/>
      <x v="1564"/>
    </i>
    <i r="1">
      <x v="458"/>
      <x v="1302"/>
    </i>
    <i r="1">
      <x v="459"/>
      <x v="1121"/>
    </i>
    <i r="1">
      <x v="461"/>
      <x v="2003"/>
    </i>
    <i r="1">
      <x v="462"/>
      <x v="1994"/>
    </i>
    <i r="1">
      <x v="465"/>
      <x v="1315"/>
    </i>
    <i r="1">
      <x v="466"/>
      <x v="1314"/>
    </i>
    <i r="1">
      <x v="467"/>
      <x v="1316"/>
    </i>
    <i r="1">
      <x v="468"/>
      <x v="975"/>
    </i>
    <i r="1">
      <x v="469"/>
      <x v="976"/>
    </i>
    <i r="1">
      <x v="471"/>
      <x v="1084"/>
    </i>
    <i r="1">
      <x v="472"/>
      <x v="1259"/>
    </i>
    <i r="1">
      <x v="473"/>
      <x v="1082"/>
    </i>
    <i r="1">
      <x v="474"/>
      <x v="2112"/>
    </i>
    <i r="1">
      <x v="476"/>
      <x v="1181"/>
    </i>
    <i r="1">
      <x v="477"/>
      <x v="1097"/>
    </i>
    <i r="1">
      <x v="478"/>
      <x v="1319"/>
    </i>
    <i r="1">
      <x v="480"/>
      <x v="1321"/>
    </i>
    <i r="1">
      <x v="481"/>
      <x v="2000"/>
    </i>
    <i r="1">
      <x v="482"/>
      <x v="2001"/>
    </i>
    <i r="1">
      <x v="488"/>
      <x v="1582"/>
    </i>
    <i r="1">
      <x v="489"/>
      <x v="1568"/>
    </i>
    <i r="1">
      <x v="490"/>
      <x v="1626"/>
    </i>
    <i r="1">
      <x v="491"/>
      <x v="1627"/>
    </i>
    <i r="1">
      <x v="492"/>
      <x v="1919"/>
    </i>
    <i r="1">
      <x v="493"/>
      <x v="1920"/>
    </i>
    <i r="1">
      <x v="494"/>
      <x v="1869"/>
    </i>
    <i r="1">
      <x v="495"/>
      <x v="1867"/>
    </i>
    <i r="1">
      <x v="496"/>
      <x v="1879"/>
    </i>
    <i r="1">
      <x v="497"/>
      <x v="1878"/>
    </i>
    <i r="1">
      <x v="498"/>
      <x v="1876"/>
    </i>
    <i r="1">
      <x v="499"/>
      <x v="1875"/>
    </i>
    <i r="1">
      <x v="500"/>
      <x v="1874"/>
    </i>
    <i r="1">
      <x v="501"/>
      <x v="1768"/>
    </i>
    <i r="1">
      <x v="502"/>
      <x v="1182"/>
    </i>
    <i r="1">
      <x v="503"/>
      <x v="1691"/>
    </i>
    <i r="1">
      <x v="504"/>
      <x v="1409"/>
    </i>
    <i r="1">
      <x v="506"/>
      <x v="1734"/>
    </i>
    <i r="1">
      <x v="507"/>
      <x v="2113"/>
    </i>
    <i r="1">
      <x v="508"/>
      <x v="2090"/>
    </i>
    <i r="1">
      <x v="509"/>
      <x v="1961"/>
    </i>
    <i r="1">
      <x v="510"/>
      <x v="1559"/>
    </i>
    <i r="1">
      <x v="511"/>
      <x v="1417"/>
    </i>
    <i r="1">
      <x v="512"/>
      <x v="1416"/>
    </i>
    <i r="1">
      <x v="513"/>
      <x v="1572"/>
    </i>
    <i r="1">
      <x v="514"/>
      <x v="1134"/>
    </i>
    <i r="1">
      <x v="515"/>
      <x v="1897"/>
    </i>
    <i r="1">
      <x v="516"/>
      <x v="1624"/>
    </i>
    <i r="1">
      <x v="517"/>
      <x v="1329"/>
    </i>
    <i r="1">
      <x v="518"/>
      <x v="2080"/>
    </i>
    <i r="1">
      <x v="519"/>
      <x v="2079"/>
    </i>
    <i r="1">
      <x v="520"/>
      <x v="2078"/>
    </i>
    <i r="1">
      <x v="522"/>
      <x v="1814"/>
    </i>
    <i r="1">
      <x v="523"/>
      <x v="1336"/>
    </i>
    <i r="1">
      <x v="524"/>
      <x v="1451"/>
    </i>
    <i r="1">
      <x v="525"/>
      <x v="1749"/>
    </i>
    <i r="1">
      <x v="526"/>
      <x v="1748"/>
    </i>
    <i r="1">
      <x v="527"/>
      <x v="1439"/>
    </i>
    <i r="1">
      <x v="528"/>
      <x v="1444"/>
    </i>
    <i r="1">
      <x v="529"/>
      <x v="1821"/>
    </i>
    <i r="1">
      <x v="530"/>
      <x v="1467"/>
    </i>
    <i r="1">
      <x v="531"/>
      <x v="1445"/>
    </i>
    <i r="1">
      <x v="532"/>
      <x v="1808"/>
    </i>
    <i r="1">
      <x v="533"/>
      <x v="1809"/>
    </i>
    <i r="1">
      <x v="534"/>
      <x v="1413"/>
    </i>
    <i r="1">
      <x v="535"/>
      <x v="1986"/>
    </i>
    <i r="1">
      <x v="536"/>
      <x v="2082"/>
    </i>
    <i r="1">
      <x v="537"/>
      <x v="1985"/>
    </i>
    <i r="1">
      <x v="538"/>
      <x v="1790"/>
    </i>
    <i r="1">
      <x v="539"/>
      <x v="1072"/>
    </i>
    <i r="1">
      <x v="540"/>
      <x v="1070"/>
    </i>
    <i r="1">
      <x v="541"/>
      <x v="1060"/>
    </i>
    <i r="1">
      <x v="542"/>
      <x v="1631"/>
    </i>
    <i r="1">
      <x v="543"/>
      <x v="1630"/>
    </i>
    <i r="1">
      <x v="544"/>
      <x v="1629"/>
    </i>
    <i r="1">
      <x v="545"/>
      <x v="1525"/>
    </i>
    <i r="1">
      <x v="546"/>
      <x v="1503"/>
    </i>
    <i r="1">
      <x v="547"/>
      <x v="1501"/>
    </i>
    <i r="1">
      <x v="548"/>
      <x v="1203"/>
    </i>
    <i r="1">
      <x v="549"/>
      <x v="1350"/>
    </i>
    <i r="1">
      <x v="550"/>
      <x v="1502"/>
    </i>
    <i r="1">
      <x v="551"/>
      <x v="1668"/>
    </i>
    <i r="1">
      <x v="552"/>
      <x v="1660"/>
    </i>
    <i r="1">
      <x v="553"/>
      <x v="1738"/>
    </i>
    <i r="1">
      <x v="555"/>
      <x v="1125"/>
    </i>
    <i r="1">
      <x v="556"/>
      <x v="1180"/>
    </i>
    <i r="1">
      <x v="558"/>
      <x v="1884"/>
    </i>
    <i r="1">
      <x v="560"/>
      <x v="1426"/>
    </i>
    <i r="1">
      <x v="564"/>
      <x v="1479"/>
    </i>
    <i r="1">
      <x v="565"/>
      <x v="1534"/>
    </i>
    <i r="1">
      <x v="566"/>
      <x v="1535"/>
    </i>
    <i r="1">
      <x v="567"/>
      <x v="1160"/>
    </i>
    <i r="1">
      <x v="568"/>
      <x v="1705"/>
    </i>
    <i r="1">
      <x v="569"/>
      <x v="1448"/>
    </i>
    <i r="1">
      <x v="570"/>
      <x v="1580"/>
    </i>
    <i r="1">
      <x v="571"/>
      <x v="1605"/>
    </i>
    <i r="1">
      <x v="572"/>
      <x v="1557"/>
    </i>
    <i r="1">
      <x v="574"/>
      <x v="1093"/>
    </i>
    <i r="1">
      <x v="575"/>
      <x v="1144"/>
    </i>
    <i r="1">
      <x v="576"/>
      <x v="1145"/>
    </i>
    <i r="1">
      <x v="577"/>
      <x v="1143"/>
    </i>
    <i r="1">
      <x v="578"/>
      <x v="1769"/>
    </i>
    <i r="1">
      <x v="581"/>
      <x v="1806"/>
    </i>
    <i r="1">
      <x v="582"/>
      <x v="1689"/>
    </i>
    <i r="1">
      <x v="583"/>
      <x v="1688"/>
    </i>
    <i r="1">
      <x v="584"/>
      <x v="1687"/>
    </i>
    <i r="1">
      <x v="585"/>
      <x v="1124"/>
    </i>
    <i r="1">
      <x v="590"/>
      <x v="1266"/>
    </i>
    <i r="1">
      <x v="591"/>
      <x v="2085"/>
    </i>
    <i r="1">
      <x v="593"/>
      <x v="1179"/>
    </i>
    <i r="1">
      <x v="594"/>
      <x v="1283"/>
    </i>
    <i r="1">
      <x v="595"/>
      <x v="1284"/>
    </i>
    <i r="1">
      <x v="596"/>
      <x v="1352"/>
    </i>
    <i r="1">
      <x v="597"/>
      <x v="1356"/>
    </i>
    <i r="1">
      <x v="598"/>
      <x v="1354"/>
    </i>
    <i r="1">
      <x v="599"/>
      <x v="1355"/>
    </i>
    <i r="1">
      <x v="600"/>
      <x v="1357"/>
    </i>
    <i r="1">
      <x v="601"/>
      <x v="1788"/>
    </i>
    <i r="1">
      <x v="602"/>
      <x v="1267"/>
    </i>
    <i r="1">
      <x v="603"/>
      <x v="1268"/>
    </i>
    <i r="1">
      <x v="604"/>
      <x v="1059"/>
    </i>
    <i r="1">
      <x v="605"/>
      <x v="1841"/>
    </i>
    <i r="1">
      <x v="606"/>
      <x v="1667"/>
    </i>
    <i r="1">
      <x v="607"/>
      <x v="1504"/>
    </i>
    <i r="1">
      <x v="608"/>
      <x v="1666"/>
    </i>
    <i r="1">
      <x v="609"/>
      <x v="1656"/>
    </i>
    <i r="1">
      <x v="610"/>
      <x v="1657"/>
    </i>
    <i r="1">
      <x v="611"/>
      <x v="1365"/>
    </i>
    <i r="1">
      <x v="612"/>
      <x v="1523"/>
    </i>
    <i r="1">
      <x v="613"/>
      <x v="1663"/>
    </i>
    <i r="1">
      <x v="614"/>
      <x v="1492"/>
    </i>
    <i r="1">
      <x v="615"/>
      <x v="1491"/>
    </i>
    <i r="1">
      <x v="616"/>
      <x v="1369"/>
    </i>
    <i r="1">
      <x v="617"/>
      <x v="1507"/>
    </i>
    <i r="1">
      <x v="618"/>
      <x v="1834"/>
    </i>
    <i r="1">
      <x v="619"/>
      <x v="1835"/>
    </i>
    <i r="1">
      <x v="620"/>
      <x v="1494"/>
    </i>
    <i r="1">
      <x v="621"/>
      <x v="1453"/>
    </i>
    <i r="1">
      <x v="622"/>
      <x v="1664"/>
    </i>
    <i r="1">
      <x v="623"/>
      <x v="1665"/>
    </i>
    <i r="1">
      <x v="625"/>
      <x v="2110"/>
    </i>
    <i r="1">
      <x v="626"/>
      <x v="1482"/>
    </i>
    <i r="1">
      <x v="628"/>
      <x v="1406"/>
    </i>
    <i r="1">
      <x v="629"/>
      <x v="1405"/>
    </i>
    <i r="1">
      <x v="630"/>
      <x v="1404"/>
    </i>
    <i r="1">
      <x v="631"/>
      <x v="1683"/>
    </i>
    <i r="1">
      <x v="632"/>
      <x v="1685"/>
    </i>
    <i r="1">
      <x v="633"/>
      <x v="1684"/>
    </i>
    <i r="1">
      <x v="634"/>
      <x v="1682"/>
    </i>
    <i r="1">
      <x v="635"/>
      <x v="1253"/>
    </i>
    <i r="1">
      <x v="636"/>
      <x v="1281"/>
    </i>
    <i r="1">
      <x v="637"/>
      <x v="1251"/>
    </i>
    <i r="1">
      <x v="638"/>
      <x v="1252"/>
    </i>
    <i r="1">
      <x v="639"/>
      <x v="1273"/>
    </i>
    <i r="1">
      <x v="640"/>
      <x v="1700"/>
    </i>
    <i r="1">
      <x v="642"/>
      <x v="1240"/>
    </i>
    <i r="1">
      <x v="643"/>
      <x v="1328"/>
    </i>
    <i r="1">
      <x v="644"/>
      <x v="970"/>
    </i>
    <i r="1">
      <x v="645"/>
      <x v="973"/>
    </i>
    <i r="1">
      <x v="646"/>
      <x v="1851"/>
    </i>
    <i r="1">
      <x v="647"/>
      <x v="1725"/>
    </i>
    <i r="1">
      <x v="648"/>
      <x v="1726"/>
    </i>
    <i r="1">
      <x v="649"/>
      <x v="1723"/>
    </i>
    <i r="1">
      <x v="650"/>
      <x v="1722"/>
    </i>
    <i r="1">
      <x v="651"/>
      <x v="1724"/>
    </i>
    <i r="1">
      <x v="652"/>
      <x v="1727"/>
    </i>
    <i r="1">
      <x v="653"/>
      <x v="1899"/>
    </i>
    <i r="1">
      <x v="654"/>
      <x v="1732"/>
    </i>
    <i r="1">
      <x v="655"/>
      <x v="1373"/>
    </i>
    <i r="1">
      <x v="659"/>
      <x v="1857"/>
    </i>
    <i r="1">
      <x v="662"/>
      <x v="1941"/>
    </i>
    <i r="1">
      <x v="664"/>
      <x v="1936"/>
    </i>
    <i r="1">
      <x v="665"/>
      <x v="1398"/>
    </i>
    <i r="1">
      <x v="668"/>
      <x v="1076"/>
    </i>
    <i r="1">
      <x v="669"/>
      <x v="1699"/>
    </i>
    <i r="1">
      <x v="673"/>
      <x v="1083"/>
    </i>
    <i r="1">
      <x v="675"/>
      <x v="1710"/>
    </i>
    <i r="1">
      <x v="676"/>
      <x v="1839"/>
    </i>
    <i r="1">
      <x v="677"/>
      <x v="1840"/>
    </i>
    <i r="1">
      <x v="679"/>
      <x v="1414"/>
    </i>
    <i r="1">
      <x v="680"/>
      <x v="1854"/>
    </i>
    <i r="1">
      <x v="681"/>
      <x v="1796"/>
    </i>
    <i r="1">
      <x v="682"/>
      <x v="1845"/>
    </i>
    <i r="1">
      <x v="683"/>
      <x v="1852"/>
    </i>
    <i r="1">
      <x v="684"/>
      <x v="1853"/>
    </i>
    <i r="1">
      <x v="685"/>
      <x v="1758"/>
    </i>
    <i r="1">
      <x v="686"/>
      <x v="1325"/>
    </i>
    <i r="1">
      <x v="687"/>
      <x v="1387"/>
    </i>
    <i r="1">
      <x v="688"/>
      <x v="1698"/>
    </i>
    <i r="1">
      <x v="689"/>
      <x v="1390"/>
    </i>
    <i r="1">
      <x v="690"/>
      <x v="1272"/>
    </i>
    <i r="1">
      <x v="691"/>
      <x v="1490"/>
    </i>
    <i r="2">
      <x v="1632"/>
    </i>
    <i r="2">
      <x v="1730"/>
    </i>
    <i r="2">
      <x v="1860"/>
    </i>
    <i r="2">
      <x v="1881"/>
    </i>
    <i r="2">
      <x v="1900"/>
    </i>
    <i r="1">
      <x v="692"/>
      <x v="1058"/>
    </i>
    <i r="1">
      <x v="693"/>
      <x v="1242"/>
    </i>
    <i r="1">
      <x v="694"/>
      <x v="1400"/>
    </i>
    <i r="1">
      <x v="695"/>
      <x v="1797"/>
    </i>
    <i r="1">
      <x v="696"/>
      <x v="1623"/>
    </i>
    <i r="1">
      <x v="697"/>
      <x v="1567"/>
    </i>
    <i r="1">
      <x v="698"/>
      <x v="1598"/>
    </i>
    <i r="1">
      <x v="699"/>
      <x v="1686"/>
    </i>
    <i r="1">
      <x v="700"/>
      <x v="1158"/>
    </i>
    <i r="1">
      <x v="701"/>
      <x v="1098"/>
    </i>
    <i r="1">
      <x v="702"/>
      <x v="971"/>
    </i>
    <i r="1">
      <x v="703"/>
      <x v="1270"/>
    </i>
    <i r="1">
      <x v="704"/>
      <x v="1391"/>
    </i>
    <i r="1">
      <x v="706"/>
      <x v="1570"/>
    </i>
    <i r="1">
      <x v="707"/>
      <x v="1581"/>
    </i>
    <i r="1">
      <x v="708"/>
      <x v="1583"/>
    </i>
    <i r="1">
      <x v="709"/>
      <x v="1566"/>
    </i>
    <i r="1">
      <x v="710"/>
      <x v="1575"/>
    </i>
    <i r="1">
      <x v="711"/>
      <x v="1577"/>
    </i>
    <i r="1">
      <x v="712"/>
      <x v="1562"/>
    </i>
    <i r="1">
      <x v="713"/>
      <x v="1576"/>
    </i>
    <i r="1">
      <x v="714"/>
      <x v="1574"/>
    </i>
    <i r="1">
      <x v="716"/>
      <x v="1561"/>
    </i>
    <i r="1">
      <x v="717"/>
      <x v="1560"/>
    </i>
    <i r="1">
      <x v="718"/>
      <x v="1571"/>
    </i>
    <i r="1">
      <x v="719"/>
      <x v="1486"/>
    </i>
    <i r="1">
      <x v="720"/>
      <x v="1679"/>
    </i>
    <i r="1">
      <x v="721"/>
      <x v="1762"/>
    </i>
    <i r="1">
      <x v="722"/>
      <x v="1763"/>
    </i>
    <i r="1">
      <x v="723"/>
      <x v="1798"/>
    </i>
    <i r="1">
      <x v="724"/>
      <x v="1800"/>
    </i>
    <i r="1">
      <x v="725"/>
      <x v="1764"/>
    </i>
    <i r="1">
      <x v="726"/>
      <x v="1765"/>
    </i>
    <i r="1">
      <x v="727"/>
      <x v="1766"/>
    </i>
    <i r="1">
      <x v="728"/>
      <x v="1799"/>
    </i>
    <i r="1">
      <x v="729"/>
      <x v="1604"/>
    </i>
    <i r="1">
      <x v="730"/>
      <x v="1603"/>
    </i>
    <i r="1">
      <x v="731"/>
      <x v="980"/>
    </i>
    <i r="1">
      <x v="732"/>
      <x v="981"/>
    </i>
    <i r="1">
      <x v="733"/>
      <x v="978"/>
    </i>
    <i r="1">
      <x v="734"/>
      <x v="989"/>
    </i>
    <i r="1">
      <x v="735"/>
      <x v="986"/>
    </i>
    <i r="1">
      <x v="736"/>
      <x v="977"/>
    </i>
    <i r="1">
      <x v="737"/>
      <x v="991"/>
    </i>
    <i r="1">
      <x v="738"/>
      <x v="1033"/>
    </i>
    <i r="1">
      <x v="739"/>
      <x v="983"/>
    </i>
    <i r="1">
      <x v="740"/>
      <x v="984"/>
    </i>
    <i r="1">
      <x v="741"/>
      <x v="1042"/>
    </i>
    <i r="1">
      <x v="742"/>
      <x v="1041"/>
    </i>
    <i r="1">
      <x v="743"/>
      <x v="1029"/>
    </i>
    <i r="1">
      <x v="744"/>
      <x v="1011"/>
    </i>
    <i r="1">
      <x v="745"/>
      <x v="1010"/>
    </i>
    <i r="1">
      <x v="746"/>
      <x v="996"/>
    </i>
    <i r="1">
      <x v="747"/>
      <x v="1001"/>
    </i>
    <i r="1">
      <x v="748"/>
      <x v="1000"/>
    </i>
    <i r="1">
      <x v="749"/>
      <x v="1003"/>
    </i>
    <i r="1">
      <x v="750"/>
      <x v="999"/>
    </i>
    <i r="1">
      <x v="751"/>
      <x v="1002"/>
    </i>
    <i r="1">
      <x v="752"/>
      <x v="1028"/>
    </i>
    <i r="1">
      <x v="753"/>
      <x v="974"/>
    </i>
    <i r="1">
      <x v="754"/>
      <x v="979"/>
    </i>
    <i r="1">
      <x v="755"/>
      <x v="969"/>
    </i>
    <i r="1">
      <x v="756"/>
      <x v="968"/>
    </i>
    <i r="1">
      <x v="757"/>
      <x v="1035"/>
    </i>
    <i r="1">
      <x v="758"/>
      <x v="985"/>
    </i>
    <i r="1">
      <x v="759"/>
      <x v="992"/>
    </i>
    <i r="1">
      <x v="760"/>
      <x v="990"/>
    </i>
    <i r="1">
      <x v="761"/>
      <x v="1031"/>
    </i>
    <i r="1">
      <x v="762"/>
      <x v="1009"/>
    </i>
    <i r="1">
      <x v="763"/>
      <x v="1030"/>
    </i>
    <i r="1">
      <x v="764"/>
      <x v="1034"/>
    </i>
    <i r="1">
      <x v="765"/>
      <x v="1012"/>
    </i>
    <i r="1">
      <x v="766"/>
      <x v="982"/>
    </i>
    <i r="1">
      <x v="767"/>
      <x v="995"/>
    </i>
    <i r="1">
      <x v="768"/>
      <x v="997"/>
    </i>
    <i r="1">
      <x v="769"/>
      <x v="1036"/>
    </i>
    <i r="1">
      <x v="770"/>
      <x v="1006"/>
    </i>
    <i r="1">
      <x v="771"/>
      <x v="1004"/>
    </i>
    <i r="1">
      <x v="772"/>
      <x v="998"/>
    </i>
    <i r="1">
      <x v="773"/>
      <x v="1005"/>
    </i>
    <i r="1">
      <x v="774"/>
      <x v="1037"/>
    </i>
    <i r="1">
      <x v="775"/>
      <x v="1008"/>
    </i>
    <i r="1">
      <x v="776"/>
      <x v="1007"/>
    </i>
    <i r="1">
      <x v="777"/>
      <x v="993"/>
    </i>
    <i r="1">
      <x v="778"/>
      <x v="1040"/>
    </i>
    <i r="1">
      <x v="779"/>
      <x v="988"/>
    </i>
    <i r="1">
      <x v="780"/>
      <x v="1014"/>
    </i>
    <i r="1">
      <x v="781"/>
      <x v="1032"/>
    </i>
    <i r="1">
      <x v="782"/>
      <x v="1038"/>
    </i>
    <i r="1">
      <x v="783"/>
      <x v="1039"/>
    </i>
    <i r="1">
      <x v="784"/>
      <x v="1013"/>
    </i>
    <i r="1">
      <x v="785"/>
      <x v="1022"/>
    </i>
    <i r="1">
      <x v="786"/>
      <x v="1026"/>
    </i>
    <i r="1">
      <x v="787"/>
      <x v="1019"/>
    </i>
    <i r="1">
      <x v="788"/>
      <x v="1020"/>
    </i>
    <i r="1">
      <x v="789"/>
      <x v="987"/>
    </i>
    <i r="1">
      <x v="790"/>
      <x v="1023"/>
    </i>
    <i r="1">
      <x v="791"/>
      <x v="1018"/>
    </i>
    <i r="1">
      <x v="792"/>
      <x v="1017"/>
    </i>
    <i r="1">
      <x v="793"/>
      <x v="1024"/>
    </i>
    <i r="1">
      <x v="794"/>
      <x v="994"/>
    </i>
    <i r="1">
      <x v="795"/>
      <x v="1027"/>
    </i>
    <i r="1">
      <x v="796"/>
      <x v="1016"/>
    </i>
    <i r="1">
      <x v="797"/>
      <x v="1025"/>
    </i>
    <i r="1">
      <x v="798"/>
      <x v="1021"/>
    </i>
    <i r="1">
      <x v="799"/>
      <x v="1015"/>
    </i>
    <i r="1">
      <x v="800"/>
      <x v="1153"/>
    </i>
    <i r="1">
      <x v="801"/>
      <x v="1051"/>
    </i>
    <i r="1">
      <x v="802"/>
      <x v="1157"/>
    </i>
    <i r="1">
      <x v="803"/>
      <x v="1135"/>
    </i>
    <i r="1">
      <x v="804"/>
      <x v="1050"/>
    </i>
    <i r="1">
      <x v="805"/>
      <x v="1393"/>
    </i>
    <i r="1">
      <x v="806"/>
      <x v="1394"/>
    </i>
    <i r="1">
      <x v="807"/>
      <x v="1392"/>
    </i>
    <i r="1">
      <x v="808"/>
      <x v="1396"/>
    </i>
    <i r="1">
      <x v="809"/>
      <x v="1155"/>
    </i>
    <i r="1">
      <x v="810"/>
      <x v="1332"/>
    </i>
    <i r="1">
      <x v="811"/>
      <x v="1334"/>
    </i>
    <i r="1">
      <x v="812"/>
      <x v="1333"/>
    </i>
    <i r="1">
      <x v="813"/>
      <x v="1152"/>
    </i>
    <i r="1">
      <x v="814"/>
      <x v="1156"/>
    </i>
    <i r="1">
      <x v="815"/>
      <x v="1154"/>
    </i>
    <i r="1">
      <x v="816"/>
      <x v="1136"/>
    </i>
    <i r="1">
      <x v="817"/>
      <x v="1395"/>
    </i>
    <i r="1">
      <x v="819"/>
      <x v="1847"/>
    </i>
    <i r="1">
      <x v="820"/>
      <x v="1140"/>
    </i>
    <i r="1">
      <x v="821"/>
      <x v="1049"/>
    </i>
    <i r="1">
      <x v="822"/>
      <x v="1043"/>
    </i>
    <i r="1">
      <x v="823"/>
      <x v="1044"/>
    </i>
    <i r="1">
      <x v="824"/>
      <x v="1120"/>
    </i>
    <i r="1">
      <x v="825"/>
      <x v="1045"/>
    </i>
    <i r="1">
      <x v="826"/>
      <x v="1046"/>
    </i>
    <i r="1">
      <x v="827"/>
      <x v="1053"/>
    </i>
    <i r="1">
      <x v="828"/>
      <x v="1052"/>
    </i>
    <i r="1">
      <x v="829"/>
      <x v="1047"/>
    </i>
    <i r="1">
      <x v="830"/>
      <x v="1383"/>
    </i>
    <i r="1">
      <x v="831"/>
      <x v="1963"/>
    </i>
    <i r="1">
      <x v="834"/>
      <x v="1826"/>
    </i>
    <i r="1">
      <x v="836"/>
      <x v="1382"/>
    </i>
    <i r="1">
      <x v="837"/>
      <x v="1326"/>
    </i>
    <i r="1">
      <x v="838"/>
      <x v="1967"/>
    </i>
    <i r="1">
      <x v="839"/>
      <x v="1992"/>
    </i>
    <i r="1">
      <x v="840"/>
      <x v="1966"/>
    </i>
    <i r="1">
      <x v="841"/>
      <x v="1991"/>
    </i>
    <i r="1">
      <x v="842"/>
      <x v="1164"/>
    </i>
    <i r="1">
      <x v="843"/>
      <x v="1999"/>
    </i>
    <i r="1">
      <x v="845"/>
      <x v="1901"/>
    </i>
    <i r="1">
      <x v="846"/>
      <x v="1865"/>
    </i>
    <i r="1">
      <x v="848"/>
      <x v="1480"/>
    </i>
    <i r="1">
      <x v="849"/>
      <x v="1962"/>
    </i>
    <i r="1">
      <x v="850"/>
      <x v="2008"/>
    </i>
    <i r="1">
      <x v="851"/>
      <x v="2004"/>
    </i>
    <i r="1">
      <x v="852"/>
      <x v="1756"/>
    </i>
    <i r="1">
      <x v="853"/>
      <x v="1343"/>
    </i>
    <i r="1">
      <x v="854"/>
      <x v="1347"/>
    </i>
    <i r="1">
      <x v="855"/>
      <x v="1344"/>
    </i>
    <i r="1">
      <x v="856"/>
      <x v="1345"/>
    </i>
    <i r="1">
      <x v="857"/>
      <x v="1346"/>
    </i>
    <i r="1">
      <x v="861"/>
      <x v="1388"/>
    </i>
    <i r="1">
      <x v="862"/>
      <x v="1940"/>
    </i>
    <i r="1">
      <x v="863"/>
      <x v="1536"/>
    </i>
    <i r="1">
      <x v="864"/>
      <x v="1289"/>
    </i>
    <i r="1">
      <x v="865"/>
      <x v="1137"/>
    </i>
    <i r="1">
      <x v="868"/>
      <x v="2087"/>
    </i>
    <i r="1">
      <x v="870"/>
      <x v="1807"/>
    </i>
    <i r="1">
      <x v="871"/>
      <x v="1079"/>
    </i>
    <i r="1">
      <x v="872"/>
      <x v="1078"/>
    </i>
    <i r="1">
      <x v="873"/>
      <x v="1077"/>
    </i>
    <i r="1">
      <x v="874"/>
      <x v="1804"/>
    </i>
    <i r="1">
      <x v="875"/>
      <x v="1803"/>
    </i>
    <i r="1">
      <x v="876"/>
      <x v="1285"/>
    </i>
    <i r="1">
      <x v="877"/>
      <x v="1295"/>
    </i>
    <i r="1">
      <x v="878"/>
      <x v="1287"/>
    </i>
    <i r="1">
      <x v="879"/>
      <x v="1286"/>
    </i>
    <i r="1">
      <x v="880"/>
      <x v="1292"/>
    </i>
    <i r="1">
      <x v="881"/>
      <x v="1291"/>
    </i>
    <i r="1">
      <x v="882"/>
      <x v="1293"/>
    </i>
    <i r="1">
      <x v="883"/>
      <x v="1294"/>
    </i>
    <i r="1">
      <x v="884"/>
      <x v="1802"/>
    </i>
    <i r="1">
      <x v="885"/>
      <x v="1805"/>
    </i>
    <i r="1">
      <x v="886"/>
      <x v="1290"/>
    </i>
    <i r="1">
      <x v="887"/>
      <x v="1288"/>
    </i>
    <i r="1">
      <x v="888"/>
      <x v="2044"/>
    </i>
    <i r="1">
      <x v="889"/>
      <x v="1733"/>
    </i>
    <i r="1">
      <x v="890"/>
      <x v="1100"/>
    </i>
    <i r="1">
      <x v="891"/>
      <x v="1485"/>
    </i>
    <i r="1">
      <x v="892"/>
      <x v="1258"/>
    </i>
    <i r="1">
      <x v="893"/>
      <x v="1859"/>
    </i>
    <i r="1">
      <x v="894"/>
      <x v="1441"/>
    </i>
    <i r="1">
      <x v="895"/>
      <x v="1888"/>
    </i>
    <i r="1">
      <x v="896"/>
      <x v="1440"/>
    </i>
    <i r="1">
      <x v="897"/>
      <x v="1146"/>
    </i>
    <i r="1">
      <x v="898"/>
      <x v="972"/>
    </i>
    <i r="1">
      <x v="899"/>
      <x v="1767"/>
    </i>
    <i r="1">
      <x v="900"/>
      <x v="1754"/>
    </i>
    <i r="1">
      <x v="903"/>
      <x v="1487"/>
    </i>
    <i r="1">
      <x v="905"/>
      <x v="1882"/>
    </i>
    <i r="1">
      <x v="907"/>
      <x v="1245"/>
    </i>
    <i r="1">
      <x v="908"/>
      <x v="1080"/>
    </i>
    <i r="1">
      <x v="909"/>
      <x v="1931"/>
    </i>
    <i r="1">
      <x v="910"/>
      <x v="1905"/>
    </i>
    <i r="1">
      <x v="911"/>
      <x v="1924"/>
    </i>
    <i r="1">
      <x v="912"/>
      <x v="1923"/>
    </i>
    <i r="1">
      <x v="913"/>
      <x v="1324"/>
    </i>
    <i r="1">
      <x v="914"/>
      <x v="1553"/>
    </i>
    <i r="1">
      <x v="915"/>
      <x v="1381"/>
    </i>
    <i r="1">
      <x v="916"/>
      <x v="1450"/>
    </i>
    <i r="1">
      <x v="917"/>
      <x v="1380"/>
    </i>
    <i r="1">
      <x v="918"/>
      <x v="1327"/>
    </i>
    <i r="1">
      <x v="919"/>
      <x v="1464"/>
    </i>
    <i r="1">
      <x v="920"/>
      <x v="1463"/>
    </i>
    <i r="1">
      <x v="921"/>
      <x v="1843"/>
    </i>
    <i r="1">
      <x v="922"/>
      <x v="1844"/>
    </i>
    <i r="1">
      <x v="923"/>
      <x v="1446"/>
    </i>
    <i r="1">
      <x v="924"/>
      <x v="1474"/>
    </i>
    <i r="1">
      <x v="925"/>
      <x v="1470"/>
    </i>
    <i r="1">
      <x v="926"/>
      <x v="1465"/>
    </i>
    <i r="1">
      <x v="927"/>
      <x v="1466"/>
    </i>
    <i r="1">
      <x v="928"/>
      <x v="1447"/>
    </i>
    <i r="1">
      <x v="929"/>
      <x v="1471"/>
    </i>
    <i r="1">
      <x v="930"/>
      <x v="1438"/>
    </i>
    <i r="1">
      <x v="931"/>
      <x v="1473"/>
    </i>
    <i r="1">
      <x v="932"/>
      <x v="1443"/>
    </i>
    <i r="1">
      <x v="933"/>
      <x v="1469"/>
    </i>
    <i r="1">
      <x v="934"/>
      <x v="1468"/>
    </i>
    <i r="1">
      <x v="935"/>
      <x v="1472"/>
    </i>
    <i r="1">
      <x v="936"/>
      <x v="1462"/>
    </i>
    <i r="1">
      <x v="937"/>
      <x v="1437"/>
    </i>
    <i r="1">
      <x v="938"/>
      <x v="1850"/>
    </i>
    <i r="1">
      <x v="940"/>
      <x v="1906"/>
    </i>
    <i r="1">
      <x v="941"/>
      <x v="1449"/>
    </i>
    <i r="1">
      <x v="946"/>
      <x v="1858"/>
    </i>
    <i r="1">
      <x v="947"/>
      <x v="1168"/>
    </i>
    <i r="1">
      <x v="948"/>
      <x v="2108"/>
    </i>
    <i r="1">
      <x v="951"/>
      <x v="2109"/>
    </i>
    <i r="1">
      <x v="953"/>
      <x v="1167"/>
    </i>
    <i r="1">
      <x v="954"/>
      <x v="2043"/>
    </i>
    <i r="1">
      <x v="955"/>
      <x v="2042"/>
    </i>
    <i r="1">
      <x v="956"/>
      <x v="1791"/>
    </i>
    <i r="1">
      <x v="957"/>
      <x v="1794"/>
    </i>
    <i r="1">
      <x v="958"/>
      <x v="1787"/>
    </i>
    <i r="1">
      <x v="959"/>
      <x v="1811"/>
    </i>
    <i r="1">
      <x v="960"/>
      <x v="1062"/>
    </i>
    <i r="1">
      <x v="961"/>
      <x v="1067"/>
    </i>
    <i r="1">
      <x v="962"/>
      <x v="1063"/>
    </i>
    <i r="1">
      <x v="963"/>
      <x v="1196"/>
    </i>
    <i r="1">
      <x v="964"/>
      <x v="1678"/>
    </i>
    <i r="1">
      <x v="965"/>
      <x v="1653"/>
    </i>
    <i r="1">
      <x v="966"/>
      <x v="1680"/>
    </i>
    <i r="1">
      <x v="967"/>
      <x v="1670"/>
    </i>
    <i r="1">
      <x v="968"/>
      <x v="1364"/>
    </i>
    <i r="1">
      <x v="969"/>
      <x v="1521"/>
    </i>
    <i r="1">
      <x v="970"/>
      <x v="1658"/>
    </i>
    <i r="1">
      <x v="971"/>
      <x v="1659"/>
    </i>
    <i r="1">
      <x v="972"/>
      <x v="1681"/>
    </i>
    <i r="1">
      <x v="973"/>
      <x v="1661"/>
    </i>
    <i r="1">
      <x v="974"/>
      <x v="1526"/>
    </i>
    <i r="1">
      <x v="975"/>
      <x v="1198"/>
    </i>
    <i r="1">
      <x v="976"/>
      <x v="1207"/>
    </i>
    <i r="1">
      <x v="977"/>
      <x v="1515"/>
    </i>
    <i r="1">
      <x v="978"/>
      <x v="1368"/>
    </i>
    <i r="1">
      <x v="979"/>
      <x v="1505"/>
    </i>
    <i r="1">
      <x v="980"/>
      <x v="1371"/>
    </i>
    <i r="1">
      <x v="981"/>
      <x v="1514"/>
    </i>
    <i r="1">
      <x v="982"/>
      <x v="1673"/>
    </i>
    <i r="1">
      <x v="983"/>
      <x v="1512"/>
    </i>
    <i r="1">
      <x v="984"/>
      <x v="1669"/>
    </i>
    <i r="1">
      <x v="985"/>
      <x v="1358"/>
    </i>
    <i r="1">
      <x v="986"/>
      <x v="1366"/>
    </i>
    <i r="1">
      <x v="987"/>
      <x v="1527"/>
    </i>
    <i r="1">
      <x v="988"/>
      <x v="1528"/>
    </i>
    <i r="1">
      <x v="989"/>
      <x v="1206"/>
    </i>
    <i r="1">
      <x v="990"/>
      <x v="1205"/>
    </i>
    <i r="1">
      <x v="991"/>
      <x v="1677"/>
    </i>
    <i r="1">
      <x v="992"/>
      <x v="1674"/>
    </i>
    <i r="1">
      <x v="993"/>
      <x v="1833"/>
    </i>
    <i r="1">
      <x v="994"/>
      <x v="1204"/>
    </i>
    <i r="1">
      <x v="995"/>
      <x v="1644"/>
    </i>
    <i r="1">
      <x v="996"/>
      <x v="1497"/>
    </i>
    <i r="1">
      <x v="997"/>
      <x v="1513"/>
    </i>
    <i r="1">
      <x v="998"/>
      <x v="1671"/>
    </i>
    <i r="1">
      <x v="999"/>
      <x v="1643"/>
    </i>
    <i r="1">
      <x v="1000"/>
      <x v="1645"/>
    </i>
    <i r="1">
      <x v="1001"/>
      <x v="1533"/>
    </i>
    <i r="1">
      <x v="1002"/>
      <x v="1672"/>
    </i>
    <i r="1">
      <x v="1003"/>
      <x v="1493"/>
    </i>
    <i r="1">
      <x v="1004"/>
      <x v="1339"/>
    </i>
    <i r="1">
      <x v="1006"/>
      <x v="1628"/>
    </i>
    <i r="1">
      <x v="1007"/>
      <x v="1264"/>
    </i>
    <i r="1">
      <x v="1008"/>
      <x v="1262"/>
    </i>
    <i r="1">
      <x v="1009"/>
      <x v="1263"/>
    </i>
    <i r="1">
      <x v="1010"/>
      <x v="1265"/>
    </i>
    <i r="1">
      <x v="1011"/>
      <x v="1261"/>
    </i>
    <i r="1">
      <x v="1012"/>
      <x v="1435"/>
    </i>
    <i r="1">
      <x v="1014"/>
      <x v="1937"/>
    </i>
    <i r="1">
      <x v="1016"/>
      <x v="1938"/>
    </i>
    <i r="1">
      <x v="1018"/>
      <x v="1244"/>
    </i>
    <i r="1">
      <x v="1019"/>
      <x v="2111"/>
    </i>
    <i r="1">
      <x v="1021"/>
      <x v="1880"/>
    </i>
    <i r="1">
      <x v="1024"/>
      <x v="1081"/>
    </i>
    <i r="1">
      <x v="1025"/>
      <x v="1984"/>
    </i>
    <i r="1">
      <x v="1026"/>
      <x v="2083"/>
    </i>
    <i r="1">
      <x v="1027"/>
      <x v="1690"/>
    </i>
    <i r="1">
      <x v="1028"/>
      <x v="1123"/>
    </i>
    <i r="1">
      <x v="1029"/>
      <x v="1122"/>
    </i>
    <i r="1">
      <x v="1031"/>
      <x v="1186"/>
    </i>
    <i r="1">
      <x v="1032"/>
      <x v="1188"/>
    </i>
    <i r="1">
      <x v="1034"/>
      <x v="1183"/>
    </i>
    <i r="1">
      <x v="1035"/>
      <x v="1184"/>
    </i>
    <i r="1">
      <x v="1036"/>
      <x v="1185"/>
    </i>
    <i r="1">
      <x v="1038"/>
      <x v="1761"/>
    </i>
    <i r="1">
      <x v="1039"/>
      <x v="1187"/>
    </i>
    <i r="1">
      <x v="1040"/>
      <x v="1620"/>
    </i>
    <i r="1">
      <x v="1041"/>
      <x v="1166"/>
    </i>
    <i r="1">
      <x v="1042"/>
      <x v="1106"/>
    </i>
    <i r="1">
      <x v="1043"/>
      <x v="1108"/>
    </i>
    <i r="1">
      <x v="1045"/>
      <x v="1107"/>
    </i>
    <i r="1">
      <x v="1046"/>
      <x v="1974"/>
    </i>
    <i r="1">
      <x v="1047"/>
      <x v="1969"/>
    </i>
    <i r="1">
      <x v="1048"/>
      <x v="1968"/>
    </i>
    <i r="1">
      <x v="1049"/>
      <x v="1971"/>
    </i>
    <i r="1">
      <x v="1050"/>
      <x v="1970"/>
    </i>
    <i r="1">
      <x v="1051"/>
      <x v="1737"/>
    </i>
    <i r="1">
      <x v="1052"/>
      <x v="2129"/>
    </i>
    <i r="1">
      <x v="1053"/>
      <x v="1433"/>
    </i>
    <i r="1">
      <x v="1054"/>
      <x v="1996"/>
    </i>
    <i r="1">
      <x v="1057"/>
      <x v="1988"/>
    </i>
    <i r="1">
      <x v="1059"/>
      <x v="1430"/>
    </i>
    <i r="1">
      <x v="1060"/>
      <x v="2081"/>
    </i>
    <i r="1">
      <x v="1061"/>
      <x v="2086"/>
    </i>
    <i r="1">
      <x v="1062"/>
      <x v="1613"/>
    </i>
    <i r="1">
      <x v="1063"/>
      <x v="1614"/>
    </i>
    <i r="1">
      <x v="1064"/>
      <x v="1607"/>
    </i>
    <i r="1">
      <x v="1065"/>
      <x v="1606"/>
    </i>
    <i r="1">
      <x v="1066"/>
      <x v="1610"/>
    </i>
    <i r="1">
      <x v="1067"/>
      <x v="1608"/>
    </i>
    <i r="1">
      <x v="1068"/>
      <x v="1609"/>
    </i>
    <i r="1">
      <x v="1069"/>
      <x v="1612"/>
    </i>
    <i r="1">
      <x v="1070"/>
      <x v="1616"/>
    </i>
    <i r="1">
      <x v="1071"/>
      <x v="1615"/>
    </i>
    <i r="1">
      <x v="1072"/>
      <x v="1772"/>
    </i>
    <i r="1">
      <x v="1073"/>
      <x v="1611"/>
    </i>
    <i r="1">
      <x v="1074"/>
      <x v="1587"/>
    </i>
    <i r="1">
      <x v="1075"/>
      <x v="1599"/>
    </i>
    <i r="1">
      <x v="1076"/>
      <x v="1585"/>
    </i>
    <i r="1">
      <x v="1077"/>
      <x v="1728"/>
    </i>
    <i r="1">
      <x v="1078"/>
      <x v="1589"/>
    </i>
    <i r="1">
      <x v="1079"/>
      <x v="1584"/>
    </i>
    <i r="1">
      <x v="1081"/>
      <x v="1588"/>
    </i>
    <i r="1">
      <x v="1082"/>
      <x v="1586"/>
    </i>
    <i r="1">
      <x v="1083"/>
      <x v="1348"/>
    </i>
    <i r="1">
      <x v="1084"/>
      <x v="1428"/>
    </i>
    <i r="1">
      <x v="1085"/>
      <x v="1815"/>
    </i>
    <i r="1">
      <x v="1086"/>
      <x v="1816"/>
    </i>
    <i r="1">
      <x v="1087"/>
      <x v="1817"/>
    </i>
    <i r="1">
      <x v="1088"/>
      <x v="2013"/>
    </i>
    <i r="1">
      <x v="1090"/>
      <x v="1751"/>
    </i>
    <i r="1">
      <x v="1091"/>
      <x v="1812"/>
    </i>
    <i r="1">
      <x v="1092"/>
      <x v="1820"/>
    </i>
    <i r="1">
      <x v="1093"/>
      <x v="1313"/>
    </i>
    <i r="1">
      <x v="1094"/>
      <x v="1335"/>
    </i>
    <i r="1">
      <x v="1095"/>
      <x v="1342"/>
    </i>
    <i r="1">
      <x v="1096"/>
      <x v="1779"/>
    </i>
    <i r="1">
      <x v="1097"/>
      <x v="1819"/>
    </i>
    <i r="1">
      <x v="1098"/>
      <x v="1777"/>
    </i>
    <i r="1">
      <x v="1099"/>
      <x v="1776"/>
    </i>
    <i r="1">
      <x v="1100"/>
      <x v="1778"/>
    </i>
    <i r="1">
      <x v="1101"/>
      <x v="2014"/>
    </i>
    <i r="1">
      <x v="1102"/>
      <x v="1813"/>
    </i>
    <i r="1">
      <x v="1103"/>
      <x v="1423"/>
    </i>
    <i r="1">
      <x v="1105"/>
      <x v="2064"/>
    </i>
    <i r="1">
      <x v="1106"/>
      <x v="2084"/>
    </i>
    <i r="1">
      <x v="1110"/>
      <x v="1065"/>
    </i>
    <i r="1">
      <x v="1111"/>
      <x v="1069"/>
    </i>
    <i r="1">
      <x v="1112"/>
      <x v="1998"/>
    </i>
    <i r="1">
      <x v="1114"/>
      <x v="1750"/>
    </i>
    <i r="1">
      <x v="1115"/>
      <x v="1340"/>
    </i>
    <i r="1">
      <x v="1116"/>
      <x v="1752"/>
    </i>
    <i r="1">
      <x v="1117"/>
      <x v="1569"/>
    </i>
    <i r="1">
      <x v="1118"/>
      <x v="1596"/>
    </i>
    <i r="1">
      <x v="1119"/>
      <x v="1597"/>
    </i>
    <i r="1">
      <x v="1121"/>
      <x v="1260"/>
    </i>
    <i r="1">
      <x v="1127"/>
      <x v="1520"/>
    </i>
    <i r="1">
      <x v="1128"/>
      <x v="1541"/>
    </i>
    <i r="1">
      <x v="1129"/>
      <x v="1542"/>
    </i>
    <i r="1">
      <x v="1130"/>
      <x v="1544"/>
    </i>
    <i r="1">
      <x v="1131"/>
      <x v="1543"/>
    </i>
    <i r="1">
      <x v="1132"/>
      <x v="1554"/>
    </i>
    <i r="1">
      <x v="1133"/>
      <x v="1836"/>
    </i>
    <i r="1">
      <x v="1134"/>
      <x v="2045"/>
    </i>
    <i r="1">
      <x v="1135"/>
      <x v="1939"/>
    </i>
    <i r="1">
      <x v="1138"/>
      <x v="1877"/>
    </i>
    <i r="1">
      <x v="1139"/>
      <x v="1873"/>
    </i>
    <i r="1">
      <x v="1140"/>
      <x v="1555"/>
    </i>
    <i r="1">
      <x v="1141"/>
      <x v="1563"/>
    </i>
    <i r="1">
      <x v="1142"/>
      <x v="1573"/>
    </i>
    <i r="1">
      <x v="1143"/>
      <x v="1280"/>
    </i>
    <i r="1">
      <x v="1144"/>
      <x v="1810"/>
    </i>
    <i r="1">
      <x v="1145"/>
      <x v="1578"/>
    </i>
    <i r="1">
      <x v="1146"/>
      <x v="1385"/>
    </i>
    <i r="1">
      <x v="1152"/>
      <x v="1716"/>
    </i>
    <i r="1">
      <x v="1153"/>
      <x v="1715"/>
    </i>
    <i r="1">
      <x v="1154"/>
      <x v="1717"/>
    </i>
    <i r="1">
      <x v="1155"/>
      <x v="1713"/>
    </i>
    <i r="1">
      <x v="1156"/>
      <x v="1718"/>
    </i>
    <i r="1">
      <x v="1157"/>
      <x v="1714"/>
    </i>
    <i r="1">
      <x v="1158"/>
      <x v="1719"/>
    </i>
    <i r="1">
      <x v="1160"/>
      <x v="1420"/>
    </i>
    <i r="1">
      <x v="1161"/>
      <x v="1458"/>
    </i>
    <i r="1">
      <x v="1162"/>
      <x v="1459"/>
    </i>
    <i r="1">
      <x v="1163"/>
      <x v="1457"/>
    </i>
    <i r="1">
      <x v="1164"/>
      <x v="1455"/>
    </i>
    <i r="1">
      <x v="1165"/>
      <x v="1454"/>
    </i>
    <i r="1">
      <x v="1166"/>
      <x v="1456"/>
    </i>
    <i r="1">
      <x v="1167"/>
      <x v="2006"/>
    </i>
    <i r="1">
      <x v="1169"/>
      <x v="1549"/>
    </i>
    <i r="1">
      <x v="1170"/>
      <x v="1548"/>
    </i>
    <i r="1">
      <x v="1171"/>
      <x v="1550"/>
    </i>
    <i r="1">
      <x v="1172"/>
      <x v="1545"/>
    </i>
    <i r="1">
      <x v="1173"/>
      <x v="1546"/>
    </i>
    <i r="1">
      <x v="1174"/>
      <x v="1547"/>
    </i>
    <i r="1">
      <x v="1175"/>
      <x v="1552"/>
    </i>
    <i r="1">
      <x v="1176"/>
      <x v="1551"/>
    </i>
    <i r="1">
      <x v="1177"/>
      <x v="1780"/>
    </i>
    <i r="1">
      <x v="1178"/>
      <x v="1782"/>
    </i>
    <i r="1">
      <x v="1179"/>
      <x v="1781"/>
    </i>
    <i r="1">
      <x v="1180"/>
      <x v="1747"/>
    </i>
    <i r="1">
      <x v="1181"/>
      <x v="1746"/>
    </i>
    <i r="1">
      <x v="1182"/>
      <x v="1739"/>
    </i>
    <i r="1">
      <x v="1183"/>
      <x v="1539"/>
    </i>
    <i r="1">
      <x v="1184"/>
      <x v="1540"/>
    </i>
    <i r="1">
      <x v="1185"/>
      <x v="1537"/>
    </i>
    <i r="1">
      <x v="1186"/>
      <x v="1095"/>
    </i>
    <i r="1">
      <x v="1187"/>
      <x v="1308"/>
    </i>
    <i r="1">
      <x v="1188"/>
      <x v="1307"/>
    </i>
    <i r="1">
      <x v="1189"/>
      <x v="1309"/>
    </i>
    <i r="1">
      <x v="1190"/>
      <x v="1306"/>
    </i>
    <i r="1">
      <x v="1191"/>
      <x v="1310"/>
    </i>
    <i r="1">
      <x v="1192"/>
      <x v="1745"/>
    </i>
    <i r="1">
      <x v="1193"/>
      <x v="1524"/>
    </i>
    <i r="1">
      <x v="1194"/>
      <x v="1647"/>
    </i>
    <i r="1">
      <x v="1195"/>
      <x v="1652"/>
    </i>
    <i r="1">
      <x v="1196"/>
      <x v="1651"/>
    </i>
    <i r="1">
      <x v="1197"/>
      <x v="1508"/>
    </i>
    <i r="1">
      <x v="1198"/>
      <x v="1511"/>
    </i>
    <i r="1">
      <x v="1199"/>
      <x v="1509"/>
    </i>
    <i r="1">
      <x v="1200"/>
      <x v="1650"/>
    </i>
    <i r="1">
      <x v="1201"/>
      <x v="1510"/>
    </i>
    <i r="1">
      <x v="1202"/>
      <x v="1648"/>
    </i>
    <i r="1">
      <x v="1203"/>
      <x v="1530"/>
    </i>
    <i r="1">
      <x v="1204"/>
      <x v="1498"/>
    </i>
    <i r="1">
      <x v="1205"/>
      <x v="1646"/>
    </i>
    <i r="1">
      <x v="1206"/>
      <x v="1111"/>
    </i>
    <i r="1">
      <x v="1207"/>
      <x v="1112"/>
    </i>
    <i r="1">
      <x v="1208"/>
      <x v="1113"/>
    </i>
    <i r="1">
      <x v="1209"/>
      <x v="1114"/>
    </i>
    <i r="1">
      <x v="1210"/>
      <x v="1115"/>
    </i>
    <i r="1">
      <x v="1211"/>
      <x v="1116"/>
    </i>
    <i r="1">
      <x v="1212"/>
      <x v="1175"/>
    </i>
    <i r="1">
      <x v="1213"/>
      <x v="1174"/>
    </i>
    <i r="1">
      <x v="1214"/>
      <x v="1177"/>
    </i>
    <i r="1">
      <x v="1215"/>
      <x v="1176"/>
    </i>
    <i r="1">
      <x v="1216"/>
      <x v="1178"/>
    </i>
    <i r="1">
      <x v="1217"/>
      <x v="1173"/>
    </i>
    <i r="1">
      <x v="1218"/>
      <x v="1172"/>
    </i>
    <i r="1">
      <x v="1219"/>
      <x v="1170"/>
    </i>
    <i r="1">
      <x v="1221"/>
      <x v="1169"/>
    </i>
    <i r="1">
      <x v="1222"/>
      <x v="1171"/>
    </i>
    <i r="1">
      <x v="1224"/>
      <x v="1192"/>
    </i>
    <i>
      <x v="3"/>
      <x/>
      <x v="2038"/>
    </i>
    <i r="1">
      <x v="11"/>
      <x v="1883"/>
    </i>
    <i r="1">
      <x v="14"/>
      <x v="2052"/>
    </i>
    <i r="1">
      <x v="15"/>
      <x v="2010"/>
    </i>
    <i r="1">
      <x v="18"/>
      <x v="2133"/>
    </i>
    <i r="1">
      <x v="19"/>
      <x v="2088"/>
    </i>
    <i r="1">
      <x v="24"/>
      <x v="2182"/>
    </i>
    <i r="1">
      <x v="25"/>
      <x v="2070"/>
    </i>
    <i r="1">
      <x v="27"/>
      <x v="2101"/>
    </i>
    <i r="1">
      <x v="28"/>
      <x v="1955"/>
    </i>
    <i r="1">
      <x v="36"/>
      <x v="1278"/>
    </i>
    <i r="1">
      <x v="42"/>
      <x v="1947"/>
    </i>
    <i r="1">
      <x v="47"/>
      <x v="1959"/>
    </i>
    <i r="1">
      <x v="49"/>
      <x v="1692"/>
    </i>
    <i r="1">
      <x v="50"/>
      <x v="1619"/>
    </i>
    <i r="1">
      <x v="88"/>
      <x v="2115"/>
    </i>
    <i r="1">
      <x v="90"/>
      <x v="2125"/>
    </i>
    <i r="1">
      <x v="92"/>
      <x v="1595"/>
    </i>
    <i r="1">
      <x v="96"/>
      <x v="1989"/>
    </i>
    <i r="1">
      <x v="97"/>
      <x v="1432"/>
    </i>
    <i r="1">
      <x v="106"/>
      <x v="2037"/>
    </i>
    <i r="1">
      <x v="111"/>
      <x v="2054"/>
    </i>
    <i r="1">
      <x v="118"/>
      <x v="2059"/>
    </i>
    <i r="1">
      <x v="119"/>
      <x v="2060"/>
    </i>
    <i r="1">
      <x v="120"/>
      <x v="2057"/>
    </i>
    <i r="1">
      <x v="121"/>
      <x v="2058"/>
    </i>
    <i r="1">
      <x v="124"/>
      <x v="2012"/>
    </i>
    <i r="1">
      <x v="125"/>
      <x v="2163"/>
    </i>
    <i r="1">
      <x v="131"/>
      <x v="2166"/>
    </i>
    <i r="1">
      <x v="132"/>
      <x v="2168"/>
    </i>
    <i r="1">
      <x v="138"/>
      <x v="1488"/>
    </i>
    <i r="1">
      <x v="139"/>
      <x v="2149"/>
    </i>
    <i r="1">
      <x v="154"/>
      <x v="2105"/>
    </i>
    <i r="1">
      <x v="158"/>
      <x v="2147"/>
    </i>
    <i r="1">
      <x v="159"/>
      <x v="2153"/>
    </i>
    <i r="1">
      <x v="167"/>
      <x v="2077"/>
    </i>
    <i r="1">
      <x v="175"/>
      <x v="1300"/>
    </i>
    <i r="1">
      <x v="179"/>
      <x v="1848"/>
    </i>
    <i r="1">
      <x v="196"/>
      <x v="2049"/>
    </i>
    <i r="1">
      <x v="197"/>
      <x v="2048"/>
    </i>
    <i r="1">
      <x v="223"/>
      <x v="2026"/>
    </i>
    <i r="1">
      <x v="224"/>
      <x v="2051"/>
    </i>
    <i r="1">
      <x v="226"/>
      <x v="2050"/>
    </i>
    <i r="1">
      <x v="260"/>
      <x v="2056"/>
    </i>
    <i r="1">
      <x v="261"/>
      <x v="1893"/>
    </i>
    <i r="1">
      <x v="273"/>
      <x v="2069"/>
    </i>
    <i r="1">
      <x v="278"/>
      <x v="2173"/>
    </i>
    <i r="1">
      <x v="286"/>
      <x v="2117"/>
    </i>
    <i r="1">
      <x v="288"/>
      <x v="2116"/>
    </i>
    <i r="1">
      <x v="290"/>
      <x v="2169"/>
    </i>
    <i r="1">
      <x v="291"/>
      <x v="2170"/>
    </i>
    <i r="1">
      <x v="292"/>
      <x v="2176"/>
    </i>
    <i r="1">
      <x v="293"/>
      <x v="2171"/>
    </i>
    <i r="1">
      <x v="295"/>
      <x v="1954"/>
    </i>
    <i r="1">
      <x v="296"/>
      <x v="2098"/>
    </i>
    <i r="1">
      <x v="299"/>
      <x v="2097"/>
    </i>
    <i r="1">
      <x v="300"/>
      <x v="2188"/>
    </i>
    <i r="1">
      <x v="317"/>
      <x v="1099"/>
    </i>
    <i r="1">
      <x v="325"/>
      <x v="2040"/>
    </i>
    <i r="1">
      <x v="329"/>
      <x v="1102"/>
    </i>
    <i r="1">
      <x v="333"/>
      <x v="1415"/>
    </i>
    <i r="1">
      <x v="334"/>
      <x v="2186"/>
    </i>
    <i r="1">
      <x v="338"/>
      <x v="1304"/>
    </i>
    <i r="1">
      <x v="340"/>
      <x v="1298"/>
    </i>
    <i r="1">
      <x v="341"/>
      <x v="1299"/>
    </i>
    <i r="1">
      <x v="348"/>
      <x v="2036"/>
    </i>
    <i r="1">
      <x v="349"/>
      <x v="2039"/>
    </i>
    <i r="1">
      <x v="355"/>
      <x v="1862"/>
    </i>
    <i r="1">
      <x v="358"/>
      <x v="1271"/>
    </i>
    <i r="1">
      <x v="360"/>
      <x v="2118"/>
    </i>
    <i r="1">
      <x v="361"/>
      <x v="1934"/>
    </i>
    <i r="1">
      <x v="365"/>
      <x v="1330"/>
    </i>
    <i r="1">
      <x v="398"/>
      <x v="1933"/>
    </i>
    <i r="1">
      <x v="407"/>
      <x v="1197"/>
    </i>
    <i r="1">
      <x v="413"/>
      <x v="2193"/>
    </i>
    <i r="1">
      <x v="414"/>
      <x v="2194"/>
    </i>
    <i r="1">
      <x v="415"/>
      <x v="2179"/>
    </i>
    <i r="1">
      <x v="416"/>
      <x v="1995"/>
    </i>
    <i r="1">
      <x v="417"/>
      <x v="2053"/>
    </i>
    <i r="1">
      <x v="418"/>
      <x v="2142"/>
    </i>
    <i r="1">
      <x v="419"/>
      <x v="2141"/>
    </i>
    <i r="1">
      <x v="425"/>
      <x v="2041"/>
    </i>
    <i r="1">
      <x v="430"/>
      <x v="2124"/>
    </i>
    <i r="1">
      <x v="440"/>
      <x v="1861"/>
    </i>
    <i r="1">
      <x v="441"/>
      <x v="1891"/>
    </i>
    <i r="1">
      <x v="443"/>
      <x v="2035"/>
    </i>
    <i r="1">
      <x v="447"/>
      <x v="2137"/>
    </i>
    <i r="1">
      <x v="451"/>
      <x v="1318"/>
    </i>
    <i r="1">
      <x v="456"/>
      <x v="2145"/>
    </i>
    <i r="1">
      <x v="459"/>
      <x v="1121"/>
    </i>
    <i r="1">
      <x v="460"/>
      <x v="2155"/>
    </i>
    <i r="1">
      <x v="461"/>
      <x v="2003"/>
    </i>
    <i r="1">
      <x v="462"/>
      <x v="1994"/>
    </i>
    <i r="1">
      <x v="463"/>
      <x v="1942"/>
    </i>
    <i r="1">
      <x v="464"/>
      <x v="1943"/>
    </i>
    <i r="1">
      <x v="465"/>
      <x v="1315"/>
    </i>
    <i r="1">
      <x v="467"/>
      <x v="1316"/>
    </i>
    <i r="1">
      <x v="470"/>
      <x v="2175"/>
    </i>
    <i r="1">
      <x v="475"/>
      <x v="2144"/>
    </i>
    <i r="1">
      <x v="479"/>
      <x v="2063"/>
    </i>
    <i r="1">
      <x v="481"/>
      <x v="2000"/>
    </i>
    <i r="1">
      <x v="483"/>
      <x v="2029"/>
    </i>
    <i r="1">
      <x v="484"/>
      <x v="2033"/>
    </i>
    <i r="1">
      <x v="485"/>
      <x v="2031"/>
    </i>
    <i r="1">
      <x v="486"/>
      <x v="2030"/>
    </i>
    <i r="1">
      <x v="487"/>
      <x v="2032"/>
    </i>
    <i r="1">
      <x v="503"/>
      <x v="1691"/>
    </i>
    <i r="1">
      <x v="504"/>
      <x v="1409"/>
    </i>
    <i r="1">
      <x v="505"/>
      <x v="2126"/>
    </i>
    <i r="1">
      <x v="507"/>
      <x v="2113"/>
    </i>
    <i r="1">
      <x v="508"/>
      <x v="2090"/>
    </i>
    <i r="1">
      <x v="509"/>
      <x v="1961"/>
    </i>
    <i r="1">
      <x v="514"/>
      <x v="1134"/>
    </i>
    <i r="1">
      <x v="521"/>
      <x v="2174"/>
    </i>
    <i r="1">
      <x v="554"/>
      <x v="2167"/>
    </i>
    <i r="1">
      <x v="557"/>
      <x v="1956"/>
    </i>
    <i r="1">
      <x v="559"/>
      <x v="2146"/>
    </i>
    <i r="1">
      <x v="561"/>
      <x v="2159"/>
    </i>
    <i r="1">
      <x v="563"/>
      <x v="2071"/>
    </i>
    <i r="1">
      <x v="565"/>
      <x v="1534"/>
    </i>
    <i r="1">
      <x v="566"/>
      <x v="1535"/>
    </i>
    <i r="1">
      <x v="568"/>
      <x v="1705"/>
    </i>
    <i r="1">
      <x v="573"/>
      <x v="2183"/>
    </i>
    <i r="1">
      <x v="579"/>
      <x v="2122"/>
    </i>
    <i r="1">
      <x v="580"/>
      <x v="2121"/>
    </i>
    <i r="1">
      <x v="586"/>
      <x v="2136"/>
    </i>
    <i r="1">
      <x v="587"/>
      <x v="2135"/>
    </i>
    <i r="1">
      <x v="588"/>
      <x v="2073"/>
    </i>
    <i r="1">
      <x v="589"/>
      <x v="2162"/>
    </i>
    <i r="1">
      <x v="592"/>
      <x v="2134"/>
    </i>
    <i r="1">
      <x v="624"/>
      <x v="2165"/>
    </i>
    <i r="1">
      <x v="641"/>
      <x v="2025"/>
    </i>
    <i r="1">
      <x v="656"/>
      <x v="2114"/>
    </i>
    <i r="1">
      <x v="660"/>
      <x v="2123"/>
    </i>
    <i r="1">
      <x v="661"/>
      <x v="1953"/>
    </i>
    <i r="1">
      <x v="663"/>
      <x v="1952"/>
    </i>
    <i r="1">
      <x v="666"/>
      <x v="2096"/>
    </i>
    <i r="1">
      <x v="667"/>
      <x v="2027"/>
    </i>
    <i r="1">
      <x v="670"/>
      <x v="2132"/>
    </i>
    <i r="1">
      <x v="671"/>
      <x v="2100"/>
    </i>
    <i r="1">
      <x v="672"/>
      <x v="2074"/>
    </i>
    <i r="1">
      <x v="674"/>
      <x v="2075"/>
    </i>
    <i r="1">
      <x v="678"/>
      <x v="2089"/>
    </i>
    <i r="1">
      <x v="704"/>
      <x v="1391"/>
    </i>
    <i r="1">
      <x v="705"/>
      <x v="2011"/>
    </i>
    <i r="1">
      <x v="706"/>
      <x v="1570"/>
    </i>
    <i r="1">
      <x v="711"/>
      <x v="1577"/>
    </i>
    <i r="1">
      <x v="786"/>
      <x v="1026"/>
    </i>
    <i r="1">
      <x v="818"/>
      <x v="2185"/>
    </i>
    <i r="1">
      <x v="832"/>
      <x v="2178"/>
    </i>
    <i r="1">
      <x v="833"/>
      <x v="2152"/>
    </i>
    <i r="1">
      <x v="834"/>
      <x v="1826"/>
    </i>
    <i r="1">
      <x v="835"/>
      <x v="2151"/>
    </i>
    <i r="1">
      <x v="844"/>
      <x v="2143"/>
    </i>
    <i r="1">
      <x v="847"/>
      <x v="2156"/>
    </i>
    <i r="1">
      <x v="849"/>
      <x v="1962"/>
    </i>
    <i r="1">
      <x v="850"/>
      <x v="2008"/>
    </i>
    <i r="1">
      <x v="858"/>
      <x v="2120"/>
    </i>
    <i r="1">
      <x v="859"/>
      <x v="2119"/>
    </i>
    <i r="1">
      <x v="860"/>
      <x v="2184"/>
    </i>
    <i r="1">
      <x v="862"/>
      <x v="1940"/>
    </i>
    <i r="1">
      <x v="866"/>
      <x v="2102"/>
    </i>
    <i r="1">
      <x v="867"/>
      <x v="2099"/>
    </i>
    <i r="1">
      <x v="869"/>
      <x v="2009"/>
    </i>
    <i r="1">
      <x v="890"/>
      <x v="1100"/>
    </i>
    <i r="1">
      <x v="891"/>
      <x v="1485"/>
    </i>
    <i r="1">
      <x v="895"/>
      <x v="1888"/>
    </i>
    <i r="1">
      <x v="901"/>
      <x v="2157"/>
    </i>
    <i r="1">
      <x v="902"/>
      <x v="2154"/>
    </i>
    <i r="1">
      <x v="904"/>
      <x v="2148"/>
    </i>
    <i r="1">
      <x v="906"/>
      <x v="2062"/>
    </i>
    <i r="1">
      <x v="909"/>
      <x v="1931"/>
    </i>
    <i r="1">
      <x v="939"/>
      <x v="2158"/>
    </i>
    <i r="1">
      <x v="942"/>
      <x v="2104"/>
    </i>
    <i r="1">
      <x v="943"/>
      <x v="2072"/>
    </i>
    <i r="1">
      <x v="944"/>
      <x v="1944"/>
    </i>
    <i r="1">
      <x v="945"/>
      <x v="1945"/>
    </i>
    <i r="1">
      <x v="949"/>
      <x v="2131"/>
    </i>
    <i r="1">
      <x v="950"/>
      <x v="2138"/>
    </i>
    <i r="1">
      <x v="952"/>
      <x v="2091"/>
    </i>
    <i r="1">
      <x v="953"/>
      <x v="1167"/>
    </i>
    <i r="1">
      <x v="954"/>
      <x v="2043"/>
    </i>
    <i r="1">
      <x v="1005"/>
      <x v="2061"/>
    </i>
    <i r="1">
      <x v="1008"/>
      <x v="1262"/>
    </i>
    <i r="1">
      <x v="1010"/>
      <x v="1265"/>
    </i>
    <i r="1">
      <x v="1013"/>
      <x v="2076"/>
    </i>
    <i r="1">
      <x v="1014"/>
      <x v="1937"/>
    </i>
    <i r="1">
      <x v="1015"/>
      <x v="1949"/>
    </i>
    <i r="1">
      <x v="1017"/>
      <x v="1948"/>
    </i>
    <i r="1">
      <x v="1018"/>
      <x v="1244"/>
    </i>
    <i r="1">
      <x v="1019"/>
      <x v="2111"/>
    </i>
    <i r="1">
      <x v="1020"/>
      <x v="2095"/>
    </i>
    <i r="1">
      <x v="1022"/>
      <x v="2028"/>
    </i>
    <i r="1">
      <x v="1023"/>
      <x v="1935"/>
    </i>
    <i r="1">
      <x v="1030"/>
      <x v="2180"/>
    </i>
    <i r="1">
      <x v="1031"/>
      <x v="1186"/>
    </i>
    <i r="1">
      <x v="1033"/>
      <x v="2067"/>
    </i>
    <i r="1">
      <x v="1037"/>
      <x v="2066"/>
    </i>
    <i r="1">
      <x v="1038"/>
      <x v="1761"/>
    </i>
    <i r="1">
      <x v="1044"/>
      <x v="1957"/>
    </i>
    <i r="1">
      <x v="1055"/>
      <x v="2161"/>
    </i>
    <i r="1">
      <x v="1056"/>
      <x v="2160"/>
    </i>
    <i r="1">
      <x v="1058"/>
      <x v="2127"/>
    </i>
    <i r="1">
      <x v="1073"/>
      <x v="1611"/>
    </i>
    <i r="1">
      <x v="1080"/>
      <x v="2172"/>
    </i>
    <i r="1">
      <x v="1087"/>
      <x v="1817"/>
    </i>
    <i r="1">
      <x v="1088"/>
      <x v="2013"/>
    </i>
    <i r="1">
      <x v="1089"/>
      <x v="2181"/>
    </i>
    <i r="1">
      <x v="1104"/>
      <x v="2150"/>
    </i>
    <i r="1">
      <x v="1107"/>
      <x v="2068"/>
    </i>
    <i r="1">
      <x v="1108"/>
      <x v="2047"/>
    </i>
    <i r="1">
      <x v="1109"/>
      <x v="2128"/>
    </i>
    <i r="1">
      <x v="1114"/>
      <x v="1750"/>
    </i>
    <i r="1">
      <x v="1120"/>
      <x v="2094"/>
    </i>
    <i r="1">
      <x v="1121"/>
      <x v="1260"/>
    </i>
    <i r="1">
      <x v="1122"/>
      <x v="2093"/>
    </i>
    <i r="1">
      <x v="1123"/>
      <x v="2092"/>
    </i>
    <i r="1">
      <x v="1124"/>
      <x v="2140"/>
    </i>
    <i r="1">
      <x v="1125"/>
      <x v="2139"/>
    </i>
    <i r="1">
      <x v="1126"/>
      <x v="2034"/>
    </i>
    <i r="1">
      <x v="1136"/>
      <x v="1950"/>
    </i>
    <i r="1">
      <x v="1137"/>
      <x v="1951"/>
    </i>
    <i r="1">
      <x v="1141"/>
      <x v="1563"/>
    </i>
    <i r="1">
      <x v="1144"/>
      <x v="1810"/>
    </i>
    <i r="1">
      <x v="1145"/>
      <x v="1578"/>
    </i>
    <i r="1">
      <x v="1147"/>
      <x v="2192"/>
    </i>
    <i r="1">
      <x v="1148"/>
      <x v="2191"/>
    </i>
    <i r="1">
      <x v="1149"/>
      <x v="2190"/>
    </i>
    <i r="1">
      <x v="1150"/>
      <x v="2189"/>
    </i>
    <i r="1">
      <x v="1151"/>
      <x v="2055"/>
    </i>
    <i r="1">
      <x v="1159"/>
      <x v="2187"/>
    </i>
    <i r="1">
      <x v="1168"/>
      <x v="1946"/>
    </i>
    <i r="1">
      <x v="1187"/>
      <x v="1308"/>
    </i>
    <i r="1">
      <x v="1220"/>
      <x v="2177"/>
    </i>
    <i r="1">
      <x v="1223"/>
      <x v="2164"/>
    </i>
  </rowItems>
  <colFields count="1">
    <field x="-2"/>
  </colFields>
  <colItems count="3">
    <i>
      <x/>
    </i>
    <i i="1">
      <x v="1"/>
    </i>
    <i i="2">
      <x v="2"/>
    </i>
  </colItems>
  <dataFields count="3">
    <dataField name="Giriş miqdarı " fld="4" baseField="0" baseItem="0"/>
    <dataField name="Çıxış miqdarı " fld="5" baseField="0" baseItem="0"/>
    <dataField name="Anbar qalığı " fld="9" baseField="0" baseItem="0"/>
  </dataFields>
  <formats count="19">
    <format dxfId="137">
      <pivotArea dataOnly="0" labelOnly="1" grandRow="1" outline="0" fieldPosition="0"/>
    </format>
    <format dxfId="136">
      <pivotArea field="8" type="button" dataOnly="0" labelOnly="1" outline="0" axis="axisRow" fieldPosition="0"/>
    </format>
    <format dxfId="1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4">
      <pivotArea field="8" type="button" dataOnly="0" labelOnly="1" outline="0" axis="axisRow" fieldPosition="0"/>
    </format>
    <format dxfId="1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2">
      <pivotArea field="8" type="button" dataOnly="0" labelOnly="1" outline="0" axis="axisRow" fieldPosition="0"/>
    </format>
    <format dxfId="1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8" type="button" dataOnly="0" labelOnly="1" outline="0" axis="axisRow" fieldPosition="0"/>
    </format>
    <format dxfId="127">
      <pivotArea dataOnly="0" labelOnly="1" fieldPosition="0">
        <references count="1">
          <reference field="8" count="0"/>
        </references>
      </pivotArea>
    </format>
    <format dxfId="126">
      <pivotArea dataOnly="0" labelOnly="1" grandRow="1" outline="0" fieldPosition="0"/>
    </format>
    <format dxfId="1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8" type="button" dataOnly="0" labelOnly="1" outline="0" axis="axisRow" fieldPosition="0"/>
    </format>
    <format dxfId="121">
      <pivotArea dataOnly="0" labelOnly="1" fieldPosition="0">
        <references count="1">
          <reference field="8" count="0"/>
        </references>
      </pivotArea>
    </format>
    <format dxfId="120">
      <pivotArea dataOnly="0" labelOnly="1" grandRow="1" outline="0" fieldPosition="0"/>
    </format>
    <format dxfId="1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B3738-7974-4FAF-AD54-240143158402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32" firstHeaderRow="0" firstDataRow="1" firstDataCol="1"/>
  <pivotFields count="12">
    <pivotField showAll="0"/>
    <pivotField numFmtId="14" showAll="0"/>
    <pivotField axis="axisRow" showAll="0">
      <items count="1326">
        <item x="243"/>
        <item x="222"/>
        <item x="220"/>
        <item x="221"/>
        <item x="223"/>
        <item x="224"/>
        <item x="229"/>
        <item x="227"/>
        <item x="228"/>
        <item x="225"/>
        <item x="226"/>
        <item x="167"/>
        <item x="166"/>
        <item x="165"/>
        <item x="164"/>
        <item x="163"/>
        <item x="162"/>
        <item m="1" x="1255"/>
        <item x="548"/>
        <item x="580"/>
        <item x="697"/>
        <item x="560"/>
        <item x="699"/>
        <item x="559"/>
        <item x="561"/>
        <item x="558"/>
        <item x="700"/>
        <item x="701"/>
        <item m="1" x="1256"/>
        <item x="574"/>
        <item m="1" x="1319"/>
        <item x="793"/>
        <item x="361"/>
        <item x="357"/>
        <item x="360"/>
        <item x="358"/>
        <item x="359"/>
        <item x="146"/>
        <item x="587"/>
        <item x="590"/>
        <item x="589"/>
        <item x="787"/>
        <item x="794"/>
        <item x="795"/>
        <item x="829"/>
        <item x="830"/>
        <item x="828"/>
        <item m="1" x="1316"/>
        <item x="601"/>
        <item x="602"/>
        <item x="597"/>
        <item x="596"/>
        <item x="595"/>
        <item x="600"/>
        <item x="598"/>
        <item x="599"/>
        <item x="507"/>
        <item x="505"/>
        <item x="506"/>
        <item x="508"/>
        <item x="510"/>
        <item x="509"/>
        <item x="471"/>
        <item x="768"/>
        <item x="763"/>
        <item x="767"/>
        <item x="762"/>
        <item x="766"/>
        <item x="764"/>
        <item x="765"/>
        <item x="436"/>
        <item x="628"/>
        <item m="1" x="1267"/>
        <item x="331"/>
        <item x="623"/>
        <item x="613"/>
        <item x="605"/>
        <item x="920"/>
        <item x="924"/>
        <item x="884"/>
        <item x="604"/>
        <item x="593"/>
        <item x="594"/>
        <item x="592"/>
        <item x="591"/>
        <item x="570"/>
        <item x="311"/>
        <item x="647"/>
        <item x="646"/>
        <item x="619"/>
        <item x="800"/>
        <item x="391"/>
        <item x="798"/>
        <item m="1" x="1227"/>
        <item x="116"/>
        <item x="474"/>
        <item x="861"/>
        <item x="826"/>
        <item x="824"/>
        <item x="825"/>
        <item x="867"/>
        <item x="827"/>
        <item x="393"/>
        <item x="386"/>
        <item x="364"/>
        <item x="868"/>
        <item x="860"/>
        <item x="799"/>
        <item x="865"/>
        <item x="864"/>
        <item x="863"/>
        <item x="479"/>
        <item x="399"/>
        <item x="636"/>
        <item x="638"/>
        <item x="634"/>
        <item x="639"/>
        <item x="777"/>
        <item x="635"/>
        <item x="649"/>
        <item x="637"/>
        <item x="661"/>
        <item x="820"/>
        <item x="665"/>
        <item x="666"/>
        <item x="662"/>
        <item x="659"/>
        <item x="658"/>
        <item m="1" x="1252"/>
        <item x="656"/>
        <item x="657"/>
        <item x="664"/>
        <item x="663"/>
        <item x="481"/>
        <item x="484"/>
        <item x="785"/>
        <item x="158"/>
        <item x="159"/>
        <item x="157"/>
        <item x="217"/>
        <item x="670"/>
        <item x="238"/>
        <item x="809"/>
        <item x="236"/>
        <item x="235"/>
        <item x="234"/>
        <item x="239"/>
        <item x="237"/>
        <item x="173"/>
        <item x="174"/>
        <item x="739"/>
        <item x="132"/>
        <item x="927"/>
        <item x="295"/>
        <item x="486"/>
        <item m="1" x="1315"/>
        <item x="312"/>
        <item x="316"/>
        <item x="314"/>
        <item x="313"/>
        <item x="315"/>
        <item x="678"/>
        <item x="390"/>
        <item x="543"/>
        <item x="721"/>
        <item x="583"/>
        <item x="694"/>
        <item x="692"/>
        <item x="720"/>
        <item x="563"/>
        <item x="547"/>
        <item x="693"/>
        <item x="255"/>
        <item x="881"/>
        <item x="723"/>
        <item x="726"/>
        <item x="256"/>
        <item x="257"/>
        <item x="578"/>
        <item x="577"/>
        <item x="417"/>
        <item x="409"/>
        <item x="718"/>
        <item x="562"/>
        <item x="722"/>
        <item x="564"/>
        <item x="422"/>
        <item x="555"/>
        <item x="419"/>
        <item x="565"/>
        <item m="1" x="1309"/>
        <item x="258"/>
        <item m="1" x="1233"/>
        <item x="710"/>
        <item x="730"/>
        <item x="708"/>
        <item x="707"/>
        <item x="571"/>
        <item x="415"/>
        <item x="719"/>
        <item x="729"/>
        <item x="702"/>
        <item x="727"/>
        <item x="247"/>
        <item x="114"/>
        <item x="118"/>
        <item x="113"/>
        <item x="859"/>
        <item x="835"/>
        <item x="842"/>
        <item m="1" x="1264"/>
        <item x="218"/>
        <item x="219"/>
        <item x="906"/>
        <item x="500"/>
        <item m="1" x="1279"/>
        <item x="898"/>
        <item x="488"/>
        <item x="513"/>
        <item x="523"/>
        <item x="519"/>
        <item x="520"/>
        <item x="494"/>
        <item x="524"/>
        <item x="489"/>
        <item x="522"/>
        <item x="498"/>
        <item x="517"/>
        <item x="516"/>
        <item x="521"/>
        <item x="525"/>
        <item x="497"/>
        <item x="892"/>
        <item x="891"/>
        <item x="514"/>
        <item x="515"/>
        <item x="378"/>
        <item x="431"/>
        <item x="501"/>
        <item x="432"/>
        <item x="603"/>
        <item m="1" x="1240"/>
        <item m="1" x="1284"/>
        <item x="969"/>
        <item x="950"/>
        <item x="976"/>
        <item x="131"/>
        <item x="296"/>
        <item m="1" x="1275"/>
        <item x="538"/>
        <item x="802"/>
        <item x="815"/>
        <item m="1" x="1224"/>
        <item m="1" x="1232"/>
        <item x="491"/>
        <item x="934"/>
        <item x="492"/>
        <item x="907"/>
        <item x="309"/>
        <item x="536"/>
        <item x="151"/>
        <item x="781"/>
        <item x="339"/>
        <item x="341"/>
        <item x="853"/>
        <item x="850"/>
        <item x="345"/>
        <item x="344"/>
        <item x="342"/>
        <item x="343"/>
        <item x="337"/>
        <item x="338"/>
        <item x="346"/>
        <item x="336"/>
        <item x="851"/>
        <item x="852"/>
        <item x="128"/>
        <item x="129"/>
        <item x="130"/>
        <item x="855"/>
        <item x="188"/>
        <item x="340"/>
        <item x="586"/>
        <item x="439"/>
        <item x="397"/>
        <item x="396"/>
        <item x="395"/>
        <item x="398"/>
        <item x="394"/>
        <item x="804"/>
        <item x="531"/>
        <item x="912"/>
        <item x="946"/>
        <item x="215"/>
        <item x="377"/>
        <item x="433"/>
        <item x="874"/>
        <item x="434"/>
        <item x="98"/>
        <item x="103"/>
        <item x="104"/>
        <item x="97"/>
        <item x="96"/>
        <item x="171"/>
        <item x="95"/>
        <item x="94"/>
        <item x="100"/>
        <item x="191"/>
        <item x="895"/>
        <item x="446"/>
        <item x="187"/>
        <item x="205"/>
        <item x="207"/>
        <item x="203"/>
        <item x="384"/>
        <item x="385"/>
        <item x="383"/>
        <item x="206"/>
        <item x="447"/>
        <item x="443"/>
        <item x="445"/>
        <item x="444"/>
        <item x="101"/>
        <item x="186"/>
        <item x="208"/>
        <item x="102"/>
        <item x="204"/>
        <item m="1" x="1226"/>
        <item x="72"/>
        <item x="76"/>
        <item x="67"/>
        <item x="78"/>
        <item x="45"/>
        <item x="75"/>
        <item x="68"/>
        <item x="69"/>
        <item x="74"/>
        <item x="38"/>
        <item x="71"/>
        <item x="70"/>
        <item x="77"/>
        <item x="73"/>
        <item x="64"/>
        <item x="90"/>
        <item x="89"/>
        <item x="83"/>
        <item x="65"/>
        <item x="39"/>
        <item x="91"/>
        <item x="44"/>
        <item x="58"/>
        <item x="59"/>
        <item x="88"/>
        <item x="56"/>
        <item x="49"/>
        <item x="55"/>
        <item x="57"/>
        <item x="87"/>
        <item x="48"/>
        <item x="46"/>
        <item x="33"/>
        <item x="63"/>
        <item x="85"/>
        <item x="81"/>
        <item x="60"/>
        <item x="82"/>
        <item x="41"/>
        <item x="43"/>
        <item x="36"/>
        <item x="86"/>
        <item x="19"/>
        <item x="20"/>
        <item x="30"/>
        <item x="25"/>
        <item x="79"/>
        <item x="53"/>
        <item x="50"/>
        <item x="54"/>
        <item x="51"/>
        <item x="52"/>
        <item x="47"/>
        <item x="61"/>
        <item x="62"/>
        <item x="80"/>
        <item x="92"/>
        <item x="93"/>
        <item x="35"/>
        <item x="34"/>
        <item x="84"/>
        <item x="42"/>
        <item x="28"/>
        <item x="37"/>
        <item x="40"/>
        <item x="29"/>
        <item x="32"/>
        <item x="31"/>
        <item x="653"/>
        <item x="654"/>
        <item x="847"/>
        <item x="814"/>
        <item x="813"/>
        <item x="812"/>
        <item x="848"/>
        <item x="846"/>
        <item x="811"/>
        <item x="810"/>
        <item x="728"/>
        <item x="537"/>
        <item x="621"/>
        <item x="610"/>
        <item x="611"/>
        <item x="624"/>
        <item x="626"/>
        <item x="612"/>
        <item x="627"/>
        <item x="625"/>
        <item x="616"/>
        <item x="633"/>
        <item x="631"/>
        <item x="620"/>
        <item x="442"/>
        <item x="321"/>
        <item x="22"/>
        <item x="149"/>
        <item x="209"/>
        <item x="735"/>
        <item m="1" x="1317"/>
        <item x="648"/>
        <item x="617"/>
        <item x="673"/>
        <item x="845"/>
        <item x="451"/>
        <item x="293"/>
        <item x="109"/>
        <item m="1" x="1311"/>
        <item m="1" x="1308"/>
        <item x="323"/>
        <item x="438"/>
        <item x="376"/>
        <item x="806"/>
        <item x="901"/>
        <item x="900"/>
        <item x="893"/>
        <item x="844"/>
        <item x="902"/>
        <item x="465"/>
        <item x="888"/>
        <item x="887"/>
        <item x="759"/>
        <item x="134"/>
        <item x="748"/>
        <item x="127"/>
        <item x="449"/>
        <item x="905"/>
        <item m="1" x="1241"/>
        <item x="780"/>
        <item x="945"/>
        <item m="1" x="1261"/>
        <item x="773"/>
        <item m="1" x="1260"/>
        <item x="772"/>
        <item x="775"/>
        <item x="774"/>
        <item x="899"/>
        <item x="24"/>
        <item x="21"/>
        <item x="379"/>
        <item x="291"/>
        <item x="749"/>
        <item m="1" x="1236"/>
        <item x="303"/>
        <item m="1" x="1235"/>
        <item m="1" x="1237"/>
        <item x="304"/>
        <item x="731"/>
        <item x="733"/>
        <item x="734"/>
        <item x="732"/>
        <item x="455"/>
        <item x="456"/>
        <item x="457"/>
        <item x="533"/>
        <item x="714"/>
        <item x="713"/>
        <item x="504"/>
        <item x="544"/>
        <item x="883"/>
        <item x="882"/>
        <item x="557"/>
        <item x="420"/>
        <item x="541"/>
        <item x="542"/>
        <item x="712"/>
        <item x="573"/>
        <item x="416"/>
        <item x="706"/>
        <item x="705"/>
        <item x="715"/>
        <item x="554"/>
        <item x="716"/>
        <item x="889"/>
        <item x="110"/>
        <item x="319"/>
        <item x="318"/>
        <item x="836"/>
        <item x="408"/>
        <item x="406"/>
        <item x="405"/>
        <item x="407"/>
        <item x="403"/>
        <item x="335"/>
        <item x="334"/>
        <item x="230"/>
        <item x="317"/>
        <item x="175"/>
        <item m="1" x="1257"/>
        <item x="737"/>
        <item x="738"/>
        <item m="1" x="1265"/>
        <item x="817"/>
        <item x="194"/>
        <item x="196"/>
        <item x="195"/>
        <item x="144"/>
        <item m="1" x="1251"/>
        <item x="655"/>
        <item x="630"/>
        <item x="499"/>
        <item x="754"/>
        <item x="211"/>
        <item x="585"/>
        <item m="1" x="1250"/>
        <item m="1" x="1247"/>
        <item x="477"/>
        <item x="930"/>
        <item x="231"/>
        <item x="176"/>
        <item x="786"/>
        <item x="709"/>
        <item x="717"/>
        <item x="552"/>
        <item x="401"/>
        <item x="254"/>
        <item x="551"/>
        <item x="553"/>
        <item x="575"/>
        <item x="679"/>
        <item x="680"/>
        <item x="681"/>
        <item x="111"/>
        <item x="121"/>
        <item x="123"/>
        <item x="838"/>
        <item x="464"/>
        <item m="1" x="1266"/>
        <item x="856"/>
        <item x="496"/>
        <item x="518"/>
        <item x="869"/>
        <item x="495"/>
        <item x="490"/>
        <item x="796"/>
        <item x="797"/>
        <item x="502"/>
        <item x="387"/>
        <item x="862"/>
        <item x="380"/>
        <item x="674"/>
        <item x="943"/>
        <item x="185"/>
        <item x="622"/>
        <item x="467"/>
        <item x="468"/>
        <item x="609"/>
        <item x="782"/>
        <item x="460"/>
        <item x="740"/>
        <item x="233"/>
        <item x="816"/>
        <item x="921"/>
        <item x="922"/>
        <item x="923"/>
        <item x="925"/>
        <item x="926"/>
        <item x="914"/>
        <item x="916"/>
        <item x="965"/>
        <item x="964"/>
        <item x="677"/>
        <item x="676"/>
        <item x="618"/>
        <item x="632"/>
        <item x="372"/>
        <item m="1" x="1239"/>
        <item x="148"/>
        <item x="232"/>
        <item x="133"/>
        <item x="310"/>
        <item x="135"/>
        <item m="1" x="1225"/>
        <item x="26"/>
        <item x="367"/>
        <item x="365"/>
        <item x="366"/>
        <item x="172"/>
        <item x="353"/>
        <item x="614"/>
        <item x="911"/>
        <item m="1" x="1282"/>
        <item m="1" x="1283"/>
        <item x="917"/>
        <item x="369"/>
        <item m="1" x="1243"/>
        <item x="368"/>
        <item x="540"/>
        <item x="147"/>
        <item x="155"/>
        <item x="511"/>
        <item x="938"/>
        <item x="937"/>
        <item x="908"/>
        <item x="933"/>
        <item m="1" x="1277"/>
        <item m="1" x="1281"/>
        <item x="970"/>
        <item x="948"/>
        <item x="971"/>
        <item x="949"/>
        <item x="974"/>
        <item x="953"/>
        <item x="784"/>
        <item x="532"/>
        <item x="535"/>
        <item x="534"/>
        <item m="1" x="1320"/>
        <item x="972"/>
        <item x="910"/>
        <item x="240"/>
        <item x="248"/>
        <item x="156"/>
        <item x="140"/>
        <item x="139"/>
        <item x="189"/>
        <item x="138"/>
        <item x="137"/>
        <item x="136"/>
        <item x="145"/>
        <item m="1" x="1314"/>
        <item x="418"/>
        <item x="253"/>
        <item x="262"/>
        <item x="413"/>
        <item m="1" x="1306"/>
        <item m="1" x="1310"/>
        <item x="261"/>
        <item x="402"/>
        <item x="250"/>
        <item x="414"/>
        <item m="1" x="1312"/>
        <item x="832"/>
        <item x="833"/>
        <item x="572"/>
        <item x="791"/>
        <item x="790"/>
        <item x="789"/>
        <item x="108"/>
        <item x="106"/>
        <item x="105"/>
        <item x="107"/>
        <item m="1" x="1302"/>
        <item x="834"/>
        <item x="392"/>
        <item x="363"/>
        <item x="792"/>
        <item m="1" x="1322"/>
        <item x="356"/>
        <item x="373"/>
        <item x="200"/>
        <item x="199"/>
        <item x="941"/>
        <item x="942"/>
        <item x="470"/>
        <item x="320"/>
        <item m="1" x="1271"/>
        <item x="322"/>
        <item x="818"/>
        <item x="936"/>
        <item m="1" x="1273"/>
        <item x="956"/>
        <item x="955"/>
        <item x="305"/>
        <item x="306"/>
        <item x="210"/>
        <item x="202"/>
        <item x="931"/>
        <item m="1" x="1323"/>
        <item x="290"/>
        <item x="783"/>
        <item x="152"/>
        <item x="350"/>
        <item x="349"/>
        <item m="1" x="1238"/>
        <item x="355"/>
        <item x="143"/>
        <item x="885"/>
        <item x="629"/>
        <item x="242"/>
        <item x="476"/>
        <item x="241"/>
        <item x="153"/>
        <item x="487"/>
        <item x="808"/>
        <item x="807"/>
        <item x="886"/>
        <item m="1" x="1258"/>
        <item x="168"/>
        <item x="198"/>
        <item x="150"/>
        <item x="212"/>
        <item x="746"/>
        <item x="201"/>
        <item x="182"/>
        <item x="178"/>
        <item m="1" x="1230"/>
        <item x="180"/>
        <item x="181"/>
        <item x="177"/>
        <item x="750"/>
        <item x="326"/>
        <item x="327"/>
        <item x="325"/>
        <item x="142"/>
        <item x="526"/>
        <item x="944"/>
        <item x="588"/>
        <item x="819"/>
        <item x="512"/>
        <item x="475"/>
        <item x="870"/>
        <item x="973"/>
        <item x="615"/>
        <item x="918"/>
        <item m="1" x="1285"/>
        <item m="1" x="1318"/>
        <item m="1" x="1234"/>
        <item x="682"/>
        <item x="683"/>
        <item x="684"/>
        <item x="691"/>
        <item x="688"/>
        <item x="687"/>
        <item x="686"/>
        <item x="689"/>
        <item x="690"/>
        <item x="685"/>
        <item x="672"/>
        <item x="939"/>
        <item x="493"/>
        <item x="758"/>
        <item x="333"/>
        <item x="274"/>
        <item x="263"/>
        <item x="282"/>
        <item x="269"/>
        <item x="264"/>
        <item x="277"/>
        <item x="267"/>
        <item x="281"/>
        <item x="278"/>
        <item x="268"/>
        <item x="285"/>
        <item x="284"/>
        <item x="271"/>
        <item x="280"/>
        <item x="276"/>
        <item x="273"/>
        <item x="270"/>
        <item x="272"/>
        <item x="275"/>
        <item x="265"/>
        <item x="279"/>
        <item x="283"/>
        <item x="266"/>
        <item x="286"/>
        <item x="308"/>
        <item x="307"/>
        <item x="801"/>
        <item x="903"/>
        <item x="480"/>
        <item m="1" x="1231"/>
        <item x="452"/>
        <item x="461"/>
        <item x="894"/>
        <item x="651"/>
        <item x="652"/>
        <item x="569"/>
        <item x="568"/>
        <item x="566"/>
        <item x="567"/>
        <item x="919"/>
        <item x="961"/>
        <item m="1" x="1280"/>
        <item x="753"/>
        <item x="947"/>
        <item x="952"/>
        <item x="962"/>
        <item x="960"/>
        <item x="297"/>
        <item x="216"/>
        <item x="473"/>
        <item x="472"/>
        <item x="453"/>
        <item m="1" x="1245"/>
        <item x="668"/>
        <item x="751"/>
        <item x="752"/>
        <item m="1" x="1305"/>
        <item x="348"/>
        <item x="347"/>
        <item m="1" x="1301"/>
        <item x="755"/>
        <item x="959"/>
        <item x="940"/>
        <item x="328"/>
        <item x="803"/>
        <item x="822"/>
        <item x="880"/>
        <item x="896"/>
        <item x="849"/>
        <item x="897"/>
        <item x="351"/>
        <item x="462"/>
        <item x="821"/>
        <item x="352"/>
        <item m="1" x="1263"/>
        <item x="389"/>
        <item x="463"/>
        <item x="388"/>
        <item x="371"/>
        <item x="169"/>
        <item x="904"/>
        <item x="675"/>
        <item x="650"/>
        <item x="362"/>
        <item x="667"/>
        <item x="426"/>
        <item x="761"/>
        <item x="760"/>
        <item x="482"/>
        <item x="478"/>
        <item x="879"/>
        <item x="866"/>
        <item x="778"/>
        <item x="183"/>
        <item x="671"/>
        <item x="458"/>
        <item x="459"/>
        <item x="606"/>
        <item x="805"/>
        <item x="245"/>
        <item x="246"/>
        <item x="244"/>
        <item x="539"/>
        <item x="644"/>
        <item x="641"/>
        <item x="640"/>
        <item x="643"/>
        <item x="642"/>
        <item x="440"/>
        <item m="1" x="1268"/>
        <item x="288"/>
        <item x="289"/>
        <item x="915"/>
        <item x="192"/>
        <item x="957"/>
        <item x="99"/>
        <item x="382"/>
        <item x="469"/>
        <item x="287"/>
        <item x="779"/>
        <item x="154"/>
        <item x="757"/>
        <item x="503"/>
        <item x="430"/>
        <item x="876"/>
        <item x="428"/>
        <item x="427"/>
        <item m="1" x="1228"/>
        <item m="1" x="1229"/>
        <item x="788"/>
        <item x="483"/>
        <item x="871"/>
        <item x="330"/>
        <item x="645"/>
        <item x="141"/>
        <item x="213"/>
        <item x="214"/>
        <item x="404"/>
        <item x="550"/>
        <item x="698"/>
        <item x="725"/>
        <item x="724"/>
        <item x="546"/>
        <item x="549"/>
        <item x="412"/>
        <item x="411"/>
        <item x="545"/>
        <item x="423"/>
        <item x="579"/>
        <item x="251"/>
        <item x="556"/>
        <item m="1" x="1307"/>
        <item m="1" x="1313"/>
        <item x="252"/>
        <item x="260"/>
        <item x="711"/>
        <item x="259"/>
        <item x="581"/>
        <item x="703"/>
        <item x="704"/>
        <item x="582"/>
        <item m="1" x="1270"/>
        <item x="119"/>
        <item x="112"/>
        <item x="843"/>
        <item x="117"/>
        <item x="840"/>
        <item x="837"/>
        <item x="841"/>
        <item x="115"/>
        <item x="425"/>
        <item m="1" x="1253"/>
        <item x="741"/>
        <item m="1" x="1259"/>
        <item x="756"/>
        <item x="410"/>
        <item m="1" x="1269"/>
        <item x="608"/>
        <item x="913"/>
        <item x="329"/>
        <item x="454"/>
        <item x="184"/>
        <item m="1" x="1304"/>
        <item m="1" x="1303"/>
        <item x="300"/>
        <item x="299"/>
        <item x="301"/>
        <item x="448"/>
        <item x="435"/>
        <item x="170"/>
        <item m="1" x="1242"/>
        <item x="161"/>
        <item x="485"/>
        <item x="160"/>
        <item x="190"/>
        <item x="929"/>
        <item m="1" x="1276"/>
        <item x="954"/>
        <item x="743"/>
        <item x="745"/>
        <item x="744"/>
        <item x="294"/>
        <item m="1" x="1246"/>
        <item m="1" x="1244"/>
        <item m="1" x="1324"/>
        <item x="980"/>
        <item x="981"/>
        <item x="982"/>
        <item x="1006"/>
        <item x="1039"/>
        <item x="1040"/>
        <item x="1041"/>
        <item x="1042"/>
        <item x="1043"/>
        <item x="1044"/>
        <item m="1" x="1286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983"/>
        <item x="1062"/>
        <item m="1" x="1287"/>
        <item m="1" x="1288"/>
        <item x="0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m="1" x="1289"/>
        <item x="977"/>
        <item x="1097"/>
        <item x="1098"/>
        <item x="1099"/>
        <item x="1100"/>
        <item x="1101"/>
        <item x="1102"/>
        <item x="1103"/>
        <item x="1104"/>
        <item x="1105"/>
        <item m="1" x="1321"/>
        <item x="1107"/>
        <item x="1108"/>
        <item x="1109"/>
        <item x="1110"/>
        <item x="1111"/>
        <item m="1" x="1290"/>
        <item x="986"/>
        <item x="1113"/>
        <item x="1114"/>
        <item x="1115"/>
        <item x="1116"/>
        <item x="1"/>
        <item x="2"/>
        <item x="3"/>
        <item x="4"/>
        <item x="5"/>
        <item x="6"/>
        <item x="7"/>
        <item m="1" x="1291"/>
        <item x="9"/>
        <item x="978"/>
        <item x="1036"/>
        <item x="1037"/>
        <item x="1038"/>
        <item x="1021"/>
        <item x="1022"/>
        <item x="1035"/>
        <item x="10"/>
        <item x="11"/>
        <item x="12"/>
        <item x="13"/>
        <item x="14"/>
        <item x="15"/>
        <item x="16"/>
        <item x="17"/>
        <item x="18"/>
        <item x="466"/>
        <item x="1023"/>
        <item m="1" x="1292"/>
        <item x="1025"/>
        <item x="1026"/>
        <item x="1027"/>
        <item x="1028"/>
        <item x="1029"/>
        <item x="1030"/>
        <item x="1031"/>
        <item x="1032"/>
        <item x="1033"/>
        <item m="1" x="1293"/>
        <item x="381"/>
        <item x="979"/>
        <item x="1140"/>
        <item x="1117"/>
        <item x="1118"/>
        <item x="1120"/>
        <item x="1106"/>
        <item x="1121"/>
        <item m="1" x="1294"/>
        <item m="1" x="1295"/>
        <item x="1124"/>
        <item x="1141"/>
        <item x="1142"/>
        <item x="1143"/>
        <item x="1144"/>
        <item x="1145"/>
        <item x="1146"/>
        <item x="987"/>
        <item x="1147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85"/>
        <item x="1081"/>
        <item x="1082"/>
        <item x="1083"/>
        <item x="1084"/>
        <item x="1119"/>
        <item m="1" x="1296"/>
        <item x="1126"/>
        <item x="1127"/>
        <item x="1128"/>
        <item x="1129"/>
        <item x="1130"/>
        <item x="1133"/>
        <item x="1134"/>
        <item x="1135"/>
        <item x="1137"/>
        <item x="1138"/>
        <item x="1139"/>
        <item x="1136"/>
        <item x="1148"/>
        <item x="1149"/>
        <item x="1131"/>
        <item x="1132"/>
        <item m="1" x="1297"/>
        <item x="1152"/>
        <item x="1153"/>
        <item x="1154"/>
        <item x="988"/>
        <item x="1155"/>
        <item x="989"/>
        <item x="1156"/>
        <item x="1157"/>
        <item x="1007"/>
        <item x="1158"/>
        <item x="1159"/>
        <item x="1160"/>
        <item x="1150"/>
        <item x="1161"/>
        <item x="1008"/>
        <item m="1" x="1298"/>
        <item x="1167"/>
        <item m="1" x="1299"/>
        <item m="1" x="1300"/>
        <item x="1183"/>
        <item x="990"/>
        <item x="1184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65"/>
        <item x="1162"/>
        <item m="1" x="1248"/>
        <item m="1" x="1254"/>
        <item m="1" x="1262"/>
        <item m="1" x="1272"/>
        <item m="1" x="1274"/>
        <item m="1" x="1278"/>
        <item x="122"/>
        <item x="124"/>
        <item x="298"/>
        <item x="374"/>
        <item x="400"/>
        <item x="421"/>
        <item x="429"/>
        <item x="441"/>
        <item m="1" x="1249"/>
        <item x="742"/>
        <item x="747"/>
        <item x="831"/>
        <item x="873"/>
        <item x="878"/>
        <item x="8"/>
        <item x="23"/>
        <item x="27"/>
        <item x="66"/>
        <item x="120"/>
        <item x="125"/>
        <item x="126"/>
        <item x="179"/>
        <item x="193"/>
        <item x="197"/>
        <item x="249"/>
        <item x="292"/>
        <item x="302"/>
        <item x="324"/>
        <item x="332"/>
        <item x="354"/>
        <item x="370"/>
        <item x="375"/>
        <item x="424"/>
        <item x="437"/>
        <item x="450"/>
        <item x="527"/>
        <item x="528"/>
        <item x="529"/>
        <item x="530"/>
        <item x="576"/>
        <item x="584"/>
        <item x="607"/>
        <item x="660"/>
        <item x="669"/>
        <item x="695"/>
        <item x="696"/>
        <item x="736"/>
        <item x="769"/>
        <item x="770"/>
        <item x="771"/>
        <item x="776"/>
        <item x="823"/>
        <item x="839"/>
        <item x="854"/>
        <item x="857"/>
        <item x="858"/>
        <item x="872"/>
        <item x="875"/>
        <item x="877"/>
        <item x="890"/>
        <item x="909"/>
        <item x="928"/>
        <item x="932"/>
        <item x="935"/>
        <item x="951"/>
        <item x="958"/>
        <item x="963"/>
        <item x="966"/>
        <item x="967"/>
        <item x="968"/>
        <item x="975"/>
        <item x="984"/>
        <item x="985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4"/>
        <item x="1034"/>
        <item x="1045"/>
        <item x="1080"/>
        <item x="1112"/>
        <item x="1122"/>
        <item x="1123"/>
        <item x="1125"/>
        <item x="1151"/>
        <item x="1163"/>
        <item x="1164"/>
        <item x="1166"/>
        <item x="1182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t="default"/>
      </items>
    </pivotField>
    <pivotField showAll="0"/>
    <pivotField showAll="0"/>
    <pivotField dataField="1" showAll="0"/>
    <pivotField showAll="0"/>
    <pivotField dataField="1" showAll="0"/>
    <pivotField axis="axisRow" showAll="0">
      <items count="5">
        <item sd="0" x="1"/>
        <item sd="0" x="0"/>
        <item sd="0" x="2"/>
        <item m="1" x="3"/>
        <item t="default"/>
      </items>
    </pivotField>
    <pivotField axis="axisRow" showAll="0">
      <items count="25">
        <item x="2"/>
        <item m="1" x="23"/>
        <item x="10"/>
        <item x="3"/>
        <item m="1" x="21"/>
        <item m="1" x="22"/>
        <item x="1"/>
        <item sd="0" x="6"/>
        <item sd="0" x="0"/>
        <item sd="0" x="7"/>
        <item sd="0" x="5"/>
        <item sd="0" m="1" x="20"/>
        <item sd="0" x="12"/>
        <item sd="0" x="9"/>
        <item sd="0" x="8"/>
        <item sd="0" x="13"/>
        <item sd="0" x="14"/>
        <item sd="0" x="4"/>
        <item sd="0" x="15"/>
        <item sd="0" x="11"/>
        <item x="16"/>
        <item x="17"/>
        <item x="18"/>
        <item x="19"/>
        <item t="default"/>
      </items>
    </pivotField>
    <pivotField showAll="0"/>
    <pivotField showAll="0"/>
  </pivotFields>
  <rowFields count="3">
    <field x="9"/>
    <field x="8"/>
    <field x="2"/>
  </rowFields>
  <rowItems count="31">
    <i>
      <x/>
    </i>
    <i r="1">
      <x/>
    </i>
    <i>
      <x v="2"/>
    </i>
    <i r="1">
      <x v="2"/>
    </i>
    <i>
      <x v="3"/>
    </i>
    <i r="1">
      <x v="1"/>
    </i>
    <i>
      <x v="6"/>
    </i>
    <i r="1">
      <x v="1"/>
    </i>
    <i r="1">
      <x v="2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r="1">
      <x v="1"/>
    </i>
    <i r="1">
      <x v="2"/>
    </i>
    <i>
      <x v="21"/>
    </i>
    <i r="1">
      <x v="1"/>
    </i>
    <i>
      <x v="22"/>
    </i>
    <i r="1">
      <x v="1"/>
    </i>
    <i>
      <x v="23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lın miqdarı" fld="5" baseField="0" baseItem="0"/>
    <dataField name="Sum of Ümumi məbləğ" fld="7" baseField="2" baseItem="964"/>
  </dataFields>
  <formats count="14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9" type="button" dataOnly="0" labelOnly="1" outline="0" axis="axisRow" fieldPosition="0"/>
    </format>
    <format dxfId="115">
      <pivotArea dataOnly="0" labelOnly="1" fieldPosition="0">
        <references count="1">
          <reference field="9" count="0"/>
        </references>
      </pivotArea>
    </format>
    <format dxfId="114">
      <pivotArea dataOnly="0" labelOnly="1" grandRow="1" outline="0" fieldPosition="0"/>
    </format>
    <format dxfId="113">
      <pivotArea dataOnly="0" labelOnly="1" fieldPosition="0">
        <references count="2">
          <reference field="8" count="0"/>
          <reference field="9" count="0" selected="0"/>
        </references>
      </pivotArea>
    </format>
    <format dxfId="1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9" type="button" dataOnly="0" labelOnly="1" outline="0" axis="axisRow" fieldPosition="0"/>
    </format>
    <format dxfId="108">
      <pivotArea dataOnly="0" labelOnly="1" fieldPosition="0">
        <references count="1">
          <reference field="9" count="0"/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2">
          <reference field="8" count="0"/>
          <reference field="9" count="0" selected="0"/>
        </references>
      </pivotArea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ADC84B-6655-4E24-9FB6-81460220252C}" name="Table4" displayName="Table4" ref="B3:M1278" totalsRowShown="0" headerRowDxfId="163" dataDxfId="162">
  <autoFilter ref="B3:M1278" xr:uid="{54ADC84B-6655-4E24-9FB6-81460220252C}"/>
  <tableColumns count="12">
    <tableColumn id="1" xr3:uid="{870470BD-FC1D-4C52-80EB-DB0145F5CD63}" name="№" dataDxfId="161" totalsRowDxfId="160">
      <calculatedColumnFormula>ROW()-3</calculatedColumnFormula>
    </tableColumn>
    <tableColumn id="10" xr3:uid="{D2F6322C-5316-4AA4-91F3-425207B9BC11}" name="Tarix" dataDxfId="159" totalsRowDxfId="158"/>
    <tableColumn id="2" xr3:uid="{C8763D7C-91AA-491A-94B2-1E89D21F783A}" name="Malın adı" dataDxfId="157" totalsRowDxfId="156">
      <calculatedColumnFormula array="1">_xlfn.XLOOKUP(Table4[[#This Row],[Malın kodu]],Table1[[#All],[Malın kodu]],Table1[[#All],[Malın adı]],"xəta",0)</calculatedColumnFormula>
    </tableColumn>
    <tableColumn id="3" xr3:uid="{F9E4714D-9D48-4B4E-BF6F-3452AE9C06AE}" name="Malın kodu" dataDxfId="155" totalsRowDxfId="154"/>
    <tableColumn id="13" xr3:uid="{3CD61CE7-BA5A-47B0-966C-1FC0DCFD0145}" name="Ölçü vahidi" dataDxfId="153" totalsRowDxfId="152"/>
    <tableColumn id="4" xr3:uid="{4E7FFD2C-3392-4193-AB01-3943E84E2DE2}" name="Malın miqdarı" dataDxfId="151" totalsRowDxfId="150"/>
    <tableColumn id="5" xr3:uid="{F752D760-F9E0-4151-A007-BC1A64DE2AAF}" name="Vahidin qiyməti" dataDxfId="149" totalsRowDxfId="148"/>
    <tableColumn id="6" xr3:uid="{E910BF66-8553-4975-B765-3160BB043FC6}" name="Ümumi məbləğ" dataDxfId="147" totalsRowDxfId="146">
      <calculatedColumnFormula>Table4[[#This Row],[Malın miqdarı]]*Table4[[#This Row],[Vahidin qiyməti]]</calculatedColumnFormula>
    </tableColumn>
    <tableColumn id="7" xr3:uid="{D8984E53-BB13-4DB2-9700-F81F4DEDE334}" name="Alınma üsulu" dataDxfId="145" totalsRowDxfId="144"/>
    <tableColumn id="8" xr3:uid="{20913012-960D-4B59-A7BA-1C9829F7767F}" name="Kontragentin adı" dataDxfId="143" totalsRowDxfId="142"/>
    <tableColumn id="9" xr3:uid="{2B922016-1CFB-4589-A5DD-E627EB3D2E95}" name="Müqavilə nömrəsi" dataDxfId="141" totalsRowDxfId="140">
      <calculatedColumnFormula>_xlfn.XLOOKUP(Table4[[#This Row],[Kontragentin adı]],Table2[Kontragentin adı],Table2[Müqavilə nömrəsi],"Xəta",0)</calculatedColumnFormula>
    </tableColumn>
    <tableColumn id="11" xr3:uid="{093E9F3B-DCF5-4AF0-AA21-8097F06AE7B0}" name="Qaimə №" dataDxfId="139" totalsRowDxfId="138">
      <calculatedColumnFormula>_xlfn.XLOOKUP(Table4[[#This Row],[Kontragentin adı]],Table2[Kontragentin adı],Table2[Müqavilə nömrəsi],"Xəta",0)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C971C9-5B5B-4328-B73D-1EBE5AD9A63D}" name="Table7" displayName="Table7" ref="B3:I1181" totalsRowShown="0" headerRowDxfId="104" dataDxfId="103">
  <autoFilter ref="B3:I1181" xr:uid="{26C971C9-5B5B-4328-B73D-1EBE5AD9A63D}"/>
  <tableColumns count="8">
    <tableColumn id="1" xr3:uid="{A7F97A35-3877-4BAE-835D-A0CFC97117FA}" name="№" dataDxfId="102">
      <calculatedColumnFormula>ROW()-3</calculatedColumnFormula>
    </tableColumn>
    <tableColumn id="10" xr3:uid="{BCE9C6C2-EFB1-44AA-A462-76A68C63273B}" name="Tarix" dataDxfId="101"/>
    <tableColumn id="7" xr3:uid="{CAD4D3D6-F859-42E0-8DF5-93896DE08C3C}" name="Malın kodu" dataDxfId="100"/>
    <tableColumn id="2" xr3:uid="{A4D18FBD-9963-45CD-BD0D-0EA864A1B7AA}" name="Malın adı" dataDxfId="99">
      <calculatedColumnFormula>_xlfn.XLOOKUP(Table7[[#This Row],[Malın kodu]],Table4[Malın kodu],Table4[Malın adı],"Xəta",0)</calculatedColumnFormula>
    </tableColumn>
    <tableColumn id="3" xr3:uid="{5FFDD3A1-EE00-4777-AB4E-0AD356ADC471}" name="Giriş miqdarı" dataDxfId="98"/>
    <tableColumn id="8" xr3:uid="{D9C662B0-1680-4DB3-AE26-9195CA72501A}" name="Çıxış miqdarı" dataDxfId="97"/>
    <tableColumn id="5" xr3:uid="{19B46CE9-98C2-4893-9881-AA9D68D307EF}" name="Növü" dataDxfId="96"/>
    <tableColumn id="6" xr3:uid="{6FECA4A8-53E9-4337-B34E-81EE6A8F5AB1}" name="Kontragentin / Layihənin adı" dataDxfId="95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753BD3-2864-462D-A392-7B0B0B4766B4}" name="Table_Yasamal" displayName="Table_Yasamal" ref="B3:I4" totalsRowShown="0" headerRowDxfId="94" dataDxfId="93">
  <autoFilter ref="B3:I4" xr:uid="{26C971C9-5B5B-4328-B73D-1EBE5AD9A63D}"/>
  <tableColumns count="8">
    <tableColumn id="1" xr3:uid="{B8DE8399-D388-4EB5-9390-8EF5B1433155}" name="№" dataDxfId="92">
      <calculatedColumnFormula>ROW()-3</calculatedColumnFormula>
    </tableColumn>
    <tableColumn id="10" xr3:uid="{BBE144CA-4A9E-43AA-8ED0-0DA35F876B0E}" name="Tarix" dataDxfId="91"/>
    <tableColumn id="7" xr3:uid="{9F166F4D-B460-4391-95C2-0B8126BC3F24}" name="Malın kodu" dataDxfId="90"/>
    <tableColumn id="2" xr3:uid="{CC4BB5F8-76AF-490E-A0D0-CB6FFA6F1D4F}" name="Malın adı" dataDxfId="89">
      <calculatedColumnFormula>_xlfn.XLOOKUP(Table_Yasamal[[#This Row],[Malın kodu]],Table4[Malın kodu],Table4[Malın adı],"Xəta",0)</calculatedColumnFormula>
    </tableColumn>
    <tableColumn id="3" xr3:uid="{8F5AF1FF-5D8B-4D64-B819-FC897C6BEBCD}" name="Giriş miqdarı" dataDxfId="88"/>
    <tableColumn id="8" xr3:uid="{9340C329-8EEF-4F44-AD15-2A4DA7F48962}" name="Çıxış miqdarı" dataDxfId="87"/>
    <tableColumn id="5" xr3:uid="{932DFD0A-3859-4C2E-A8B5-77152E9A8D3B}" name="Növü" dataDxfId="86"/>
    <tableColumn id="6" xr3:uid="{64A79E3E-0419-4739-A1B5-D52DDC224B57}" name="Kontragentin / Layihənin adı" dataDxfId="85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B38F0E-7669-4987-863C-BA0346E831DE}" name="Table79" displayName="Table79" ref="B3:I45" totalsRowShown="0" headerRowDxfId="84" dataDxfId="83">
  <autoFilter ref="B3:I45" xr:uid="{90B38F0E-7669-4987-863C-BA0346E831DE}"/>
  <tableColumns count="8">
    <tableColumn id="1" xr3:uid="{0548A6A9-2200-4C0C-B7BB-9B13C5D0AF3D}" name="№" dataDxfId="82">
      <calculatedColumnFormula>ROW()-3</calculatedColumnFormula>
    </tableColumn>
    <tableColumn id="10" xr3:uid="{845A1EFE-2AA0-43E3-9136-A6A43A7C7248}" name="Tarix" dataDxfId="81"/>
    <tableColumn id="7" xr3:uid="{73312DE9-41C5-4948-9D80-11B902E84A92}" name="Malın kodu" dataDxfId="80"/>
    <tableColumn id="2" xr3:uid="{1C589778-2466-418F-8C4A-487BB3F441FE}" name="Malın adı" dataDxfId="79">
      <calculatedColumnFormula>_xlfn.XLOOKUP(Table79[[#This Row],[Malın kodu]],Filtrasiya!E:E,Filtrasiya!D:D,"xəta",0)</calculatedColumnFormula>
    </tableColumn>
    <tableColumn id="3" xr3:uid="{D0D5E8AB-560A-4965-8ABE-2297345F732B}" name="Giriş miqdarı" dataDxfId="78"/>
    <tableColumn id="8" xr3:uid="{9786E555-FE86-4691-86E2-5346F637DD80}" name="Çıxış miqdarı" dataDxfId="77"/>
    <tableColumn id="5" xr3:uid="{0D693D5C-C02A-4B6F-9F90-7F146F916A81}" name="Növü" dataDxfId="76"/>
    <tableColumn id="6" xr3:uid="{2AD31CE1-33F0-41A1-8FC9-A1762CC18420}" name="Kontragentin / Layihənin adı" dataDxfId="75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383722-360E-4D5E-B483-A26F3858C5BB}" name="Table_Ofis" displayName="Table_Ofis" ref="B3:I4" totalsRowShown="0" headerRowDxfId="183" dataDxfId="182">
  <autoFilter ref="B3:I4" xr:uid="{90B38F0E-7669-4987-863C-BA0346E831DE}"/>
  <tableColumns count="8">
    <tableColumn id="1" xr3:uid="{288CD07D-D0E9-4957-9C3E-5564BF5F5F88}" name="№" dataDxfId="181">
      <calculatedColumnFormula>ROW()-3</calculatedColumnFormula>
    </tableColumn>
    <tableColumn id="10" xr3:uid="{0E562F70-2939-4A37-8336-2DE5C8B0D4CE}" name="Tarix" dataDxfId="180"/>
    <tableColumn id="7" xr3:uid="{4A9DF3EF-90A5-4F48-8EAF-0E971F406A6C}" name="Malın kodu" dataDxfId="179"/>
    <tableColumn id="2" xr3:uid="{CE518FB9-5E92-4A37-BC7A-923EF4F02D48}" name="Malın adı" dataDxfId="178">
      <calculatedColumnFormula>_xlfn.XLOOKUP(Table_Ofis[[#This Row],[Malın kodu]],Filtrasiya!E:E,Filtrasiya!D:D,"xəta",0)</calculatedColumnFormula>
    </tableColumn>
    <tableColumn id="3" xr3:uid="{ED4F4B88-6EB4-47ED-909E-EA9B0D9A18A3}" name="Giriş miqdarı" dataDxfId="177"/>
    <tableColumn id="8" xr3:uid="{1F513358-8691-41D1-B6EF-07E107C6B32C}" name="Çıxış miqdarı" dataDxfId="176"/>
    <tableColumn id="5" xr3:uid="{C64930BF-2D6F-4071-BD1E-1FFFCED7AF69}" name="Növü" dataDxfId="175"/>
    <tableColumn id="6" xr3:uid="{696764CA-4F8C-4247-8582-24DB1ACC101A}" name="Kontragentin / Layihənin adı" dataDxfId="174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2091B9C-7AE4-47DF-8C22-BF9E793C063B}" name="Table7912" displayName="Table7912" ref="B3:I259" totalsRowShown="0" headerRowDxfId="74" dataDxfId="73">
  <autoFilter ref="B3:I259" xr:uid="{62091B9C-7AE4-47DF-8C22-BF9E793C063B}"/>
  <tableColumns count="8">
    <tableColumn id="1" xr3:uid="{F38AF7F4-C175-433F-807E-F5EC3F9E69A2}" name="№" dataDxfId="72">
      <calculatedColumnFormula>ROW()-3</calculatedColumnFormula>
    </tableColumn>
    <tableColumn id="10" xr3:uid="{FC292781-DEC9-4BB0-950F-BE920F347A95}" name="Tarix" dataDxfId="71"/>
    <tableColumn id="7" xr3:uid="{AF3FC1C8-25A5-4F66-B8BD-E7127F2231A4}" name="Malın kodu" dataDxfId="70"/>
    <tableColumn id="2" xr3:uid="{D4F2B6EA-ECC7-437E-A467-7C6B6BD7090B}" name="Malın adı" dataDxfId="69">
      <calculatedColumnFormula>_xlfn.XLOOKUP(Table7912[[#This Row],[Malın kodu]],Filtrasiya!E:E,Filtrasiya!D:D,"xəta",0)</calculatedColumnFormula>
    </tableColumn>
    <tableColumn id="3" xr3:uid="{5EACEB43-3052-4E0D-9293-78C1D403D1AB}" name="Giriş miqdarı" dataDxfId="68"/>
    <tableColumn id="8" xr3:uid="{B8E1CDD8-AF46-436E-A178-30EAB68265B9}" name="Çıxış miqdarı" dataDxfId="67"/>
    <tableColumn id="5" xr3:uid="{2ADF5CD1-3A40-45FB-B3F6-FD32EE45288B}" name="Növü" dataDxfId="66"/>
    <tableColumn id="6" xr3:uid="{AEF2E5FE-2DAB-4A35-AAB3-9188902D3D46}" name="Kontragentin / Layihənin adı" dataDxfId="65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55C1A-69EE-4C60-9131-68896023D4D8}" name="Table1" displayName="Table1" ref="B2:E1233" totalsRowShown="0" headerRowDxfId="64" dataDxfId="63">
  <autoFilter ref="B2:E1233" xr:uid="{06C55C1A-69EE-4C60-9131-68896023D4D8}"/>
  <tableColumns count="4">
    <tableColumn id="1" xr3:uid="{8904E774-E741-4EC3-88F6-937BA15F84FC}" name="№" dataDxfId="62">
      <calculatedColumnFormula>ROW()-2</calculatedColumnFormula>
    </tableColumn>
    <tableColumn id="2" xr3:uid="{3080F2A1-CC40-43B8-B292-74C45CC89DF0}" name="Malın adı" dataDxfId="61"/>
    <tableColumn id="3" xr3:uid="{529C6FE6-9A9C-4852-B693-3D7E6A998063}" name="Malın kodu" dataDxfId="60">
      <calculatedColumnFormula>TEXT(ROW()-2,"0000000")</calculatedColumnFormula>
    </tableColumn>
    <tableColumn id="6" xr3:uid="{6AC5479D-392C-4428-B35D-FA4707A432A8}" name="Təkrarlanma" dataDxfId="59">
      <calculatedColumnFormula>COUNTIF(Table1[Malın adı],Table1[[#This Row],[Malın adı]])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F6DD07-3ACA-4296-8DF5-1586D590313C}" name="Table2" displayName="Table2" ref="B2:G22" totalsRowShown="0" headerRowDxfId="58" dataDxfId="57">
  <autoFilter ref="B2:G22" xr:uid="{1CF6DD07-3ACA-4296-8DF5-1586D590313C}"/>
  <tableColumns count="6">
    <tableColumn id="1" xr3:uid="{EE1C2A1B-3B0C-48FE-9331-CE7B07DB3F4E}" name="№" dataDxfId="56">
      <calculatedColumnFormula>ROW()-2</calculatedColumnFormula>
    </tableColumn>
    <tableColumn id="2" xr3:uid="{296ABEFC-A253-4846-BB4D-B625748FFE2B}" name="VÖEN" dataDxfId="55"/>
    <tableColumn id="3" xr3:uid="{E08946E9-AF80-4DBE-80B6-B2AC37647E53}" name="Kontragentin adı" dataDxfId="54"/>
    <tableColumn id="6" xr3:uid="{F4808402-90CB-4FA9-A8AF-560DA8270159}" name="Qaimə nömrəsi" dataDxfId="53"/>
    <tableColumn id="4" xr3:uid="{4E9CC279-80D8-4943-B3E2-EDDBC0E6BD94}" name="Müqavilə nömrəsi" dataDxfId="52"/>
    <tableColumn id="5" xr3:uid="{1B4CDD80-9CEA-4294-9CCF-0204250E318D}" name="Müqavilə tarixi" dataDxfId="51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64B575-ACCA-467F-8301-8185E6559F96}" name="Table6" displayName="Table6" ref="B2:C9" totalsRowShown="0" headerRowDxfId="50" dataDxfId="49">
  <autoFilter ref="B2:C9" xr:uid="{FA64B575-ACCA-467F-8301-8185E6559F96}"/>
  <tableColumns count="2">
    <tableColumn id="1" xr3:uid="{371D4CDA-CA47-466A-AB2F-BA5C2F616F3F}" name="№" dataDxfId="48">
      <calculatedColumnFormula>ROW()-2</calculatedColumnFormula>
    </tableColumn>
    <tableColumn id="2" xr3:uid="{3D672A4A-01C0-4543-9D67-C22D5FB3FA89}" name="Anbar / Şirkət" dataDxfId="4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5AA229-BFF6-4BBB-AA08-C3B325E1056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1f6a82e-787c-4048-a235-d7cee3c8878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B34B-0D8A-487B-BFB3-86A0DEE9A29E}">
  <sheetPr>
    <tabColor rgb="FF002060"/>
  </sheetPr>
  <dimension ref="A1:U1934"/>
  <sheetViews>
    <sheetView workbookViewId="0">
      <selection activeCell="A19" sqref="A19"/>
    </sheetView>
  </sheetViews>
  <sheetFormatPr defaultRowHeight="15" x14ac:dyDescent="0.25"/>
  <cols>
    <col min="1" max="1" width="28.44140625" style="3" customWidth="1"/>
    <col min="2" max="2" width="42.6640625" style="3" customWidth="1"/>
    <col min="3" max="3" width="19.88671875" style="3" bestFit="1" customWidth="1"/>
    <col min="4" max="4" width="18.44140625" style="3" bestFit="1" customWidth="1"/>
    <col min="5" max="5" width="23.33203125" style="3" customWidth="1"/>
    <col min="6" max="6" width="15.109375" style="3" bestFit="1" customWidth="1"/>
    <col min="7" max="7" width="22.6640625" style="3" customWidth="1"/>
    <col min="8" max="8" width="28.88671875" style="3" bestFit="1" customWidth="1"/>
    <col min="9" max="9" width="11.5546875" style="3" bestFit="1" customWidth="1"/>
    <col min="10" max="16384" width="8.88671875" style="3"/>
  </cols>
  <sheetData>
    <row r="1" spans="1:21" s="2" customFormat="1" ht="15.6" x14ac:dyDescent="0.3">
      <c r="A1" s="14"/>
      <c r="B1" s="16"/>
      <c r="C1" s="16"/>
      <c r="D1" s="15" t="s">
        <v>1917</v>
      </c>
      <c r="E1" s="22" t="s">
        <v>1922</v>
      </c>
      <c r="F1" s="16"/>
      <c r="G1" s="16"/>
      <c r="H1" s="16"/>
      <c r="I1" s="21"/>
      <c r="J1"/>
      <c r="K1"/>
      <c r="L1"/>
      <c r="M1"/>
      <c r="N1"/>
      <c r="O1"/>
      <c r="P1"/>
      <c r="Q1"/>
      <c r="R1"/>
      <c r="S1"/>
      <c r="T1"/>
      <c r="U1"/>
    </row>
    <row r="2" spans="1:21" ht="15.6" x14ac:dyDescent="0.3">
      <c r="A2" s="17"/>
      <c r="B2" s="18"/>
      <c r="C2" s="18"/>
      <c r="D2" s="47" t="s">
        <v>915</v>
      </c>
      <c r="E2" s="49" t="s">
        <v>915</v>
      </c>
      <c r="F2" s="47" t="s">
        <v>914</v>
      </c>
      <c r="G2" s="49" t="s">
        <v>914</v>
      </c>
      <c r="H2" s="47" t="s">
        <v>1919</v>
      </c>
      <c r="I2" s="50" t="s">
        <v>1919</v>
      </c>
      <c r="J2"/>
      <c r="K2"/>
      <c r="L2"/>
      <c r="M2"/>
      <c r="N2"/>
      <c r="O2"/>
      <c r="P2"/>
      <c r="Q2"/>
      <c r="R2"/>
      <c r="S2"/>
      <c r="T2"/>
      <c r="U2"/>
    </row>
    <row r="3" spans="1:21" ht="15.6" x14ac:dyDescent="0.3">
      <c r="A3" s="15" t="s">
        <v>2</v>
      </c>
      <c r="B3" s="15" t="s">
        <v>1</v>
      </c>
      <c r="C3" s="15" t="s">
        <v>906</v>
      </c>
      <c r="D3" s="19" t="s">
        <v>1920</v>
      </c>
      <c r="E3" s="24" t="s">
        <v>1921</v>
      </c>
      <c r="F3" s="19" t="s">
        <v>1920</v>
      </c>
      <c r="G3" s="24" t="s">
        <v>1921</v>
      </c>
      <c r="H3" s="19" t="s">
        <v>1920</v>
      </c>
      <c r="I3" s="20" t="s">
        <v>1921</v>
      </c>
      <c r="J3"/>
      <c r="K3"/>
      <c r="L3"/>
      <c r="M3"/>
      <c r="N3"/>
      <c r="O3"/>
      <c r="P3"/>
      <c r="Q3"/>
      <c r="R3"/>
      <c r="S3"/>
      <c r="T3"/>
      <c r="U3"/>
    </row>
    <row r="4" spans="1:21" ht="15.6" x14ac:dyDescent="0.3">
      <c r="A4" s="19" t="s">
        <v>930</v>
      </c>
      <c r="B4" s="19" t="s">
        <v>4</v>
      </c>
      <c r="C4" s="19" t="s">
        <v>1918</v>
      </c>
      <c r="D4" s="53"/>
      <c r="E4" s="54"/>
      <c r="F4" s="53">
        <v>1</v>
      </c>
      <c r="G4" s="54">
        <v>0</v>
      </c>
      <c r="H4" s="53"/>
      <c r="I4" s="55"/>
      <c r="J4"/>
      <c r="K4"/>
      <c r="L4"/>
      <c r="M4"/>
      <c r="N4"/>
      <c r="O4"/>
      <c r="P4"/>
      <c r="Q4"/>
      <c r="R4"/>
      <c r="S4"/>
      <c r="T4"/>
      <c r="U4"/>
    </row>
    <row r="5" spans="1:21" ht="15.6" x14ac:dyDescent="0.3">
      <c r="A5" s="19" t="s">
        <v>931</v>
      </c>
      <c r="B5" s="19" t="s">
        <v>5</v>
      </c>
      <c r="C5" s="19" t="s">
        <v>1918</v>
      </c>
      <c r="D5" s="53"/>
      <c r="E5" s="54"/>
      <c r="F5" s="53">
        <v>1</v>
      </c>
      <c r="G5" s="54">
        <v>0</v>
      </c>
      <c r="H5" s="53"/>
      <c r="I5" s="55"/>
      <c r="J5"/>
      <c r="K5"/>
      <c r="L5"/>
      <c r="M5"/>
      <c r="N5"/>
      <c r="O5"/>
      <c r="P5"/>
      <c r="Q5"/>
      <c r="R5"/>
      <c r="S5"/>
      <c r="T5"/>
      <c r="U5"/>
    </row>
    <row r="6" spans="1:21" ht="28.8" x14ac:dyDescent="0.3">
      <c r="A6" s="19" t="s">
        <v>932</v>
      </c>
      <c r="B6" s="19" t="s">
        <v>6</v>
      </c>
      <c r="C6" s="19" t="s">
        <v>1918</v>
      </c>
      <c r="D6" s="53"/>
      <c r="E6" s="54"/>
      <c r="F6" s="53">
        <v>17</v>
      </c>
      <c r="G6" s="54">
        <v>0</v>
      </c>
      <c r="H6" s="53"/>
      <c r="I6" s="55"/>
      <c r="J6"/>
      <c r="K6"/>
      <c r="L6"/>
      <c r="M6"/>
      <c r="N6"/>
      <c r="O6"/>
      <c r="P6"/>
      <c r="Q6"/>
    </row>
    <row r="7" spans="1:21" ht="28.8" x14ac:dyDescent="0.3">
      <c r="A7" s="19" t="s">
        <v>933</v>
      </c>
      <c r="B7" s="19" t="s">
        <v>7</v>
      </c>
      <c r="C7" s="19" t="s">
        <v>1918</v>
      </c>
      <c r="D7" s="53"/>
      <c r="E7" s="54"/>
      <c r="F7" s="53">
        <v>1</v>
      </c>
      <c r="G7" s="54">
        <v>0</v>
      </c>
      <c r="H7" s="53"/>
      <c r="I7" s="55"/>
      <c r="J7"/>
      <c r="K7"/>
      <c r="L7"/>
      <c r="M7"/>
      <c r="N7"/>
      <c r="O7"/>
      <c r="P7"/>
      <c r="Q7"/>
    </row>
    <row r="8" spans="1:21" ht="15.6" x14ac:dyDescent="0.3">
      <c r="A8" s="19" t="s">
        <v>934</v>
      </c>
      <c r="B8" s="19" t="s">
        <v>2455</v>
      </c>
      <c r="C8" s="19" t="s">
        <v>1918</v>
      </c>
      <c r="D8" s="53"/>
      <c r="E8" s="54"/>
      <c r="F8" s="53">
        <v>1</v>
      </c>
      <c r="G8" s="54">
        <v>0</v>
      </c>
      <c r="H8" s="53"/>
      <c r="I8" s="55"/>
      <c r="J8"/>
      <c r="K8"/>
      <c r="L8"/>
      <c r="M8"/>
      <c r="N8"/>
      <c r="O8"/>
      <c r="P8"/>
      <c r="Q8"/>
    </row>
    <row r="9" spans="1:21" ht="15.6" x14ac:dyDescent="0.3">
      <c r="A9" s="19" t="s">
        <v>935</v>
      </c>
      <c r="B9" s="19" t="s">
        <v>8</v>
      </c>
      <c r="C9" s="19" t="s">
        <v>1918</v>
      </c>
      <c r="D9" s="53"/>
      <c r="E9" s="54"/>
      <c r="F9" s="53">
        <v>6</v>
      </c>
      <c r="G9" s="54">
        <v>0</v>
      </c>
      <c r="H9" s="53"/>
      <c r="I9" s="55"/>
      <c r="J9"/>
      <c r="K9"/>
      <c r="L9"/>
      <c r="M9"/>
      <c r="N9"/>
      <c r="O9"/>
      <c r="P9"/>
      <c r="Q9"/>
    </row>
    <row r="10" spans="1:21" ht="15.6" x14ac:dyDescent="0.3">
      <c r="A10" s="19" t="s">
        <v>936</v>
      </c>
      <c r="B10" s="19" t="s">
        <v>9</v>
      </c>
      <c r="C10" s="19" t="s">
        <v>1918</v>
      </c>
      <c r="D10" s="53"/>
      <c r="E10" s="54"/>
      <c r="F10" s="53">
        <v>1</v>
      </c>
      <c r="G10" s="54">
        <v>0</v>
      </c>
      <c r="H10" s="53"/>
      <c r="I10" s="55"/>
      <c r="J10"/>
      <c r="K10"/>
      <c r="L10"/>
      <c r="M10"/>
      <c r="N10"/>
      <c r="O10"/>
      <c r="P10"/>
      <c r="Q10"/>
    </row>
    <row r="11" spans="1:21" ht="28.8" x14ac:dyDescent="0.3">
      <c r="A11" s="19" t="s">
        <v>937</v>
      </c>
      <c r="B11" s="19" t="s">
        <v>10</v>
      </c>
      <c r="C11" s="19" t="s">
        <v>1918</v>
      </c>
      <c r="D11" s="53"/>
      <c r="E11" s="54"/>
      <c r="F11" s="53">
        <v>12</v>
      </c>
      <c r="G11" s="54">
        <v>0</v>
      </c>
      <c r="H11" s="53"/>
      <c r="I11" s="55"/>
      <c r="J11"/>
      <c r="K11"/>
      <c r="L11"/>
      <c r="M11"/>
      <c r="N11"/>
      <c r="O11"/>
      <c r="P11"/>
      <c r="Q11"/>
    </row>
    <row r="12" spans="1:21" ht="15.6" x14ac:dyDescent="0.3">
      <c r="A12" s="19" t="s">
        <v>938</v>
      </c>
      <c r="B12" s="19" t="s">
        <v>2456</v>
      </c>
      <c r="C12" s="19" t="s">
        <v>1918</v>
      </c>
      <c r="D12" s="53"/>
      <c r="E12" s="54"/>
      <c r="F12" s="53">
        <v>1</v>
      </c>
      <c r="G12" s="54">
        <v>0</v>
      </c>
      <c r="H12" s="53"/>
      <c r="I12" s="55"/>
      <c r="J12"/>
      <c r="K12"/>
      <c r="L12"/>
      <c r="M12"/>
      <c r="N12"/>
      <c r="O12"/>
      <c r="P12"/>
      <c r="Q12"/>
    </row>
    <row r="13" spans="1:21" ht="15.6" x14ac:dyDescent="0.3">
      <c r="A13" s="19" t="s">
        <v>939</v>
      </c>
      <c r="B13" s="19" t="s">
        <v>11</v>
      </c>
      <c r="C13" s="19" t="s">
        <v>1918</v>
      </c>
      <c r="D13" s="53"/>
      <c r="E13" s="54"/>
      <c r="F13" s="53">
        <v>1</v>
      </c>
      <c r="G13" s="54">
        <v>0</v>
      </c>
      <c r="H13" s="53"/>
      <c r="I13" s="55"/>
      <c r="J13"/>
      <c r="K13"/>
      <c r="L13"/>
      <c r="M13"/>
      <c r="N13"/>
      <c r="O13"/>
      <c r="P13"/>
      <c r="Q13"/>
    </row>
    <row r="14" spans="1:21" ht="28.8" x14ac:dyDescent="0.3">
      <c r="A14" s="19" t="s">
        <v>940</v>
      </c>
      <c r="B14" s="19" t="s">
        <v>12</v>
      </c>
      <c r="C14" s="19" t="s">
        <v>1918</v>
      </c>
      <c r="D14" s="53"/>
      <c r="E14" s="54"/>
      <c r="F14" s="53">
        <v>2</v>
      </c>
      <c r="G14" s="54">
        <v>0</v>
      </c>
      <c r="H14" s="53"/>
      <c r="I14" s="55"/>
      <c r="J14"/>
      <c r="K14"/>
      <c r="L14"/>
      <c r="M14"/>
      <c r="N14"/>
      <c r="O14"/>
      <c r="P14"/>
      <c r="Q14"/>
    </row>
    <row r="15" spans="1:21" ht="15.6" x14ac:dyDescent="0.3">
      <c r="A15" s="19" t="s">
        <v>941</v>
      </c>
      <c r="B15" s="19" t="s">
        <v>13</v>
      </c>
      <c r="C15" s="19" t="s">
        <v>1918</v>
      </c>
      <c r="D15" s="53"/>
      <c r="E15" s="54"/>
      <c r="F15" s="53">
        <v>1</v>
      </c>
      <c r="G15" s="54">
        <v>0</v>
      </c>
      <c r="H15" s="53"/>
      <c r="I15" s="55"/>
      <c r="J15"/>
      <c r="K15"/>
      <c r="L15"/>
      <c r="M15"/>
      <c r="N15"/>
      <c r="O15"/>
      <c r="P15"/>
      <c r="Q15"/>
    </row>
    <row r="16" spans="1:21" ht="15.6" x14ac:dyDescent="0.3">
      <c r="A16" s="19" t="s">
        <v>942</v>
      </c>
      <c r="B16" s="19" t="s">
        <v>14</v>
      </c>
      <c r="C16" s="19" t="s">
        <v>1918</v>
      </c>
      <c r="D16" s="53"/>
      <c r="E16" s="54"/>
      <c r="F16" s="53">
        <v>6</v>
      </c>
      <c r="G16" s="54">
        <v>0</v>
      </c>
      <c r="H16" s="53"/>
      <c r="I16" s="55"/>
      <c r="J16"/>
      <c r="K16"/>
      <c r="L16"/>
      <c r="M16"/>
      <c r="N16"/>
      <c r="O16"/>
      <c r="P16"/>
      <c r="Q16"/>
    </row>
    <row r="17" spans="1:17" ht="15.6" x14ac:dyDescent="0.3">
      <c r="A17" s="19" t="s">
        <v>943</v>
      </c>
      <c r="B17" s="19" t="s">
        <v>15</v>
      </c>
      <c r="C17" s="19" t="s">
        <v>1918</v>
      </c>
      <c r="D17" s="53"/>
      <c r="E17" s="54"/>
      <c r="F17" s="53">
        <v>2</v>
      </c>
      <c r="G17" s="54">
        <v>0</v>
      </c>
      <c r="H17" s="53"/>
      <c r="I17" s="55"/>
      <c r="J17"/>
      <c r="K17"/>
      <c r="L17"/>
      <c r="M17"/>
      <c r="N17"/>
      <c r="O17"/>
      <c r="P17"/>
      <c r="Q17"/>
    </row>
    <row r="18" spans="1:17" ht="15.6" x14ac:dyDescent="0.3">
      <c r="A18" s="19" t="s">
        <v>944</v>
      </c>
      <c r="B18" s="19" t="s">
        <v>16</v>
      </c>
      <c r="C18" s="19" t="s">
        <v>1918</v>
      </c>
      <c r="D18" s="53"/>
      <c r="E18" s="54"/>
      <c r="F18" s="53">
        <v>7</v>
      </c>
      <c r="G18" s="54">
        <v>0</v>
      </c>
      <c r="H18" s="53"/>
      <c r="I18" s="55"/>
      <c r="J18"/>
      <c r="K18"/>
      <c r="L18"/>
      <c r="M18"/>
      <c r="N18"/>
      <c r="O18"/>
      <c r="P18"/>
      <c r="Q18"/>
    </row>
    <row r="19" spans="1:17" ht="15.6" x14ac:dyDescent="0.3">
      <c r="A19" s="19" t="s">
        <v>945</v>
      </c>
      <c r="B19" s="19" t="s">
        <v>17</v>
      </c>
      <c r="C19" s="19" t="s">
        <v>1918</v>
      </c>
      <c r="D19" s="53"/>
      <c r="E19" s="54"/>
      <c r="F19" s="53">
        <v>3</v>
      </c>
      <c r="G19" s="54">
        <v>0</v>
      </c>
      <c r="H19" s="53"/>
      <c r="I19" s="55"/>
      <c r="J19"/>
      <c r="K19"/>
      <c r="L19"/>
      <c r="M19"/>
      <c r="N19"/>
      <c r="O19"/>
      <c r="P19"/>
      <c r="Q19"/>
    </row>
    <row r="20" spans="1:17" ht="15.6" x14ac:dyDescent="0.3">
      <c r="A20" s="19" t="s">
        <v>946</v>
      </c>
      <c r="B20" s="19" t="s">
        <v>18</v>
      </c>
      <c r="C20" s="19" t="s">
        <v>1918</v>
      </c>
      <c r="D20" s="53"/>
      <c r="E20" s="54"/>
      <c r="F20" s="53">
        <v>1</v>
      </c>
      <c r="G20" s="54">
        <v>0</v>
      </c>
      <c r="H20" s="53"/>
      <c r="I20" s="55"/>
      <c r="J20"/>
      <c r="K20"/>
      <c r="L20"/>
      <c r="M20"/>
      <c r="N20"/>
      <c r="O20"/>
      <c r="P20"/>
      <c r="Q20"/>
    </row>
    <row r="21" spans="1:17" ht="15.6" x14ac:dyDescent="0.3">
      <c r="A21" s="19" t="s">
        <v>947</v>
      </c>
      <c r="B21" s="19" t="s">
        <v>19</v>
      </c>
      <c r="C21" s="19" t="s">
        <v>1918</v>
      </c>
      <c r="D21" s="53"/>
      <c r="E21" s="54"/>
      <c r="F21" s="53">
        <v>1</v>
      </c>
      <c r="G21" s="54">
        <v>0</v>
      </c>
      <c r="H21" s="53"/>
      <c r="I21" s="55"/>
      <c r="J21"/>
      <c r="K21"/>
      <c r="L21"/>
      <c r="M21"/>
      <c r="N21"/>
      <c r="O21"/>
      <c r="P21"/>
      <c r="Q21"/>
    </row>
    <row r="22" spans="1:17" ht="15.6" x14ac:dyDescent="0.3">
      <c r="A22" s="19" t="s">
        <v>948</v>
      </c>
      <c r="B22" s="19" t="s">
        <v>20</v>
      </c>
      <c r="C22" s="19" t="s">
        <v>1918</v>
      </c>
      <c r="D22" s="53"/>
      <c r="E22" s="54"/>
      <c r="F22" s="53">
        <v>1</v>
      </c>
      <c r="G22" s="54">
        <v>0</v>
      </c>
      <c r="H22" s="53"/>
      <c r="I22" s="55"/>
      <c r="J22"/>
      <c r="K22"/>
      <c r="L22"/>
      <c r="M22"/>
      <c r="N22"/>
      <c r="O22"/>
      <c r="P22"/>
      <c r="Q22"/>
    </row>
    <row r="23" spans="1:17" ht="15.6" x14ac:dyDescent="0.3">
      <c r="A23" s="19" t="s">
        <v>949</v>
      </c>
      <c r="B23" s="19" t="s">
        <v>21</v>
      </c>
      <c r="C23" s="19" t="s">
        <v>1918</v>
      </c>
      <c r="D23" s="53"/>
      <c r="E23" s="54"/>
      <c r="F23" s="53">
        <v>2</v>
      </c>
      <c r="G23" s="54">
        <v>0</v>
      </c>
      <c r="H23" s="53"/>
      <c r="I23" s="55"/>
      <c r="J23"/>
      <c r="K23"/>
      <c r="L23"/>
      <c r="M23"/>
      <c r="N23"/>
      <c r="O23"/>
      <c r="P23"/>
      <c r="Q23"/>
    </row>
    <row r="24" spans="1:17" ht="15.6" x14ac:dyDescent="0.3">
      <c r="A24" s="19" t="s">
        <v>950</v>
      </c>
      <c r="B24" s="19" t="s">
        <v>22</v>
      </c>
      <c r="C24" s="19" t="s">
        <v>1918</v>
      </c>
      <c r="D24" s="53"/>
      <c r="E24" s="54"/>
      <c r="F24" s="53">
        <v>3</v>
      </c>
      <c r="G24" s="54">
        <v>0</v>
      </c>
      <c r="H24" s="53"/>
      <c r="I24" s="55"/>
      <c r="J24"/>
      <c r="K24"/>
      <c r="L24"/>
      <c r="M24"/>
      <c r="N24"/>
      <c r="O24"/>
      <c r="P24"/>
      <c r="Q24"/>
    </row>
    <row r="25" spans="1:17" ht="28.8" x14ac:dyDescent="0.3">
      <c r="A25" s="19" t="s">
        <v>951</v>
      </c>
      <c r="B25" s="19" t="s">
        <v>23</v>
      </c>
      <c r="C25" s="19" t="s">
        <v>1918</v>
      </c>
      <c r="D25" s="53"/>
      <c r="E25" s="54"/>
      <c r="F25" s="53">
        <v>11</v>
      </c>
      <c r="G25" s="54">
        <v>0</v>
      </c>
      <c r="H25" s="53"/>
      <c r="I25" s="55"/>
      <c r="J25"/>
      <c r="K25"/>
      <c r="L25"/>
      <c r="M25"/>
      <c r="N25"/>
      <c r="O25"/>
      <c r="P25"/>
      <c r="Q25"/>
    </row>
    <row r="26" spans="1:17" ht="28.8" x14ac:dyDescent="0.3">
      <c r="A26" s="19" t="s">
        <v>952</v>
      </c>
      <c r="B26" s="19" t="s">
        <v>24</v>
      </c>
      <c r="C26" s="19" t="s">
        <v>1918</v>
      </c>
      <c r="D26" s="53"/>
      <c r="E26" s="54"/>
      <c r="F26" s="53">
        <v>2</v>
      </c>
      <c r="G26" s="54">
        <v>0</v>
      </c>
      <c r="H26" s="53"/>
      <c r="I26" s="55"/>
      <c r="J26"/>
      <c r="K26"/>
      <c r="L26"/>
      <c r="M26"/>
      <c r="N26"/>
      <c r="O26"/>
      <c r="P26"/>
      <c r="Q26"/>
    </row>
    <row r="27" spans="1:17" ht="28.8" x14ac:dyDescent="0.3">
      <c r="A27" s="19" t="s">
        <v>953</v>
      </c>
      <c r="B27" s="19" t="s">
        <v>25</v>
      </c>
      <c r="C27" s="19" t="s">
        <v>1918</v>
      </c>
      <c r="D27" s="53"/>
      <c r="E27" s="54"/>
      <c r="F27" s="53">
        <v>1</v>
      </c>
      <c r="G27" s="54">
        <v>0</v>
      </c>
      <c r="H27" s="53"/>
      <c r="I27" s="55"/>
      <c r="J27"/>
      <c r="K27"/>
      <c r="L27"/>
      <c r="M27"/>
      <c r="N27"/>
      <c r="O27"/>
      <c r="P27"/>
      <c r="Q27"/>
    </row>
    <row r="28" spans="1:17" ht="15.6" x14ac:dyDescent="0.3">
      <c r="A28" s="19" t="s">
        <v>954</v>
      </c>
      <c r="B28" s="19" t="s">
        <v>26</v>
      </c>
      <c r="C28" s="19" t="s">
        <v>1918</v>
      </c>
      <c r="D28" s="53"/>
      <c r="E28" s="54"/>
      <c r="F28" s="53">
        <v>1</v>
      </c>
      <c r="G28" s="54">
        <v>0</v>
      </c>
      <c r="H28" s="53"/>
      <c r="I28" s="55"/>
      <c r="J28"/>
      <c r="K28"/>
      <c r="L28"/>
      <c r="M28"/>
      <c r="N28"/>
      <c r="O28"/>
      <c r="P28"/>
      <c r="Q28"/>
    </row>
    <row r="29" spans="1:17" ht="28.8" x14ac:dyDescent="0.3">
      <c r="A29" s="19" t="s">
        <v>955</v>
      </c>
      <c r="B29" s="19" t="s">
        <v>27</v>
      </c>
      <c r="C29" s="19" t="s">
        <v>1918</v>
      </c>
      <c r="D29" s="53"/>
      <c r="E29" s="54"/>
      <c r="F29" s="53">
        <v>1</v>
      </c>
      <c r="G29" s="54">
        <v>0</v>
      </c>
      <c r="H29" s="53"/>
      <c r="I29" s="55"/>
      <c r="J29"/>
      <c r="K29"/>
      <c r="L29"/>
      <c r="M29"/>
      <c r="N29"/>
      <c r="O29"/>
      <c r="P29"/>
      <c r="Q29"/>
    </row>
    <row r="30" spans="1:17" ht="15.6" x14ac:dyDescent="0.3">
      <c r="A30" s="19" t="s">
        <v>956</v>
      </c>
      <c r="B30" s="19" t="s">
        <v>28</v>
      </c>
      <c r="C30" s="19" t="s">
        <v>1918</v>
      </c>
      <c r="D30" s="53"/>
      <c r="E30" s="54"/>
      <c r="F30" s="53">
        <v>2</v>
      </c>
      <c r="G30" s="54">
        <v>0</v>
      </c>
      <c r="H30" s="53"/>
      <c r="I30" s="55"/>
      <c r="J30"/>
      <c r="K30"/>
      <c r="L30"/>
      <c r="M30"/>
      <c r="N30"/>
      <c r="O30"/>
      <c r="P30"/>
      <c r="Q30"/>
    </row>
    <row r="31" spans="1:17" ht="15.6" x14ac:dyDescent="0.3">
      <c r="A31" s="19" t="s">
        <v>957</v>
      </c>
      <c r="B31" s="19" t="s">
        <v>29</v>
      </c>
      <c r="C31" s="19" t="s">
        <v>1918</v>
      </c>
      <c r="D31" s="53"/>
      <c r="E31" s="54"/>
      <c r="F31" s="53">
        <v>1</v>
      </c>
      <c r="G31" s="54">
        <v>0</v>
      </c>
      <c r="H31" s="53"/>
      <c r="I31" s="55"/>
      <c r="J31"/>
      <c r="K31"/>
      <c r="L31"/>
      <c r="M31"/>
      <c r="N31"/>
      <c r="O31"/>
      <c r="P31"/>
      <c r="Q31"/>
    </row>
    <row r="32" spans="1:17" ht="28.8" x14ac:dyDescent="0.3">
      <c r="A32" s="19" t="s">
        <v>958</v>
      </c>
      <c r="B32" s="19" t="s">
        <v>30</v>
      </c>
      <c r="C32" s="19" t="s">
        <v>1918</v>
      </c>
      <c r="D32" s="53"/>
      <c r="E32" s="54"/>
      <c r="F32" s="53">
        <v>1</v>
      </c>
      <c r="G32" s="54">
        <v>0</v>
      </c>
      <c r="H32" s="53"/>
      <c r="I32" s="55"/>
      <c r="J32"/>
      <c r="K32"/>
      <c r="L32"/>
      <c r="M32"/>
      <c r="N32"/>
      <c r="O32"/>
      <c r="P32"/>
      <c r="Q32"/>
    </row>
    <row r="33" spans="1:17" ht="15.6" x14ac:dyDescent="0.3">
      <c r="A33" s="19" t="s">
        <v>959</v>
      </c>
      <c r="B33" s="19" t="s">
        <v>31</v>
      </c>
      <c r="C33" s="19" t="s">
        <v>1918</v>
      </c>
      <c r="D33" s="53"/>
      <c r="E33" s="54"/>
      <c r="F33" s="53">
        <v>5</v>
      </c>
      <c r="G33" s="54">
        <v>0</v>
      </c>
      <c r="H33" s="53"/>
      <c r="I33" s="55"/>
      <c r="J33"/>
      <c r="K33"/>
      <c r="L33"/>
      <c r="M33"/>
      <c r="N33"/>
      <c r="O33"/>
      <c r="P33"/>
      <c r="Q33"/>
    </row>
    <row r="34" spans="1:17" ht="15.6" x14ac:dyDescent="0.3">
      <c r="A34" s="19" t="s">
        <v>960</v>
      </c>
      <c r="B34" s="19" t="s">
        <v>32</v>
      </c>
      <c r="C34" s="19" t="s">
        <v>1918</v>
      </c>
      <c r="D34" s="53"/>
      <c r="E34" s="54"/>
      <c r="F34" s="53">
        <v>1</v>
      </c>
      <c r="G34" s="54">
        <v>0</v>
      </c>
      <c r="H34" s="53"/>
      <c r="I34" s="55"/>
      <c r="J34"/>
      <c r="K34"/>
      <c r="L34"/>
      <c r="M34"/>
      <c r="N34"/>
      <c r="O34"/>
      <c r="P34"/>
      <c r="Q34"/>
    </row>
    <row r="35" spans="1:17" ht="28.8" x14ac:dyDescent="0.3">
      <c r="A35" s="19" t="s">
        <v>961</v>
      </c>
      <c r="B35" s="19" t="s">
        <v>33</v>
      </c>
      <c r="C35" s="19" t="s">
        <v>1918</v>
      </c>
      <c r="D35" s="53"/>
      <c r="E35" s="54"/>
      <c r="F35" s="53">
        <v>1</v>
      </c>
      <c r="G35" s="54">
        <v>0</v>
      </c>
      <c r="H35" s="53"/>
      <c r="I35" s="55"/>
      <c r="J35"/>
      <c r="K35"/>
      <c r="L35"/>
      <c r="M35"/>
      <c r="N35"/>
      <c r="O35"/>
      <c r="P35"/>
      <c r="Q35"/>
    </row>
    <row r="36" spans="1:17" ht="28.8" x14ac:dyDescent="0.3">
      <c r="A36" s="19" t="s">
        <v>962</v>
      </c>
      <c r="B36" s="19" t="s">
        <v>34</v>
      </c>
      <c r="C36" s="19" t="s">
        <v>1918</v>
      </c>
      <c r="D36" s="53"/>
      <c r="E36" s="54"/>
      <c r="F36" s="53">
        <v>3</v>
      </c>
      <c r="G36" s="54">
        <v>0</v>
      </c>
      <c r="H36" s="53"/>
      <c r="I36" s="55"/>
      <c r="J36"/>
      <c r="K36"/>
      <c r="L36"/>
      <c r="M36"/>
      <c r="N36"/>
      <c r="O36"/>
      <c r="P36"/>
      <c r="Q36"/>
    </row>
    <row r="37" spans="1:17" ht="28.8" x14ac:dyDescent="0.3">
      <c r="A37" s="19" t="s">
        <v>963</v>
      </c>
      <c r="B37" s="19" t="s">
        <v>35</v>
      </c>
      <c r="C37" s="19" t="s">
        <v>1918</v>
      </c>
      <c r="D37" s="53"/>
      <c r="E37" s="54"/>
      <c r="F37" s="53">
        <v>3</v>
      </c>
      <c r="G37" s="54">
        <v>0</v>
      </c>
      <c r="H37" s="53"/>
      <c r="I37" s="55"/>
      <c r="J37"/>
      <c r="K37"/>
      <c r="L37"/>
      <c r="M37"/>
      <c r="N37"/>
      <c r="O37"/>
      <c r="P37"/>
      <c r="Q37"/>
    </row>
    <row r="38" spans="1:17" ht="28.8" x14ac:dyDescent="0.3">
      <c r="A38" s="19" t="s">
        <v>964</v>
      </c>
      <c r="B38" s="19" t="s">
        <v>36</v>
      </c>
      <c r="C38" s="19" t="s">
        <v>1918</v>
      </c>
      <c r="D38" s="53"/>
      <c r="E38" s="54"/>
      <c r="F38" s="53">
        <v>2</v>
      </c>
      <c r="G38" s="54">
        <v>0</v>
      </c>
      <c r="H38" s="53"/>
      <c r="I38" s="55"/>
      <c r="J38"/>
      <c r="K38"/>
      <c r="L38"/>
      <c r="M38"/>
      <c r="N38"/>
      <c r="O38"/>
      <c r="P38"/>
      <c r="Q38"/>
    </row>
    <row r="39" spans="1:17" ht="28.8" x14ac:dyDescent="0.3">
      <c r="A39" s="19" t="s">
        <v>965</v>
      </c>
      <c r="B39" s="19" t="s">
        <v>37</v>
      </c>
      <c r="C39" s="19" t="s">
        <v>1918</v>
      </c>
      <c r="D39" s="53"/>
      <c r="E39" s="54"/>
      <c r="F39" s="53">
        <v>6</v>
      </c>
      <c r="G39" s="54">
        <v>0</v>
      </c>
      <c r="H39" s="53"/>
      <c r="I39" s="55"/>
      <c r="J39"/>
      <c r="K39"/>
      <c r="L39"/>
      <c r="M39"/>
      <c r="N39"/>
      <c r="O39"/>
      <c r="P39"/>
      <c r="Q39"/>
    </row>
    <row r="40" spans="1:17" ht="15.6" x14ac:dyDescent="0.3">
      <c r="A40" s="19" t="s">
        <v>966</v>
      </c>
      <c r="B40" s="19" t="s">
        <v>38</v>
      </c>
      <c r="C40" s="19" t="s">
        <v>1918</v>
      </c>
      <c r="D40" s="53"/>
      <c r="E40" s="54"/>
      <c r="F40" s="53">
        <v>2</v>
      </c>
      <c r="G40" s="54">
        <v>0</v>
      </c>
      <c r="H40" s="53"/>
      <c r="I40" s="55"/>
      <c r="J40"/>
      <c r="K40"/>
      <c r="L40"/>
      <c r="M40"/>
      <c r="N40"/>
      <c r="O40"/>
      <c r="P40"/>
      <c r="Q40"/>
    </row>
    <row r="41" spans="1:17" ht="15.6" x14ac:dyDescent="0.3">
      <c r="A41" s="19" t="s">
        <v>967</v>
      </c>
      <c r="B41" s="19" t="s">
        <v>39</v>
      </c>
      <c r="C41" s="19" t="s">
        <v>1918</v>
      </c>
      <c r="D41" s="53"/>
      <c r="E41" s="54"/>
      <c r="F41" s="53">
        <v>5</v>
      </c>
      <c r="G41" s="54">
        <v>0</v>
      </c>
      <c r="H41" s="53"/>
      <c r="I41" s="55"/>
      <c r="J41"/>
      <c r="K41"/>
      <c r="L41"/>
      <c r="M41"/>
      <c r="N41"/>
      <c r="O41"/>
      <c r="P41"/>
      <c r="Q41"/>
    </row>
    <row r="42" spans="1:17" ht="15.6" x14ac:dyDescent="0.3">
      <c r="A42" s="19" t="s">
        <v>968</v>
      </c>
      <c r="B42" s="19" t="s">
        <v>40</v>
      </c>
      <c r="C42" s="19" t="s">
        <v>1918</v>
      </c>
      <c r="D42" s="53"/>
      <c r="E42" s="54"/>
      <c r="F42" s="53">
        <v>1</v>
      </c>
      <c r="G42" s="54">
        <v>0</v>
      </c>
      <c r="H42" s="53"/>
      <c r="I42" s="55"/>
      <c r="J42"/>
      <c r="K42"/>
      <c r="L42"/>
      <c r="M42"/>
      <c r="N42"/>
      <c r="O42"/>
      <c r="P42"/>
      <c r="Q42"/>
    </row>
    <row r="43" spans="1:17" ht="15.6" x14ac:dyDescent="0.3">
      <c r="A43" s="19" t="s">
        <v>969</v>
      </c>
      <c r="B43" s="19" t="s">
        <v>41</v>
      </c>
      <c r="C43" s="19" t="s">
        <v>1918</v>
      </c>
      <c r="D43" s="53"/>
      <c r="E43" s="54"/>
      <c r="F43" s="53">
        <v>3</v>
      </c>
      <c r="G43" s="54">
        <v>0</v>
      </c>
      <c r="H43" s="53"/>
      <c r="I43" s="55"/>
      <c r="J43"/>
      <c r="K43"/>
      <c r="L43"/>
      <c r="M43"/>
      <c r="N43"/>
      <c r="O43"/>
      <c r="P43"/>
      <c r="Q43"/>
    </row>
    <row r="44" spans="1:17" ht="15.6" x14ac:dyDescent="0.3">
      <c r="A44" s="19" t="s">
        <v>970</v>
      </c>
      <c r="B44" s="19" t="s">
        <v>42</v>
      </c>
      <c r="C44" s="19" t="s">
        <v>1918</v>
      </c>
      <c r="D44" s="53"/>
      <c r="E44" s="54"/>
      <c r="F44" s="53">
        <v>2</v>
      </c>
      <c r="G44" s="54">
        <v>0</v>
      </c>
      <c r="H44" s="53"/>
      <c r="I44" s="55"/>
      <c r="J44"/>
      <c r="K44"/>
      <c r="L44"/>
      <c r="M44"/>
      <c r="N44"/>
      <c r="O44"/>
      <c r="P44"/>
      <c r="Q44"/>
    </row>
    <row r="45" spans="1:17" ht="15.6" x14ac:dyDescent="0.3">
      <c r="A45" s="19" t="s">
        <v>971</v>
      </c>
      <c r="B45" s="19" t="s">
        <v>43</v>
      </c>
      <c r="C45" s="19" t="s">
        <v>1918</v>
      </c>
      <c r="D45" s="53"/>
      <c r="E45" s="54"/>
      <c r="F45" s="53">
        <v>2</v>
      </c>
      <c r="G45" s="54">
        <v>0</v>
      </c>
      <c r="H45" s="53"/>
      <c r="I45" s="55"/>
      <c r="J45"/>
      <c r="K45"/>
      <c r="L45"/>
      <c r="M45"/>
      <c r="N45"/>
      <c r="O45"/>
      <c r="P45"/>
      <c r="Q45"/>
    </row>
    <row r="46" spans="1:17" ht="15.6" x14ac:dyDescent="0.3">
      <c r="A46" s="19" t="s">
        <v>972</v>
      </c>
      <c r="B46" s="19" t="s">
        <v>44</v>
      </c>
      <c r="C46" s="19" t="s">
        <v>1918</v>
      </c>
      <c r="D46" s="53"/>
      <c r="E46" s="54"/>
      <c r="F46" s="53">
        <v>1</v>
      </c>
      <c r="G46" s="54">
        <v>0</v>
      </c>
      <c r="H46" s="53"/>
      <c r="I46" s="55"/>
      <c r="J46"/>
      <c r="K46"/>
      <c r="L46"/>
      <c r="M46"/>
      <c r="N46"/>
      <c r="O46"/>
      <c r="P46"/>
      <c r="Q46"/>
    </row>
    <row r="47" spans="1:17" ht="15.6" x14ac:dyDescent="0.3">
      <c r="A47" s="19" t="s">
        <v>973</v>
      </c>
      <c r="B47" s="19" t="s">
        <v>45</v>
      </c>
      <c r="C47" s="19" t="s">
        <v>1918</v>
      </c>
      <c r="D47" s="53"/>
      <c r="E47" s="54"/>
      <c r="F47" s="53">
        <v>2</v>
      </c>
      <c r="G47" s="54">
        <v>0</v>
      </c>
      <c r="H47" s="53"/>
      <c r="I47" s="55"/>
      <c r="J47"/>
      <c r="K47"/>
      <c r="L47"/>
      <c r="M47"/>
      <c r="N47"/>
      <c r="O47"/>
      <c r="P47"/>
      <c r="Q47"/>
    </row>
    <row r="48" spans="1:17" ht="15.6" x14ac:dyDescent="0.3">
      <c r="A48" s="19" t="s">
        <v>974</v>
      </c>
      <c r="B48" s="19" t="s">
        <v>46</v>
      </c>
      <c r="C48" s="19" t="s">
        <v>1918</v>
      </c>
      <c r="D48" s="53"/>
      <c r="E48" s="54"/>
      <c r="F48" s="53">
        <v>1</v>
      </c>
      <c r="G48" s="54">
        <v>0</v>
      </c>
      <c r="H48" s="53"/>
      <c r="I48" s="55"/>
      <c r="J48"/>
      <c r="K48"/>
      <c r="L48"/>
      <c r="M48"/>
      <c r="N48"/>
      <c r="O48"/>
      <c r="P48"/>
      <c r="Q48"/>
    </row>
    <row r="49" spans="1:17" ht="15.6" x14ac:dyDescent="0.3">
      <c r="A49" s="19" t="s">
        <v>975</v>
      </c>
      <c r="B49" s="19" t="s">
        <v>47</v>
      </c>
      <c r="C49" s="19" t="s">
        <v>1918</v>
      </c>
      <c r="D49" s="53"/>
      <c r="E49" s="54"/>
      <c r="F49" s="53">
        <v>1</v>
      </c>
      <c r="G49" s="54">
        <v>0</v>
      </c>
      <c r="H49" s="53"/>
      <c r="I49" s="55"/>
      <c r="J49"/>
      <c r="K49"/>
      <c r="L49"/>
      <c r="M49"/>
      <c r="N49"/>
      <c r="O49"/>
      <c r="P49"/>
      <c r="Q49"/>
    </row>
    <row r="50" spans="1:17" ht="15.6" x14ac:dyDescent="0.3">
      <c r="A50" s="19" t="s">
        <v>976</v>
      </c>
      <c r="B50" s="19" t="s">
        <v>48</v>
      </c>
      <c r="C50" s="19" t="s">
        <v>1918</v>
      </c>
      <c r="D50" s="53"/>
      <c r="E50" s="54"/>
      <c r="F50" s="53">
        <v>2</v>
      </c>
      <c r="G50" s="54">
        <v>0</v>
      </c>
      <c r="H50" s="53"/>
      <c r="I50" s="55"/>
      <c r="J50"/>
      <c r="K50"/>
      <c r="L50"/>
      <c r="M50"/>
      <c r="N50"/>
      <c r="O50"/>
      <c r="P50"/>
      <c r="Q50"/>
    </row>
    <row r="51" spans="1:17" ht="15.6" x14ac:dyDescent="0.3">
      <c r="A51" s="19" t="s">
        <v>977</v>
      </c>
      <c r="B51" s="19" t="s">
        <v>2457</v>
      </c>
      <c r="C51" s="19" t="s">
        <v>1918</v>
      </c>
      <c r="D51" s="53"/>
      <c r="E51" s="54"/>
      <c r="F51" s="53">
        <v>1</v>
      </c>
      <c r="G51" s="54">
        <v>0</v>
      </c>
      <c r="H51" s="53"/>
      <c r="I51" s="55"/>
      <c r="J51"/>
      <c r="K51"/>
      <c r="L51"/>
      <c r="M51"/>
      <c r="N51"/>
      <c r="O51"/>
      <c r="P51"/>
      <c r="Q51"/>
    </row>
    <row r="52" spans="1:17" ht="28.8" x14ac:dyDescent="0.3">
      <c r="A52" s="19" t="s">
        <v>978</v>
      </c>
      <c r="B52" s="19" t="s">
        <v>49</v>
      </c>
      <c r="C52" s="19" t="s">
        <v>1918</v>
      </c>
      <c r="D52" s="53"/>
      <c r="E52" s="54"/>
      <c r="F52" s="53">
        <v>1</v>
      </c>
      <c r="G52" s="54">
        <v>0</v>
      </c>
      <c r="H52" s="53"/>
      <c r="I52" s="55"/>
      <c r="J52"/>
      <c r="K52"/>
      <c r="L52"/>
      <c r="M52"/>
      <c r="N52"/>
      <c r="O52"/>
      <c r="P52"/>
      <c r="Q52"/>
    </row>
    <row r="53" spans="1:17" ht="15.6" x14ac:dyDescent="0.3">
      <c r="A53" s="19" t="s">
        <v>979</v>
      </c>
      <c r="B53" s="19" t="s">
        <v>50</v>
      </c>
      <c r="C53" s="19" t="s">
        <v>1918</v>
      </c>
      <c r="D53" s="53"/>
      <c r="E53" s="54"/>
      <c r="F53" s="53">
        <v>2</v>
      </c>
      <c r="G53" s="54">
        <v>0</v>
      </c>
      <c r="H53" s="53"/>
      <c r="I53" s="55"/>
      <c r="J53"/>
      <c r="K53"/>
      <c r="L53"/>
      <c r="M53"/>
      <c r="N53"/>
      <c r="O53"/>
      <c r="P53"/>
      <c r="Q53"/>
    </row>
    <row r="54" spans="1:17" ht="15.6" x14ac:dyDescent="0.3">
      <c r="A54" s="19" t="s">
        <v>980</v>
      </c>
      <c r="B54" s="19" t="s">
        <v>51</v>
      </c>
      <c r="C54" s="19" t="s">
        <v>1918</v>
      </c>
      <c r="D54" s="53"/>
      <c r="E54" s="54"/>
      <c r="F54" s="53">
        <v>2</v>
      </c>
      <c r="G54" s="54">
        <v>0</v>
      </c>
      <c r="H54" s="53"/>
      <c r="I54" s="55"/>
      <c r="J54"/>
      <c r="K54"/>
      <c r="L54"/>
      <c r="M54"/>
      <c r="N54"/>
      <c r="O54"/>
      <c r="P54"/>
      <c r="Q54"/>
    </row>
    <row r="55" spans="1:17" ht="28.8" x14ac:dyDescent="0.3">
      <c r="A55" s="19" t="s">
        <v>981</v>
      </c>
      <c r="B55" s="19" t="s">
        <v>52</v>
      </c>
      <c r="C55" s="19" t="s">
        <v>1918</v>
      </c>
      <c r="D55" s="53"/>
      <c r="E55" s="54"/>
      <c r="F55" s="53">
        <v>1</v>
      </c>
      <c r="G55" s="54">
        <v>0</v>
      </c>
      <c r="H55" s="53"/>
      <c r="I55" s="55"/>
      <c r="J55"/>
      <c r="K55"/>
      <c r="L55"/>
      <c r="M55"/>
      <c r="N55"/>
      <c r="O55"/>
      <c r="P55"/>
      <c r="Q55"/>
    </row>
    <row r="56" spans="1:17" ht="28.8" x14ac:dyDescent="0.3">
      <c r="A56" s="19" t="s">
        <v>982</v>
      </c>
      <c r="B56" s="19" t="s">
        <v>53</v>
      </c>
      <c r="C56" s="19" t="s">
        <v>1918</v>
      </c>
      <c r="D56" s="53"/>
      <c r="E56" s="54"/>
      <c r="F56" s="53">
        <v>1</v>
      </c>
      <c r="G56" s="54">
        <v>0</v>
      </c>
      <c r="H56" s="53"/>
      <c r="I56" s="55"/>
      <c r="J56"/>
      <c r="K56"/>
      <c r="L56"/>
      <c r="M56"/>
      <c r="N56"/>
      <c r="O56"/>
      <c r="P56"/>
      <c r="Q56"/>
    </row>
    <row r="57" spans="1:17" ht="15.6" x14ac:dyDescent="0.3">
      <c r="A57" s="19" t="s">
        <v>983</v>
      </c>
      <c r="B57" s="19" t="s">
        <v>54</v>
      </c>
      <c r="C57" s="19" t="s">
        <v>1918</v>
      </c>
      <c r="D57" s="53"/>
      <c r="E57" s="54"/>
      <c r="F57" s="53">
        <v>1</v>
      </c>
      <c r="G57" s="54">
        <v>0</v>
      </c>
      <c r="H57" s="53"/>
      <c r="I57" s="55"/>
      <c r="J57"/>
      <c r="K57"/>
      <c r="L57"/>
      <c r="M57"/>
      <c r="N57"/>
      <c r="O57"/>
      <c r="P57"/>
      <c r="Q57"/>
    </row>
    <row r="58" spans="1:17" ht="15.6" x14ac:dyDescent="0.3">
      <c r="A58" s="19" t="s">
        <v>984</v>
      </c>
      <c r="B58" s="19" t="s">
        <v>55</v>
      </c>
      <c r="C58" s="19" t="s">
        <v>1918</v>
      </c>
      <c r="D58" s="53"/>
      <c r="E58" s="54"/>
      <c r="F58" s="53">
        <v>1</v>
      </c>
      <c r="G58" s="54">
        <v>0</v>
      </c>
      <c r="H58" s="53"/>
      <c r="I58" s="55"/>
      <c r="J58"/>
      <c r="K58"/>
      <c r="L58"/>
      <c r="M58"/>
      <c r="N58"/>
      <c r="O58"/>
      <c r="P58"/>
      <c r="Q58"/>
    </row>
    <row r="59" spans="1:17" ht="15.6" x14ac:dyDescent="0.3">
      <c r="A59" s="19" t="s">
        <v>985</v>
      </c>
      <c r="B59" s="19" t="s">
        <v>56</v>
      </c>
      <c r="C59" s="19" t="s">
        <v>1918</v>
      </c>
      <c r="D59" s="53"/>
      <c r="E59" s="54"/>
      <c r="F59" s="53">
        <v>2</v>
      </c>
      <c r="G59" s="54">
        <v>0</v>
      </c>
      <c r="H59" s="53"/>
      <c r="I59" s="55"/>
      <c r="J59"/>
      <c r="K59"/>
      <c r="L59"/>
      <c r="M59"/>
      <c r="N59"/>
      <c r="O59"/>
      <c r="P59"/>
      <c r="Q59"/>
    </row>
    <row r="60" spans="1:17" ht="15.6" x14ac:dyDescent="0.3">
      <c r="A60" s="19" t="s">
        <v>986</v>
      </c>
      <c r="B60" s="19" t="s">
        <v>57</v>
      </c>
      <c r="C60" s="19" t="s">
        <v>1918</v>
      </c>
      <c r="D60" s="53"/>
      <c r="E60" s="54"/>
      <c r="F60" s="53">
        <v>1</v>
      </c>
      <c r="G60" s="54">
        <v>0</v>
      </c>
      <c r="H60" s="53"/>
      <c r="I60" s="55"/>
      <c r="J60"/>
      <c r="K60"/>
      <c r="L60"/>
      <c r="M60"/>
      <c r="N60"/>
      <c r="O60"/>
      <c r="P60"/>
      <c r="Q60"/>
    </row>
    <row r="61" spans="1:17" ht="15.6" x14ac:dyDescent="0.3">
      <c r="A61" s="19" t="s">
        <v>987</v>
      </c>
      <c r="B61" s="19" t="s">
        <v>58</v>
      </c>
      <c r="C61" s="19" t="s">
        <v>1918</v>
      </c>
      <c r="D61" s="53"/>
      <c r="E61" s="54"/>
      <c r="F61" s="53">
        <v>2</v>
      </c>
      <c r="G61" s="54">
        <v>0</v>
      </c>
      <c r="H61" s="53"/>
      <c r="I61" s="55"/>
      <c r="J61"/>
      <c r="K61"/>
      <c r="L61"/>
      <c r="M61"/>
      <c r="N61"/>
      <c r="O61"/>
      <c r="P61"/>
      <c r="Q61"/>
    </row>
    <row r="62" spans="1:17" ht="15.6" x14ac:dyDescent="0.3">
      <c r="A62" s="47" t="s">
        <v>988</v>
      </c>
      <c r="B62" s="47" t="s">
        <v>59</v>
      </c>
      <c r="C62" s="19" t="s">
        <v>903</v>
      </c>
      <c r="D62" s="53"/>
      <c r="E62" s="54"/>
      <c r="F62" s="53"/>
      <c r="G62" s="54"/>
      <c r="H62" s="53">
        <v>1</v>
      </c>
      <c r="I62" s="55">
        <v>0</v>
      </c>
      <c r="J62"/>
      <c r="K62"/>
      <c r="L62"/>
      <c r="M62"/>
      <c r="N62"/>
      <c r="O62"/>
      <c r="P62"/>
      <c r="Q62"/>
    </row>
    <row r="63" spans="1:17" ht="15.6" x14ac:dyDescent="0.3">
      <c r="A63" s="48" t="s">
        <v>988</v>
      </c>
      <c r="B63" s="48" t="s">
        <v>59</v>
      </c>
      <c r="C63" s="23" t="s">
        <v>1918</v>
      </c>
      <c r="D63" s="56"/>
      <c r="E63" s="51"/>
      <c r="F63" s="56">
        <v>1</v>
      </c>
      <c r="G63" s="51">
        <v>0</v>
      </c>
      <c r="H63" s="56"/>
      <c r="I63" s="57"/>
      <c r="J63"/>
      <c r="K63"/>
      <c r="L63"/>
      <c r="M63"/>
      <c r="N63"/>
      <c r="O63"/>
      <c r="P63"/>
      <c r="Q63"/>
    </row>
    <row r="64" spans="1:17" ht="15.6" x14ac:dyDescent="0.3">
      <c r="A64" s="48" t="s">
        <v>988</v>
      </c>
      <c r="B64" s="48" t="s">
        <v>59</v>
      </c>
      <c r="C64" s="23" t="s">
        <v>904</v>
      </c>
      <c r="D64" s="56"/>
      <c r="E64" s="51"/>
      <c r="F64" s="56">
        <v>0</v>
      </c>
      <c r="G64" s="51">
        <v>1</v>
      </c>
      <c r="H64" s="56"/>
      <c r="I64" s="57"/>
      <c r="J64"/>
      <c r="K64"/>
      <c r="L64"/>
      <c r="M64"/>
      <c r="N64"/>
      <c r="O64"/>
      <c r="P64"/>
      <c r="Q64"/>
    </row>
    <row r="65" spans="1:17" ht="15.6" x14ac:dyDescent="0.3">
      <c r="A65" s="19" t="s">
        <v>989</v>
      </c>
      <c r="B65" s="19" t="s">
        <v>60</v>
      </c>
      <c r="C65" s="19" t="s">
        <v>1918</v>
      </c>
      <c r="D65" s="53"/>
      <c r="E65" s="54"/>
      <c r="F65" s="53">
        <v>1</v>
      </c>
      <c r="G65" s="54">
        <v>0</v>
      </c>
      <c r="H65" s="53"/>
      <c r="I65" s="55"/>
      <c r="J65"/>
      <c r="K65"/>
      <c r="L65"/>
      <c r="M65"/>
      <c r="N65"/>
      <c r="O65"/>
      <c r="P65"/>
      <c r="Q65"/>
    </row>
    <row r="66" spans="1:17" ht="28.8" x14ac:dyDescent="0.3">
      <c r="A66" s="19" t="s">
        <v>990</v>
      </c>
      <c r="B66" s="19" t="s">
        <v>61</v>
      </c>
      <c r="C66" s="19" t="s">
        <v>1918</v>
      </c>
      <c r="D66" s="53"/>
      <c r="E66" s="54"/>
      <c r="F66" s="53">
        <v>1</v>
      </c>
      <c r="G66" s="54">
        <v>0</v>
      </c>
      <c r="H66" s="53"/>
      <c r="I66" s="55"/>
      <c r="J66"/>
      <c r="K66"/>
      <c r="L66"/>
      <c r="M66"/>
      <c r="N66"/>
      <c r="O66"/>
      <c r="P66"/>
      <c r="Q66"/>
    </row>
    <row r="67" spans="1:17" ht="28.8" x14ac:dyDescent="0.3">
      <c r="A67" s="19" t="s">
        <v>991</v>
      </c>
      <c r="B67" s="19" t="s">
        <v>62</v>
      </c>
      <c r="C67" s="19" t="s">
        <v>1918</v>
      </c>
      <c r="D67" s="53"/>
      <c r="E67" s="54"/>
      <c r="F67" s="53">
        <v>4</v>
      </c>
      <c r="G67" s="54">
        <v>0</v>
      </c>
      <c r="H67" s="53"/>
      <c r="I67" s="55"/>
      <c r="J67"/>
      <c r="K67"/>
      <c r="L67"/>
      <c r="M67"/>
      <c r="N67"/>
      <c r="O67"/>
      <c r="P67"/>
      <c r="Q67"/>
    </row>
    <row r="68" spans="1:17" ht="28.8" x14ac:dyDescent="0.3">
      <c r="A68" s="19" t="s">
        <v>992</v>
      </c>
      <c r="B68" s="19" t="s">
        <v>63</v>
      </c>
      <c r="C68" s="19" t="s">
        <v>1918</v>
      </c>
      <c r="D68" s="53"/>
      <c r="E68" s="54"/>
      <c r="F68" s="53">
        <v>5</v>
      </c>
      <c r="G68" s="54">
        <v>0</v>
      </c>
      <c r="H68" s="53"/>
      <c r="I68" s="55"/>
      <c r="J68"/>
      <c r="K68"/>
      <c r="L68"/>
      <c r="M68"/>
      <c r="N68"/>
      <c r="O68"/>
      <c r="P68"/>
      <c r="Q68"/>
    </row>
    <row r="69" spans="1:17" ht="15.6" x14ac:dyDescent="0.3">
      <c r="A69" s="19" t="s">
        <v>993</v>
      </c>
      <c r="B69" s="19" t="s">
        <v>64</v>
      </c>
      <c r="C69" s="19" t="s">
        <v>1918</v>
      </c>
      <c r="D69" s="53"/>
      <c r="E69" s="54"/>
      <c r="F69" s="53">
        <v>3</v>
      </c>
      <c r="G69" s="54">
        <v>0</v>
      </c>
      <c r="H69" s="53"/>
      <c r="I69" s="55"/>
      <c r="J69"/>
      <c r="K69"/>
      <c r="L69"/>
      <c r="M69"/>
      <c r="N69"/>
      <c r="O69"/>
      <c r="P69"/>
      <c r="Q69"/>
    </row>
    <row r="70" spans="1:17" ht="28.8" x14ac:dyDescent="0.3">
      <c r="A70" s="19" t="s">
        <v>994</v>
      </c>
      <c r="B70" s="19" t="s">
        <v>65</v>
      </c>
      <c r="C70" s="19" t="s">
        <v>1918</v>
      </c>
      <c r="D70" s="53"/>
      <c r="E70" s="54"/>
      <c r="F70" s="53">
        <v>1</v>
      </c>
      <c r="G70" s="54">
        <v>0</v>
      </c>
      <c r="H70" s="53"/>
      <c r="I70" s="55"/>
      <c r="J70"/>
      <c r="K70"/>
      <c r="L70"/>
      <c r="M70"/>
      <c r="N70"/>
      <c r="O70"/>
      <c r="P70"/>
      <c r="Q70"/>
    </row>
    <row r="71" spans="1:17" ht="28.8" x14ac:dyDescent="0.3">
      <c r="A71" s="19" t="s">
        <v>995</v>
      </c>
      <c r="B71" s="19" t="s">
        <v>66</v>
      </c>
      <c r="C71" s="19" t="s">
        <v>1918</v>
      </c>
      <c r="D71" s="53"/>
      <c r="E71" s="54"/>
      <c r="F71" s="53">
        <v>1</v>
      </c>
      <c r="G71" s="54">
        <v>0</v>
      </c>
      <c r="H71" s="53"/>
      <c r="I71" s="55"/>
      <c r="J71"/>
      <c r="K71"/>
      <c r="L71"/>
      <c r="M71"/>
      <c r="N71"/>
      <c r="O71"/>
      <c r="P71"/>
      <c r="Q71"/>
    </row>
    <row r="72" spans="1:17" ht="15.6" x14ac:dyDescent="0.3">
      <c r="A72" s="19" t="s">
        <v>996</v>
      </c>
      <c r="B72" s="19" t="s">
        <v>67</v>
      </c>
      <c r="C72" s="19" t="s">
        <v>1918</v>
      </c>
      <c r="D72" s="53"/>
      <c r="E72" s="54"/>
      <c r="F72" s="53">
        <v>1</v>
      </c>
      <c r="G72" s="54">
        <v>0</v>
      </c>
      <c r="H72" s="53"/>
      <c r="I72" s="55"/>
      <c r="J72"/>
      <c r="K72"/>
      <c r="L72"/>
      <c r="M72"/>
      <c r="N72"/>
      <c r="O72"/>
      <c r="P72"/>
      <c r="Q72"/>
    </row>
    <row r="73" spans="1:17" ht="15.6" x14ac:dyDescent="0.3">
      <c r="A73" s="19" t="s">
        <v>997</v>
      </c>
      <c r="B73" s="19" t="s">
        <v>68</v>
      </c>
      <c r="C73" s="19" t="s">
        <v>1918</v>
      </c>
      <c r="D73" s="53"/>
      <c r="E73" s="54"/>
      <c r="F73" s="53">
        <v>1</v>
      </c>
      <c r="G73" s="54">
        <v>0</v>
      </c>
      <c r="H73" s="53"/>
      <c r="I73" s="55"/>
      <c r="J73"/>
      <c r="K73"/>
      <c r="L73"/>
      <c r="M73"/>
      <c r="N73"/>
      <c r="O73"/>
      <c r="P73"/>
      <c r="Q73"/>
    </row>
    <row r="74" spans="1:17" ht="15.6" x14ac:dyDescent="0.3">
      <c r="A74" s="19" t="s">
        <v>998</v>
      </c>
      <c r="B74" s="19" t="s">
        <v>69</v>
      </c>
      <c r="C74" s="19" t="s">
        <v>1918</v>
      </c>
      <c r="D74" s="53"/>
      <c r="E74" s="54"/>
      <c r="F74" s="53">
        <v>1</v>
      </c>
      <c r="G74" s="54">
        <v>0</v>
      </c>
      <c r="H74" s="53"/>
      <c r="I74" s="55"/>
      <c r="J74"/>
      <c r="K74"/>
      <c r="L74"/>
      <c r="M74"/>
      <c r="N74"/>
      <c r="O74"/>
      <c r="P74"/>
      <c r="Q74"/>
    </row>
    <row r="75" spans="1:17" ht="15.6" x14ac:dyDescent="0.3">
      <c r="A75" s="19" t="s">
        <v>999</v>
      </c>
      <c r="B75" s="19" t="s">
        <v>70</v>
      </c>
      <c r="C75" s="19" t="s">
        <v>1918</v>
      </c>
      <c r="D75" s="53"/>
      <c r="E75" s="54"/>
      <c r="F75" s="53">
        <v>1</v>
      </c>
      <c r="G75" s="54">
        <v>0</v>
      </c>
      <c r="H75" s="53"/>
      <c r="I75" s="55"/>
      <c r="J75"/>
      <c r="K75"/>
      <c r="L75"/>
      <c r="M75"/>
      <c r="N75"/>
      <c r="O75"/>
      <c r="P75"/>
      <c r="Q75"/>
    </row>
    <row r="76" spans="1:17" ht="28.8" x14ac:dyDescent="0.3">
      <c r="A76" s="19" t="s">
        <v>1000</v>
      </c>
      <c r="B76" s="19" t="s">
        <v>71</v>
      </c>
      <c r="C76" s="19" t="s">
        <v>1918</v>
      </c>
      <c r="D76" s="53"/>
      <c r="E76" s="54"/>
      <c r="F76" s="53">
        <v>1</v>
      </c>
      <c r="G76" s="54">
        <v>0</v>
      </c>
      <c r="H76" s="53"/>
      <c r="I76" s="55"/>
      <c r="J76"/>
      <c r="K76"/>
      <c r="L76"/>
      <c r="M76"/>
      <c r="N76"/>
      <c r="O76"/>
      <c r="P76"/>
      <c r="Q76"/>
    </row>
    <row r="77" spans="1:17" ht="28.8" x14ac:dyDescent="0.3">
      <c r="A77" s="19" t="s">
        <v>1001</v>
      </c>
      <c r="B77" s="19" t="s">
        <v>72</v>
      </c>
      <c r="C77" s="19" t="s">
        <v>1918</v>
      </c>
      <c r="D77" s="53"/>
      <c r="E77" s="54"/>
      <c r="F77" s="53">
        <v>1</v>
      </c>
      <c r="G77" s="54">
        <v>0</v>
      </c>
      <c r="H77" s="53"/>
      <c r="I77" s="55"/>
      <c r="J77"/>
      <c r="K77"/>
      <c r="L77"/>
      <c r="M77"/>
      <c r="N77"/>
      <c r="O77"/>
      <c r="P77"/>
      <c r="Q77"/>
    </row>
    <row r="78" spans="1:17" ht="28.8" x14ac:dyDescent="0.3">
      <c r="A78" s="19" t="s">
        <v>1002</v>
      </c>
      <c r="B78" s="19" t="s">
        <v>73</v>
      </c>
      <c r="C78" s="19" t="s">
        <v>1918</v>
      </c>
      <c r="D78" s="53"/>
      <c r="E78" s="54"/>
      <c r="F78" s="53">
        <v>2</v>
      </c>
      <c r="G78" s="54">
        <v>0</v>
      </c>
      <c r="H78" s="53"/>
      <c r="I78" s="55"/>
      <c r="J78"/>
      <c r="K78"/>
      <c r="L78"/>
      <c r="M78"/>
      <c r="N78"/>
      <c r="O78"/>
      <c r="P78"/>
      <c r="Q78"/>
    </row>
    <row r="79" spans="1:17" ht="28.8" x14ac:dyDescent="0.3">
      <c r="A79" s="19" t="s">
        <v>1003</v>
      </c>
      <c r="B79" s="19" t="s">
        <v>74</v>
      </c>
      <c r="C79" s="19" t="s">
        <v>1918</v>
      </c>
      <c r="D79" s="53"/>
      <c r="E79" s="54"/>
      <c r="F79" s="53">
        <v>3</v>
      </c>
      <c r="G79" s="54">
        <v>0</v>
      </c>
      <c r="H79" s="53"/>
      <c r="I79" s="55"/>
      <c r="J79"/>
      <c r="K79"/>
      <c r="L79"/>
      <c r="M79"/>
      <c r="N79"/>
      <c r="O79"/>
      <c r="P79"/>
      <c r="Q79"/>
    </row>
    <row r="80" spans="1:17" ht="28.8" x14ac:dyDescent="0.3">
      <c r="A80" s="19" t="s">
        <v>1004</v>
      </c>
      <c r="B80" s="19" t="s">
        <v>75</v>
      </c>
      <c r="C80" s="19" t="s">
        <v>1918</v>
      </c>
      <c r="D80" s="53"/>
      <c r="E80" s="54"/>
      <c r="F80" s="53">
        <v>1</v>
      </c>
      <c r="G80" s="54">
        <v>0</v>
      </c>
      <c r="H80" s="53"/>
      <c r="I80" s="55"/>
      <c r="J80"/>
      <c r="K80"/>
      <c r="L80"/>
      <c r="M80"/>
      <c r="N80"/>
      <c r="O80"/>
      <c r="P80"/>
      <c r="Q80"/>
    </row>
    <row r="81" spans="1:17" ht="15.6" x14ac:dyDescent="0.3">
      <c r="A81" s="19" t="s">
        <v>1005</v>
      </c>
      <c r="B81" s="19" t="s">
        <v>76</v>
      </c>
      <c r="C81" s="19" t="s">
        <v>1918</v>
      </c>
      <c r="D81" s="53"/>
      <c r="E81" s="54"/>
      <c r="F81" s="53">
        <v>4</v>
      </c>
      <c r="G81" s="54">
        <v>0</v>
      </c>
      <c r="H81" s="53"/>
      <c r="I81" s="55"/>
      <c r="J81"/>
      <c r="K81"/>
      <c r="L81"/>
      <c r="M81"/>
      <c r="N81"/>
      <c r="O81"/>
      <c r="P81"/>
      <c r="Q81"/>
    </row>
    <row r="82" spans="1:17" ht="28.8" x14ac:dyDescent="0.3">
      <c r="A82" s="19" t="s">
        <v>1006</v>
      </c>
      <c r="B82" s="19" t="s">
        <v>77</v>
      </c>
      <c r="C82" s="19" t="s">
        <v>1918</v>
      </c>
      <c r="D82" s="53"/>
      <c r="E82" s="54"/>
      <c r="F82" s="53">
        <v>1</v>
      </c>
      <c r="G82" s="54">
        <v>0</v>
      </c>
      <c r="H82" s="53"/>
      <c r="I82" s="55"/>
      <c r="J82"/>
      <c r="K82"/>
      <c r="L82"/>
      <c r="M82"/>
      <c r="N82"/>
      <c r="O82"/>
      <c r="P82"/>
      <c r="Q82"/>
    </row>
    <row r="83" spans="1:17" ht="28.8" x14ac:dyDescent="0.3">
      <c r="A83" s="19" t="s">
        <v>1007</v>
      </c>
      <c r="B83" s="19" t="s">
        <v>78</v>
      </c>
      <c r="C83" s="19" t="s">
        <v>1918</v>
      </c>
      <c r="D83" s="53"/>
      <c r="E83" s="54"/>
      <c r="F83" s="53">
        <v>3</v>
      </c>
      <c r="G83" s="54">
        <v>0</v>
      </c>
      <c r="H83" s="53"/>
      <c r="I83" s="55"/>
      <c r="J83"/>
      <c r="K83"/>
      <c r="L83"/>
      <c r="M83"/>
      <c r="N83"/>
      <c r="O83"/>
      <c r="P83"/>
      <c r="Q83"/>
    </row>
    <row r="84" spans="1:17" ht="28.8" x14ac:dyDescent="0.3">
      <c r="A84" s="19" t="s">
        <v>1008</v>
      </c>
      <c r="B84" s="19" t="s">
        <v>79</v>
      </c>
      <c r="C84" s="19" t="s">
        <v>1918</v>
      </c>
      <c r="D84" s="53"/>
      <c r="E84" s="54"/>
      <c r="F84" s="53">
        <v>1</v>
      </c>
      <c r="G84" s="54">
        <v>0</v>
      </c>
      <c r="H84" s="53"/>
      <c r="I84" s="55"/>
      <c r="J84"/>
      <c r="K84"/>
      <c r="L84"/>
      <c r="M84"/>
      <c r="N84"/>
      <c r="O84"/>
      <c r="P84"/>
      <c r="Q84"/>
    </row>
    <row r="85" spans="1:17" ht="28.8" x14ac:dyDescent="0.3">
      <c r="A85" s="19" t="s">
        <v>1009</v>
      </c>
      <c r="B85" s="19" t="s">
        <v>80</v>
      </c>
      <c r="C85" s="19" t="s">
        <v>1918</v>
      </c>
      <c r="D85" s="53"/>
      <c r="E85" s="54"/>
      <c r="F85" s="53">
        <v>1</v>
      </c>
      <c r="G85" s="54">
        <v>0</v>
      </c>
      <c r="H85" s="53"/>
      <c r="I85" s="55"/>
      <c r="J85"/>
      <c r="K85"/>
      <c r="L85"/>
      <c r="M85"/>
      <c r="N85"/>
      <c r="O85"/>
      <c r="P85"/>
      <c r="Q85"/>
    </row>
    <row r="86" spans="1:17" ht="15.6" x14ac:dyDescent="0.3">
      <c r="A86" s="19" t="s">
        <v>1010</v>
      </c>
      <c r="B86" s="19" t="s">
        <v>81</v>
      </c>
      <c r="C86" s="19" t="s">
        <v>1918</v>
      </c>
      <c r="D86" s="53"/>
      <c r="E86" s="54"/>
      <c r="F86" s="53">
        <v>1</v>
      </c>
      <c r="G86" s="54">
        <v>0</v>
      </c>
      <c r="H86" s="53"/>
      <c r="I86" s="55"/>
      <c r="J86"/>
      <c r="K86"/>
      <c r="L86"/>
      <c r="M86"/>
      <c r="N86"/>
      <c r="O86"/>
      <c r="P86"/>
      <c r="Q86"/>
    </row>
    <row r="87" spans="1:17" ht="15.6" x14ac:dyDescent="0.3">
      <c r="A87" s="19" t="s">
        <v>1011</v>
      </c>
      <c r="B87" s="19" t="s">
        <v>82</v>
      </c>
      <c r="C87" s="19" t="s">
        <v>1918</v>
      </c>
      <c r="D87" s="53"/>
      <c r="E87" s="54"/>
      <c r="F87" s="53">
        <v>2</v>
      </c>
      <c r="G87" s="54">
        <v>0</v>
      </c>
      <c r="H87" s="53"/>
      <c r="I87" s="55"/>
      <c r="J87"/>
      <c r="K87"/>
      <c r="L87"/>
      <c r="M87"/>
      <c r="N87"/>
      <c r="O87"/>
      <c r="P87"/>
      <c r="Q87"/>
    </row>
    <row r="88" spans="1:17" ht="28.8" x14ac:dyDescent="0.3">
      <c r="A88" s="19" t="s">
        <v>1012</v>
      </c>
      <c r="B88" s="19" t="s">
        <v>83</v>
      </c>
      <c r="C88" s="19" t="s">
        <v>1918</v>
      </c>
      <c r="D88" s="53"/>
      <c r="E88" s="54"/>
      <c r="F88" s="53">
        <v>4</v>
      </c>
      <c r="G88" s="54">
        <v>0</v>
      </c>
      <c r="H88" s="53"/>
      <c r="I88" s="55"/>
      <c r="J88"/>
      <c r="K88"/>
      <c r="L88"/>
      <c r="M88"/>
      <c r="N88"/>
      <c r="O88"/>
      <c r="P88"/>
      <c r="Q88"/>
    </row>
    <row r="89" spans="1:17" ht="28.8" x14ac:dyDescent="0.3">
      <c r="A89" s="19" t="s">
        <v>1013</v>
      </c>
      <c r="B89" s="19" t="s">
        <v>84</v>
      </c>
      <c r="C89" s="19" t="s">
        <v>1918</v>
      </c>
      <c r="D89" s="53"/>
      <c r="E89" s="54"/>
      <c r="F89" s="53">
        <v>1</v>
      </c>
      <c r="G89" s="54">
        <v>0</v>
      </c>
      <c r="H89" s="53"/>
      <c r="I89" s="55"/>
      <c r="J89"/>
      <c r="K89"/>
      <c r="L89"/>
      <c r="M89"/>
      <c r="N89"/>
      <c r="O89"/>
      <c r="P89"/>
      <c r="Q89"/>
    </row>
    <row r="90" spans="1:17" ht="15.6" x14ac:dyDescent="0.3">
      <c r="A90" s="19" t="s">
        <v>1014</v>
      </c>
      <c r="B90" s="19" t="s">
        <v>85</v>
      </c>
      <c r="C90" s="19" t="s">
        <v>1918</v>
      </c>
      <c r="D90" s="53"/>
      <c r="E90" s="54"/>
      <c r="F90" s="53">
        <v>4</v>
      </c>
      <c r="G90" s="54">
        <v>0</v>
      </c>
      <c r="H90" s="53"/>
      <c r="I90" s="55"/>
      <c r="J90"/>
      <c r="K90"/>
      <c r="L90"/>
      <c r="M90"/>
      <c r="N90"/>
      <c r="O90"/>
      <c r="P90"/>
      <c r="Q90"/>
    </row>
    <row r="91" spans="1:17" ht="15.6" x14ac:dyDescent="0.3">
      <c r="A91" s="19" t="s">
        <v>1015</v>
      </c>
      <c r="B91" s="19" t="s">
        <v>86</v>
      </c>
      <c r="C91" s="19" t="s">
        <v>1918</v>
      </c>
      <c r="D91" s="53"/>
      <c r="E91" s="54"/>
      <c r="F91" s="53">
        <v>4</v>
      </c>
      <c r="G91" s="54">
        <v>0</v>
      </c>
      <c r="H91" s="53"/>
      <c r="I91" s="55"/>
      <c r="J91"/>
      <c r="K91"/>
      <c r="L91"/>
      <c r="M91"/>
      <c r="N91"/>
      <c r="O91"/>
      <c r="P91"/>
      <c r="Q91"/>
    </row>
    <row r="92" spans="1:17" ht="28.8" x14ac:dyDescent="0.3">
      <c r="A92" s="19" t="s">
        <v>1016</v>
      </c>
      <c r="B92" s="19" t="s">
        <v>87</v>
      </c>
      <c r="C92" s="19" t="s">
        <v>1918</v>
      </c>
      <c r="D92" s="53"/>
      <c r="E92" s="54"/>
      <c r="F92" s="53">
        <v>8</v>
      </c>
      <c r="G92" s="54">
        <v>0</v>
      </c>
      <c r="H92" s="53"/>
      <c r="I92" s="55"/>
      <c r="J92"/>
      <c r="K92"/>
      <c r="L92"/>
      <c r="M92"/>
      <c r="N92"/>
      <c r="O92"/>
      <c r="P92"/>
      <c r="Q92"/>
    </row>
    <row r="93" spans="1:17" ht="28.8" x14ac:dyDescent="0.3">
      <c r="A93" s="19" t="s">
        <v>1017</v>
      </c>
      <c r="B93" s="19" t="s">
        <v>88</v>
      </c>
      <c r="C93" s="19" t="s">
        <v>1918</v>
      </c>
      <c r="D93" s="53"/>
      <c r="E93" s="54"/>
      <c r="F93" s="53">
        <v>16</v>
      </c>
      <c r="G93" s="54">
        <v>0</v>
      </c>
      <c r="H93" s="53"/>
      <c r="I93" s="55"/>
      <c r="J93"/>
      <c r="K93"/>
      <c r="L93"/>
      <c r="M93"/>
      <c r="N93"/>
      <c r="O93"/>
      <c r="P93"/>
      <c r="Q93"/>
    </row>
    <row r="94" spans="1:17" ht="28.8" x14ac:dyDescent="0.3">
      <c r="A94" s="19" t="s">
        <v>1018</v>
      </c>
      <c r="B94" s="19" t="s">
        <v>89</v>
      </c>
      <c r="C94" s="19" t="s">
        <v>1918</v>
      </c>
      <c r="D94" s="53"/>
      <c r="E94" s="54"/>
      <c r="F94" s="53">
        <v>21</v>
      </c>
      <c r="G94" s="54">
        <v>0</v>
      </c>
      <c r="H94" s="53"/>
      <c r="I94" s="55"/>
      <c r="J94"/>
      <c r="K94"/>
      <c r="L94"/>
      <c r="M94"/>
      <c r="N94"/>
      <c r="O94"/>
      <c r="P94"/>
      <c r="Q94"/>
    </row>
    <row r="95" spans="1:17" ht="28.8" x14ac:dyDescent="0.3">
      <c r="A95" s="19" t="s">
        <v>1019</v>
      </c>
      <c r="B95" s="19" t="s">
        <v>90</v>
      </c>
      <c r="C95" s="19" t="s">
        <v>1918</v>
      </c>
      <c r="D95" s="53"/>
      <c r="E95" s="54"/>
      <c r="F95" s="53">
        <v>9</v>
      </c>
      <c r="G95" s="54">
        <v>0</v>
      </c>
      <c r="H95" s="53"/>
      <c r="I95" s="55"/>
      <c r="J95"/>
      <c r="K95"/>
      <c r="L95"/>
      <c r="M95"/>
      <c r="N95"/>
      <c r="O95"/>
      <c r="P95"/>
      <c r="Q95"/>
    </row>
    <row r="96" spans="1:17" ht="28.8" x14ac:dyDescent="0.3">
      <c r="A96" s="19" t="s">
        <v>1020</v>
      </c>
      <c r="B96" s="19" t="s">
        <v>91</v>
      </c>
      <c r="C96" s="19" t="s">
        <v>1918</v>
      </c>
      <c r="D96" s="53"/>
      <c r="E96" s="54"/>
      <c r="F96" s="53">
        <v>1</v>
      </c>
      <c r="G96" s="54">
        <v>0</v>
      </c>
      <c r="H96" s="53"/>
      <c r="I96" s="55"/>
      <c r="J96"/>
      <c r="K96"/>
      <c r="L96"/>
      <c r="M96"/>
      <c r="N96"/>
      <c r="O96"/>
      <c r="P96"/>
      <c r="Q96"/>
    </row>
    <row r="97" spans="1:17" ht="15.6" x14ac:dyDescent="0.3">
      <c r="A97" s="19" t="s">
        <v>1021</v>
      </c>
      <c r="B97" s="19" t="s">
        <v>92</v>
      </c>
      <c r="C97" s="19" t="s">
        <v>1918</v>
      </c>
      <c r="D97" s="53"/>
      <c r="E97" s="54"/>
      <c r="F97" s="53">
        <v>2</v>
      </c>
      <c r="G97" s="54">
        <v>0</v>
      </c>
      <c r="H97" s="53"/>
      <c r="I97" s="55"/>
      <c r="J97"/>
      <c r="K97"/>
      <c r="L97"/>
      <c r="M97"/>
      <c r="N97"/>
      <c r="O97"/>
      <c r="P97"/>
      <c r="Q97"/>
    </row>
    <row r="98" spans="1:17" ht="28.8" x14ac:dyDescent="0.3">
      <c r="A98" s="19" t="s">
        <v>1022</v>
      </c>
      <c r="B98" s="19" t="s">
        <v>93</v>
      </c>
      <c r="C98" s="19" t="s">
        <v>1918</v>
      </c>
      <c r="D98" s="53"/>
      <c r="E98" s="54"/>
      <c r="F98" s="53">
        <v>2</v>
      </c>
      <c r="G98" s="54">
        <v>0</v>
      </c>
      <c r="H98" s="53"/>
      <c r="I98" s="55"/>
      <c r="J98"/>
      <c r="K98"/>
      <c r="L98"/>
      <c r="M98"/>
      <c r="N98"/>
      <c r="O98"/>
      <c r="P98"/>
      <c r="Q98"/>
    </row>
    <row r="99" spans="1:17" ht="28.8" x14ac:dyDescent="0.3">
      <c r="A99" s="19" t="s">
        <v>1023</v>
      </c>
      <c r="B99" s="19" t="s">
        <v>94</v>
      </c>
      <c r="C99" s="19" t="s">
        <v>1918</v>
      </c>
      <c r="D99" s="53"/>
      <c r="E99" s="54"/>
      <c r="F99" s="53">
        <v>7</v>
      </c>
      <c r="G99" s="54">
        <v>0</v>
      </c>
      <c r="H99" s="53"/>
      <c r="I99" s="55"/>
      <c r="J99"/>
      <c r="K99"/>
      <c r="L99"/>
      <c r="M99"/>
      <c r="N99"/>
      <c r="O99"/>
      <c r="P99"/>
      <c r="Q99"/>
    </row>
    <row r="100" spans="1:17" ht="15.6" x14ac:dyDescent="0.3">
      <c r="A100" s="19" t="s">
        <v>1024</v>
      </c>
      <c r="B100" s="19" t="s">
        <v>95</v>
      </c>
      <c r="C100" s="19" t="s">
        <v>1918</v>
      </c>
      <c r="D100" s="53"/>
      <c r="E100" s="54"/>
      <c r="F100" s="53">
        <v>1</v>
      </c>
      <c r="G100" s="54">
        <v>0</v>
      </c>
      <c r="H100" s="53"/>
      <c r="I100" s="55"/>
      <c r="J100"/>
      <c r="K100"/>
      <c r="L100"/>
      <c r="M100"/>
      <c r="N100"/>
      <c r="O100"/>
      <c r="P100"/>
      <c r="Q100"/>
    </row>
    <row r="101" spans="1:17" ht="28.8" x14ac:dyDescent="0.3">
      <c r="A101" s="19" t="s">
        <v>1025</v>
      </c>
      <c r="B101" s="19" t="s">
        <v>96</v>
      </c>
      <c r="C101" s="19" t="s">
        <v>1918</v>
      </c>
      <c r="D101" s="53"/>
      <c r="E101" s="54"/>
      <c r="F101" s="53">
        <v>6</v>
      </c>
      <c r="G101" s="54">
        <v>0</v>
      </c>
      <c r="H101" s="53"/>
      <c r="I101" s="55"/>
      <c r="J101"/>
      <c r="K101"/>
      <c r="L101"/>
      <c r="M101"/>
      <c r="N101"/>
      <c r="O101"/>
      <c r="P101"/>
      <c r="Q101"/>
    </row>
    <row r="102" spans="1:17" ht="28.8" x14ac:dyDescent="0.3">
      <c r="A102" s="19" t="s">
        <v>1026</v>
      </c>
      <c r="B102" s="19" t="s">
        <v>97</v>
      </c>
      <c r="C102" s="19" t="s">
        <v>1918</v>
      </c>
      <c r="D102" s="53"/>
      <c r="E102" s="54"/>
      <c r="F102" s="53">
        <v>3</v>
      </c>
      <c r="G102" s="54">
        <v>0</v>
      </c>
      <c r="H102" s="53"/>
      <c r="I102" s="55"/>
      <c r="J102"/>
      <c r="K102"/>
      <c r="L102"/>
      <c r="M102"/>
      <c r="N102"/>
      <c r="O102"/>
      <c r="P102"/>
      <c r="Q102"/>
    </row>
    <row r="103" spans="1:17" ht="28.8" x14ac:dyDescent="0.3">
      <c r="A103" s="19" t="s">
        <v>1027</v>
      </c>
      <c r="B103" s="19" t="s">
        <v>98</v>
      </c>
      <c r="C103" s="19" t="s">
        <v>1918</v>
      </c>
      <c r="D103" s="53"/>
      <c r="E103" s="54"/>
      <c r="F103" s="53">
        <v>15</v>
      </c>
      <c r="G103" s="54">
        <v>0</v>
      </c>
      <c r="H103" s="53"/>
      <c r="I103" s="55"/>
      <c r="J103"/>
      <c r="K103"/>
      <c r="L103"/>
      <c r="M103"/>
      <c r="N103"/>
      <c r="O103"/>
      <c r="P103"/>
      <c r="Q103"/>
    </row>
    <row r="104" spans="1:17" ht="28.8" x14ac:dyDescent="0.3">
      <c r="A104" s="19" t="s">
        <v>1028</v>
      </c>
      <c r="B104" s="19" t="s">
        <v>99</v>
      </c>
      <c r="C104" s="19" t="s">
        <v>1918</v>
      </c>
      <c r="D104" s="53"/>
      <c r="E104" s="54"/>
      <c r="F104" s="53">
        <v>2</v>
      </c>
      <c r="G104" s="54">
        <v>0</v>
      </c>
      <c r="H104" s="53"/>
      <c r="I104" s="55"/>
      <c r="J104"/>
      <c r="K104"/>
      <c r="L104"/>
      <c r="M104"/>
      <c r="N104"/>
      <c r="O104"/>
      <c r="P104"/>
      <c r="Q104"/>
    </row>
    <row r="105" spans="1:17" ht="28.8" x14ac:dyDescent="0.3">
      <c r="A105" s="19" t="s">
        <v>1029</v>
      </c>
      <c r="B105" s="19" t="s">
        <v>100</v>
      </c>
      <c r="C105" s="19" t="s">
        <v>1918</v>
      </c>
      <c r="D105" s="53"/>
      <c r="E105" s="54"/>
      <c r="F105" s="53">
        <v>12</v>
      </c>
      <c r="G105" s="54">
        <v>0</v>
      </c>
      <c r="H105" s="53"/>
      <c r="I105" s="55"/>
      <c r="J105"/>
      <c r="K105"/>
      <c r="L105"/>
      <c r="M105"/>
      <c r="N105"/>
      <c r="O105"/>
      <c r="P105"/>
      <c r="Q105"/>
    </row>
    <row r="106" spans="1:17" ht="28.8" x14ac:dyDescent="0.3">
      <c r="A106" s="19" t="s">
        <v>1030</v>
      </c>
      <c r="B106" s="19" t="s">
        <v>101</v>
      </c>
      <c r="C106" s="19" t="s">
        <v>1918</v>
      </c>
      <c r="D106" s="53"/>
      <c r="E106" s="54"/>
      <c r="F106" s="53">
        <v>4</v>
      </c>
      <c r="G106" s="54">
        <v>0</v>
      </c>
      <c r="H106" s="53"/>
      <c r="I106" s="55"/>
      <c r="J106"/>
      <c r="K106"/>
      <c r="L106"/>
      <c r="M106"/>
      <c r="N106"/>
      <c r="O106"/>
      <c r="P106"/>
      <c r="Q106"/>
    </row>
    <row r="107" spans="1:17" ht="28.8" x14ac:dyDescent="0.3">
      <c r="A107" s="19" t="s">
        <v>1031</v>
      </c>
      <c r="B107" s="19" t="s">
        <v>2458</v>
      </c>
      <c r="C107" s="19" t="s">
        <v>1918</v>
      </c>
      <c r="D107" s="53"/>
      <c r="E107" s="54"/>
      <c r="F107" s="53">
        <v>5</v>
      </c>
      <c r="G107" s="54">
        <v>0</v>
      </c>
      <c r="H107" s="53"/>
      <c r="I107" s="55"/>
      <c r="J107"/>
      <c r="K107"/>
      <c r="L107"/>
      <c r="M107"/>
      <c r="N107"/>
      <c r="O107"/>
      <c r="P107"/>
      <c r="Q107"/>
    </row>
    <row r="108" spans="1:17" ht="28.8" x14ac:dyDescent="0.3">
      <c r="A108" s="19" t="s">
        <v>1032</v>
      </c>
      <c r="B108" s="19" t="s">
        <v>102</v>
      </c>
      <c r="C108" s="19" t="s">
        <v>1918</v>
      </c>
      <c r="D108" s="53"/>
      <c r="E108" s="54"/>
      <c r="F108" s="53">
        <v>11</v>
      </c>
      <c r="G108" s="54">
        <v>0</v>
      </c>
      <c r="H108" s="53"/>
      <c r="I108" s="55"/>
      <c r="J108"/>
      <c r="K108"/>
      <c r="L108"/>
      <c r="M108"/>
      <c r="N108"/>
      <c r="O108"/>
      <c r="P108"/>
      <c r="Q108"/>
    </row>
    <row r="109" spans="1:17" ht="15.6" x14ac:dyDescent="0.3">
      <c r="A109" s="19" t="s">
        <v>1033</v>
      </c>
      <c r="B109" s="19" t="s">
        <v>2338</v>
      </c>
      <c r="C109" s="19" t="s">
        <v>1918</v>
      </c>
      <c r="D109" s="53"/>
      <c r="E109" s="54"/>
      <c r="F109" s="53">
        <v>291</v>
      </c>
      <c r="G109" s="54">
        <v>0</v>
      </c>
      <c r="H109" s="53"/>
      <c r="I109" s="55"/>
      <c r="J109"/>
      <c r="K109"/>
      <c r="L109"/>
      <c r="M109"/>
      <c r="N109"/>
      <c r="O109"/>
      <c r="P109"/>
      <c r="Q109"/>
    </row>
    <row r="110" spans="1:17" ht="15.6" x14ac:dyDescent="0.3">
      <c r="A110" s="19" t="s">
        <v>1034</v>
      </c>
      <c r="B110" s="19" t="s">
        <v>103</v>
      </c>
      <c r="C110" s="19" t="s">
        <v>1918</v>
      </c>
      <c r="D110" s="53"/>
      <c r="E110" s="54"/>
      <c r="F110" s="53">
        <v>3</v>
      </c>
      <c r="G110" s="54">
        <v>0</v>
      </c>
      <c r="H110" s="53"/>
      <c r="I110" s="55"/>
      <c r="J110"/>
      <c r="K110"/>
      <c r="L110"/>
      <c r="M110"/>
      <c r="N110"/>
      <c r="O110"/>
      <c r="P110"/>
      <c r="Q110"/>
    </row>
    <row r="111" spans="1:17" ht="15.6" x14ac:dyDescent="0.3">
      <c r="A111" s="19" t="s">
        <v>1035</v>
      </c>
      <c r="B111" s="19" t="s">
        <v>2340</v>
      </c>
      <c r="C111" s="19" t="s">
        <v>1918</v>
      </c>
      <c r="D111" s="53"/>
      <c r="E111" s="54"/>
      <c r="F111" s="53">
        <v>1</v>
      </c>
      <c r="G111" s="54">
        <v>0</v>
      </c>
      <c r="H111" s="53"/>
      <c r="I111" s="55"/>
      <c r="J111"/>
      <c r="K111"/>
      <c r="L111"/>
      <c r="M111"/>
      <c r="N111"/>
      <c r="O111"/>
      <c r="P111"/>
      <c r="Q111"/>
    </row>
    <row r="112" spans="1:17" ht="15.6" x14ac:dyDescent="0.3">
      <c r="A112" s="19" t="s">
        <v>1036</v>
      </c>
      <c r="B112" s="19" t="s">
        <v>2459</v>
      </c>
      <c r="C112" s="19" t="s">
        <v>1918</v>
      </c>
      <c r="D112" s="53"/>
      <c r="E112" s="54"/>
      <c r="F112" s="53">
        <v>2</v>
      </c>
      <c r="G112" s="54">
        <v>0</v>
      </c>
      <c r="H112" s="53"/>
      <c r="I112" s="55"/>
      <c r="J112"/>
      <c r="K112"/>
      <c r="L112"/>
      <c r="M112"/>
      <c r="N112"/>
      <c r="O112"/>
      <c r="P112"/>
      <c r="Q112"/>
    </row>
    <row r="113" spans="1:17" ht="15.6" x14ac:dyDescent="0.3">
      <c r="A113" s="19" t="s">
        <v>1037</v>
      </c>
      <c r="B113" s="19" t="s">
        <v>2460</v>
      </c>
      <c r="C113" s="19" t="s">
        <v>1918</v>
      </c>
      <c r="D113" s="53"/>
      <c r="E113" s="54"/>
      <c r="F113" s="53">
        <v>4</v>
      </c>
      <c r="G113" s="54">
        <v>0</v>
      </c>
      <c r="H113" s="53"/>
      <c r="I113" s="55"/>
      <c r="J113"/>
      <c r="K113"/>
      <c r="L113"/>
      <c r="M113"/>
      <c r="N113"/>
      <c r="O113"/>
      <c r="P113"/>
      <c r="Q113"/>
    </row>
    <row r="114" spans="1:17" ht="28.8" x14ac:dyDescent="0.3">
      <c r="A114" s="19" t="s">
        <v>1038</v>
      </c>
      <c r="B114" s="19" t="s">
        <v>104</v>
      </c>
      <c r="C114" s="19" t="s">
        <v>1918</v>
      </c>
      <c r="D114" s="53"/>
      <c r="E114" s="54"/>
      <c r="F114" s="53">
        <v>10</v>
      </c>
      <c r="G114" s="54">
        <v>0</v>
      </c>
      <c r="H114" s="53"/>
      <c r="I114" s="55"/>
      <c r="J114"/>
      <c r="K114"/>
      <c r="L114"/>
      <c r="M114"/>
      <c r="N114"/>
      <c r="O114"/>
      <c r="P114"/>
      <c r="Q114"/>
    </row>
    <row r="115" spans="1:17" ht="28.8" x14ac:dyDescent="0.3">
      <c r="A115" s="19" t="s">
        <v>1039</v>
      </c>
      <c r="B115" s="19" t="s">
        <v>105</v>
      </c>
      <c r="C115" s="19" t="s">
        <v>1918</v>
      </c>
      <c r="D115" s="53"/>
      <c r="E115" s="54"/>
      <c r="F115" s="53">
        <v>8</v>
      </c>
      <c r="G115" s="54">
        <v>0</v>
      </c>
      <c r="H115" s="53"/>
      <c r="I115" s="55"/>
      <c r="J115"/>
      <c r="K115"/>
      <c r="L115"/>
      <c r="M115"/>
      <c r="N115"/>
      <c r="O115"/>
      <c r="P115"/>
      <c r="Q115"/>
    </row>
    <row r="116" spans="1:17" ht="28.8" x14ac:dyDescent="0.3">
      <c r="A116" s="19" t="s">
        <v>1040</v>
      </c>
      <c r="B116" s="19" t="s">
        <v>106</v>
      </c>
      <c r="C116" s="19" t="s">
        <v>1918</v>
      </c>
      <c r="D116" s="53"/>
      <c r="E116" s="54"/>
      <c r="F116" s="53">
        <v>8</v>
      </c>
      <c r="G116" s="54">
        <v>0</v>
      </c>
      <c r="H116" s="53"/>
      <c r="I116" s="55"/>
      <c r="J116"/>
      <c r="K116"/>
      <c r="L116"/>
      <c r="M116"/>
      <c r="N116"/>
      <c r="O116"/>
      <c r="P116"/>
      <c r="Q116"/>
    </row>
    <row r="117" spans="1:17" ht="28.8" x14ac:dyDescent="0.3">
      <c r="A117" s="19" t="s">
        <v>1041</v>
      </c>
      <c r="B117" s="19" t="s">
        <v>107</v>
      </c>
      <c r="C117" s="19" t="s">
        <v>1918</v>
      </c>
      <c r="D117" s="53"/>
      <c r="E117" s="54"/>
      <c r="F117" s="53">
        <v>3</v>
      </c>
      <c r="G117" s="54">
        <v>0</v>
      </c>
      <c r="H117" s="53"/>
      <c r="I117" s="55"/>
      <c r="J117"/>
      <c r="K117"/>
      <c r="L117"/>
      <c r="M117"/>
      <c r="N117"/>
      <c r="O117"/>
      <c r="P117"/>
      <c r="Q117"/>
    </row>
    <row r="118" spans="1:17" ht="15.6" x14ac:dyDescent="0.3">
      <c r="A118" s="19" t="s">
        <v>1042</v>
      </c>
      <c r="B118" s="19" t="s">
        <v>108</v>
      </c>
      <c r="C118" s="19" t="s">
        <v>1918</v>
      </c>
      <c r="D118" s="53"/>
      <c r="E118" s="54"/>
      <c r="F118" s="53">
        <v>3</v>
      </c>
      <c r="G118" s="54">
        <v>0</v>
      </c>
      <c r="H118" s="53"/>
      <c r="I118" s="55"/>
      <c r="J118"/>
      <c r="K118"/>
      <c r="L118"/>
      <c r="M118"/>
      <c r="N118"/>
      <c r="O118"/>
      <c r="P118"/>
      <c r="Q118"/>
    </row>
    <row r="119" spans="1:17" ht="28.8" x14ac:dyDescent="0.3">
      <c r="A119" s="19" t="s">
        <v>1043</v>
      </c>
      <c r="B119" s="19" t="s">
        <v>109</v>
      </c>
      <c r="C119" s="19" t="s">
        <v>1918</v>
      </c>
      <c r="D119" s="53"/>
      <c r="E119" s="54"/>
      <c r="F119" s="53">
        <v>1</v>
      </c>
      <c r="G119" s="54">
        <v>0</v>
      </c>
      <c r="H119" s="53"/>
      <c r="I119" s="55"/>
      <c r="J119"/>
      <c r="K119"/>
      <c r="L119"/>
      <c r="M119"/>
      <c r="N119"/>
      <c r="O119"/>
      <c r="P119"/>
      <c r="Q119"/>
    </row>
    <row r="120" spans="1:17" ht="15.6" x14ac:dyDescent="0.3">
      <c r="A120" s="19" t="s">
        <v>1044</v>
      </c>
      <c r="B120" s="19" t="s">
        <v>110</v>
      </c>
      <c r="C120" s="19" t="s">
        <v>1918</v>
      </c>
      <c r="D120" s="53"/>
      <c r="E120" s="54"/>
      <c r="F120" s="53">
        <v>1</v>
      </c>
      <c r="G120" s="54">
        <v>0</v>
      </c>
      <c r="H120" s="53"/>
      <c r="I120" s="55"/>
      <c r="J120"/>
      <c r="K120"/>
      <c r="L120"/>
      <c r="M120"/>
      <c r="N120"/>
      <c r="O120"/>
      <c r="P120"/>
      <c r="Q120"/>
    </row>
    <row r="121" spans="1:17" ht="15.6" x14ac:dyDescent="0.3">
      <c r="A121" s="19" t="s">
        <v>1045</v>
      </c>
      <c r="B121" s="19" t="s">
        <v>111</v>
      </c>
      <c r="C121" s="19" t="s">
        <v>1918</v>
      </c>
      <c r="D121" s="53"/>
      <c r="E121" s="54"/>
      <c r="F121" s="53">
        <v>10</v>
      </c>
      <c r="G121" s="54">
        <v>0</v>
      </c>
      <c r="H121" s="53"/>
      <c r="I121" s="55"/>
      <c r="J121"/>
      <c r="K121"/>
      <c r="L121"/>
      <c r="M121"/>
      <c r="N121"/>
      <c r="O121"/>
      <c r="P121"/>
      <c r="Q121"/>
    </row>
    <row r="122" spans="1:17" ht="15.6" x14ac:dyDescent="0.3">
      <c r="A122" s="19" t="s">
        <v>1046</v>
      </c>
      <c r="B122" s="19" t="s">
        <v>112</v>
      </c>
      <c r="C122" s="19" t="s">
        <v>1918</v>
      </c>
      <c r="D122" s="53"/>
      <c r="E122" s="54"/>
      <c r="F122" s="53">
        <v>1</v>
      </c>
      <c r="G122" s="54">
        <v>0</v>
      </c>
      <c r="H122" s="53"/>
      <c r="I122" s="55"/>
      <c r="J122"/>
      <c r="K122"/>
      <c r="L122"/>
      <c r="M122"/>
      <c r="N122"/>
      <c r="O122"/>
      <c r="P122"/>
      <c r="Q122"/>
    </row>
    <row r="123" spans="1:17" ht="28.8" x14ac:dyDescent="0.3">
      <c r="A123" s="19" t="s">
        <v>1047</v>
      </c>
      <c r="B123" s="19" t="s">
        <v>113</v>
      </c>
      <c r="C123" s="19" t="s">
        <v>1918</v>
      </c>
      <c r="D123" s="53"/>
      <c r="E123" s="54"/>
      <c r="F123" s="53">
        <v>1</v>
      </c>
      <c r="G123" s="54">
        <v>0</v>
      </c>
      <c r="H123" s="53"/>
      <c r="I123" s="55"/>
      <c r="J123"/>
      <c r="K123"/>
      <c r="L123"/>
      <c r="M123"/>
      <c r="N123"/>
      <c r="O123"/>
      <c r="P123"/>
      <c r="Q123"/>
    </row>
    <row r="124" spans="1:17" ht="28.8" x14ac:dyDescent="0.3">
      <c r="A124" s="19" t="s">
        <v>1048</v>
      </c>
      <c r="B124" s="19" t="s">
        <v>114</v>
      </c>
      <c r="C124" s="19" t="s">
        <v>1918</v>
      </c>
      <c r="D124" s="53"/>
      <c r="E124" s="54"/>
      <c r="F124" s="53">
        <v>1</v>
      </c>
      <c r="G124" s="54">
        <v>0</v>
      </c>
      <c r="H124" s="53"/>
      <c r="I124" s="55"/>
      <c r="J124"/>
      <c r="K124"/>
      <c r="L124"/>
      <c r="M124"/>
      <c r="N124"/>
      <c r="O124"/>
      <c r="P124"/>
      <c r="Q124"/>
    </row>
    <row r="125" spans="1:17" ht="28.8" x14ac:dyDescent="0.3">
      <c r="A125" s="19" t="s">
        <v>1049</v>
      </c>
      <c r="B125" s="19" t="s">
        <v>115</v>
      </c>
      <c r="C125" s="19" t="s">
        <v>1918</v>
      </c>
      <c r="D125" s="53"/>
      <c r="E125" s="54"/>
      <c r="F125" s="53">
        <v>1</v>
      </c>
      <c r="G125" s="54">
        <v>0</v>
      </c>
      <c r="H125" s="53"/>
      <c r="I125" s="55"/>
      <c r="J125"/>
      <c r="K125"/>
      <c r="L125"/>
      <c r="M125"/>
      <c r="N125"/>
      <c r="O125"/>
      <c r="P125"/>
      <c r="Q125"/>
    </row>
    <row r="126" spans="1:17" ht="15.6" x14ac:dyDescent="0.3">
      <c r="A126" s="19" t="s">
        <v>1050</v>
      </c>
      <c r="B126" s="19" t="s">
        <v>116</v>
      </c>
      <c r="C126" s="19" t="s">
        <v>1918</v>
      </c>
      <c r="D126" s="53"/>
      <c r="E126" s="54"/>
      <c r="F126" s="53">
        <v>1</v>
      </c>
      <c r="G126" s="54">
        <v>0</v>
      </c>
      <c r="H126" s="53"/>
      <c r="I126" s="55"/>
      <c r="J126"/>
      <c r="K126"/>
      <c r="L126"/>
      <c r="M126"/>
      <c r="N126"/>
      <c r="O126"/>
      <c r="P126"/>
      <c r="Q126"/>
    </row>
    <row r="127" spans="1:17" ht="28.8" x14ac:dyDescent="0.3">
      <c r="A127" s="19" t="s">
        <v>1051</v>
      </c>
      <c r="B127" s="19" t="s">
        <v>117</v>
      </c>
      <c r="C127" s="19" t="s">
        <v>1918</v>
      </c>
      <c r="D127" s="53"/>
      <c r="E127" s="54"/>
      <c r="F127" s="53">
        <v>1</v>
      </c>
      <c r="G127" s="54">
        <v>0</v>
      </c>
      <c r="H127" s="53"/>
      <c r="I127" s="55"/>
      <c r="J127"/>
      <c r="K127"/>
      <c r="L127"/>
      <c r="M127"/>
      <c r="N127"/>
      <c r="O127"/>
      <c r="P127"/>
      <c r="Q127"/>
    </row>
    <row r="128" spans="1:17" ht="28.8" x14ac:dyDescent="0.3">
      <c r="A128" s="19" t="s">
        <v>1052</v>
      </c>
      <c r="B128" s="19" t="s">
        <v>118</v>
      </c>
      <c r="C128" s="19" t="s">
        <v>1918</v>
      </c>
      <c r="D128" s="53"/>
      <c r="E128" s="54"/>
      <c r="F128" s="53">
        <v>1</v>
      </c>
      <c r="G128" s="54">
        <v>0</v>
      </c>
      <c r="H128" s="53"/>
      <c r="I128" s="55"/>
      <c r="J128"/>
      <c r="K128"/>
      <c r="L128"/>
      <c r="M128"/>
      <c r="N128"/>
      <c r="O128"/>
      <c r="P128"/>
      <c r="Q128"/>
    </row>
    <row r="129" spans="1:17" ht="15.6" x14ac:dyDescent="0.3">
      <c r="A129" s="19" t="s">
        <v>1053</v>
      </c>
      <c r="B129" s="19" t="s">
        <v>119</v>
      </c>
      <c r="C129" s="19" t="s">
        <v>1918</v>
      </c>
      <c r="D129" s="53"/>
      <c r="E129" s="54"/>
      <c r="F129" s="53">
        <v>1</v>
      </c>
      <c r="G129" s="54">
        <v>0</v>
      </c>
      <c r="H129" s="53"/>
      <c r="I129" s="55"/>
      <c r="J129"/>
      <c r="K129"/>
      <c r="L129"/>
      <c r="M129"/>
      <c r="N129"/>
      <c r="O129"/>
      <c r="P129"/>
      <c r="Q129"/>
    </row>
    <row r="130" spans="1:17" ht="28.8" x14ac:dyDescent="0.3">
      <c r="A130" s="19" t="s">
        <v>1054</v>
      </c>
      <c r="B130" s="19" t="s">
        <v>120</v>
      </c>
      <c r="C130" s="19" t="s">
        <v>1918</v>
      </c>
      <c r="D130" s="53"/>
      <c r="E130" s="54"/>
      <c r="F130" s="53">
        <v>1</v>
      </c>
      <c r="G130" s="54">
        <v>0</v>
      </c>
      <c r="H130" s="53"/>
      <c r="I130" s="55"/>
      <c r="J130"/>
      <c r="K130"/>
      <c r="L130"/>
      <c r="M130"/>
      <c r="N130"/>
      <c r="O130"/>
      <c r="P130"/>
      <c r="Q130"/>
    </row>
    <row r="131" spans="1:17" ht="15.6" x14ac:dyDescent="0.3">
      <c r="A131" s="19" t="s">
        <v>1055</v>
      </c>
      <c r="B131" s="19" t="s">
        <v>121</v>
      </c>
      <c r="C131" s="19" t="s">
        <v>1918</v>
      </c>
      <c r="D131" s="53"/>
      <c r="E131" s="54"/>
      <c r="F131" s="53">
        <v>1</v>
      </c>
      <c r="G131" s="54">
        <v>0</v>
      </c>
      <c r="H131" s="53"/>
      <c r="I131" s="55"/>
      <c r="J131"/>
      <c r="K131"/>
      <c r="L131"/>
      <c r="M131"/>
      <c r="N131"/>
      <c r="O131"/>
      <c r="P131"/>
      <c r="Q131"/>
    </row>
    <row r="132" spans="1:17" ht="15.6" x14ac:dyDescent="0.3">
      <c r="A132" s="19" t="s">
        <v>1056</v>
      </c>
      <c r="B132" s="19" t="s">
        <v>122</v>
      </c>
      <c r="C132" s="19" t="s">
        <v>1918</v>
      </c>
      <c r="D132" s="53"/>
      <c r="E132" s="54"/>
      <c r="F132" s="53">
        <v>1</v>
      </c>
      <c r="G132" s="54">
        <v>0</v>
      </c>
      <c r="H132" s="53"/>
      <c r="I132" s="55"/>
      <c r="J132"/>
      <c r="K132"/>
      <c r="L132"/>
      <c r="M132"/>
      <c r="N132"/>
      <c r="O132"/>
      <c r="P132"/>
      <c r="Q132"/>
    </row>
    <row r="133" spans="1:17" ht="28.8" x14ac:dyDescent="0.3">
      <c r="A133" s="19" t="s">
        <v>1057</v>
      </c>
      <c r="B133" s="19" t="s">
        <v>123</v>
      </c>
      <c r="C133" s="19" t="s">
        <v>1918</v>
      </c>
      <c r="D133" s="53"/>
      <c r="E133" s="54"/>
      <c r="F133" s="53">
        <v>1</v>
      </c>
      <c r="G133" s="54">
        <v>0</v>
      </c>
      <c r="H133" s="53"/>
      <c r="I133" s="55"/>
      <c r="J133"/>
      <c r="K133"/>
      <c r="L133"/>
      <c r="M133"/>
      <c r="N133"/>
      <c r="O133"/>
      <c r="P133"/>
      <c r="Q133"/>
    </row>
    <row r="134" spans="1:17" ht="15.6" x14ac:dyDescent="0.3">
      <c r="A134" s="19" t="s">
        <v>1058</v>
      </c>
      <c r="B134" s="19" t="s">
        <v>124</v>
      </c>
      <c r="C134" s="19" t="s">
        <v>1918</v>
      </c>
      <c r="D134" s="53"/>
      <c r="E134" s="54"/>
      <c r="F134" s="53">
        <v>2</v>
      </c>
      <c r="G134" s="54">
        <v>0</v>
      </c>
      <c r="H134" s="53"/>
      <c r="I134" s="55"/>
      <c r="J134"/>
      <c r="K134"/>
      <c r="L134"/>
      <c r="M134"/>
      <c r="N134"/>
      <c r="O134"/>
      <c r="P134"/>
      <c r="Q134"/>
    </row>
    <row r="135" spans="1:17" ht="15.6" x14ac:dyDescent="0.3">
      <c r="A135" s="19" t="s">
        <v>1059</v>
      </c>
      <c r="B135" s="19" t="s">
        <v>125</v>
      </c>
      <c r="C135" s="19" t="s">
        <v>1918</v>
      </c>
      <c r="D135" s="53"/>
      <c r="E135" s="54"/>
      <c r="F135" s="53">
        <v>2</v>
      </c>
      <c r="G135" s="54">
        <v>0</v>
      </c>
      <c r="H135" s="53"/>
      <c r="I135" s="55"/>
      <c r="J135"/>
      <c r="K135"/>
      <c r="L135"/>
      <c r="M135"/>
      <c r="N135"/>
      <c r="O135"/>
      <c r="P135"/>
      <c r="Q135"/>
    </row>
    <row r="136" spans="1:17" ht="28.8" x14ac:dyDescent="0.3">
      <c r="A136" s="19" t="s">
        <v>1060</v>
      </c>
      <c r="B136" s="19" t="s">
        <v>126</v>
      </c>
      <c r="C136" s="19" t="s">
        <v>1918</v>
      </c>
      <c r="D136" s="53"/>
      <c r="E136" s="54"/>
      <c r="F136" s="53">
        <v>1</v>
      </c>
      <c r="G136" s="54">
        <v>0</v>
      </c>
      <c r="H136" s="53"/>
      <c r="I136" s="55"/>
      <c r="J136"/>
      <c r="K136"/>
      <c r="L136"/>
      <c r="M136"/>
      <c r="N136"/>
      <c r="O136"/>
      <c r="P136"/>
      <c r="Q136"/>
    </row>
    <row r="137" spans="1:17" ht="15.6" x14ac:dyDescent="0.3">
      <c r="A137" s="47" t="s">
        <v>1061</v>
      </c>
      <c r="B137" s="47" t="s">
        <v>127</v>
      </c>
      <c r="C137" s="19" t="s">
        <v>903</v>
      </c>
      <c r="D137" s="53"/>
      <c r="E137" s="54"/>
      <c r="F137" s="53"/>
      <c r="G137" s="54"/>
      <c r="H137" s="53">
        <v>1</v>
      </c>
      <c r="I137" s="55">
        <v>0</v>
      </c>
      <c r="J137"/>
      <c r="K137"/>
      <c r="L137"/>
      <c r="M137"/>
      <c r="N137"/>
      <c r="O137"/>
      <c r="P137"/>
      <c r="Q137"/>
    </row>
    <row r="138" spans="1:17" ht="15.6" x14ac:dyDescent="0.3">
      <c r="A138" s="48" t="s">
        <v>1061</v>
      </c>
      <c r="B138" s="48" t="s">
        <v>127</v>
      </c>
      <c r="C138" s="23" t="s">
        <v>1918</v>
      </c>
      <c r="D138" s="56"/>
      <c r="E138" s="51"/>
      <c r="F138" s="56">
        <v>1</v>
      </c>
      <c r="G138" s="51">
        <v>0</v>
      </c>
      <c r="H138" s="56"/>
      <c r="I138" s="57"/>
      <c r="J138"/>
      <c r="K138"/>
      <c r="L138"/>
      <c r="M138"/>
      <c r="N138"/>
      <c r="O138"/>
      <c r="P138"/>
      <c r="Q138"/>
    </row>
    <row r="139" spans="1:17" ht="15.6" x14ac:dyDescent="0.3">
      <c r="A139" s="48" t="s">
        <v>1061</v>
      </c>
      <c r="B139" s="48" t="s">
        <v>127</v>
      </c>
      <c r="C139" s="23" t="s">
        <v>904</v>
      </c>
      <c r="D139" s="56"/>
      <c r="E139" s="51"/>
      <c r="F139" s="56">
        <v>0</v>
      </c>
      <c r="G139" s="51">
        <v>1</v>
      </c>
      <c r="H139" s="56"/>
      <c r="I139" s="57"/>
      <c r="J139"/>
      <c r="K139"/>
      <c r="L139"/>
      <c r="M139"/>
      <c r="N139"/>
      <c r="O139"/>
      <c r="P139"/>
      <c r="Q139"/>
    </row>
    <row r="140" spans="1:17" ht="15.6" x14ac:dyDescent="0.3">
      <c r="A140" s="47" t="s">
        <v>1062</v>
      </c>
      <c r="B140" s="47" t="s">
        <v>128</v>
      </c>
      <c r="C140" s="19" t="s">
        <v>903</v>
      </c>
      <c r="D140" s="53"/>
      <c r="E140" s="54"/>
      <c r="F140" s="53"/>
      <c r="G140" s="54"/>
      <c r="H140" s="53">
        <v>1</v>
      </c>
      <c r="I140" s="55">
        <v>0</v>
      </c>
      <c r="J140"/>
      <c r="K140"/>
      <c r="L140"/>
      <c r="M140"/>
      <c r="N140"/>
      <c r="O140"/>
      <c r="P140"/>
      <c r="Q140"/>
    </row>
    <row r="141" spans="1:17" ht="15.6" x14ac:dyDescent="0.3">
      <c r="A141" s="48" t="s">
        <v>1062</v>
      </c>
      <c r="B141" s="48" t="s">
        <v>128</v>
      </c>
      <c r="C141" s="23" t="s">
        <v>1918</v>
      </c>
      <c r="D141" s="56"/>
      <c r="E141" s="51"/>
      <c r="F141" s="56">
        <v>1</v>
      </c>
      <c r="G141" s="51">
        <v>0</v>
      </c>
      <c r="H141" s="56"/>
      <c r="I141" s="57"/>
      <c r="J141"/>
      <c r="K141"/>
      <c r="L141"/>
      <c r="M141"/>
      <c r="N141"/>
      <c r="O141"/>
      <c r="P141"/>
      <c r="Q141"/>
    </row>
    <row r="142" spans="1:17" ht="15.6" x14ac:dyDescent="0.3">
      <c r="A142" s="48" t="s">
        <v>1062</v>
      </c>
      <c r="B142" s="48" t="s">
        <v>128</v>
      </c>
      <c r="C142" s="23" t="s">
        <v>904</v>
      </c>
      <c r="D142" s="56"/>
      <c r="E142" s="51"/>
      <c r="F142" s="56">
        <v>0</v>
      </c>
      <c r="G142" s="51">
        <v>1</v>
      </c>
      <c r="H142" s="56"/>
      <c r="I142" s="57"/>
      <c r="J142"/>
      <c r="K142"/>
      <c r="L142"/>
      <c r="M142"/>
      <c r="N142"/>
      <c r="O142"/>
      <c r="P142"/>
      <c r="Q142"/>
    </row>
    <row r="143" spans="1:17" ht="28.8" x14ac:dyDescent="0.3">
      <c r="A143" s="19" t="s">
        <v>1063</v>
      </c>
      <c r="B143" s="19" t="s">
        <v>129</v>
      </c>
      <c r="C143" s="19" t="s">
        <v>1918</v>
      </c>
      <c r="D143" s="53"/>
      <c r="E143" s="54"/>
      <c r="F143" s="53">
        <v>1</v>
      </c>
      <c r="G143" s="54">
        <v>0</v>
      </c>
      <c r="H143" s="53"/>
      <c r="I143" s="55"/>
      <c r="J143"/>
      <c r="K143"/>
      <c r="L143"/>
      <c r="M143"/>
      <c r="N143"/>
      <c r="O143"/>
      <c r="P143"/>
      <c r="Q143"/>
    </row>
    <row r="144" spans="1:17" ht="15.6" x14ac:dyDescent="0.3">
      <c r="A144" s="47" t="s">
        <v>1064</v>
      </c>
      <c r="B144" s="47" t="s">
        <v>130</v>
      </c>
      <c r="C144" s="19" t="s">
        <v>903</v>
      </c>
      <c r="D144" s="53"/>
      <c r="E144" s="54"/>
      <c r="F144" s="53"/>
      <c r="G144" s="54"/>
      <c r="H144" s="53">
        <v>4</v>
      </c>
      <c r="I144" s="55">
        <v>0</v>
      </c>
      <c r="J144"/>
      <c r="K144"/>
      <c r="L144"/>
      <c r="M144"/>
      <c r="N144"/>
      <c r="O144"/>
      <c r="P144"/>
      <c r="Q144"/>
    </row>
    <row r="145" spans="1:17" ht="15.6" x14ac:dyDescent="0.3">
      <c r="A145" s="48" t="s">
        <v>1064</v>
      </c>
      <c r="B145" s="48" t="s">
        <v>130</v>
      </c>
      <c r="C145" s="23" t="s">
        <v>1918</v>
      </c>
      <c r="D145" s="56"/>
      <c r="E145" s="51"/>
      <c r="F145" s="56">
        <v>8</v>
      </c>
      <c r="G145" s="51">
        <v>0</v>
      </c>
      <c r="H145" s="56"/>
      <c r="I145" s="57"/>
      <c r="J145"/>
      <c r="K145"/>
      <c r="L145"/>
      <c r="M145"/>
      <c r="N145"/>
      <c r="O145"/>
      <c r="P145"/>
      <c r="Q145"/>
    </row>
    <row r="146" spans="1:17" ht="15.6" x14ac:dyDescent="0.3">
      <c r="A146" s="48" t="s">
        <v>1064</v>
      </c>
      <c r="B146" s="48" t="s">
        <v>130</v>
      </c>
      <c r="C146" s="23" t="s">
        <v>904</v>
      </c>
      <c r="D146" s="56"/>
      <c r="E146" s="51"/>
      <c r="F146" s="56">
        <v>0</v>
      </c>
      <c r="G146" s="51">
        <v>4</v>
      </c>
      <c r="H146" s="56"/>
      <c r="I146" s="57"/>
      <c r="J146"/>
      <c r="K146"/>
      <c r="L146"/>
      <c r="M146"/>
      <c r="N146"/>
      <c r="O146"/>
      <c r="P146"/>
      <c r="Q146"/>
    </row>
    <row r="147" spans="1:17" ht="15.6" x14ac:dyDescent="0.3">
      <c r="A147" s="19" t="s">
        <v>1065</v>
      </c>
      <c r="B147" s="19" t="s">
        <v>131</v>
      </c>
      <c r="C147" s="19" t="s">
        <v>1918</v>
      </c>
      <c r="D147" s="53"/>
      <c r="E147" s="54"/>
      <c r="F147" s="53">
        <v>2</v>
      </c>
      <c r="G147" s="54">
        <v>0</v>
      </c>
      <c r="H147" s="53"/>
      <c r="I147" s="55"/>
      <c r="J147"/>
      <c r="K147"/>
      <c r="L147"/>
      <c r="M147"/>
      <c r="N147"/>
      <c r="O147"/>
      <c r="P147"/>
      <c r="Q147"/>
    </row>
    <row r="148" spans="1:17" ht="15.6" x14ac:dyDescent="0.3">
      <c r="A148" s="19" t="s">
        <v>1066</v>
      </c>
      <c r="B148" s="19" t="s">
        <v>132</v>
      </c>
      <c r="C148" s="19" t="s">
        <v>1918</v>
      </c>
      <c r="D148" s="53"/>
      <c r="E148" s="54"/>
      <c r="F148" s="53">
        <v>2</v>
      </c>
      <c r="G148" s="54">
        <v>0</v>
      </c>
      <c r="H148" s="53"/>
      <c r="I148" s="55"/>
      <c r="J148"/>
      <c r="K148"/>
      <c r="L148"/>
      <c r="M148"/>
      <c r="N148"/>
      <c r="O148"/>
      <c r="P148"/>
      <c r="Q148"/>
    </row>
    <row r="149" spans="1:17" ht="15.6" x14ac:dyDescent="0.3">
      <c r="A149" s="19" t="s">
        <v>1067</v>
      </c>
      <c r="B149" s="19" t="s">
        <v>133</v>
      </c>
      <c r="C149" s="19" t="s">
        <v>1918</v>
      </c>
      <c r="D149" s="53"/>
      <c r="E149" s="54"/>
      <c r="F149" s="53">
        <v>1</v>
      </c>
      <c r="G149" s="54">
        <v>0</v>
      </c>
      <c r="H149" s="53"/>
      <c r="I149" s="55"/>
      <c r="J149"/>
      <c r="K149"/>
      <c r="L149"/>
      <c r="M149"/>
      <c r="N149"/>
      <c r="O149"/>
      <c r="P149"/>
      <c r="Q149"/>
    </row>
    <row r="150" spans="1:17" ht="28.8" x14ac:dyDescent="0.3">
      <c r="A150" s="19" t="s">
        <v>1068</v>
      </c>
      <c r="B150" s="19" t="s">
        <v>134</v>
      </c>
      <c r="C150" s="19" t="s">
        <v>1918</v>
      </c>
      <c r="D150" s="53"/>
      <c r="E150" s="54"/>
      <c r="F150" s="53">
        <v>1</v>
      </c>
      <c r="G150" s="54">
        <v>0</v>
      </c>
      <c r="H150" s="53"/>
      <c r="I150" s="55"/>
      <c r="J150"/>
      <c r="K150"/>
      <c r="L150"/>
      <c r="M150"/>
      <c r="N150"/>
      <c r="O150"/>
      <c r="P150"/>
      <c r="Q150"/>
    </row>
    <row r="151" spans="1:17" ht="28.8" x14ac:dyDescent="0.3">
      <c r="A151" s="19" t="s">
        <v>1069</v>
      </c>
      <c r="B151" s="19" t="s">
        <v>135</v>
      </c>
      <c r="C151" s="19" t="s">
        <v>1918</v>
      </c>
      <c r="D151" s="53"/>
      <c r="E151" s="54"/>
      <c r="F151" s="53">
        <v>1</v>
      </c>
      <c r="G151" s="54">
        <v>0</v>
      </c>
      <c r="H151" s="53"/>
      <c r="I151" s="55"/>
      <c r="J151"/>
      <c r="K151"/>
      <c r="L151"/>
      <c r="M151"/>
      <c r="N151"/>
      <c r="O151"/>
      <c r="P151"/>
      <c r="Q151"/>
    </row>
    <row r="152" spans="1:17" ht="15.6" x14ac:dyDescent="0.3">
      <c r="A152" s="19" t="s">
        <v>1070</v>
      </c>
      <c r="B152" s="19" t="s">
        <v>136</v>
      </c>
      <c r="C152" s="19" t="s">
        <v>1918</v>
      </c>
      <c r="D152" s="53"/>
      <c r="E152" s="54"/>
      <c r="F152" s="53">
        <v>1</v>
      </c>
      <c r="G152" s="54">
        <v>0</v>
      </c>
      <c r="H152" s="53"/>
      <c r="I152" s="55"/>
      <c r="J152"/>
      <c r="K152"/>
      <c r="L152"/>
      <c r="M152"/>
      <c r="N152"/>
      <c r="O152"/>
      <c r="P152"/>
      <c r="Q152"/>
    </row>
    <row r="153" spans="1:17" ht="28.8" x14ac:dyDescent="0.3">
      <c r="A153" s="19" t="s">
        <v>1071</v>
      </c>
      <c r="B153" s="19" t="s">
        <v>137</v>
      </c>
      <c r="C153" s="19" t="s">
        <v>1918</v>
      </c>
      <c r="D153" s="53"/>
      <c r="E153" s="54"/>
      <c r="F153" s="53">
        <v>2</v>
      </c>
      <c r="G153" s="54">
        <v>0</v>
      </c>
      <c r="H153" s="53"/>
      <c r="I153" s="55"/>
      <c r="J153"/>
      <c r="K153"/>
      <c r="L153"/>
      <c r="M153"/>
      <c r="N153"/>
      <c r="O153"/>
      <c r="P153"/>
      <c r="Q153"/>
    </row>
    <row r="154" spans="1:17" ht="28.8" x14ac:dyDescent="0.3">
      <c r="A154" s="19" t="s">
        <v>1072</v>
      </c>
      <c r="B154" s="19" t="s">
        <v>138</v>
      </c>
      <c r="C154" s="19" t="s">
        <v>1918</v>
      </c>
      <c r="D154" s="53"/>
      <c r="E154" s="54"/>
      <c r="F154" s="53">
        <v>1</v>
      </c>
      <c r="G154" s="54">
        <v>0</v>
      </c>
      <c r="H154" s="53"/>
      <c r="I154" s="55"/>
      <c r="J154"/>
      <c r="K154"/>
      <c r="L154"/>
      <c r="M154"/>
      <c r="N154"/>
      <c r="O154"/>
      <c r="P154"/>
      <c r="Q154"/>
    </row>
    <row r="155" spans="1:17" ht="15.6" x14ac:dyDescent="0.3">
      <c r="A155" s="19" t="s">
        <v>1073</v>
      </c>
      <c r="B155" s="19" t="s">
        <v>139</v>
      </c>
      <c r="C155" s="19" t="s">
        <v>1918</v>
      </c>
      <c r="D155" s="53"/>
      <c r="E155" s="54"/>
      <c r="F155" s="53">
        <v>1</v>
      </c>
      <c r="G155" s="54">
        <v>0</v>
      </c>
      <c r="H155" s="53"/>
      <c r="I155" s="55"/>
      <c r="J155"/>
      <c r="K155"/>
      <c r="L155"/>
      <c r="M155"/>
      <c r="N155"/>
      <c r="O155"/>
      <c r="P155"/>
      <c r="Q155"/>
    </row>
    <row r="156" spans="1:17" ht="15.6" x14ac:dyDescent="0.3">
      <c r="A156" s="19" t="s">
        <v>1074</v>
      </c>
      <c r="B156" s="19" t="s">
        <v>140</v>
      </c>
      <c r="C156" s="19" t="s">
        <v>1918</v>
      </c>
      <c r="D156" s="53"/>
      <c r="E156" s="54"/>
      <c r="F156" s="53">
        <v>1</v>
      </c>
      <c r="G156" s="54">
        <v>0</v>
      </c>
      <c r="H156" s="53"/>
      <c r="I156" s="55"/>
      <c r="J156"/>
      <c r="K156"/>
      <c r="L156"/>
      <c r="M156"/>
      <c r="N156"/>
      <c r="O156"/>
      <c r="P156"/>
      <c r="Q156"/>
    </row>
    <row r="157" spans="1:17" ht="15.6" x14ac:dyDescent="0.3">
      <c r="A157" s="19" t="s">
        <v>1075</v>
      </c>
      <c r="B157" s="19" t="s">
        <v>141</v>
      </c>
      <c r="C157" s="19" t="s">
        <v>1918</v>
      </c>
      <c r="D157" s="53"/>
      <c r="E157" s="54"/>
      <c r="F157" s="53">
        <v>1</v>
      </c>
      <c r="G157" s="54">
        <v>0</v>
      </c>
      <c r="H157" s="53"/>
      <c r="I157" s="55"/>
      <c r="J157"/>
      <c r="K157"/>
      <c r="L157"/>
      <c r="M157"/>
      <c r="N157"/>
      <c r="O157"/>
      <c r="P157"/>
      <c r="Q157"/>
    </row>
    <row r="158" spans="1:17" ht="15.6" x14ac:dyDescent="0.3">
      <c r="A158" s="19" t="s">
        <v>1076</v>
      </c>
      <c r="B158" s="19" t="s">
        <v>142</v>
      </c>
      <c r="C158" s="19" t="s">
        <v>1918</v>
      </c>
      <c r="D158" s="53"/>
      <c r="E158" s="54"/>
      <c r="F158" s="53">
        <v>1</v>
      </c>
      <c r="G158" s="54">
        <v>0</v>
      </c>
      <c r="H158" s="53"/>
      <c r="I158" s="55"/>
      <c r="J158"/>
      <c r="K158"/>
      <c r="L158"/>
      <c r="M158"/>
      <c r="N158"/>
      <c r="O158"/>
      <c r="P158"/>
      <c r="Q158"/>
    </row>
    <row r="159" spans="1:17" ht="15.6" x14ac:dyDescent="0.3">
      <c r="A159" s="19" t="s">
        <v>1077</v>
      </c>
      <c r="B159" s="19" t="s">
        <v>143</v>
      </c>
      <c r="C159" s="19" t="s">
        <v>1918</v>
      </c>
      <c r="D159" s="53"/>
      <c r="E159" s="54"/>
      <c r="F159" s="53">
        <v>1</v>
      </c>
      <c r="G159" s="54">
        <v>0</v>
      </c>
      <c r="H159" s="53"/>
      <c r="I159" s="55"/>
      <c r="J159"/>
      <c r="K159"/>
      <c r="L159"/>
      <c r="M159"/>
      <c r="N159"/>
      <c r="O159"/>
      <c r="P159"/>
      <c r="Q159"/>
    </row>
    <row r="160" spans="1:17" ht="15.6" x14ac:dyDescent="0.3">
      <c r="A160" s="19" t="s">
        <v>1078</v>
      </c>
      <c r="B160" s="19" t="s">
        <v>144</v>
      </c>
      <c r="C160" s="19" t="s">
        <v>1918</v>
      </c>
      <c r="D160" s="53"/>
      <c r="E160" s="54"/>
      <c r="F160" s="53">
        <v>1</v>
      </c>
      <c r="G160" s="54">
        <v>0</v>
      </c>
      <c r="H160" s="53"/>
      <c r="I160" s="55"/>
      <c r="J160"/>
      <c r="K160"/>
      <c r="L160"/>
      <c r="M160"/>
      <c r="N160"/>
      <c r="O160"/>
      <c r="P160"/>
      <c r="Q160"/>
    </row>
    <row r="161" spans="1:17" ht="28.8" x14ac:dyDescent="0.3">
      <c r="A161" s="19" t="s">
        <v>1079</v>
      </c>
      <c r="B161" s="19" t="s">
        <v>145</v>
      </c>
      <c r="C161" s="19" t="s">
        <v>1918</v>
      </c>
      <c r="D161" s="53"/>
      <c r="E161" s="54"/>
      <c r="F161" s="53">
        <v>1</v>
      </c>
      <c r="G161" s="54">
        <v>0</v>
      </c>
      <c r="H161" s="53"/>
      <c r="I161" s="55"/>
      <c r="J161"/>
      <c r="K161"/>
      <c r="L161"/>
      <c r="M161"/>
      <c r="N161"/>
      <c r="O161"/>
      <c r="P161"/>
      <c r="Q161"/>
    </row>
    <row r="162" spans="1:17" ht="15.6" x14ac:dyDescent="0.3">
      <c r="A162" s="47" t="s">
        <v>1080</v>
      </c>
      <c r="B162" s="47" t="s">
        <v>146</v>
      </c>
      <c r="C162" s="19" t="s">
        <v>1918</v>
      </c>
      <c r="D162" s="53"/>
      <c r="E162" s="54"/>
      <c r="F162" s="53">
        <v>1</v>
      </c>
      <c r="G162" s="54">
        <v>0</v>
      </c>
      <c r="H162" s="53"/>
      <c r="I162" s="55"/>
      <c r="J162"/>
      <c r="K162"/>
      <c r="L162"/>
      <c r="M162"/>
      <c r="N162"/>
      <c r="O162"/>
      <c r="P162"/>
      <c r="Q162"/>
    </row>
    <row r="163" spans="1:17" ht="15.6" x14ac:dyDescent="0.3">
      <c r="A163" s="48" t="s">
        <v>1080</v>
      </c>
      <c r="B163" s="48" t="s">
        <v>146</v>
      </c>
      <c r="C163" s="23" t="s">
        <v>911</v>
      </c>
      <c r="D163" s="56"/>
      <c r="E163" s="51"/>
      <c r="F163" s="56">
        <v>0</v>
      </c>
      <c r="G163" s="51">
        <v>1</v>
      </c>
      <c r="H163" s="56"/>
      <c r="I163" s="57"/>
      <c r="J163"/>
      <c r="K163"/>
      <c r="L163"/>
      <c r="M163"/>
      <c r="N163"/>
      <c r="O163"/>
      <c r="P163"/>
      <c r="Q163"/>
    </row>
    <row r="164" spans="1:17" ht="15.6" x14ac:dyDescent="0.3">
      <c r="A164" s="19" t="s">
        <v>1081</v>
      </c>
      <c r="B164" s="19" t="s">
        <v>147</v>
      </c>
      <c r="C164" s="19" t="s">
        <v>1918</v>
      </c>
      <c r="D164" s="53"/>
      <c r="E164" s="54"/>
      <c r="F164" s="53">
        <v>1</v>
      </c>
      <c r="G164" s="54">
        <v>0</v>
      </c>
      <c r="H164" s="53"/>
      <c r="I164" s="55"/>
      <c r="J164"/>
      <c r="K164"/>
      <c r="L164"/>
      <c r="M164"/>
      <c r="N164"/>
      <c r="O164"/>
      <c r="P164"/>
      <c r="Q164"/>
    </row>
    <row r="165" spans="1:17" ht="28.8" x14ac:dyDescent="0.3">
      <c r="A165" s="19" t="s">
        <v>1082</v>
      </c>
      <c r="B165" s="19" t="s">
        <v>148</v>
      </c>
      <c r="C165" s="19" t="s">
        <v>1918</v>
      </c>
      <c r="D165" s="53"/>
      <c r="E165" s="54"/>
      <c r="F165" s="53">
        <v>2</v>
      </c>
      <c r="G165" s="54">
        <v>0</v>
      </c>
      <c r="H165" s="53"/>
      <c r="I165" s="55"/>
      <c r="J165"/>
      <c r="K165"/>
      <c r="L165"/>
      <c r="M165"/>
      <c r="N165"/>
      <c r="O165"/>
      <c r="P165"/>
      <c r="Q165"/>
    </row>
    <row r="166" spans="1:17" ht="15.6" x14ac:dyDescent="0.3">
      <c r="A166" s="47" t="s">
        <v>1083</v>
      </c>
      <c r="B166" s="47" t="s">
        <v>149</v>
      </c>
      <c r="C166" s="19" t="s">
        <v>903</v>
      </c>
      <c r="D166" s="53"/>
      <c r="E166" s="54"/>
      <c r="F166" s="53"/>
      <c r="G166" s="54"/>
      <c r="H166" s="53">
        <v>1</v>
      </c>
      <c r="I166" s="55">
        <v>0</v>
      </c>
      <c r="J166"/>
      <c r="K166"/>
      <c r="L166"/>
      <c r="M166"/>
      <c r="N166"/>
      <c r="O166"/>
      <c r="P166"/>
      <c r="Q166"/>
    </row>
    <row r="167" spans="1:17" ht="15.6" x14ac:dyDescent="0.3">
      <c r="A167" s="48" t="s">
        <v>1083</v>
      </c>
      <c r="B167" s="48" t="s">
        <v>149</v>
      </c>
      <c r="C167" s="23" t="s">
        <v>1918</v>
      </c>
      <c r="D167" s="56"/>
      <c r="E167" s="51"/>
      <c r="F167" s="56">
        <v>1</v>
      </c>
      <c r="G167" s="51">
        <v>0</v>
      </c>
      <c r="H167" s="56"/>
      <c r="I167" s="57"/>
      <c r="J167"/>
      <c r="K167"/>
      <c r="L167"/>
      <c r="M167"/>
      <c r="N167"/>
      <c r="O167"/>
      <c r="P167"/>
      <c r="Q167"/>
    </row>
    <row r="168" spans="1:17" ht="15.6" x14ac:dyDescent="0.3">
      <c r="A168" s="48" t="s">
        <v>1083</v>
      </c>
      <c r="B168" s="48" t="s">
        <v>149</v>
      </c>
      <c r="C168" s="23" t="s">
        <v>904</v>
      </c>
      <c r="D168" s="56"/>
      <c r="E168" s="51"/>
      <c r="F168" s="56">
        <v>0</v>
      </c>
      <c r="G168" s="51">
        <v>1</v>
      </c>
      <c r="H168" s="56"/>
      <c r="I168" s="57"/>
      <c r="J168"/>
      <c r="K168"/>
      <c r="L168"/>
      <c r="M168"/>
      <c r="N168"/>
      <c r="O168"/>
      <c r="P168"/>
      <c r="Q168"/>
    </row>
    <row r="169" spans="1:17" ht="15.6" x14ac:dyDescent="0.3">
      <c r="A169" s="47" t="s">
        <v>1084</v>
      </c>
      <c r="B169" s="47" t="s">
        <v>150</v>
      </c>
      <c r="C169" s="19" t="s">
        <v>905</v>
      </c>
      <c r="D169" s="53"/>
      <c r="E169" s="54"/>
      <c r="F169" s="53">
        <v>0</v>
      </c>
      <c r="G169" s="54">
        <v>2</v>
      </c>
      <c r="H169" s="53"/>
      <c r="I169" s="55"/>
      <c r="J169"/>
      <c r="K169"/>
      <c r="L169"/>
      <c r="M169"/>
      <c r="N169"/>
      <c r="O169"/>
      <c r="P169"/>
      <c r="Q169"/>
    </row>
    <row r="170" spans="1:17" ht="15.6" x14ac:dyDescent="0.3">
      <c r="A170" s="48" t="s">
        <v>1084</v>
      </c>
      <c r="B170" s="48" t="s">
        <v>150</v>
      </c>
      <c r="C170" s="23" t="s">
        <v>903</v>
      </c>
      <c r="D170" s="56">
        <v>2</v>
      </c>
      <c r="E170" s="51">
        <v>0</v>
      </c>
      <c r="F170" s="56"/>
      <c r="G170" s="51"/>
      <c r="H170" s="56"/>
      <c r="I170" s="57"/>
      <c r="J170"/>
      <c r="K170"/>
      <c r="L170"/>
      <c r="M170"/>
      <c r="N170"/>
      <c r="O170"/>
      <c r="P170"/>
      <c r="Q170"/>
    </row>
    <row r="171" spans="1:17" ht="15.6" x14ac:dyDescent="0.3">
      <c r="A171" s="48" t="s">
        <v>1084</v>
      </c>
      <c r="B171" s="48" t="s">
        <v>150</v>
      </c>
      <c r="C171" s="23" t="s">
        <v>1918</v>
      </c>
      <c r="D171" s="56"/>
      <c r="E171" s="51"/>
      <c r="F171" s="56">
        <v>3</v>
      </c>
      <c r="G171" s="51">
        <v>0</v>
      </c>
      <c r="H171" s="56"/>
      <c r="I171" s="57"/>
      <c r="J171"/>
      <c r="K171"/>
      <c r="L171"/>
      <c r="M171"/>
      <c r="N171"/>
      <c r="O171"/>
      <c r="P171"/>
      <c r="Q171"/>
    </row>
    <row r="172" spans="1:17" ht="15.6" x14ac:dyDescent="0.3">
      <c r="A172" s="47" t="s">
        <v>1085</v>
      </c>
      <c r="B172" s="47" t="s">
        <v>151</v>
      </c>
      <c r="C172" s="19" t="s">
        <v>905</v>
      </c>
      <c r="D172" s="53"/>
      <c r="E172" s="54"/>
      <c r="F172" s="53">
        <v>0</v>
      </c>
      <c r="G172" s="54">
        <v>1</v>
      </c>
      <c r="H172" s="53"/>
      <c r="I172" s="55"/>
      <c r="J172"/>
      <c r="K172"/>
      <c r="L172"/>
      <c r="M172"/>
      <c r="N172"/>
      <c r="O172"/>
      <c r="P172"/>
      <c r="Q172"/>
    </row>
    <row r="173" spans="1:17" ht="15.6" x14ac:dyDescent="0.3">
      <c r="A173" s="48" t="s">
        <v>1085</v>
      </c>
      <c r="B173" s="48" t="s">
        <v>151</v>
      </c>
      <c r="C173" s="23" t="s">
        <v>903</v>
      </c>
      <c r="D173" s="56">
        <v>1</v>
      </c>
      <c r="E173" s="51">
        <v>0</v>
      </c>
      <c r="F173" s="56"/>
      <c r="G173" s="51"/>
      <c r="H173" s="56"/>
      <c r="I173" s="57"/>
      <c r="J173"/>
      <c r="K173"/>
      <c r="L173"/>
      <c r="M173"/>
      <c r="N173"/>
      <c r="O173"/>
      <c r="P173"/>
      <c r="Q173"/>
    </row>
    <row r="174" spans="1:17" ht="15.6" x14ac:dyDescent="0.3">
      <c r="A174" s="48" t="s">
        <v>1085</v>
      </c>
      <c r="B174" s="48" t="s">
        <v>151</v>
      </c>
      <c r="C174" s="23" t="s">
        <v>1918</v>
      </c>
      <c r="D174" s="56"/>
      <c r="E174" s="51"/>
      <c r="F174" s="56">
        <v>1</v>
      </c>
      <c r="G174" s="51">
        <v>0</v>
      </c>
      <c r="H174" s="56"/>
      <c r="I174" s="57"/>
      <c r="J174"/>
      <c r="K174"/>
      <c r="L174"/>
      <c r="M174"/>
      <c r="N174"/>
      <c r="O174"/>
      <c r="P174"/>
      <c r="Q174"/>
    </row>
    <row r="175" spans="1:17" ht="15.6" x14ac:dyDescent="0.3">
      <c r="A175" s="47" t="s">
        <v>1086</v>
      </c>
      <c r="B175" s="47" t="s">
        <v>152</v>
      </c>
      <c r="C175" s="19" t="s">
        <v>905</v>
      </c>
      <c r="D175" s="53"/>
      <c r="E175" s="54"/>
      <c r="F175" s="53">
        <v>0</v>
      </c>
      <c r="G175" s="54">
        <v>5</v>
      </c>
      <c r="H175" s="53"/>
      <c r="I175" s="55"/>
      <c r="J175"/>
      <c r="K175"/>
      <c r="L175"/>
      <c r="M175"/>
      <c r="N175"/>
      <c r="O175"/>
      <c r="P175"/>
      <c r="Q175"/>
    </row>
    <row r="176" spans="1:17" ht="15.6" x14ac:dyDescent="0.3">
      <c r="A176" s="48" t="s">
        <v>1086</v>
      </c>
      <c r="B176" s="48" t="s">
        <v>152</v>
      </c>
      <c r="C176" s="23" t="s">
        <v>903</v>
      </c>
      <c r="D176" s="56">
        <v>5</v>
      </c>
      <c r="E176" s="51">
        <v>0</v>
      </c>
      <c r="F176" s="56"/>
      <c r="G176" s="51"/>
      <c r="H176" s="56"/>
      <c r="I176" s="57"/>
      <c r="J176"/>
      <c r="K176"/>
      <c r="L176"/>
      <c r="M176"/>
      <c r="N176"/>
      <c r="O176"/>
      <c r="P176"/>
      <c r="Q176"/>
    </row>
    <row r="177" spans="1:17" ht="15.6" x14ac:dyDescent="0.3">
      <c r="A177" s="48" t="s">
        <v>1086</v>
      </c>
      <c r="B177" s="48" t="s">
        <v>152</v>
      </c>
      <c r="C177" s="23" t="s">
        <v>1918</v>
      </c>
      <c r="D177" s="56"/>
      <c r="E177" s="51"/>
      <c r="F177" s="56">
        <v>5</v>
      </c>
      <c r="G177" s="51">
        <v>0</v>
      </c>
      <c r="H177" s="56"/>
      <c r="I177" s="57"/>
      <c r="J177"/>
      <c r="K177"/>
      <c r="L177"/>
      <c r="M177"/>
      <c r="N177"/>
      <c r="O177"/>
      <c r="P177"/>
      <c r="Q177"/>
    </row>
    <row r="178" spans="1:17" ht="15.6" x14ac:dyDescent="0.3">
      <c r="A178" s="19" t="s">
        <v>1087</v>
      </c>
      <c r="B178" s="19" t="s">
        <v>153</v>
      </c>
      <c r="C178" s="19" t="s">
        <v>1918</v>
      </c>
      <c r="D178" s="53"/>
      <c r="E178" s="54"/>
      <c r="F178" s="53">
        <v>1</v>
      </c>
      <c r="G178" s="54">
        <v>0</v>
      </c>
      <c r="H178" s="53"/>
      <c r="I178" s="55"/>
      <c r="J178"/>
      <c r="K178"/>
      <c r="L178"/>
      <c r="M178"/>
      <c r="N178"/>
      <c r="O178"/>
      <c r="P178"/>
      <c r="Q178"/>
    </row>
    <row r="179" spans="1:17" ht="28.8" x14ac:dyDescent="0.3">
      <c r="A179" s="19" t="s">
        <v>1088</v>
      </c>
      <c r="B179" s="19" t="s">
        <v>154</v>
      </c>
      <c r="C179" s="19" t="s">
        <v>1918</v>
      </c>
      <c r="D179" s="53"/>
      <c r="E179" s="54"/>
      <c r="F179" s="53">
        <v>1</v>
      </c>
      <c r="G179" s="54">
        <v>0</v>
      </c>
      <c r="H179" s="53"/>
      <c r="I179" s="55"/>
      <c r="J179"/>
      <c r="K179"/>
      <c r="L179"/>
      <c r="M179"/>
      <c r="N179"/>
      <c r="O179"/>
      <c r="P179"/>
      <c r="Q179"/>
    </row>
    <row r="180" spans="1:17" ht="15.6" x14ac:dyDescent="0.3">
      <c r="A180" s="47" t="s">
        <v>1089</v>
      </c>
      <c r="B180" s="47" t="s">
        <v>155</v>
      </c>
      <c r="C180" s="19" t="s">
        <v>905</v>
      </c>
      <c r="D180" s="53"/>
      <c r="E180" s="54"/>
      <c r="F180" s="53">
        <v>0</v>
      </c>
      <c r="G180" s="54">
        <v>1</v>
      </c>
      <c r="H180" s="53"/>
      <c r="I180" s="55"/>
      <c r="J180"/>
      <c r="K180"/>
      <c r="L180"/>
      <c r="M180"/>
      <c r="N180"/>
      <c r="O180"/>
      <c r="P180"/>
      <c r="Q180"/>
    </row>
    <row r="181" spans="1:17" ht="15.6" x14ac:dyDescent="0.3">
      <c r="A181" s="48" t="s">
        <v>1089</v>
      </c>
      <c r="B181" s="48" t="s">
        <v>155</v>
      </c>
      <c r="C181" s="23" t="s">
        <v>903</v>
      </c>
      <c r="D181" s="56">
        <v>1</v>
      </c>
      <c r="E181" s="51">
        <v>0</v>
      </c>
      <c r="F181" s="56"/>
      <c r="G181" s="51"/>
      <c r="H181" s="56"/>
      <c r="I181" s="57"/>
      <c r="J181"/>
      <c r="K181"/>
      <c r="L181"/>
      <c r="M181"/>
      <c r="N181"/>
      <c r="O181"/>
      <c r="P181"/>
      <c r="Q181"/>
    </row>
    <row r="182" spans="1:17" ht="15.6" x14ac:dyDescent="0.3">
      <c r="A182" s="48" t="s">
        <v>1089</v>
      </c>
      <c r="B182" s="48" t="s">
        <v>155</v>
      </c>
      <c r="C182" s="23" t="s">
        <v>1918</v>
      </c>
      <c r="D182" s="56"/>
      <c r="E182" s="51"/>
      <c r="F182" s="56">
        <v>1</v>
      </c>
      <c r="G182" s="51">
        <v>0</v>
      </c>
      <c r="H182" s="56"/>
      <c r="I182" s="57"/>
      <c r="J182"/>
      <c r="K182"/>
      <c r="L182"/>
      <c r="M182"/>
      <c r="N182"/>
      <c r="O182"/>
      <c r="P182"/>
      <c r="Q182"/>
    </row>
    <row r="183" spans="1:17" ht="28.8" x14ac:dyDescent="0.3">
      <c r="A183" s="19" t="s">
        <v>1090</v>
      </c>
      <c r="B183" s="19" t="s">
        <v>2461</v>
      </c>
      <c r="C183" s="19" t="s">
        <v>1918</v>
      </c>
      <c r="D183" s="53"/>
      <c r="E183" s="54"/>
      <c r="F183" s="53">
        <v>1</v>
      </c>
      <c r="G183" s="54">
        <v>0</v>
      </c>
      <c r="H183" s="53"/>
      <c r="I183" s="55"/>
      <c r="J183"/>
      <c r="K183"/>
      <c r="L183"/>
      <c r="M183"/>
      <c r="N183"/>
      <c r="O183"/>
      <c r="P183"/>
      <c r="Q183"/>
    </row>
    <row r="184" spans="1:17" ht="28.8" x14ac:dyDescent="0.3">
      <c r="A184" s="19" t="s">
        <v>1091</v>
      </c>
      <c r="B184" s="19" t="s">
        <v>156</v>
      </c>
      <c r="C184" s="19" t="s">
        <v>1918</v>
      </c>
      <c r="D184" s="53"/>
      <c r="E184" s="54"/>
      <c r="F184" s="53">
        <v>1</v>
      </c>
      <c r="G184" s="54">
        <v>0</v>
      </c>
      <c r="H184" s="53"/>
      <c r="I184" s="55"/>
      <c r="J184"/>
      <c r="K184"/>
      <c r="L184"/>
      <c r="M184"/>
      <c r="N184"/>
      <c r="O184"/>
      <c r="P184"/>
      <c r="Q184"/>
    </row>
    <row r="185" spans="1:17" ht="28.8" x14ac:dyDescent="0.3">
      <c r="A185" s="19" t="s">
        <v>1092</v>
      </c>
      <c r="B185" s="19" t="s">
        <v>157</v>
      </c>
      <c r="C185" s="19" t="s">
        <v>1918</v>
      </c>
      <c r="D185" s="53"/>
      <c r="E185" s="54"/>
      <c r="F185" s="53">
        <v>1</v>
      </c>
      <c r="G185" s="54">
        <v>0</v>
      </c>
      <c r="H185" s="53"/>
      <c r="I185" s="55"/>
      <c r="J185"/>
      <c r="K185"/>
      <c r="L185"/>
      <c r="M185"/>
      <c r="N185"/>
      <c r="O185"/>
      <c r="P185"/>
      <c r="Q185"/>
    </row>
    <row r="186" spans="1:17" ht="28.8" x14ac:dyDescent="0.3">
      <c r="A186" s="19" t="s">
        <v>1093</v>
      </c>
      <c r="B186" s="19" t="s">
        <v>158</v>
      </c>
      <c r="C186" s="19" t="s">
        <v>1918</v>
      </c>
      <c r="D186" s="53"/>
      <c r="E186" s="54"/>
      <c r="F186" s="53">
        <v>1</v>
      </c>
      <c r="G186" s="54">
        <v>0</v>
      </c>
      <c r="H186" s="53"/>
      <c r="I186" s="55"/>
      <c r="J186"/>
      <c r="K186"/>
      <c r="L186"/>
      <c r="M186"/>
      <c r="N186"/>
      <c r="O186"/>
      <c r="P186"/>
      <c r="Q186"/>
    </row>
    <row r="187" spans="1:17" ht="15.6" x14ac:dyDescent="0.3">
      <c r="A187" s="19" t="s">
        <v>1094</v>
      </c>
      <c r="B187" s="19" t="s">
        <v>159</v>
      </c>
      <c r="C187" s="19" t="s">
        <v>1918</v>
      </c>
      <c r="D187" s="53"/>
      <c r="E187" s="54"/>
      <c r="F187" s="53">
        <v>1</v>
      </c>
      <c r="G187" s="54">
        <v>0</v>
      </c>
      <c r="H187" s="53"/>
      <c r="I187" s="55"/>
      <c r="J187"/>
      <c r="K187"/>
      <c r="L187"/>
      <c r="M187"/>
      <c r="N187"/>
      <c r="O187"/>
      <c r="P187"/>
      <c r="Q187"/>
    </row>
    <row r="188" spans="1:17" ht="28.8" x14ac:dyDescent="0.3">
      <c r="A188" s="19" t="s">
        <v>1095</v>
      </c>
      <c r="B188" s="19" t="s">
        <v>160</v>
      </c>
      <c r="C188" s="19" t="s">
        <v>1918</v>
      </c>
      <c r="D188" s="53"/>
      <c r="E188" s="54"/>
      <c r="F188" s="53">
        <v>1</v>
      </c>
      <c r="G188" s="54">
        <v>0</v>
      </c>
      <c r="H188" s="53"/>
      <c r="I188" s="55"/>
      <c r="J188"/>
      <c r="K188"/>
      <c r="L188"/>
      <c r="M188"/>
      <c r="N188"/>
      <c r="O188"/>
      <c r="P188"/>
      <c r="Q188"/>
    </row>
    <row r="189" spans="1:17" ht="15.6" x14ac:dyDescent="0.3">
      <c r="A189" s="47" t="s">
        <v>1096</v>
      </c>
      <c r="B189" s="47" t="s">
        <v>161</v>
      </c>
      <c r="C189" s="19" t="s">
        <v>903</v>
      </c>
      <c r="D189" s="53"/>
      <c r="E189" s="54"/>
      <c r="F189" s="53"/>
      <c r="G189" s="54"/>
      <c r="H189" s="53">
        <v>1</v>
      </c>
      <c r="I189" s="55">
        <v>0</v>
      </c>
      <c r="J189"/>
      <c r="K189"/>
      <c r="L189"/>
      <c r="M189"/>
      <c r="N189"/>
      <c r="O189"/>
      <c r="P189"/>
      <c r="Q189"/>
    </row>
    <row r="190" spans="1:17" ht="15.6" x14ac:dyDescent="0.3">
      <c r="A190" s="48" t="s">
        <v>1096</v>
      </c>
      <c r="B190" s="48" t="s">
        <v>161</v>
      </c>
      <c r="C190" s="23" t="s">
        <v>1918</v>
      </c>
      <c r="D190" s="56"/>
      <c r="E190" s="51"/>
      <c r="F190" s="56">
        <v>1</v>
      </c>
      <c r="G190" s="51">
        <v>0</v>
      </c>
      <c r="H190" s="56"/>
      <c r="I190" s="57"/>
      <c r="J190"/>
      <c r="K190"/>
      <c r="L190"/>
      <c r="M190"/>
      <c r="N190"/>
      <c r="O190"/>
      <c r="P190"/>
      <c r="Q190"/>
    </row>
    <row r="191" spans="1:17" ht="15.6" x14ac:dyDescent="0.3">
      <c r="A191" s="48" t="s">
        <v>1096</v>
      </c>
      <c r="B191" s="48" t="s">
        <v>161</v>
      </c>
      <c r="C191" s="23" t="s">
        <v>904</v>
      </c>
      <c r="D191" s="56"/>
      <c r="E191" s="51"/>
      <c r="F191" s="56">
        <v>0</v>
      </c>
      <c r="G191" s="51">
        <v>1</v>
      </c>
      <c r="H191" s="56"/>
      <c r="I191" s="57"/>
      <c r="J191"/>
      <c r="K191"/>
      <c r="L191"/>
      <c r="M191"/>
      <c r="N191"/>
      <c r="O191"/>
      <c r="P191"/>
      <c r="Q191"/>
    </row>
    <row r="192" spans="1:17" ht="28.8" x14ac:dyDescent="0.3">
      <c r="A192" s="19" t="s">
        <v>1097</v>
      </c>
      <c r="B192" s="19" t="s">
        <v>162</v>
      </c>
      <c r="C192" s="19" t="s">
        <v>1918</v>
      </c>
      <c r="D192" s="53"/>
      <c r="E192" s="54"/>
      <c r="F192" s="53">
        <v>7</v>
      </c>
      <c r="G192" s="54">
        <v>0</v>
      </c>
      <c r="H192" s="53"/>
      <c r="I192" s="55"/>
      <c r="J192"/>
      <c r="K192"/>
      <c r="L192"/>
      <c r="M192"/>
      <c r="N192"/>
      <c r="O192"/>
      <c r="P192"/>
      <c r="Q192"/>
    </row>
    <row r="193" spans="1:17" ht="28.8" x14ac:dyDescent="0.3">
      <c r="A193" s="19" t="s">
        <v>1098</v>
      </c>
      <c r="B193" s="19" t="s">
        <v>163</v>
      </c>
      <c r="C193" s="19" t="s">
        <v>1918</v>
      </c>
      <c r="D193" s="53"/>
      <c r="E193" s="54"/>
      <c r="F193" s="53">
        <v>1</v>
      </c>
      <c r="G193" s="54">
        <v>0</v>
      </c>
      <c r="H193" s="53"/>
      <c r="I193" s="55"/>
      <c r="J193"/>
      <c r="K193"/>
      <c r="L193"/>
      <c r="M193"/>
      <c r="N193"/>
      <c r="O193"/>
      <c r="P193"/>
      <c r="Q193"/>
    </row>
    <row r="194" spans="1:17" ht="28.8" x14ac:dyDescent="0.3">
      <c r="A194" s="19" t="s">
        <v>1099</v>
      </c>
      <c r="B194" s="19" t="s">
        <v>164</v>
      </c>
      <c r="C194" s="19" t="s">
        <v>1918</v>
      </c>
      <c r="D194" s="53"/>
      <c r="E194" s="54"/>
      <c r="F194" s="53">
        <v>1</v>
      </c>
      <c r="G194" s="54">
        <v>0</v>
      </c>
      <c r="H194" s="53"/>
      <c r="I194" s="55"/>
      <c r="J194"/>
      <c r="K194"/>
      <c r="L194"/>
      <c r="M194"/>
      <c r="N194"/>
      <c r="O194"/>
      <c r="P194"/>
      <c r="Q194"/>
    </row>
    <row r="195" spans="1:17" ht="15.6" x14ac:dyDescent="0.3">
      <c r="A195" s="19" t="s">
        <v>1100</v>
      </c>
      <c r="B195" s="19" t="s">
        <v>165</v>
      </c>
      <c r="C195" s="19" t="s">
        <v>1918</v>
      </c>
      <c r="D195" s="53"/>
      <c r="E195" s="54"/>
      <c r="F195" s="53">
        <v>1</v>
      </c>
      <c r="G195" s="54">
        <v>0</v>
      </c>
      <c r="H195" s="53"/>
      <c r="I195" s="55"/>
      <c r="J195"/>
      <c r="K195"/>
      <c r="L195"/>
      <c r="M195"/>
      <c r="N195"/>
      <c r="O195"/>
      <c r="P195"/>
      <c r="Q195"/>
    </row>
    <row r="196" spans="1:17" ht="15.6" x14ac:dyDescent="0.3">
      <c r="A196" s="19" t="s">
        <v>1101</v>
      </c>
      <c r="B196" s="19" t="s">
        <v>166</v>
      </c>
      <c r="C196" s="19" t="s">
        <v>1918</v>
      </c>
      <c r="D196" s="53"/>
      <c r="E196" s="54"/>
      <c r="F196" s="53">
        <v>4</v>
      </c>
      <c r="G196" s="54">
        <v>0</v>
      </c>
      <c r="H196" s="53"/>
      <c r="I196" s="55"/>
      <c r="J196"/>
      <c r="K196"/>
      <c r="L196"/>
      <c r="M196"/>
      <c r="N196"/>
      <c r="O196"/>
      <c r="P196"/>
      <c r="Q196"/>
    </row>
    <row r="197" spans="1:17" ht="15.6" x14ac:dyDescent="0.3">
      <c r="A197" s="19" t="s">
        <v>1102</v>
      </c>
      <c r="B197" s="19" t="s">
        <v>167</v>
      </c>
      <c r="C197" s="19" t="s">
        <v>1918</v>
      </c>
      <c r="D197" s="53"/>
      <c r="E197" s="54"/>
      <c r="F197" s="53">
        <v>1</v>
      </c>
      <c r="G197" s="54">
        <v>0</v>
      </c>
      <c r="H197" s="53"/>
      <c r="I197" s="55"/>
      <c r="J197"/>
      <c r="K197"/>
      <c r="L197"/>
      <c r="M197"/>
      <c r="N197"/>
      <c r="O197"/>
      <c r="P197"/>
      <c r="Q197"/>
    </row>
    <row r="198" spans="1:17" ht="28.8" x14ac:dyDescent="0.3">
      <c r="A198" s="19" t="s">
        <v>1103</v>
      </c>
      <c r="B198" s="19" t="s">
        <v>168</v>
      </c>
      <c r="C198" s="19" t="s">
        <v>1918</v>
      </c>
      <c r="D198" s="53"/>
      <c r="E198" s="54"/>
      <c r="F198" s="53">
        <v>3</v>
      </c>
      <c r="G198" s="54">
        <v>0</v>
      </c>
      <c r="H198" s="53"/>
      <c r="I198" s="55"/>
      <c r="J198"/>
      <c r="K198"/>
      <c r="L198"/>
      <c r="M198"/>
      <c r="N198"/>
      <c r="O198"/>
      <c r="P198"/>
      <c r="Q198"/>
    </row>
    <row r="199" spans="1:17" ht="15.6" x14ac:dyDescent="0.3">
      <c r="A199" s="19" t="s">
        <v>1104</v>
      </c>
      <c r="B199" s="19" t="s">
        <v>2462</v>
      </c>
      <c r="C199" s="19" t="s">
        <v>1918</v>
      </c>
      <c r="D199" s="53"/>
      <c r="E199" s="54"/>
      <c r="F199" s="53">
        <v>5</v>
      </c>
      <c r="G199" s="54">
        <v>0</v>
      </c>
      <c r="H199" s="53"/>
      <c r="I199" s="55"/>
      <c r="J199"/>
      <c r="K199"/>
      <c r="L199"/>
      <c r="M199"/>
      <c r="N199"/>
      <c r="O199"/>
      <c r="P199"/>
      <c r="Q199"/>
    </row>
    <row r="200" spans="1:17" ht="28.8" x14ac:dyDescent="0.3">
      <c r="A200" s="19" t="s">
        <v>1105</v>
      </c>
      <c r="B200" s="19" t="s">
        <v>169</v>
      </c>
      <c r="C200" s="19" t="s">
        <v>1918</v>
      </c>
      <c r="D200" s="53"/>
      <c r="E200" s="54"/>
      <c r="F200" s="53">
        <v>2</v>
      </c>
      <c r="G200" s="54">
        <v>0</v>
      </c>
      <c r="H200" s="53"/>
      <c r="I200" s="55"/>
      <c r="J200"/>
      <c r="K200"/>
      <c r="L200"/>
      <c r="M200"/>
      <c r="N200"/>
      <c r="O200"/>
      <c r="P200"/>
      <c r="Q200"/>
    </row>
    <row r="201" spans="1:17" ht="28.8" x14ac:dyDescent="0.3">
      <c r="A201" s="19" t="s">
        <v>1106</v>
      </c>
      <c r="B201" s="19" t="s">
        <v>170</v>
      </c>
      <c r="C201" s="19" t="s">
        <v>1918</v>
      </c>
      <c r="D201" s="53"/>
      <c r="E201" s="54"/>
      <c r="F201" s="53">
        <v>6</v>
      </c>
      <c r="G201" s="54">
        <v>0</v>
      </c>
      <c r="H201" s="53"/>
      <c r="I201" s="55"/>
      <c r="J201"/>
      <c r="K201"/>
      <c r="L201"/>
      <c r="M201"/>
      <c r="N201"/>
      <c r="O201"/>
      <c r="P201"/>
      <c r="Q201"/>
    </row>
    <row r="202" spans="1:17" ht="28.8" x14ac:dyDescent="0.3">
      <c r="A202" s="19" t="s">
        <v>1107</v>
      </c>
      <c r="B202" s="19" t="s">
        <v>171</v>
      </c>
      <c r="C202" s="19" t="s">
        <v>1918</v>
      </c>
      <c r="D202" s="53"/>
      <c r="E202" s="54"/>
      <c r="F202" s="53">
        <v>3</v>
      </c>
      <c r="G202" s="54">
        <v>0</v>
      </c>
      <c r="H202" s="53"/>
      <c r="I202" s="55"/>
      <c r="J202"/>
      <c r="K202"/>
      <c r="L202"/>
      <c r="M202"/>
      <c r="N202"/>
      <c r="O202"/>
      <c r="P202"/>
      <c r="Q202"/>
    </row>
    <row r="203" spans="1:17" ht="15.6" x14ac:dyDescent="0.3">
      <c r="A203" s="19" t="s">
        <v>1108</v>
      </c>
      <c r="B203" s="19" t="s">
        <v>2463</v>
      </c>
      <c r="C203" s="19" t="s">
        <v>1918</v>
      </c>
      <c r="D203" s="53"/>
      <c r="E203" s="54"/>
      <c r="F203" s="53">
        <v>2</v>
      </c>
      <c r="G203" s="54">
        <v>0</v>
      </c>
      <c r="H203" s="53"/>
      <c r="I203" s="55"/>
      <c r="J203"/>
      <c r="K203"/>
      <c r="L203"/>
      <c r="M203"/>
      <c r="N203"/>
      <c r="O203"/>
      <c r="P203"/>
      <c r="Q203"/>
    </row>
    <row r="204" spans="1:17" ht="43.2" x14ac:dyDescent="0.3">
      <c r="A204" s="19" t="s">
        <v>1109</v>
      </c>
      <c r="B204" s="19" t="s">
        <v>172</v>
      </c>
      <c r="C204" s="19" t="s">
        <v>1918</v>
      </c>
      <c r="D204" s="53"/>
      <c r="E204" s="54"/>
      <c r="F204" s="53">
        <v>1</v>
      </c>
      <c r="G204" s="54">
        <v>0</v>
      </c>
      <c r="H204" s="53"/>
      <c r="I204" s="55"/>
      <c r="J204"/>
      <c r="K204"/>
      <c r="L204"/>
      <c r="M204"/>
      <c r="N204"/>
      <c r="O204"/>
      <c r="P204"/>
      <c r="Q204"/>
    </row>
    <row r="205" spans="1:17" ht="28.8" x14ac:dyDescent="0.3">
      <c r="A205" s="19" t="s">
        <v>1110</v>
      </c>
      <c r="B205" s="19" t="s">
        <v>173</v>
      </c>
      <c r="C205" s="19" t="s">
        <v>1918</v>
      </c>
      <c r="D205" s="53"/>
      <c r="E205" s="54"/>
      <c r="F205" s="53">
        <v>1</v>
      </c>
      <c r="G205" s="54">
        <v>0</v>
      </c>
      <c r="H205" s="53"/>
      <c r="I205" s="55"/>
      <c r="J205"/>
      <c r="K205"/>
      <c r="L205"/>
      <c r="M205"/>
      <c r="N205"/>
      <c r="O205"/>
      <c r="P205"/>
      <c r="Q205"/>
    </row>
    <row r="206" spans="1:17" ht="28.8" x14ac:dyDescent="0.3">
      <c r="A206" s="19" t="s">
        <v>1111</v>
      </c>
      <c r="B206" s="19" t="s">
        <v>174</v>
      </c>
      <c r="C206" s="19" t="s">
        <v>1918</v>
      </c>
      <c r="D206" s="53"/>
      <c r="E206" s="54"/>
      <c r="F206" s="53">
        <v>1</v>
      </c>
      <c r="G206" s="54">
        <v>0</v>
      </c>
      <c r="H206" s="53"/>
      <c r="I206" s="55"/>
      <c r="J206"/>
      <c r="K206"/>
      <c r="L206"/>
      <c r="M206"/>
      <c r="N206"/>
      <c r="O206"/>
      <c r="P206"/>
      <c r="Q206"/>
    </row>
    <row r="207" spans="1:17" ht="28.8" x14ac:dyDescent="0.3">
      <c r="A207" s="19" t="s">
        <v>1112</v>
      </c>
      <c r="B207" s="19" t="s">
        <v>175</v>
      </c>
      <c r="C207" s="19" t="s">
        <v>1918</v>
      </c>
      <c r="D207" s="53"/>
      <c r="E207" s="54"/>
      <c r="F207" s="53">
        <v>1</v>
      </c>
      <c r="G207" s="54">
        <v>0</v>
      </c>
      <c r="H207" s="53"/>
      <c r="I207" s="55"/>
      <c r="J207"/>
      <c r="K207"/>
      <c r="L207"/>
      <c r="M207"/>
      <c r="N207"/>
      <c r="O207"/>
      <c r="P207"/>
      <c r="Q207"/>
    </row>
    <row r="208" spans="1:17" ht="28.8" x14ac:dyDescent="0.3">
      <c r="A208" s="19" t="s">
        <v>1113</v>
      </c>
      <c r="B208" s="19" t="s">
        <v>176</v>
      </c>
      <c r="C208" s="19" t="s">
        <v>1918</v>
      </c>
      <c r="D208" s="53"/>
      <c r="E208" s="54"/>
      <c r="F208" s="53">
        <v>1</v>
      </c>
      <c r="G208" s="54">
        <v>0</v>
      </c>
      <c r="H208" s="53"/>
      <c r="I208" s="55"/>
      <c r="J208"/>
      <c r="K208"/>
      <c r="L208"/>
      <c r="M208"/>
      <c r="N208"/>
      <c r="O208"/>
      <c r="P208"/>
      <c r="Q208"/>
    </row>
    <row r="209" spans="1:17" ht="15.6" x14ac:dyDescent="0.3">
      <c r="A209" s="19" t="s">
        <v>1114</v>
      </c>
      <c r="B209" s="19" t="s">
        <v>177</v>
      </c>
      <c r="C209" s="19" t="s">
        <v>1918</v>
      </c>
      <c r="D209" s="53"/>
      <c r="E209" s="54"/>
      <c r="F209" s="53">
        <v>1</v>
      </c>
      <c r="G209" s="54">
        <v>0</v>
      </c>
      <c r="H209" s="53"/>
      <c r="I209" s="55"/>
      <c r="J209"/>
      <c r="K209"/>
      <c r="L209"/>
      <c r="M209"/>
      <c r="N209"/>
      <c r="O209"/>
      <c r="P209"/>
      <c r="Q209"/>
    </row>
    <row r="210" spans="1:17" ht="28.8" x14ac:dyDescent="0.3">
      <c r="A210" s="19" t="s">
        <v>1115</v>
      </c>
      <c r="B210" s="19" t="s">
        <v>178</v>
      </c>
      <c r="C210" s="19" t="s">
        <v>1918</v>
      </c>
      <c r="D210" s="53"/>
      <c r="E210" s="54"/>
      <c r="F210" s="53">
        <v>2</v>
      </c>
      <c r="G210" s="54">
        <v>0</v>
      </c>
      <c r="H210" s="53"/>
      <c r="I210" s="55"/>
      <c r="J210"/>
      <c r="K210"/>
      <c r="L210"/>
      <c r="M210"/>
      <c r="N210"/>
      <c r="O210"/>
      <c r="P210"/>
      <c r="Q210"/>
    </row>
    <row r="211" spans="1:17" ht="28.8" x14ac:dyDescent="0.3">
      <c r="A211" s="19" t="s">
        <v>1116</v>
      </c>
      <c r="B211" s="19" t="s">
        <v>179</v>
      </c>
      <c r="C211" s="19" t="s">
        <v>1918</v>
      </c>
      <c r="D211" s="53"/>
      <c r="E211" s="54"/>
      <c r="F211" s="53">
        <v>2</v>
      </c>
      <c r="G211" s="54">
        <v>0</v>
      </c>
      <c r="H211" s="53"/>
      <c r="I211" s="55"/>
      <c r="J211"/>
      <c r="K211"/>
      <c r="L211"/>
      <c r="M211"/>
      <c r="N211"/>
      <c r="O211"/>
      <c r="P211"/>
      <c r="Q211"/>
    </row>
    <row r="212" spans="1:17" ht="15.6" x14ac:dyDescent="0.3">
      <c r="A212" s="19" t="s">
        <v>1117</v>
      </c>
      <c r="B212" s="19" t="s">
        <v>180</v>
      </c>
      <c r="C212" s="19" t="s">
        <v>1918</v>
      </c>
      <c r="D212" s="53"/>
      <c r="E212" s="54"/>
      <c r="F212" s="53">
        <v>1</v>
      </c>
      <c r="G212" s="54">
        <v>0</v>
      </c>
      <c r="H212" s="53"/>
      <c r="I212" s="55"/>
      <c r="J212"/>
      <c r="K212"/>
      <c r="L212"/>
      <c r="M212"/>
      <c r="N212"/>
      <c r="O212"/>
      <c r="P212"/>
      <c r="Q212"/>
    </row>
    <row r="213" spans="1:17" ht="15.6" x14ac:dyDescent="0.3">
      <c r="A213" s="19" t="s">
        <v>1118</v>
      </c>
      <c r="B213" s="19" t="s">
        <v>181</v>
      </c>
      <c r="C213" s="19" t="s">
        <v>1918</v>
      </c>
      <c r="D213" s="53"/>
      <c r="E213" s="54"/>
      <c r="F213" s="53">
        <v>1</v>
      </c>
      <c r="G213" s="54">
        <v>0</v>
      </c>
      <c r="H213" s="53"/>
      <c r="I213" s="55"/>
      <c r="J213"/>
      <c r="K213"/>
      <c r="L213"/>
      <c r="M213"/>
      <c r="N213"/>
      <c r="O213"/>
      <c r="P213"/>
      <c r="Q213"/>
    </row>
    <row r="214" spans="1:17" ht="28.8" x14ac:dyDescent="0.3">
      <c r="A214" s="19" t="s">
        <v>1119</v>
      </c>
      <c r="B214" s="19" t="s">
        <v>182</v>
      </c>
      <c r="C214" s="19" t="s">
        <v>1918</v>
      </c>
      <c r="D214" s="53"/>
      <c r="E214" s="54"/>
      <c r="F214" s="53">
        <v>1</v>
      </c>
      <c r="G214" s="54">
        <v>0</v>
      </c>
      <c r="H214" s="53"/>
      <c r="I214" s="55"/>
      <c r="J214"/>
      <c r="K214"/>
      <c r="L214"/>
      <c r="M214"/>
      <c r="N214"/>
      <c r="O214"/>
      <c r="P214"/>
      <c r="Q214"/>
    </row>
    <row r="215" spans="1:17" ht="28.8" x14ac:dyDescent="0.3">
      <c r="A215" s="19" t="s">
        <v>1120</v>
      </c>
      <c r="B215" s="19" t="s">
        <v>183</v>
      </c>
      <c r="C215" s="19" t="s">
        <v>1918</v>
      </c>
      <c r="D215" s="53"/>
      <c r="E215" s="54"/>
      <c r="F215" s="53">
        <v>1</v>
      </c>
      <c r="G215" s="54">
        <v>0</v>
      </c>
      <c r="H215" s="53"/>
      <c r="I215" s="55"/>
      <c r="J215"/>
      <c r="K215"/>
      <c r="L215"/>
      <c r="M215"/>
      <c r="N215"/>
      <c r="O215"/>
      <c r="P215"/>
      <c r="Q215"/>
    </row>
    <row r="216" spans="1:17" ht="28.8" x14ac:dyDescent="0.3">
      <c r="A216" s="19" t="s">
        <v>1121</v>
      </c>
      <c r="B216" s="19" t="s">
        <v>184</v>
      </c>
      <c r="C216" s="19" t="s">
        <v>1918</v>
      </c>
      <c r="D216" s="53"/>
      <c r="E216" s="54"/>
      <c r="F216" s="53">
        <v>1</v>
      </c>
      <c r="G216" s="54">
        <v>0</v>
      </c>
      <c r="H216" s="53"/>
      <c r="I216" s="55"/>
      <c r="J216"/>
      <c r="K216"/>
      <c r="L216"/>
      <c r="M216"/>
      <c r="N216"/>
      <c r="O216"/>
      <c r="P216"/>
      <c r="Q216"/>
    </row>
    <row r="217" spans="1:17" ht="43.2" x14ac:dyDescent="0.3">
      <c r="A217" s="19" t="s">
        <v>1122</v>
      </c>
      <c r="B217" s="19" t="s">
        <v>185</v>
      </c>
      <c r="C217" s="19" t="s">
        <v>1918</v>
      </c>
      <c r="D217" s="53"/>
      <c r="E217" s="54"/>
      <c r="F217" s="53">
        <v>1</v>
      </c>
      <c r="G217" s="54">
        <v>0</v>
      </c>
      <c r="H217" s="53"/>
      <c r="I217" s="55"/>
      <c r="J217"/>
      <c r="K217"/>
      <c r="L217"/>
      <c r="M217"/>
      <c r="N217"/>
      <c r="O217"/>
      <c r="P217"/>
      <c r="Q217"/>
    </row>
    <row r="218" spans="1:17" ht="28.8" x14ac:dyDescent="0.3">
      <c r="A218" s="19" t="s">
        <v>1123</v>
      </c>
      <c r="B218" s="19" t="s">
        <v>186</v>
      </c>
      <c r="C218" s="19" t="s">
        <v>1918</v>
      </c>
      <c r="D218" s="53"/>
      <c r="E218" s="54"/>
      <c r="F218" s="53">
        <v>1</v>
      </c>
      <c r="G218" s="54">
        <v>0</v>
      </c>
      <c r="H218" s="53"/>
      <c r="I218" s="55"/>
      <c r="J218"/>
      <c r="K218"/>
      <c r="L218"/>
      <c r="M218"/>
      <c r="N218"/>
      <c r="O218"/>
      <c r="P218"/>
      <c r="Q218"/>
    </row>
    <row r="219" spans="1:17" ht="28.8" x14ac:dyDescent="0.3">
      <c r="A219" s="19" t="s">
        <v>1124</v>
      </c>
      <c r="B219" s="19" t="s">
        <v>187</v>
      </c>
      <c r="C219" s="19" t="s">
        <v>1918</v>
      </c>
      <c r="D219" s="53"/>
      <c r="E219" s="54"/>
      <c r="F219" s="53">
        <v>1</v>
      </c>
      <c r="G219" s="54">
        <v>0</v>
      </c>
      <c r="H219" s="53"/>
      <c r="I219" s="55"/>
      <c r="J219"/>
      <c r="K219"/>
      <c r="L219"/>
      <c r="M219"/>
      <c r="N219"/>
      <c r="O219"/>
      <c r="P219"/>
      <c r="Q219"/>
    </row>
    <row r="220" spans="1:17" ht="28.8" x14ac:dyDescent="0.3">
      <c r="A220" s="19" t="s">
        <v>1125</v>
      </c>
      <c r="B220" s="19" t="s">
        <v>188</v>
      </c>
      <c r="C220" s="19" t="s">
        <v>1918</v>
      </c>
      <c r="D220" s="53"/>
      <c r="E220" s="54"/>
      <c r="F220" s="53">
        <v>1</v>
      </c>
      <c r="G220" s="54">
        <v>0</v>
      </c>
      <c r="H220" s="53"/>
      <c r="I220" s="55"/>
      <c r="J220"/>
      <c r="K220"/>
      <c r="L220"/>
      <c r="M220"/>
      <c r="N220"/>
      <c r="O220"/>
      <c r="P220"/>
      <c r="Q220"/>
    </row>
    <row r="221" spans="1:17" ht="15.6" x14ac:dyDescent="0.3">
      <c r="A221" s="19" t="s">
        <v>1126</v>
      </c>
      <c r="B221" s="19" t="s">
        <v>189</v>
      </c>
      <c r="C221" s="19" t="s">
        <v>1918</v>
      </c>
      <c r="D221" s="53"/>
      <c r="E221" s="54"/>
      <c r="F221" s="53">
        <v>1</v>
      </c>
      <c r="G221" s="54">
        <v>0</v>
      </c>
      <c r="H221" s="53"/>
      <c r="I221" s="55"/>
      <c r="J221"/>
      <c r="K221"/>
      <c r="L221"/>
      <c r="M221"/>
      <c r="N221"/>
      <c r="O221"/>
      <c r="P221"/>
      <c r="Q221"/>
    </row>
    <row r="222" spans="1:17" ht="15.6" x14ac:dyDescent="0.3">
      <c r="A222" s="19" t="s">
        <v>1127</v>
      </c>
      <c r="B222" s="19" t="s">
        <v>190</v>
      </c>
      <c r="C222" s="19" t="s">
        <v>1918</v>
      </c>
      <c r="D222" s="53"/>
      <c r="E222" s="54"/>
      <c r="F222" s="53">
        <v>1</v>
      </c>
      <c r="G222" s="54">
        <v>0</v>
      </c>
      <c r="H222" s="53"/>
      <c r="I222" s="55"/>
      <c r="J222"/>
      <c r="K222"/>
      <c r="L222"/>
      <c r="M222"/>
      <c r="N222"/>
      <c r="O222"/>
      <c r="P222"/>
      <c r="Q222"/>
    </row>
    <row r="223" spans="1:17" ht="15.6" x14ac:dyDescent="0.3">
      <c r="A223" s="19" t="s">
        <v>1128</v>
      </c>
      <c r="B223" s="19" t="s">
        <v>191</v>
      </c>
      <c r="C223" s="19" t="s">
        <v>1918</v>
      </c>
      <c r="D223" s="53"/>
      <c r="E223" s="54"/>
      <c r="F223" s="53">
        <v>1</v>
      </c>
      <c r="G223" s="54">
        <v>0</v>
      </c>
      <c r="H223" s="53"/>
      <c r="I223" s="55"/>
      <c r="J223"/>
      <c r="K223"/>
      <c r="L223"/>
      <c r="M223"/>
      <c r="N223"/>
      <c r="O223"/>
      <c r="P223"/>
      <c r="Q223"/>
    </row>
    <row r="224" spans="1:17" ht="15.6" x14ac:dyDescent="0.3">
      <c r="A224" s="47" t="s">
        <v>1129</v>
      </c>
      <c r="B224" s="47" t="s">
        <v>2159</v>
      </c>
      <c r="C224" s="19" t="s">
        <v>1918</v>
      </c>
      <c r="D224" s="53"/>
      <c r="E224" s="54"/>
      <c r="F224" s="53">
        <v>11</v>
      </c>
      <c r="G224" s="54">
        <v>0</v>
      </c>
      <c r="H224" s="53"/>
      <c r="I224" s="55"/>
      <c r="J224"/>
      <c r="K224"/>
      <c r="L224"/>
      <c r="M224"/>
      <c r="N224"/>
      <c r="O224"/>
      <c r="P224"/>
      <c r="Q224"/>
    </row>
    <row r="225" spans="1:17" ht="15.6" x14ac:dyDescent="0.3">
      <c r="A225" s="48" t="s">
        <v>1129</v>
      </c>
      <c r="B225" s="48" t="s">
        <v>2159</v>
      </c>
      <c r="C225" s="23" t="s">
        <v>910</v>
      </c>
      <c r="D225" s="56"/>
      <c r="E225" s="51"/>
      <c r="F225" s="56"/>
      <c r="G225" s="51"/>
      <c r="H225" s="56">
        <v>10</v>
      </c>
      <c r="I225" s="57">
        <v>0</v>
      </c>
      <c r="J225"/>
      <c r="K225"/>
      <c r="L225"/>
      <c r="M225"/>
      <c r="N225"/>
      <c r="O225"/>
      <c r="P225"/>
      <c r="Q225"/>
    </row>
    <row r="226" spans="1:17" ht="15.6" x14ac:dyDescent="0.3">
      <c r="A226" s="19" t="s">
        <v>1130</v>
      </c>
      <c r="B226" s="19" t="s">
        <v>192</v>
      </c>
      <c r="C226" s="19" t="s">
        <v>1918</v>
      </c>
      <c r="D226" s="53"/>
      <c r="E226" s="54"/>
      <c r="F226" s="53">
        <v>1</v>
      </c>
      <c r="G226" s="54">
        <v>0</v>
      </c>
      <c r="H226" s="53"/>
      <c r="I226" s="55"/>
      <c r="J226"/>
      <c r="K226"/>
      <c r="L226"/>
      <c r="M226"/>
      <c r="N226"/>
      <c r="O226"/>
      <c r="P226"/>
      <c r="Q226"/>
    </row>
    <row r="227" spans="1:17" ht="15.6" x14ac:dyDescent="0.3">
      <c r="A227" s="19" t="s">
        <v>1131</v>
      </c>
      <c r="B227" s="19" t="s">
        <v>193</v>
      </c>
      <c r="C227" s="19" t="s">
        <v>1918</v>
      </c>
      <c r="D227" s="53"/>
      <c r="E227" s="54"/>
      <c r="F227" s="53">
        <v>1</v>
      </c>
      <c r="G227" s="54">
        <v>0</v>
      </c>
      <c r="H227" s="53"/>
      <c r="I227" s="55"/>
      <c r="J227"/>
      <c r="K227"/>
      <c r="L227"/>
      <c r="M227"/>
      <c r="N227"/>
      <c r="O227"/>
      <c r="P227"/>
      <c r="Q227"/>
    </row>
    <row r="228" spans="1:17" ht="15.6" x14ac:dyDescent="0.3">
      <c r="A228" s="19" t="s">
        <v>1132</v>
      </c>
      <c r="B228" s="19" t="s">
        <v>194</v>
      </c>
      <c r="C228" s="19" t="s">
        <v>1918</v>
      </c>
      <c r="D228" s="53"/>
      <c r="E228" s="54"/>
      <c r="F228" s="53">
        <v>1</v>
      </c>
      <c r="G228" s="54">
        <v>0</v>
      </c>
      <c r="H228" s="53"/>
      <c r="I228" s="55"/>
      <c r="J228"/>
      <c r="K228"/>
      <c r="L228"/>
      <c r="M228"/>
      <c r="N228"/>
      <c r="O228"/>
      <c r="P228"/>
      <c r="Q228"/>
    </row>
    <row r="229" spans="1:17" ht="15.6" x14ac:dyDescent="0.3">
      <c r="A229" s="19" t="s">
        <v>1133</v>
      </c>
      <c r="B229" s="19" t="s">
        <v>195</v>
      </c>
      <c r="C229" s="19" t="s">
        <v>1918</v>
      </c>
      <c r="D229" s="53"/>
      <c r="E229" s="54"/>
      <c r="F229" s="53">
        <v>1</v>
      </c>
      <c r="G229" s="54">
        <v>0</v>
      </c>
      <c r="H229" s="53"/>
      <c r="I229" s="55"/>
      <c r="J229"/>
      <c r="K229"/>
      <c r="L229"/>
      <c r="M229"/>
      <c r="N229"/>
      <c r="O229"/>
      <c r="P229"/>
      <c r="Q229"/>
    </row>
    <row r="230" spans="1:17" ht="15.6" x14ac:dyDescent="0.3">
      <c r="A230" s="19" t="s">
        <v>1134</v>
      </c>
      <c r="B230" s="19" t="s">
        <v>196</v>
      </c>
      <c r="C230" s="19" t="s">
        <v>1918</v>
      </c>
      <c r="D230" s="53"/>
      <c r="E230" s="54"/>
      <c r="F230" s="53">
        <v>3</v>
      </c>
      <c r="G230" s="54">
        <v>0</v>
      </c>
      <c r="H230" s="53"/>
      <c r="I230" s="55"/>
      <c r="J230"/>
      <c r="K230"/>
      <c r="L230"/>
      <c r="M230"/>
      <c r="N230"/>
      <c r="O230"/>
      <c r="P230"/>
      <c r="Q230"/>
    </row>
    <row r="231" spans="1:17" ht="15.6" x14ac:dyDescent="0.3">
      <c r="A231" s="19" t="s">
        <v>1135</v>
      </c>
      <c r="B231" s="19" t="s">
        <v>197</v>
      </c>
      <c r="C231" s="19" t="s">
        <v>1918</v>
      </c>
      <c r="D231" s="53"/>
      <c r="E231" s="54"/>
      <c r="F231" s="53">
        <v>1</v>
      </c>
      <c r="G231" s="54">
        <v>0</v>
      </c>
      <c r="H231" s="53"/>
      <c r="I231" s="55"/>
      <c r="J231"/>
      <c r="K231"/>
      <c r="L231"/>
      <c r="M231"/>
      <c r="N231"/>
      <c r="O231"/>
      <c r="P231"/>
      <c r="Q231"/>
    </row>
    <row r="232" spans="1:17" ht="15.6" x14ac:dyDescent="0.3">
      <c r="A232" s="19" t="s">
        <v>1136</v>
      </c>
      <c r="B232" s="19" t="s">
        <v>198</v>
      </c>
      <c r="C232" s="19" t="s">
        <v>1918</v>
      </c>
      <c r="D232" s="53"/>
      <c r="E232" s="54"/>
      <c r="F232" s="53">
        <v>1</v>
      </c>
      <c r="G232" s="54">
        <v>0</v>
      </c>
      <c r="H232" s="53"/>
      <c r="I232" s="55"/>
      <c r="J232"/>
      <c r="K232"/>
      <c r="L232"/>
      <c r="M232"/>
      <c r="N232"/>
      <c r="O232"/>
      <c r="P232"/>
      <c r="Q232"/>
    </row>
    <row r="233" spans="1:17" ht="15.6" x14ac:dyDescent="0.3">
      <c r="A233" s="19" t="s">
        <v>1137</v>
      </c>
      <c r="B233" s="19" t="s">
        <v>199</v>
      </c>
      <c r="C233" s="19" t="s">
        <v>1918</v>
      </c>
      <c r="D233" s="53"/>
      <c r="E233" s="54"/>
      <c r="F233" s="53">
        <v>1</v>
      </c>
      <c r="G233" s="54">
        <v>0</v>
      </c>
      <c r="H233" s="53"/>
      <c r="I233" s="55"/>
      <c r="J233"/>
      <c r="K233"/>
      <c r="L233"/>
      <c r="M233"/>
      <c r="N233"/>
      <c r="O233"/>
      <c r="P233"/>
      <c r="Q233"/>
    </row>
    <row r="234" spans="1:17" ht="15.6" x14ac:dyDescent="0.3">
      <c r="A234" s="19" t="s">
        <v>1138</v>
      </c>
      <c r="B234" s="19" t="s">
        <v>200</v>
      </c>
      <c r="C234" s="19" t="s">
        <v>1918</v>
      </c>
      <c r="D234" s="53"/>
      <c r="E234" s="54"/>
      <c r="F234" s="53">
        <v>1</v>
      </c>
      <c r="G234" s="54">
        <v>0</v>
      </c>
      <c r="H234" s="53"/>
      <c r="I234" s="55"/>
      <c r="J234"/>
      <c r="K234"/>
      <c r="L234"/>
      <c r="M234"/>
      <c r="N234"/>
      <c r="O234"/>
      <c r="P234"/>
      <c r="Q234"/>
    </row>
    <row r="235" spans="1:17" ht="15.6" x14ac:dyDescent="0.3">
      <c r="A235" s="19" t="s">
        <v>1139</v>
      </c>
      <c r="B235" s="19" t="s">
        <v>201</v>
      </c>
      <c r="C235" s="19" t="s">
        <v>1918</v>
      </c>
      <c r="D235" s="53"/>
      <c r="E235" s="54"/>
      <c r="F235" s="53">
        <v>1</v>
      </c>
      <c r="G235" s="54">
        <v>0</v>
      </c>
      <c r="H235" s="53"/>
      <c r="I235" s="55"/>
      <c r="J235"/>
      <c r="K235"/>
      <c r="L235"/>
      <c r="M235"/>
      <c r="N235"/>
      <c r="O235"/>
      <c r="P235"/>
      <c r="Q235"/>
    </row>
    <row r="236" spans="1:17" ht="15.6" x14ac:dyDescent="0.3">
      <c r="A236" s="19" t="s">
        <v>1140</v>
      </c>
      <c r="B236" s="19" t="s">
        <v>202</v>
      </c>
      <c r="C236" s="19" t="s">
        <v>1918</v>
      </c>
      <c r="D236" s="53"/>
      <c r="E236" s="54"/>
      <c r="F236" s="53">
        <v>1</v>
      </c>
      <c r="G236" s="54">
        <v>0</v>
      </c>
      <c r="H236" s="53"/>
      <c r="I236" s="55"/>
      <c r="J236"/>
      <c r="K236"/>
      <c r="L236"/>
      <c r="M236"/>
      <c r="N236"/>
      <c r="O236"/>
      <c r="P236"/>
      <c r="Q236"/>
    </row>
    <row r="237" spans="1:17" ht="15.6" x14ac:dyDescent="0.3">
      <c r="A237" s="19" t="s">
        <v>1141</v>
      </c>
      <c r="B237" s="19" t="s">
        <v>203</v>
      </c>
      <c r="C237" s="19" t="s">
        <v>1918</v>
      </c>
      <c r="D237" s="53"/>
      <c r="E237" s="54"/>
      <c r="F237" s="53">
        <v>2</v>
      </c>
      <c r="G237" s="54">
        <v>0</v>
      </c>
      <c r="H237" s="53"/>
      <c r="I237" s="55"/>
      <c r="J237"/>
      <c r="K237"/>
      <c r="L237"/>
      <c r="M237"/>
      <c r="N237"/>
      <c r="O237"/>
      <c r="P237"/>
      <c r="Q237"/>
    </row>
    <row r="238" spans="1:17" ht="15.6" x14ac:dyDescent="0.3">
      <c r="A238" s="19" t="s">
        <v>1142</v>
      </c>
      <c r="B238" s="19" t="s">
        <v>204</v>
      </c>
      <c r="C238" s="19" t="s">
        <v>1918</v>
      </c>
      <c r="D238" s="53"/>
      <c r="E238" s="54"/>
      <c r="F238" s="53">
        <v>1</v>
      </c>
      <c r="G238" s="54">
        <v>0</v>
      </c>
      <c r="H238" s="53"/>
      <c r="I238" s="55"/>
      <c r="J238"/>
      <c r="K238"/>
      <c r="L238"/>
      <c r="M238"/>
      <c r="N238"/>
      <c r="O238"/>
      <c r="P238"/>
      <c r="Q238"/>
    </row>
    <row r="239" spans="1:17" ht="15.6" x14ac:dyDescent="0.3">
      <c r="A239" s="19" t="s">
        <v>1143</v>
      </c>
      <c r="B239" s="19" t="s">
        <v>205</v>
      </c>
      <c r="C239" s="19" t="s">
        <v>1918</v>
      </c>
      <c r="D239" s="53"/>
      <c r="E239" s="54"/>
      <c r="F239" s="53">
        <v>1</v>
      </c>
      <c r="G239" s="54">
        <v>0</v>
      </c>
      <c r="H239" s="53"/>
      <c r="I239" s="55"/>
      <c r="J239"/>
      <c r="K239"/>
      <c r="L239"/>
      <c r="M239"/>
      <c r="N239"/>
      <c r="O239"/>
      <c r="P239"/>
      <c r="Q239"/>
    </row>
    <row r="240" spans="1:17" ht="15.6" x14ac:dyDescent="0.3">
      <c r="A240" s="19" t="s">
        <v>1144</v>
      </c>
      <c r="B240" s="19" t="s">
        <v>206</v>
      </c>
      <c r="C240" s="19" t="s">
        <v>1918</v>
      </c>
      <c r="D240" s="53"/>
      <c r="E240" s="54"/>
      <c r="F240" s="53">
        <v>4</v>
      </c>
      <c r="G240" s="54">
        <v>0</v>
      </c>
      <c r="H240" s="53"/>
      <c r="I240" s="55"/>
      <c r="J240"/>
      <c r="K240"/>
      <c r="L240"/>
      <c r="M240"/>
      <c r="N240"/>
      <c r="O240"/>
      <c r="P240"/>
      <c r="Q240"/>
    </row>
    <row r="241" spans="1:17" ht="15.6" x14ac:dyDescent="0.3">
      <c r="A241" s="19" t="s">
        <v>1145</v>
      </c>
      <c r="B241" s="19" t="s">
        <v>207</v>
      </c>
      <c r="C241" s="19" t="s">
        <v>1918</v>
      </c>
      <c r="D241" s="53"/>
      <c r="E241" s="54"/>
      <c r="F241" s="53">
        <v>1</v>
      </c>
      <c r="G241" s="54">
        <v>0</v>
      </c>
      <c r="H241" s="53"/>
      <c r="I241" s="55"/>
      <c r="J241"/>
      <c r="K241"/>
      <c r="L241"/>
      <c r="M241"/>
      <c r="N241"/>
      <c r="O241"/>
      <c r="P241"/>
      <c r="Q241"/>
    </row>
    <row r="242" spans="1:17" ht="15.6" x14ac:dyDescent="0.3">
      <c r="A242" s="19" t="s">
        <v>1146</v>
      </c>
      <c r="B242" s="19" t="s">
        <v>208</v>
      </c>
      <c r="C242" s="19" t="s">
        <v>1918</v>
      </c>
      <c r="D242" s="53"/>
      <c r="E242" s="54"/>
      <c r="F242" s="53">
        <v>1</v>
      </c>
      <c r="G242" s="54">
        <v>0</v>
      </c>
      <c r="H242" s="53"/>
      <c r="I242" s="55"/>
      <c r="J242"/>
      <c r="K242"/>
      <c r="L242"/>
      <c r="M242"/>
      <c r="N242"/>
      <c r="O242"/>
      <c r="P242"/>
      <c r="Q242"/>
    </row>
    <row r="243" spans="1:17" ht="15.6" x14ac:dyDescent="0.3">
      <c r="A243" s="19" t="s">
        <v>1147</v>
      </c>
      <c r="B243" s="19" t="s">
        <v>209</v>
      </c>
      <c r="C243" s="19" t="s">
        <v>1918</v>
      </c>
      <c r="D243" s="53"/>
      <c r="E243" s="54"/>
      <c r="F243" s="53">
        <v>1</v>
      </c>
      <c r="G243" s="54">
        <v>0</v>
      </c>
      <c r="H243" s="53"/>
      <c r="I243" s="55"/>
      <c r="J243"/>
      <c r="K243"/>
      <c r="L243"/>
      <c r="M243"/>
      <c r="N243"/>
      <c r="O243"/>
      <c r="P243"/>
      <c r="Q243"/>
    </row>
    <row r="244" spans="1:17" ht="15.6" x14ac:dyDescent="0.3">
      <c r="A244" s="47" t="s">
        <v>1148</v>
      </c>
      <c r="B244" s="47" t="s">
        <v>210</v>
      </c>
      <c r="C244" s="19" t="s">
        <v>903</v>
      </c>
      <c r="D244" s="53"/>
      <c r="E244" s="54"/>
      <c r="F244" s="53"/>
      <c r="G244" s="54"/>
      <c r="H244" s="53">
        <v>2</v>
      </c>
      <c r="I244" s="55">
        <v>0</v>
      </c>
      <c r="J244"/>
      <c r="K244"/>
      <c r="L244"/>
      <c r="M244"/>
      <c r="N244"/>
      <c r="O244"/>
      <c r="P244"/>
      <c r="Q244"/>
    </row>
    <row r="245" spans="1:17" ht="15.6" x14ac:dyDescent="0.3">
      <c r="A245" s="48" t="s">
        <v>1148</v>
      </c>
      <c r="B245" s="48" t="s">
        <v>210</v>
      </c>
      <c r="C245" s="23" t="s">
        <v>1918</v>
      </c>
      <c r="D245" s="56"/>
      <c r="E245" s="51"/>
      <c r="F245" s="56">
        <v>2</v>
      </c>
      <c r="G245" s="51">
        <v>0</v>
      </c>
      <c r="H245" s="56"/>
      <c r="I245" s="57"/>
      <c r="J245"/>
      <c r="K245"/>
      <c r="L245"/>
      <c r="M245"/>
      <c r="N245"/>
      <c r="O245"/>
      <c r="P245"/>
      <c r="Q245"/>
    </row>
    <row r="246" spans="1:17" ht="15.6" x14ac:dyDescent="0.3">
      <c r="A246" s="48" t="s">
        <v>1148</v>
      </c>
      <c r="B246" s="48" t="s">
        <v>210</v>
      </c>
      <c r="C246" s="23" t="s">
        <v>904</v>
      </c>
      <c r="D246" s="56"/>
      <c r="E246" s="51"/>
      <c r="F246" s="56">
        <v>0</v>
      </c>
      <c r="G246" s="51">
        <v>2</v>
      </c>
      <c r="H246" s="56"/>
      <c r="I246" s="57"/>
      <c r="J246"/>
      <c r="K246"/>
      <c r="L246"/>
      <c r="M246"/>
      <c r="N246"/>
      <c r="O246"/>
      <c r="P246"/>
      <c r="Q246"/>
    </row>
    <row r="247" spans="1:17" ht="15.6" x14ac:dyDescent="0.3">
      <c r="A247" s="48" t="s">
        <v>1148</v>
      </c>
      <c r="B247" s="48" t="s">
        <v>210</v>
      </c>
      <c r="C247" s="23" t="s">
        <v>910</v>
      </c>
      <c r="D247" s="56"/>
      <c r="E247" s="51"/>
      <c r="F247" s="56"/>
      <c r="G247" s="51"/>
      <c r="H247" s="56">
        <v>1</v>
      </c>
      <c r="I247" s="57">
        <v>0</v>
      </c>
      <c r="J247"/>
      <c r="K247"/>
      <c r="L247"/>
      <c r="M247"/>
      <c r="N247"/>
      <c r="O247"/>
      <c r="P247"/>
      <c r="Q247"/>
    </row>
    <row r="248" spans="1:17" ht="15.6" x14ac:dyDescent="0.3">
      <c r="A248" s="19" t="s">
        <v>1149</v>
      </c>
      <c r="B248" s="19" t="s">
        <v>211</v>
      </c>
      <c r="C248" s="19" t="s">
        <v>1918</v>
      </c>
      <c r="D248" s="53"/>
      <c r="E248" s="54"/>
      <c r="F248" s="53">
        <v>1</v>
      </c>
      <c r="G248" s="54">
        <v>0</v>
      </c>
      <c r="H248" s="53"/>
      <c r="I248" s="55"/>
      <c r="J248"/>
      <c r="K248"/>
      <c r="L248"/>
      <c r="M248"/>
      <c r="N248"/>
      <c r="O248"/>
      <c r="P248"/>
      <c r="Q248"/>
    </row>
    <row r="249" spans="1:17" ht="15.6" x14ac:dyDescent="0.3">
      <c r="A249" s="19" t="s">
        <v>1150</v>
      </c>
      <c r="B249" s="19" t="s">
        <v>212</v>
      </c>
      <c r="C249" s="19" t="s">
        <v>1918</v>
      </c>
      <c r="D249" s="53"/>
      <c r="E249" s="54"/>
      <c r="F249" s="53">
        <v>3</v>
      </c>
      <c r="G249" s="54">
        <v>0</v>
      </c>
      <c r="H249" s="53"/>
      <c r="I249" s="55"/>
      <c r="J249"/>
      <c r="K249"/>
      <c r="L249"/>
      <c r="M249"/>
      <c r="N249"/>
      <c r="O249"/>
      <c r="P249"/>
      <c r="Q249"/>
    </row>
    <row r="250" spans="1:17" ht="15.6" x14ac:dyDescent="0.3">
      <c r="A250" s="19" t="s">
        <v>1151</v>
      </c>
      <c r="B250" s="19" t="s">
        <v>213</v>
      </c>
      <c r="C250" s="19" t="s">
        <v>1918</v>
      </c>
      <c r="D250" s="53"/>
      <c r="E250" s="54"/>
      <c r="F250" s="53">
        <v>1</v>
      </c>
      <c r="G250" s="54">
        <v>0</v>
      </c>
      <c r="H250" s="53"/>
      <c r="I250" s="55"/>
      <c r="J250"/>
      <c r="K250"/>
      <c r="L250"/>
      <c r="M250"/>
      <c r="N250"/>
      <c r="O250"/>
      <c r="P250"/>
      <c r="Q250"/>
    </row>
    <row r="251" spans="1:17" ht="15.6" x14ac:dyDescent="0.3">
      <c r="A251" s="19" t="s">
        <v>1152</v>
      </c>
      <c r="B251" s="19" t="s">
        <v>214</v>
      </c>
      <c r="C251" s="19" t="s">
        <v>1918</v>
      </c>
      <c r="D251" s="53"/>
      <c r="E251" s="54"/>
      <c r="F251" s="53">
        <v>3</v>
      </c>
      <c r="G251" s="54">
        <v>0</v>
      </c>
      <c r="H251" s="53"/>
      <c r="I251" s="55"/>
      <c r="J251"/>
      <c r="K251"/>
      <c r="L251"/>
      <c r="M251"/>
      <c r="N251"/>
      <c r="O251"/>
      <c r="P251"/>
      <c r="Q251"/>
    </row>
    <row r="252" spans="1:17" ht="15.6" x14ac:dyDescent="0.3">
      <c r="A252" s="19" t="s">
        <v>1153</v>
      </c>
      <c r="B252" s="19" t="s">
        <v>215</v>
      </c>
      <c r="C252" s="19" t="s">
        <v>1918</v>
      </c>
      <c r="D252" s="53"/>
      <c r="E252" s="54"/>
      <c r="F252" s="53">
        <v>1</v>
      </c>
      <c r="G252" s="54">
        <v>0</v>
      </c>
      <c r="H252" s="53"/>
      <c r="I252" s="55"/>
      <c r="J252"/>
      <c r="K252"/>
      <c r="L252"/>
      <c r="M252"/>
      <c r="N252"/>
      <c r="O252"/>
      <c r="P252"/>
      <c r="Q252"/>
    </row>
    <row r="253" spans="1:17" ht="15.6" x14ac:dyDescent="0.3">
      <c r="A253" s="19" t="s">
        <v>1154</v>
      </c>
      <c r="B253" s="19" t="s">
        <v>216</v>
      </c>
      <c r="C253" s="19" t="s">
        <v>1918</v>
      </c>
      <c r="D253" s="53"/>
      <c r="E253" s="54"/>
      <c r="F253" s="53">
        <v>1</v>
      </c>
      <c r="G253" s="54">
        <v>0</v>
      </c>
      <c r="H253" s="53"/>
      <c r="I253" s="55"/>
      <c r="J253"/>
      <c r="K253"/>
      <c r="L253"/>
      <c r="M253"/>
      <c r="N253"/>
      <c r="O253"/>
      <c r="P253"/>
      <c r="Q253"/>
    </row>
    <row r="254" spans="1:17" ht="15.6" x14ac:dyDescent="0.3">
      <c r="A254" s="19" t="s">
        <v>1155</v>
      </c>
      <c r="B254" s="19" t="s">
        <v>217</v>
      </c>
      <c r="C254" s="19" t="s">
        <v>1918</v>
      </c>
      <c r="D254" s="53"/>
      <c r="E254" s="54"/>
      <c r="F254" s="53">
        <v>3</v>
      </c>
      <c r="G254" s="54">
        <v>0</v>
      </c>
      <c r="H254" s="53"/>
      <c r="I254" s="55"/>
      <c r="J254"/>
      <c r="K254"/>
      <c r="L254"/>
      <c r="M254"/>
      <c r="N254"/>
      <c r="O254"/>
      <c r="P254"/>
      <c r="Q254"/>
    </row>
    <row r="255" spans="1:17" ht="15.6" x14ac:dyDescent="0.3">
      <c r="A255" s="19" t="s">
        <v>1156</v>
      </c>
      <c r="B255" s="19" t="s">
        <v>218</v>
      </c>
      <c r="C255" s="19" t="s">
        <v>1918</v>
      </c>
      <c r="D255" s="53"/>
      <c r="E255" s="54"/>
      <c r="F255" s="53">
        <v>5</v>
      </c>
      <c r="G255" s="54">
        <v>0</v>
      </c>
      <c r="H255" s="53"/>
      <c r="I255" s="55"/>
      <c r="J255"/>
      <c r="K255"/>
      <c r="L255"/>
      <c r="M255"/>
      <c r="N255"/>
      <c r="O255"/>
      <c r="P255"/>
      <c r="Q255"/>
    </row>
    <row r="256" spans="1:17" ht="15.6" x14ac:dyDescent="0.3">
      <c r="A256" s="19" t="s">
        <v>1157</v>
      </c>
      <c r="B256" s="19" t="s">
        <v>219</v>
      </c>
      <c r="C256" s="19" t="s">
        <v>1918</v>
      </c>
      <c r="D256" s="53"/>
      <c r="E256" s="54"/>
      <c r="F256" s="53">
        <v>1</v>
      </c>
      <c r="G256" s="54">
        <v>0</v>
      </c>
      <c r="H256" s="53"/>
      <c r="I256" s="55"/>
      <c r="J256"/>
      <c r="K256"/>
      <c r="L256"/>
      <c r="M256"/>
      <c r="N256"/>
      <c r="O256"/>
      <c r="P256"/>
      <c r="Q256"/>
    </row>
    <row r="257" spans="1:17" ht="15.6" x14ac:dyDescent="0.3">
      <c r="A257" s="19" t="s">
        <v>1158</v>
      </c>
      <c r="B257" s="19" t="s">
        <v>220</v>
      </c>
      <c r="C257" s="19" t="s">
        <v>1918</v>
      </c>
      <c r="D257" s="53"/>
      <c r="E257" s="54"/>
      <c r="F257" s="53">
        <v>1</v>
      </c>
      <c r="G257" s="54">
        <v>0</v>
      </c>
      <c r="H257" s="53"/>
      <c r="I257" s="55"/>
      <c r="J257"/>
      <c r="K257"/>
      <c r="L257"/>
      <c r="M257"/>
      <c r="N257"/>
      <c r="O257"/>
      <c r="P257"/>
      <c r="Q257"/>
    </row>
    <row r="258" spans="1:17" ht="15.6" x14ac:dyDescent="0.3">
      <c r="A258" s="47" t="s">
        <v>1159</v>
      </c>
      <c r="B258" s="47" t="s">
        <v>221</v>
      </c>
      <c r="C258" s="19" t="s">
        <v>903</v>
      </c>
      <c r="D258" s="53"/>
      <c r="E258" s="54"/>
      <c r="F258" s="53"/>
      <c r="G258" s="54"/>
      <c r="H258" s="53">
        <v>4</v>
      </c>
      <c r="I258" s="55">
        <v>0</v>
      </c>
      <c r="J258"/>
      <c r="K258"/>
      <c r="L258"/>
      <c r="M258"/>
      <c r="N258"/>
      <c r="O258"/>
      <c r="P258"/>
      <c r="Q258"/>
    </row>
    <row r="259" spans="1:17" ht="15.6" x14ac:dyDescent="0.3">
      <c r="A259" s="48" t="s">
        <v>1159</v>
      </c>
      <c r="B259" s="48" t="s">
        <v>221</v>
      </c>
      <c r="C259" s="23" t="s">
        <v>1918</v>
      </c>
      <c r="D259" s="56"/>
      <c r="E259" s="51"/>
      <c r="F259" s="56">
        <v>4</v>
      </c>
      <c r="G259" s="51">
        <v>0</v>
      </c>
      <c r="H259" s="56"/>
      <c r="I259" s="57"/>
      <c r="J259"/>
      <c r="K259"/>
      <c r="L259"/>
      <c r="M259"/>
      <c r="N259"/>
      <c r="O259"/>
      <c r="P259"/>
      <c r="Q259"/>
    </row>
    <row r="260" spans="1:17" ht="15.6" x14ac:dyDescent="0.3">
      <c r="A260" s="48" t="s">
        <v>1159</v>
      </c>
      <c r="B260" s="48" t="s">
        <v>221</v>
      </c>
      <c r="C260" s="23" t="s">
        <v>904</v>
      </c>
      <c r="D260" s="56"/>
      <c r="E260" s="51"/>
      <c r="F260" s="56">
        <v>0</v>
      </c>
      <c r="G260" s="51">
        <v>4</v>
      </c>
      <c r="H260" s="56"/>
      <c r="I260" s="57"/>
      <c r="J260"/>
      <c r="K260"/>
      <c r="L260"/>
      <c r="M260"/>
      <c r="N260"/>
      <c r="O260"/>
      <c r="P260"/>
      <c r="Q260"/>
    </row>
    <row r="261" spans="1:17" ht="15.6" x14ac:dyDescent="0.3">
      <c r="A261" s="19" t="s">
        <v>1160</v>
      </c>
      <c r="B261" s="19" t="s">
        <v>2464</v>
      </c>
      <c r="C261" s="19" t="s">
        <v>1918</v>
      </c>
      <c r="D261" s="53"/>
      <c r="E261" s="54"/>
      <c r="F261" s="53">
        <v>1</v>
      </c>
      <c r="G261" s="54">
        <v>0</v>
      </c>
      <c r="H261" s="53"/>
      <c r="I261" s="55"/>
      <c r="J261"/>
      <c r="K261"/>
      <c r="L261"/>
      <c r="M261"/>
      <c r="N261"/>
      <c r="O261"/>
      <c r="P261"/>
      <c r="Q261"/>
    </row>
    <row r="262" spans="1:17" ht="15.6" x14ac:dyDescent="0.3">
      <c r="A262" s="19" t="s">
        <v>1161</v>
      </c>
      <c r="B262" s="19" t="s">
        <v>222</v>
      </c>
      <c r="C262" s="19" t="s">
        <v>1918</v>
      </c>
      <c r="D262" s="53"/>
      <c r="E262" s="54"/>
      <c r="F262" s="53">
        <v>3</v>
      </c>
      <c r="G262" s="54">
        <v>0</v>
      </c>
      <c r="H262" s="53"/>
      <c r="I262" s="55"/>
      <c r="J262"/>
      <c r="K262"/>
      <c r="L262"/>
      <c r="M262"/>
      <c r="N262"/>
      <c r="O262"/>
      <c r="P262"/>
      <c r="Q262"/>
    </row>
    <row r="263" spans="1:17" ht="15.6" x14ac:dyDescent="0.3">
      <c r="A263" s="19" t="s">
        <v>1162</v>
      </c>
      <c r="B263" s="19" t="s">
        <v>223</v>
      </c>
      <c r="C263" s="19" t="s">
        <v>1918</v>
      </c>
      <c r="D263" s="53"/>
      <c r="E263" s="54"/>
      <c r="F263" s="53">
        <v>2</v>
      </c>
      <c r="G263" s="54">
        <v>0</v>
      </c>
      <c r="H263" s="53"/>
      <c r="I263" s="55"/>
      <c r="J263"/>
      <c r="K263"/>
      <c r="L263"/>
      <c r="M263"/>
      <c r="N263"/>
      <c r="O263"/>
      <c r="P263"/>
      <c r="Q263"/>
    </row>
    <row r="264" spans="1:17" ht="15.6" x14ac:dyDescent="0.3">
      <c r="A264" s="19" t="s">
        <v>1163</v>
      </c>
      <c r="B264" s="19" t="s">
        <v>224</v>
      </c>
      <c r="C264" s="19" t="s">
        <v>1918</v>
      </c>
      <c r="D264" s="53"/>
      <c r="E264" s="54"/>
      <c r="F264" s="53">
        <v>1</v>
      </c>
      <c r="G264" s="54">
        <v>0</v>
      </c>
      <c r="H264" s="53"/>
      <c r="I264" s="55"/>
      <c r="J264"/>
      <c r="K264"/>
      <c r="L264"/>
      <c r="M264"/>
      <c r="N264"/>
      <c r="O264"/>
      <c r="P264"/>
      <c r="Q264"/>
    </row>
    <row r="265" spans="1:17" ht="15.6" x14ac:dyDescent="0.3">
      <c r="A265" s="19" t="s">
        <v>1164</v>
      </c>
      <c r="B265" s="19" t="s">
        <v>225</v>
      </c>
      <c r="C265" s="19" t="s">
        <v>1918</v>
      </c>
      <c r="D265" s="53"/>
      <c r="E265" s="54"/>
      <c r="F265" s="53">
        <v>1</v>
      </c>
      <c r="G265" s="54">
        <v>0</v>
      </c>
      <c r="H265" s="53"/>
      <c r="I265" s="55"/>
      <c r="J265"/>
      <c r="K265"/>
      <c r="L265"/>
      <c r="M265"/>
      <c r="N265"/>
      <c r="O265"/>
      <c r="P265"/>
      <c r="Q265"/>
    </row>
    <row r="266" spans="1:17" ht="15.6" x14ac:dyDescent="0.3">
      <c r="A266" s="19" t="s">
        <v>1165</v>
      </c>
      <c r="B266" s="19" t="s">
        <v>226</v>
      </c>
      <c r="C266" s="19" t="s">
        <v>1918</v>
      </c>
      <c r="D266" s="53"/>
      <c r="E266" s="54"/>
      <c r="F266" s="53">
        <v>2</v>
      </c>
      <c r="G266" s="54">
        <v>0</v>
      </c>
      <c r="H266" s="53"/>
      <c r="I266" s="55"/>
      <c r="J266"/>
      <c r="K266"/>
      <c r="L266"/>
      <c r="M266"/>
      <c r="N266"/>
      <c r="O266"/>
      <c r="P266"/>
      <c r="Q266"/>
    </row>
    <row r="267" spans="1:17" ht="15.6" x14ac:dyDescent="0.3">
      <c r="A267" s="19" t="s">
        <v>1166</v>
      </c>
      <c r="B267" s="19" t="s">
        <v>227</v>
      </c>
      <c r="C267" s="19" t="s">
        <v>1918</v>
      </c>
      <c r="D267" s="53"/>
      <c r="E267" s="54"/>
      <c r="F267" s="53">
        <v>1</v>
      </c>
      <c r="G267" s="54">
        <v>0</v>
      </c>
      <c r="H267" s="53"/>
      <c r="I267" s="55"/>
      <c r="J267"/>
      <c r="K267"/>
      <c r="L267"/>
      <c r="M267"/>
      <c r="N267"/>
      <c r="O267"/>
      <c r="P267"/>
      <c r="Q267"/>
    </row>
    <row r="268" spans="1:17" ht="15.6" x14ac:dyDescent="0.3">
      <c r="A268" s="19" t="s">
        <v>1167</v>
      </c>
      <c r="B268" s="19" t="s">
        <v>228</v>
      </c>
      <c r="C268" s="19" t="s">
        <v>1918</v>
      </c>
      <c r="D268" s="53"/>
      <c r="E268" s="54"/>
      <c r="F268" s="53">
        <v>1</v>
      </c>
      <c r="G268" s="54">
        <v>0</v>
      </c>
      <c r="H268" s="53"/>
      <c r="I268" s="55"/>
      <c r="J268"/>
      <c r="K268"/>
      <c r="L268"/>
      <c r="M268"/>
      <c r="N268"/>
      <c r="O268"/>
      <c r="P268"/>
      <c r="Q268"/>
    </row>
    <row r="269" spans="1:17" ht="15.6" x14ac:dyDescent="0.3">
      <c r="A269" s="19" t="s">
        <v>1168</v>
      </c>
      <c r="B269" s="19" t="s">
        <v>229</v>
      </c>
      <c r="C269" s="19" t="s">
        <v>1918</v>
      </c>
      <c r="D269" s="53"/>
      <c r="E269" s="54"/>
      <c r="F269" s="53">
        <v>6</v>
      </c>
      <c r="G269" s="54">
        <v>0</v>
      </c>
      <c r="H269" s="53"/>
      <c r="I269" s="55"/>
      <c r="J269"/>
      <c r="K269"/>
      <c r="L269"/>
      <c r="M269"/>
      <c r="N269"/>
      <c r="O269"/>
      <c r="P269"/>
      <c r="Q269"/>
    </row>
    <row r="270" spans="1:17" ht="15.6" x14ac:dyDescent="0.3">
      <c r="A270" s="19" t="s">
        <v>1169</v>
      </c>
      <c r="B270" s="19" t="s">
        <v>230</v>
      </c>
      <c r="C270" s="19" t="s">
        <v>1918</v>
      </c>
      <c r="D270" s="53"/>
      <c r="E270" s="54"/>
      <c r="F270" s="53">
        <v>1</v>
      </c>
      <c r="G270" s="54">
        <v>0</v>
      </c>
      <c r="H270" s="53"/>
      <c r="I270" s="55"/>
      <c r="J270"/>
      <c r="K270"/>
      <c r="L270"/>
      <c r="M270"/>
      <c r="N270"/>
      <c r="O270"/>
      <c r="P270"/>
      <c r="Q270"/>
    </row>
    <row r="271" spans="1:17" ht="15.6" x14ac:dyDescent="0.3">
      <c r="A271" s="19" t="s">
        <v>1170</v>
      </c>
      <c r="B271" s="19" t="s">
        <v>231</v>
      </c>
      <c r="C271" s="19" t="s">
        <v>1918</v>
      </c>
      <c r="D271" s="53"/>
      <c r="E271" s="54"/>
      <c r="F271" s="53">
        <v>1</v>
      </c>
      <c r="G271" s="54">
        <v>0</v>
      </c>
      <c r="H271" s="53"/>
      <c r="I271" s="55"/>
      <c r="J271"/>
      <c r="K271"/>
      <c r="L271"/>
      <c r="M271"/>
      <c r="N271"/>
      <c r="O271"/>
      <c r="P271"/>
      <c r="Q271"/>
    </row>
    <row r="272" spans="1:17" ht="15.6" x14ac:dyDescent="0.3">
      <c r="A272" s="19" t="s">
        <v>1171</v>
      </c>
      <c r="B272" s="19" t="s">
        <v>232</v>
      </c>
      <c r="C272" s="19" t="s">
        <v>1918</v>
      </c>
      <c r="D272" s="53"/>
      <c r="E272" s="54"/>
      <c r="F272" s="53">
        <v>8</v>
      </c>
      <c r="G272" s="54">
        <v>0</v>
      </c>
      <c r="H272" s="53"/>
      <c r="I272" s="55"/>
      <c r="J272"/>
      <c r="K272"/>
      <c r="L272"/>
      <c r="M272"/>
      <c r="N272"/>
      <c r="O272"/>
      <c r="P272"/>
      <c r="Q272"/>
    </row>
    <row r="273" spans="1:17" ht="28.8" x14ac:dyDescent="0.3">
      <c r="A273" s="19" t="s">
        <v>1172</v>
      </c>
      <c r="B273" s="19" t="s">
        <v>233</v>
      </c>
      <c r="C273" s="19" t="s">
        <v>1918</v>
      </c>
      <c r="D273" s="53"/>
      <c r="E273" s="54"/>
      <c r="F273" s="53">
        <v>5</v>
      </c>
      <c r="G273" s="54">
        <v>0</v>
      </c>
      <c r="H273" s="53"/>
      <c r="I273" s="55"/>
      <c r="J273"/>
      <c r="K273"/>
      <c r="L273"/>
      <c r="M273"/>
      <c r="N273"/>
      <c r="O273"/>
      <c r="P273"/>
      <c r="Q273"/>
    </row>
    <row r="274" spans="1:17" ht="28.8" x14ac:dyDescent="0.3">
      <c r="A274" s="19" t="s">
        <v>1173</v>
      </c>
      <c r="B274" s="19" t="s">
        <v>234</v>
      </c>
      <c r="C274" s="19" t="s">
        <v>1918</v>
      </c>
      <c r="D274" s="53"/>
      <c r="E274" s="54"/>
      <c r="F274" s="53">
        <v>1</v>
      </c>
      <c r="G274" s="54">
        <v>0</v>
      </c>
      <c r="H274" s="53"/>
      <c r="I274" s="55"/>
      <c r="J274"/>
      <c r="K274"/>
      <c r="L274"/>
      <c r="M274"/>
      <c r="N274"/>
      <c r="O274"/>
      <c r="P274"/>
      <c r="Q274"/>
    </row>
    <row r="275" spans="1:17" ht="28.8" x14ac:dyDescent="0.3">
      <c r="A275" s="19" t="s">
        <v>1174</v>
      </c>
      <c r="B275" s="19" t="s">
        <v>235</v>
      </c>
      <c r="C275" s="19" t="s">
        <v>1918</v>
      </c>
      <c r="D275" s="53"/>
      <c r="E275" s="54"/>
      <c r="F275" s="53">
        <v>1</v>
      </c>
      <c r="G275" s="54">
        <v>0</v>
      </c>
      <c r="H275" s="53"/>
      <c r="I275" s="55"/>
      <c r="J275"/>
      <c r="K275"/>
      <c r="L275"/>
      <c r="M275"/>
      <c r="N275"/>
      <c r="O275"/>
      <c r="P275"/>
      <c r="Q275"/>
    </row>
    <row r="276" spans="1:17" ht="28.8" x14ac:dyDescent="0.3">
      <c r="A276" s="19" t="s">
        <v>1175</v>
      </c>
      <c r="B276" s="19" t="s">
        <v>236</v>
      </c>
      <c r="C276" s="19" t="s">
        <v>1918</v>
      </c>
      <c r="D276" s="53"/>
      <c r="E276" s="54"/>
      <c r="F276" s="53">
        <v>1</v>
      </c>
      <c r="G276" s="54">
        <v>0</v>
      </c>
      <c r="H276" s="53"/>
      <c r="I276" s="55"/>
      <c r="J276"/>
      <c r="K276"/>
      <c r="L276"/>
      <c r="M276"/>
      <c r="N276"/>
      <c r="O276"/>
      <c r="P276"/>
      <c r="Q276"/>
    </row>
    <row r="277" spans="1:17" ht="28.8" x14ac:dyDescent="0.3">
      <c r="A277" s="19" t="s">
        <v>1176</v>
      </c>
      <c r="B277" s="19" t="s">
        <v>237</v>
      </c>
      <c r="C277" s="19" t="s">
        <v>1918</v>
      </c>
      <c r="D277" s="53"/>
      <c r="E277" s="54"/>
      <c r="F277" s="53">
        <v>1</v>
      </c>
      <c r="G277" s="54">
        <v>0</v>
      </c>
      <c r="H277" s="53"/>
      <c r="I277" s="55"/>
      <c r="J277"/>
      <c r="K277"/>
      <c r="L277"/>
      <c r="M277"/>
      <c r="N277"/>
      <c r="O277"/>
      <c r="P277"/>
      <c r="Q277"/>
    </row>
    <row r="278" spans="1:17" ht="28.8" x14ac:dyDescent="0.3">
      <c r="A278" s="19" t="s">
        <v>1177</v>
      </c>
      <c r="B278" s="19" t="s">
        <v>238</v>
      </c>
      <c r="C278" s="19" t="s">
        <v>1918</v>
      </c>
      <c r="D278" s="53"/>
      <c r="E278" s="54"/>
      <c r="F278" s="53">
        <v>1</v>
      </c>
      <c r="G278" s="54">
        <v>0</v>
      </c>
      <c r="H278" s="53"/>
      <c r="I278" s="55"/>
      <c r="J278"/>
      <c r="K278"/>
      <c r="L278"/>
      <c r="M278"/>
      <c r="N278"/>
      <c r="O278"/>
      <c r="P278"/>
      <c r="Q278"/>
    </row>
    <row r="279" spans="1:17" ht="28.8" x14ac:dyDescent="0.3">
      <c r="A279" s="19" t="s">
        <v>1178</v>
      </c>
      <c r="B279" s="19" t="s">
        <v>239</v>
      </c>
      <c r="C279" s="19" t="s">
        <v>1918</v>
      </c>
      <c r="D279" s="53"/>
      <c r="E279" s="54"/>
      <c r="F279" s="53">
        <v>1</v>
      </c>
      <c r="G279" s="54">
        <v>0</v>
      </c>
      <c r="H279" s="53"/>
      <c r="I279" s="55"/>
      <c r="J279"/>
      <c r="K279"/>
      <c r="L279"/>
      <c r="M279"/>
      <c r="N279"/>
      <c r="O279"/>
      <c r="P279"/>
      <c r="Q279"/>
    </row>
    <row r="280" spans="1:17" ht="28.8" x14ac:dyDescent="0.3">
      <c r="A280" s="19" t="s">
        <v>1179</v>
      </c>
      <c r="B280" s="19" t="s">
        <v>240</v>
      </c>
      <c r="C280" s="19" t="s">
        <v>1918</v>
      </c>
      <c r="D280" s="53"/>
      <c r="E280" s="54"/>
      <c r="F280" s="53">
        <v>1</v>
      </c>
      <c r="G280" s="54">
        <v>0</v>
      </c>
      <c r="H280" s="53"/>
      <c r="I280" s="55"/>
      <c r="J280"/>
      <c r="K280"/>
      <c r="L280"/>
      <c r="M280"/>
      <c r="N280"/>
      <c r="O280"/>
      <c r="P280"/>
      <c r="Q280"/>
    </row>
    <row r="281" spans="1:17" ht="28.8" x14ac:dyDescent="0.3">
      <c r="A281" s="19" t="s">
        <v>1180</v>
      </c>
      <c r="B281" s="19" t="s">
        <v>241</v>
      </c>
      <c r="C281" s="19" t="s">
        <v>1918</v>
      </c>
      <c r="D281" s="53"/>
      <c r="E281" s="54"/>
      <c r="F281" s="53">
        <v>1</v>
      </c>
      <c r="G281" s="54">
        <v>0</v>
      </c>
      <c r="H281" s="53"/>
      <c r="I281" s="55"/>
      <c r="J281"/>
      <c r="K281"/>
      <c r="L281"/>
      <c r="M281"/>
      <c r="N281"/>
      <c r="O281"/>
      <c r="P281"/>
      <c r="Q281"/>
    </row>
    <row r="282" spans="1:17" ht="28.8" x14ac:dyDescent="0.3">
      <c r="A282" s="19" t="s">
        <v>1181</v>
      </c>
      <c r="B282" s="19" t="s">
        <v>242</v>
      </c>
      <c r="C282" s="19" t="s">
        <v>1918</v>
      </c>
      <c r="D282" s="53"/>
      <c r="E282" s="54"/>
      <c r="F282" s="53">
        <v>1</v>
      </c>
      <c r="G282" s="54">
        <v>0</v>
      </c>
      <c r="H282" s="53"/>
      <c r="I282" s="55"/>
      <c r="J282"/>
      <c r="K282"/>
      <c r="L282"/>
      <c r="M282"/>
      <c r="N282"/>
      <c r="O282"/>
      <c r="P282"/>
      <c r="Q282"/>
    </row>
    <row r="283" spans="1:17" ht="28.8" x14ac:dyDescent="0.3">
      <c r="A283" s="19" t="s">
        <v>1182</v>
      </c>
      <c r="B283" s="19" t="s">
        <v>243</v>
      </c>
      <c r="C283" s="19" t="s">
        <v>1918</v>
      </c>
      <c r="D283" s="53"/>
      <c r="E283" s="54"/>
      <c r="F283" s="53">
        <v>1</v>
      </c>
      <c r="G283" s="54">
        <v>0</v>
      </c>
      <c r="H283" s="53"/>
      <c r="I283" s="55"/>
      <c r="J283"/>
      <c r="K283"/>
      <c r="L283"/>
      <c r="M283"/>
      <c r="N283"/>
      <c r="O283"/>
      <c r="P283"/>
      <c r="Q283"/>
    </row>
    <row r="284" spans="1:17" ht="28.8" x14ac:dyDescent="0.3">
      <c r="A284" s="19" t="s">
        <v>1183</v>
      </c>
      <c r="B284" s="19" t="s">
        <v>244</v>
      </c>
      <c r="C284" s="19" t="s">
        <v>1918</v>
      </c>
      <c r="D284" s="53"/>
      <c r="E284" s="54"/>
      <c r="F284" s="53">
        <v>1</v>
      </c>
      <c r="G284" s="54">
        <v>0</v>
      </c>
      <c r="H284" s="53"/>
      <c r="I284" s="55"/>
      <c r="J284"/>
      <c r="K284"/>
      <c r="L284"/>
      <c r="M284"/>
      <c r="N284"/>
      <c r="O284"/>
      <c r="P284"/>
      <c r="Q284"/>
    </row>
    <row r="285" spans="1:17" ht="28.8" x14ac:dyDescent="0.3">
      <c r="A285" s="19" t="s">
        <v>1184</v>
      </c>
      <c r="B285" s="19" t="s">
        <v>245</v>
      </c>
      <c r="C285" s="19" t="s">
        <v>1918</v>
      </c>
      <c r="D285" s="53"/>
      <c r="E285" s="54"/>
      <c r="F285" s="53">
        <v>1</v>
      </c>
      <c r="G285" s="54">
        <v>0</v>
      </c>
      <c r="H285" s="53"/>
      <c r="I285" s="55"/>
      <c r="J285"/>
      <c r="K285"/>
      <c r="L285"/>
      <c r="M285"/>
      <c r="N285"/>
      <c r="O285"/>
      <c r="P285"/>
      <c r="Q285"/>
    </row>
    <row r="286" spans="1:17" ht="28.8" x14ac:dyDescent="0.3">
      <c r="A286" s="19" t="s">
        <v>1185</v>
      </c>
      <c r="B286" s="19" t="s">
        <v>246</v>
      </c>
      <c r="C286" s="19" t="s">
        <v>1918</v>
      </c>
      <c r="D286" s="53"/>
      <c r="E286" s="54"/>
      <c r="F286" s="53">
        <v>1</v>
      </c>
      <c r="G286" s="54">
        <v>0</v>
      </c>
      <c r="H286" s="53"/>
      <c r="I286" s="55"/>
      <c r="J286"/>
      <c r="K286"/>
      <c r="L286"/>
      <c r="M286"/>
      <c r="N286"/>
      <c r="O286"/>
      <c r="P286"/>
      <c r="Q286"/>
    </row>
    <row r="287" spans="1:17" ht="28.8" x14ac:dyDescent="0.3">
      <c r="A287" s="19" t="s">
        <v>1186</v>
      </c>
      <c r="B287" s="19" t="s">
        <v>247</v>
      </c>
      <c r="C287" s="19" t="s">
        <v>1918</v>
      </c>
      <c r="D287" s="53"/>
      <c r="E287" s="54"/>
      <c r="F287" s="53">
        <v>1</v>
      </c>
      <c r="G287" s="54">
        <v>0</v>
      </c>
      <c r="H287" s="53"/>
      <c r="I287" s="55"/>
      <c r="J287"/>
      <c r="K287"/>
      <c r="L287"/>
      <c r="M287"/>
      <c r="N287"/>
      <c r="O287"/>
      <c r="P287"/>
      <c r="Q287"/>
    </row>
    <row r="288" spans="1:17" ht="28.8" x14ac:dyDescent="0.3">
      <c r="A288" s="19" t="s">
        <v>1187</v>
      </c>
      <c r="B288" s="19" t="s">
        <v>248</v>
      </c>
      <c r="C288" s="19" t="s">
        <v>1918</v>
      </c>
      <c r="D288" s="53"/>
      <c r="E288" s="54"/>
      <c r="F288" s="53">
        <v>1</v>
      </c>
      <c r="G288" s="54">
        <v>0</v>
      </c>
      <c r="H288" s="53"/>
      <c r="I288" s="55"/>
      <c r="J288"/>
      <c r="K288"/>
      <c r="L288"/>
      <c r="M288"/>
      <c r="N288"/>
      <c r="O288"/>
      <c r="P288"/>
      <c r="Q288"/>
    </row>
    <row r="289" spans="1:17" ht="28.8" x14ac:dyDescent="0.3">
      <c r="A289" s="19" t="s">
        <v>1188</v>
      </c>
      <c r="B289" s="19" t="s">
        <v>249</v>
      </c>
      <c r="C289" s="19" t="s">
        <v>1918</v>
      </c>
      <c r="D289" s="53"/>
      <c r="E289" s="54"/>
      <c r="F289" s="53">
        <v>1</v>
      </c>
      <c r="G289" s="54">
        <v>0</v>
      </c>
      <c r="H289" s="53"/>
      <c r="I289" s="55"/>
      <c r="J289"/>
      <c r="K289"/>
      <c r="L289"/>
      <c r="M289"/>
      <c r="N289"/>
      <c r="O289"/>
      <c r="P289"/>
      <c r="Q289"/>
    </row>
    <row r="290" spans="1:17" ht="28.8" x14ac:dyDescent="0.3">
      <c r="A290" s="19" t="s">
        <v>1189</v>
      </c>
      <c r="B290" s="19" t="s">
        <v>250</v>
      </c>
      <c r="C290" s="19" t="s">
        <v>1918</v>
      </c>
      <c r="D290" s="53"/>
      <c r="E290" s="54"/>
      <c r="F290" s="53">
        <v>1</v>
      </c>
      <c r="G290" s="54">
        <v>0</v>
      </c>
      <c r="H290" s="53"/>
      <c r="I290" s="55"/>
      <c r="J290"/>
      <c r="K290"/>
      <c r="L290"/>
      <c r="M290"/>
      <c r="N290"/>
      <c r="O290"/>
      <c r="P290"/>
      <c r="Q290"/>
    </row>
    <row r="291" spans="1:17" ht="28.8" x14ac:dyDescent="0.3">
      <c r="A291" s="19" t="s">
        <v>1190</v>
      </c>
      <c r="B291" s="19" t="s">
        <v>251</v>
      </c>
      <c r="C291" s="19" t="s">
        <v>1918</v>
      </c>
      <c r="D291" s="53"/>
      <c r="E291" s="54"/>
      <c r="F291" s="53">
        <v>1</v>
      </c>
      <c r="G291" s="54">
        <v>0</v>
      </c>
      <c r="H291" s="53"/>
      <c r="I291" s="55"/>
      <c r="J291"/>
      <c r="K291"/>
      <c r="L291"/>
      <c r="M291"/>
      <c r="N291"/>
      <c r="O291"/>
      <c r="P291"/>
      <c r="Q291"/>
    </row>
    <row r="292" spans="1:17" ht="28.8" x14ac:dyDescent="0.3">
      <c r="A292" s="19" t="s">
        <v>1191</v>
      </c>
      <c r="B292" s="19" t="s">
        <v>252</v>
      </c>
      <c r="C292" s="19" t="s">
        <v>1918</v>
      </c>
      <c r="D292" s="53"/>
      <c r="E292" s="54"/>
      <c r="F292" s="53">
        <v>1</v>
      </c>
      <c r="G292" s="54">
        <v>0</v>
      </c>
      <c r="H292" s="53"/>
      <c r="I292" s="55"/>
      <c r="J292"/>
      <c r="K292"/>
      <c r="L292"/>
      <c r="M292"/>
      <c r="N292"/>
      <c r="O292"/>
      <c r="P292"/>
      <c r="Q292"/>
    </row>
    <row r="293" spans="1:17" ht="28.8" x14ac:dyDescent="0.3">
      <c r="A293" s="19" t="s">
        <v>1192</v>
      </c>
      <c r="B293" s="19" t="s">
        <v>253</v>
      </c>
      <c r="C293" s="19" t="s">
        <v>1918</v>
      </c>
      <c r="D293" s="53"/>
      <c r="E293" s="54"/>
      <c r="F293" s="53">
        <v>1</v>
      </c>
      <c r="G293" s="54">
        <v>0</v>
      </c>
      <c r="H293" s="53"/>
      <c r="I293" s="55"/>
      <c r="J293"/>
      <c r="K293"/>
      <c r="L293"/>
      <c r="M293"/>
      <c r="N293"/>
      <c r="O293"/>
      <c r="P293"/>
      <c r="Q293"/>
    </row>
    <row r="294" spans="1:17" ht="28.8" x14ac:dyDescent="0.3">
      <c r="A294" s="19" t="s">
        <v>1193</v>
      </c>
      <c r="B294" s="19" t="s">
        <v>254</v>
      </c>
      <c r="C294" s="19" t="s">
        <v>1918</v>
      </c>
      <c r="D294" s="53"/>
      <c r="E294" s="54"/>
      <c r="F294" s="53">
        <v>1</v>
      </c>
      <c r="G294" s="54">
        <v>0</v>
      </c>
      <c r="H294" s="53"/>
      <c r="I294" s="55"/>
      <c r="J294"/>
      <c r="K294"/>
      <c r="L294"/>
      <c r="M294"/>
      <c r="N294"/>
      <c r="O294"/>
      <c r="P294"/>
      <c r="Q294"/>
    </row>
    <row r="295" spans="1:17" ht="28.8" x14ac:dyDescent="0.3">
      <c r="A295" s="19" t="s">
        <v>1194</v>
      </c>
      <c r="B295" s="19" t="s">
        <v>255</v>
      </c>
      <c r="C295" s="19" t="s">
        <v>1918</v>
      </c>
      <c r="D295" s="53"/>
      <c r="E295" s="54"/>
      <c r="F295" s="53">
        <v>1</v>
      </c>
      <c r="G295" s="54">
        <v>0</v>
      </c>
      <c r="H295" s="53"/>
      <c r="I295" s="55"/>
      <c r="J295"/>
      <c r="K295"/>
      <c r="L295"/>
      <c r="M295"/>
      <c r="N295"/>
      <c r="O295"/>
      <c r="P295"/>
      <c r="Q295"/>
    </row>
    <row r="296" spans="1:17" ht="28.8" x14ac:dyDescent="0.3">
      <c r="A296" s="19" t="s">
        <v>1195</v>
      </c>
      <c r="B296" s="19" t="s">
        <v>256</v>
      </c>
      <c r="C296" s="19" t="s">
        <v>1918</v>
      </c>
      <c r="D296" s="53"/>
      <c r="E296" s="54"/>
      <c r="F296" s="53">
        <v>1</v>
      </c>
      <c r="G296" s="54">
        <v>0</v>
      </c>
      <c r="H296" s="53"/>
      <c r="I296" s="55"/>
      <c r="J296"/>
      <c r="K296"/>
      <c r="L296"/>
      <c r="M296"/>
      <c r="N296"/>
      <c r="O296"/>
      <c r="P296"/>
      <c r="Q296"/>
    </row>
    <row r="297" spans="1:17" ht="28.8" x14ac:dyDescent="0.3">
      <c r="A297" s="19" t="s">
        <v>1196</v>
      </c>
      <c r="B297" s="19" t="s">
        <v>257</v>
      </c>
      <c r="C297" s="19" t="s">
        <v>1918</v>
      </c>
      <c r="D297" s="53"/>
      <c r="E297" s="54"/>
      <c r="F297" s="53">
        <v>1</v>
      </c>
      <c r="G297" s="54">
        <v>0</v>
      </c>
      <c r="H297" s="53"/>
      <c r="I297" s="55"/>
      <c r="J297"/>
      <c r="K297"/>
      <c r="L297"/>
      <c r="M297"/>
      <c r="N297"/>
      <c r="O297"/>
      <c r="P297"/>
      <c r="Q297"/>
    </row>
    <row r="298" spans="1:17" ht="28.8" x14ac:dyDescent="0.3">
      <c r="A298" s="19" t="s">
        <v>1197</v>
      </c>
      <c r="B298" s="19" t="s">
        <v>258</v>
      </c>
      <c r="C298" s="19" t="s">
        <v>1918</v>
      </c>
      <c r="D298" s="53"/>
      <c r="E298" s="54"/>
      <c r="F298" s="53">
        <v>1</v>
      </c>
      <c r="G298" s="54">
        <v>0</v>
      </c>
      <c r="H298" s="53"/>
      <c r="I298" s="55"/>
      <c r="J298"/>
      <c r="K298"/>
      <c r="L298"/>
      <c r="M298"/>
      <c r="N298"/>
      <c r="O298"/>
      <c r="P298"/>
      <c r="Q298"/>
    </row>
    <row r="299" spans="1:17" ht="15.6" x14ac:dyDescent="0.3">
      <c r="A299" s="19" t="s">
        <v>1198</v>
      </c>
      <c r="B299" s="19" t="s">
        <v>259</v>
      </c>
      <c r="C299" s="19" t="s">
        <v>1918</v>
      </c>
      <c r="D299" s="53"/>
      <c r="E299" s="54"/>
      <c r="F299" s="53">
        <v>36</v>
      </c>
      <c r="G299" s="54">
        <v>0</v>
      </c>
      <c r="H299" s="53"/>
      <c r="I299" s="55"/>
      <c r="J299"/>
      <c r="K299"/>
      <c r="L299"/>
      <c r="M299"/>
      <c r="N299"/>
      <c r="O299"/>
      <c r="P299"/>
      <c r="Q299"/>
    </row>
    <row r="300" spans="1:17" ht="15.6" x14ac:dyDescent="0.3">
      <c r="A300" s="19" t="s">
        <v>1199</v>
      </c>
      <c r="B300" s="19" t="s">
        <v>260</v>
      </c>
      <c r="C300" s="19" t="s">
        <v>1918</v>
      </c>
      <c r="D300" s="53"/>
      <c r="E300" s="54"/>
      <c r="F300" s="53">
        <v>1</v>
      </c>
      <c r="G300" s="54">
        <v>0</v>
      </c>
      <c r="H300" s="53"/>
      <c r="I300" s="55"/>
      <c r="J300"/>
      <c r="K300"/>
      <c r="L300"/>
      <c r="M300"/>
      <c r="N300"/>
      <c r="O300"/>
      <c r="P300"/>
      <c r="Q300"/>
    </row>
    <row r="301" spans="1:17" ht="15.6" x14ac:dyDescent="0.3">
      <c r="A301" s="19" t="s">
        <v>1200</v>
      </c>
      <c r="B301" s="19" t="s">
        <v>261</v>
      </c>
      <c r="C301" s="19" t="s">
        <v>1918</v>
      </c>
      <c r="D301" s="53"/>
      <c r="E301" s="54"/>
      <c r="F301" s="53">
        <v>7</v>
      </c>
      <c r="G301" s="54">
        <v>0</v>
      </c>
      <c r="H301" s="53"/>
      <c r="I301" s="55"/>
      <c r="J301"/>
      <c r="K301"/>
      <c r="L301"/>
      <c r="M301"/>
      <c r="N301"/>
      <c r="O301"/>
      <c r="P301"/>
      <c r="Q301"/>
    </row>
    <row r="302" spans="1:17" ht="15.6" x14ac:dyDescent="0.3">
      <c r="A302" s="19" t="s">
        <v>1201</v>
      </c>
      <c r="B302" s="19" t="s">
        <v>262</v>
      </c>
      <c r="C302" s="19" t="s">
        <v>1918</v>
      </c>
      <c r="D302" s="53"/>
      <c r="E302" s="54"/>
      <c r="F302" s="53">
        <v>2</v>
      </c>
      <c r="G302" s="54">
        <v>0</v>
      </c>
      <c r="H302" s="53"/>
      <c r="I302" s="55"/>
      <c r="J302"/>
      <c r="K302"/>
      <c r="L302"/>
      <c r="M302"/>
      <c r="N302"/>
      <c r="O302"/>
      <c r="P302"/>
      <c r="Q302"/>
    </row>
    <row r="303" spans="1:17" ht="15.6" x14ac:dyDescent="0.3">
      <c r="A303" s="19" t="s">
        <v>1202</v>
      </c>
      <c r="B303" s="19" t="s">
        <v>263</v>
      </c>
      <c r="C303" s="19" t="s">
        <v>1918</v>
      </c>
      <c r="D303" s="53"/>
      <c r="E303" s="54"/>
      <c r="F303" s="53">
        <v>89</v>
      </c>
      <c r="G303" s="54">
        <v>0</v>
      </c>
      <c r="H303" s="53"/>
      <c r="I303" s="55"/>
      <c r="J303"/>
      <c r="K303"/>
      <c r="L303"/>
      <c r="M303"/>
      <c r="N303"/>
      <c r="O303"/>
      <c r="P303"/>
      <c r="Q303"/>
    </row>
    <row r="304" spans="1:17" ht="28.8" x14ac:dyDescent="0.3">
      <c r="A304" s="19" t="s">
        <v>1203</v>
      </c>
      <c r="B304" s="19" t="s">
        <v>2465</v>
      </c>
      <c r="C304" s="19" t="s">
        <v>1918</v>
      </c>
      <c r="D304" s="53"/>
      <c r="E304" s="54"/>
      <c r="F304" s="53">
        <v>1</v>
      </c>
      <c r="G304" s="54">
        <v>0</v>
      </c>
      <c r="H304" s="53"/>
      <c r="I304" s="55"/>
      <c r="J304"/>
      <c r="K304"/>
      <c r="L304"/>
      <c r="M304"/>
      <c r="N304"/>
      <c r="O304"/>
      <c r="P304"/>
      <c r="Q304"/>
    </row>
    <row r="305" spans="1:17" ht="28.8" x14ac:dyDescent="0.3">
      <c r="A305" s="19" t="s">
        <v>1204</v>
      </c>
      <c r="B305" s="19" t="s">
        <v>264</v>
      </c>
      <c r="C305" s="19" t="s">
        <v>1918</v>
      </c>
      <c r="D305" s="53"/>
      <c r="E305" s="54"/>
      <c r="F305" s="53">
        <v>36</v>
      </c>
      <c r="G305" s="54">
        <v>0</v>
      </c>
      <c r="H305" s="53"/>
      <c r="I305" s="55"/>
      <c r="J305"/>
      <c r="K305"/>
      <c r="L305"/>
      <c r="M305"/>
      <c r="N305"/>
      <c r="O305"/>
      <c r="P305"/>
      <c r="Q305"/>
    </row>
    <row r="306" spans="1:17" ht="15.6" x14ac:dyDescent="0.3">
      <c r="A306" s="19" t="s">
        <v>1205</v>
      </c>
      <c r="B306" s="19" t="s">
        <v>265</v>
      </c>
      <c r="C306" s="19" t="s">
        <v>1918</v>
      </c>
      <c r="D306" s="53"/>
      <c r="E306" s="54"/>
      <c r="F306" s="53">
        <v>3</v>
      </c>
      <c r="G306" s="54">
        <v>0</v>
      </c>
      <c r="H306" s="53"/>
      <c r="I306" s="55"/>
      <c r="J306"/>
      <c r="K306"/>
      <c r="L306"/>
      <c r="M306"/>
      <c r="N306"/>
      <c r="O306"/>
      <c r="P306"/>
      <c r="Q306"/>
    </row>
    <row r="307" spans="1:17" ht="15.6" x14ac:dyDescent="0.3">
      <c r="A307" s="47" t="s">
        <v>1206</v>
      </c>
      <c r="B307" s="47" t="s">
        <v>266</v>
      </c>
      <c r="C307" s="19" t="s">
        <v>903</v>
      </c>
      <c r="D307" s="53"/>
      <c r="E307" s="54"/>
      <c r="F307" s="53"/>
      <c r="G307" s="54"/>
      <c r="H307" s="53">
        <v>1</v>
      </c>
      <c r="I307" s="55">
        <v>0</v>
      </c>
      <c r="J307"/>
      <c r="K307"/>
      <c r="L307"/>
      <c r="M307"/>
      <c r="N307"/>
      <c r="O307"/>
      <c r="P307"/>
      <c r="Q307"/>
    </row>
    <row r="308" spans="1:17" ht="15.6" x14ac:dyDescent="0.3">
      <c r="A308" s="48" t="s">
        <v>1206</v>
      </c>
      <c r="B308" s="48" t="s">
        <v>266</v>
      </c>
      <c r="C308" s="23" t="s">
        <v>1918</v>
      </c>
      <c r="D308" s="56"/>
      <c r="E308" s="51"/>
      <c r="F308" s="56">
        <v>1</v>
      </c>
      <c r="G308" s="51">
        <v>0</v>
      </c>
      <c r="H308" s="56"/>
      <c r="I308" s="57"/>
      <c r="J308"/>
      <c r="K308"/>
      <c r="L308"/>
      <c r="M308"/>
      <c r="N308"/>
      <c r="O308"/>
      <c r="P308"/>
      <c r="Q308"/>
    </row>
    <row r="309" spans="1:17" ht="15.6" x14ac:dyDescent="0.3">
      <c r="A309" s="48" t="s">
        <v>1206</v>
      </c>
      <c r="B309" s="48" t="s">
        <v>266</v>
      </c>
      <c r="C309" s="23" t="s">
        <v>904</v>
      </c>
      <c r="D309" s="56"/>
      <c r="E309" s="51"/>
      <c r="F309" s="56">
        <v>0</v>
      </c>
      <c r="G309" s="51">
        <v>1</v>
      </c>
      <c r="H309" s="56"/>
      <c r="I309" s="57"/>
      <c r="J309"/>
      <c r="K309"/>
      <c r="L309"/>
      <c r="M309"/>
      <c r="N309"/>
      <c r="O309"/>
      <c r="P309"/>
      <c r="Q309"/>
    </row>
    <row r="310" spans="1:17" ht="15.6" x14ac:dyDescent="0.3">
      <c r="A310" s="19" t="s">
        <v>1207</v>
      </c>
      <c r="B310" s="19" t="s">
        <v>267</v>
      </c>
      <c r="C310" s="19" t="s">
        <v>1918</v>
      </c>
      <c r="D310" s="53"/>
      <c r="E310" s="54"/>
      <c r="F310" s="53">
        <v>2</v>
      </c>
      <c r="G310" s="54">
        <v>0</v>
      </c>
      <c r="H310" s="53"/>
      <c r="I310" s="55"/>
      <c r="J310"/>
      <c r="K310"/>
      <c r="L310"/>
      <c r="M310"/>
      <c r="N310"/>
      <c r="O310"/>
      <c r="P310"/>
      <c r="Q310"/>
    </row>
    <row r="311" spans="1:17" ht="15.6" x14ac:dyDescent="0.3">
      <c r="A311" s="19" t="s">
        <v>1208</v>
      </c>
      <c r="B311" s="19" t="s">
        <v>268</v>
      </c>
      <c r="C311" s="19" t="s">
        <v>1918</v>
      </c>
      <c r="D311" s="53"/>
      <c r="E311" s="54"/>
      <c r="F311" s="53">
        <v>3</v>
      </c>
      <c r="G311" s="54">
        <v>0</v>
      </c>
      <c r="H311" s="53"/>
      <c r="I311" s="55"/>
      <c r="J311"/>
      <c r="K311"/>
      <c r="L311"/>
      <c r="M311"/>
      <c r="N311"/>
      <c r="O311"/>
      <c r="P311"/>
      <c r="Q311"/>
    </row>
    <row r="312" spans="1:17" ht="15.6" x14ac:dyDescent="0.3">
      <c r="A312" s="19" t="s">
        <v>1209</v>
      </c>
      <c r="B312" s="19" t="s">
        <v>2342</v>
      </c>
      <c r="C312" s="19" t="s">
        <v>1918</v>
      </c>
      <c r="D312" s="53"/>
      <c r="E312" s="54"/>
      <c r="F312" s="53">
        <v>1</v>
      </c>
      <c r="G312" s="54">
        <v>0</v>
      </c>
      <c r="H312" s="53"/>
      <c r="I312" s="55"/>
      <c r="J312"/>
      <c r="K312"/>
      <c r="L312"/>
      <c r="M312"/>
      <c r="N312"/>
      <c r="O312"/>
      <c r="P312"/>
      <c r="Q312"/>
    </row>
    <row r="313" spans="1:17" ht="15.6" x14ac:dyDescent="0.3">
      <c r="A313" s="19" t="s">
        <v>1210</v>
      </c>
      <c r="B313" s="19" t="s">
        <v>269</v>
      </c>
      <c r="C313" s="19" t="s">
        <v>1918</v>
      </c>
      <c r="D313" s="53"/>
      <c r="E313" s="54"/>
      <c r="F313" s="53">
        <v>1</v>
      </c>
      <c r="G313" s="54">
        <v>0</v>
      </c>
      <c r="H313" s="53"/>
      <c r="I313" s="55"/>
      <c r="J313"/>
      <c r="K313"/>
      <c r="L313"/>
      <c r="M313"/>
      <c r="N313"/>
      <c r="O313"/>
      <c r="P313"/>
      <c r="Q313"/>
    </row>
    <row r="314" spans="1:17" ht="15.6" x14ac:dyDescent="0.3">
      <c r="A314" s="19" t="s">
        <v>1211</v>
      </c>
      <c r="B314" s="19" t="s">
        <v>270</v>
      </c>
      <c r="C314" s="19" t="s">
        <v>1918</v>
      </c>
      <c r="D314" s="53"/>
      <c r="E314" s="54"/>
      <c r="F314" s="53">
        <v>1</v>
      </c>
      <c r="G314" s="54">
        <v>0</v>
      </c>
      <c r="H314" s="53"/>
      <c r="I314" s="55"/>
      <c r="J314"/>
      <c r="K314"/>
      <c r="L314"/>
      <c r="M314"/>
      <c r="N314"/>
      <c r="O314"/>
      <c r="P314"/>
      <c r="Q314"/>
    </row>
    <row r="315" spans="1:17" ht="15.6" x14ac:dyDescent="0.3">
      <c r="A315" s="19" t="s">
        <v>1212</v>
      </c>
      <c r="B315" s="19" t="s">
        <v>271</v>
      </c>
      <c r="C315" s="19" t="s">
        <v>1918</v>
      </c>
      <c r="D315" s="53"/>
      <c r="E315" s="54"/>
      <c r="F315" s="53">
        <v>1</v>
      </c>
      <c r="G315" s="54">
        <v>0</v>
      </c>
      <c r="H315" s="53"/>
      <c r="I315" s="55"/>
      <c r="J315"/>
      <c r="K315"/>
      <c r="L315"/>
      <c r="M315"/>
      <c r="N315"/>
      <c r="O315"/>
      <c r="P315"/>
      <c r="Q315"/>
    </row>
    <row r="316" spans="1:17" ht="15.6" x14ac:dyDescent="0.3">
      <c r="A316" s="19" t="s">
        <v>1213</v>
      </c>
      <c r="B316" s="19" t="s">
        <v>2466</v>
      </c>
      <c r="C316" s="19" t="s">
        <v>1918</v>
      </c>
      <c r="D316" s="53"/>
      <c r="E316" s="54"/>
      <c r="F316" s="53">
        <v>1</v>
      </c>
      <c r="G316" s="54">
        <v>0</v>
      </c>
      <c r="H316" s="53"/>
      <c r="I316" s="55"/>
      <c r="J316"/>
      <c r="K316"/>
      <c r="L316"/>
      <c r="M316"/>
      <c r="N316"/>
      <c r="O316"/>
      <c r="P316"/>
      <c r="Q316"/>
    </row>
    <row r="317" spans="1:17" ht="28.8" x14ac:dyDescent="0.3">
      <c r="A317" s="19" t="s">
        <v>1214</v>
      </c>
      <c r="B317" s="19" t="s">
        <v>272</v>
      </c>
      <c r="C317" s="19" t="s">
        <v>1918</v>
      </c>
      <c r="D317" s="53"/>
      <c r="E317" s="54"/>
      <c r="F317" s="53">
        <v>1</v>
      </c>
      <c r="G317" s="54">
        <v>0</v>
      </c>
      <c r="H317" s="53"/>
      <c r="I317" s="55"/>
      <c r="J317"/>
      <c r="K317"/>
      <c r="L317"/>
      <c r="M317"/>
      <c r="N317"/>
      <c r="O317"/>
      <c r="P317"/>
      <c r="Q317"/>
    </row>
    <row r="318" spans="1:17" ht="15.6" x14ac:dyDescent="0.3">
      <c r="A318" s="19" t="s">
        <v>1215</v>
      </c>
      <c r="B318" s="19" t="s">
        <v>273</v>
      </c>
      <c r="C318" s="19" t="s">
        <v>1918</v>
      </c>
      <c r="D318" s="53"/>
      <c r="E318" s="54"/>
      <c r="F318" s="53">
        <v>1</v>
      </c>
      <c r="G318" s="54">
        <v>0</v>
      </c>
      <c r="H318" s="53"/>
      <c r="I318" s="55"/>
      <c r="J318"/>
      <c r="K318"/>
      <c r="L318"/>
      <c r="M318"/>
      <c r="N318"/>
      <c r="O318"/>
      <c r="P318"/>
      <c r="Q318"/>
    </row>
    <row r="319" spans="1:17" ht="15.6" x14ac:dyDescent="0.3">
      <c r="A319" s="19" t="s">
        <v>1216</v>
      </c>
      <c r="B319" s="19" t="s">
        <v>274</v>
      </c>
      <c r="C319" s="19" t="s">
        <v>1918</v>
      </c>
      <c r="D319" s="53"/>
      <c r="E319" s="54"/>
      <c r="F319" s="53">
        <v>1</v>
      </c>
      <c r="G319" s="54">
        <v>0</v>
      </c>
      <c r="H319" s="53"/>
      <c r="I319" s="55"/>
      <c r="J319"/>
      <c r="K319"/>
      <c r="L319"/>
      <c r="M319"/>
      <c r="N319"/>
      <c r="O319"/>
      <c r="P319"/>
      <c r="Q319"/>
    </row>
    <row r="320" spans="1:17" ht="15.6" x14ac:dyDescent="0.3">
      <c r="A320" s="19" t="s">
        <v>1217</v>
      </c>
      <c r="B320" s="19" t="s">
        <v>275</v>
      </c>
      <c r="C320" s="19" t="s">
        <v>1918</v>
      </c>
      <c r="D320" s="53"/>
      <c r="E320" s="54"/>
      <c r="F320" s="53">
        <v>1</v>
      </c>
      <c r="G320" s="54">
        <v>0</v>
      </c>
      <c r="H320" s="53"/>
      <c r="I320" s="55"/>
      <c r="J320"/>
      <c r="K320"/>
      <c r="L320"/>
      <c r="M320"/>
      <c r="N320"/>
      <c r="O320"/>
      <c r="P320"/>
      <c r="Q320"/>
    </row>
    <row r="321" spans="1:17" ht="28.8" x14ac:dyDescent="0.3">
      <c r="A321" s="19" t="s">
        <v>1218</v>
      </c>
      <c r="B321" s="19" t="s">
        <v>276</v>
      </c>
      <c r="C321" s="19" t="s">
        <v>1918</v>
      </c>
      <c r="D321" s="53"/>
      <c r="E321" s="54"/>
      <c r="F321" s="53">
        <v>1</v>
      </c>
      <c r="G321" s="54">
        <v>0</v>
      </c>
      <c r="H321" s="53"/>
      <c r="I321" s="55"/>
      <c r="J321"/>
      <c r="K321"/>
      <c r="L321"/>
      <c r="M321"/>
      <c r="N321"/>
      <c r="O321"/>
      <c r="P321"/>
      <c r="Q321"/>
    </row>
    <row r="322" spans="1:17" ht="28.8" x14ac:dyDescent="0.3">
      <c r="A322" s="19" t="s">
        <v>1219</v>
      </c>
      <c r="B322" s="19" t="s">
        <v>277</v>
      </c>
      <c r="C322" s="19" t="s">
        <v>1918</v>
      </c>
      <c r="D322" s="53"/>
      <c r="E322" s="54"/>
      <c r="F322" s="53">
        <v>1</v>
      </c>
      <c r="G322" s="54">
        <v>0</v>
      </c>
      <c r="H322" s="53"/>
      <c r="I322" s="55"/>
      <c r="J322"/>
      <c r="K322"/>
      <c r="L322"/>
      <c r="M322"/>
      <c r="N322"/>
      <c r="O322"/>
      <c r="P322"/>
      <c r="Q322"/>
    </row>
    <row r="323" spans="1:17" ht="15.6" x14ac:dyDescent="0.3">
      <c r="A323" s="19" t="s">
        <v>1220</v>
      </c>
      <c r="B323" s="19" t="s">
        <v>278</v>
      </c>
      <c r="C323" s="19" t="s">
        <v>1918</v>
      </c>
      <c r="D323" s="53"/>
      <c r="E323" s="54"/>
      <c r="F323" s="53">
        <v>3</v>
      </c>
      <c r="G323" s="54">
        <v>0</v>
      </c>
      <c r="H323" s="53"/>
      <c r="I323" s="55"/>
      <c r="J323"/>
      <c r="K323"/>
      <c r="L323"/>
      <c r="M323"/>
      <c r="N323"/>
      <c r="O323"/>
      <c r="P323"/>
      <c r="Q323"/>
    </row>
    <row r="324" spans="1:17" ht="28.8" x14ac:dyDescent="0.3">
      <c r="A324" s="19" t="s">
        <v>1221</v>
      </c>
      <c r="B324" s="19" t="s">
        <v>279</v>
      </c>
      <c r="C324" s="19" t="s">
        <v>1918</v>
      </c>
      <c r="D324" s="53"/>
      <c r="E324" s="54"/>
      <c r="F324" s="53">
        <v>1</v>
      </c>
      <c r="G324" s="54">
        <v>0</v>
      </c>
      <c r="H324" s="53"/>
      <c r="I324" s="55"/>
      <c r="J324"/>
      <c r="K324"/>
      <c r="L324"/>
      <c r="M324"/>
      <c r="N324"/>
      <c r="O324"/>
      <c r="P324"/>
      <c r="Q324"/>
    </row>
    <row r="325" spans="1:17" ht="15.6" x14ac:dyDescent="0.3">
      <c r="A325" s="47" t="s">
        <v>1222</v>
      </c>
      <c r="B325" s="47" t="s">
        <v>280</v>
      </c>
      <c r="C325" s="19" t="s">
        <v>903</v>
      </c>
      <c r="D325" s="53"/>
      <c r="E325" s="54"/>
      <c r="F325" s="53"/>
      <c r="G325" s="54"/>
      <c r="H325" s="53">
        <v>2</v>
      </c>
      <c r="I325" s="55">
        <v>0</v>
      </c>
      <c r="J325"/>
      <c r="K325"/>
      <c r="L325"/>
      <c r="M325"/>
      <c r="N325"/>
      <c r="O325"/>
      <c r="P325"/>
      <c r="Q325"/>
    </row>
    <row r="326" spans="1:17" ht="15.6" x14ac:dyDescent="0.3">
      <c r="A326" s="48" t="s">
        <v>1222</v>
      </c>
      <c r="B326" s="48" t="s">
        <v>280</v>
      </c>
      <c r="C326" s="23" t="s">
        <v>1918</v>
      </c>
      <c r="D326" s="56"/>
      <c r="E326" s="51"/>
      <c r="F326" s="56">
        <v>2</v>
      </c>
      <c r="G326" s="51">
        <v>0</v>
      </c>
      <c r="H326" s="56"/>
      <c r="I326" s="57"/>
      <c r="J326"/>
      <c r="K326"/>
      <c r="L326"/>
      <c r="M326"/>
      <c r="N326"/>
      <c r="O326"/>
      <c r="P326"/>
      <c r="Q326"/>
    </row>
    <row r="327" spans="1:17" ht="15.6" x14ac:dyDescent="0.3">
      <c r="A327" s="48" t="s">
        <v>1222</v>
      </c>
      <c r="B327" s="48" t="s">
        <v>280</v>
      </c>
      <c r="C327" s="23" t="s">
        <v>904</v>
      </c>
      <c r="D327" s="56"/>
      <c r="E327" s="51"/>
      <c r="F327" s="56">
        <v>0</v>
      </c>
      <c r="G327" s="51">
        <v>2</v>
      </c>
      <c r="H327" s="56"/>
      <c r="I327" s="57"/>
      <c r="J327"/>
      <c r="K327"/>
      <c r="L327"/>
      <c r="M327"/>
      <c r="N327"/>
      <c r="O327"/>
      <c r="P327"/>
      <c r="Q327"/>
    </row>
    <row r="328" spans="1:17" ht="15.6" x14ac:dyDescent="0.3">
      <c r="A328" s="19" t="s">
        <v>1223</v>
      </c>
      <c r="B328" s="19" t="s">
        <v>281</v>
      </c>
      <c r="C328" s="19" t="s">
        <v>1918</v>
      </c>
      <c r="D328" s="53"/>
      <c r="E328" s="54"/>
      <c r="F328" s="53">
        <v>41</v>
      </c>
      <c r="G328" s="54">
        <v>0</v>
      </c>
      <c r="H328" s="53"/>
      <c r="I328" s="55"/>
      <c r="J328"/>
      <c r="K328"/>
      <c r="L328"/>
      <c r="M328"/>
      <c r="N328"/>
      <c r="O328"/>
      <c r="P328"/>
      <c r="Q328"/>
    </row>
    <row r="329" spans="1:17" ht="15.6" x14ac:dyDescent="0.3">
      <c r="A329" s="47" t="s">
        <v>1224</v>
      </c>
      <c r="B329" s="47" t="s">
        <v>282</v>
      </c>
      <c r="C329" s="19" t="s">
        <v>903</v>
      </c>
      <c r="D329" s="53"/>
      <c r="E329" s="54"/>
      <c r="F329" s="53"/>
      <c r="G329" s="54"/>
      <c r="H329" s="53">
        <v>6</v>
      </c>
      <c r="I329" s="55">
        <v>0</v>
      </c>
      <c r="J329"/>
      <c r="K329"/>
      <c r="L329"/>
      <c r="M329"/>
      <c r="N329"/>
      <c r="O329"/>
      <c r="P329"/>
      <c r="Q329"/>
    </row>
    <row r="330" spans="1:17" ht="15.6" x14ac:dyDescent="0.3">
      <c r="A330" s="48" t="s">
        <v>1224</v>
      </c>
      <c r="B330" s="48" t="s">
        <v>282</v>
      </c>
      <c r="C330" s="23" t="s">
        <v>1918</v>
      </c>
      <c r="D330" s="56"/>
      <c r="E330" s="51"/>
      <c r="F330" s="56">
        <v>6</v>
      </c>
      <c r="G330" s="51">
        <v>0</v>
      </c>
      <c r="H330" s="56"/>
      <c r="I330" s="57"/>
      <c r="J330"/>
      <c r="K330"/>
      <c r="L330"/>
      <c r="M330"/>
      <c r="N330"/>
      <c r="O330"/>
      <c r="P330"/>
      <c r="Q330"/>
    </row>
    <row r="331" spans="1:17" ht="15.6" x14ac:dyDescent="0.3">
      <c r="A331" s="48" t="s">
        <v>1224</v>
      </c>
      <c r="B331" s="48" t="s">
        <v>282</v>
      </c>
      <c r="C331" s="23" t="s">
        <v>904</v>
      </c>
      <c r="D331" s="56"/>
      <c r="E331" s="51"/>
      <c r="F331" s="56">
        <v>0</v>
      </c>
      <c r="G331" s="51">
        <v>6</v>
      </c>
      <c r="H331" s="56"/>
      <c r="I331" s="57"/>
      <c r="J331"/>
      <c r="K331"/>
      <c r="L331"/>
      <c r="M331"/>
      <c r="N331"/>
      <c r="O331"/>
      <c r="P331"/>
      <c r="Q331"/>
    </row>
    <row r="332" spans="1:17" ht="15.6" x14ac:dyDescent="0.3">
      <c r="A332" s="19" t="s">
        <v>1225</v>
      </c>
      <c r="B332" s="19" t="s">
        <v>283</v>
      </c>
      <c r="C332" s="19" t="s">
        <v>1918</v>
      </c>
      <c r="D332" s="53"/>
      <c r="E332" s="54"/>
      <c r="F332" s="53">
        <v>1</v>
      </c>
      <c r="G332" s="54">
        <v>0</v>
      </c>
      <c r="H332" s="53"/>
      <c r="I332" s="55"/>
      <c r="J332"/>
      <c r="K332"/>
      <c r="L332"/>
      <c r="M332"/>
      <c r="N332"/>
      <c r="O332"/>
      <c r="P332"/>
      <c r="Q332"/>
    </row>
    <row r="333" spans="1:17" ht="15.6" x14ac:dyDescent="0.3">
      <c r="A333" s="19" t="s">
        <v>1226</v>
      </c>
      <c r="B333" s="19" t="s">
        <v>284</v>
      </c>
      <c r="C333" s="19" t="s">
        <v>1918</v>
      </c>
      <c r="D333" s="53"/>
      <c r="E333" s="54"/>
      <c r="F333" s="53">
        <v>1</v>
      </c>
      <c r="G333" s="54">
        <v>0</v>
      </c>
      <c r="H333" s="53"/>
      <c r="I333" s="55"/>
      <c r="J333"/>
      <c r="K333"/>
      <c r="L333"/>
      <c r="M333"/>
      <c r="N333"/>
      <c r="O333"/>
      <c r="P333"/>
      <c r="Q333"/>
    </row>
    <row r="334" spans="1:17" ht="15.6" x14ac:dyDescent="0.3">
      <c r="A334" s="47" t="s">
        <v>1227</v>
      </c>
      <c r="B334" s="47" t="s">
        <v>285</v>
      </c>
      <c r="C334" s="19" t="s">
        <v>903</v>
      </c>
      <c r="D334" s="53"/>
      <c r="E334" s="54"/>
      <c r="F334" s="53"/>
      <c r="G334" s="54"/>
      <c r="H334" s="53">
        <v>4</v>
      </c>
      <c r="I334" s="55">
        <v>0</v>
      </c>
      <c r="J334"/>
      <c r="K334"/>
      <c r="L334"/>
      <c r="M334"/>
      <c r="N334"/>
      <c r="O334"/>
      <c r="P334"/>
      <c r="Q334"/>
    </row>
    <row r="335" spans="1:17" ht="15.6" x14ac:dyDescent="0.3">
      <c r="A335" s="48" t="s">
        <v>1227</v>
      </c>
      <c r="B335" s="48" t="s">
        <v>285</v>
      </c>
      <c r="C335" s="23" t="s">
        <v>1918</v>
      </c>
      <c r="D335" s="56"/>
      <c r="E335" s="51"/>
      <c r="F335" s="56">
        <v>7</v>
      </c>
      <c r="G335" s="51">
        <v>0</v>
      </c>
      <c r="H335" s="56"/>
      <c r="I335" s="57"/>
      <c r="J335"/>
      <c r="K335"/>
      <c r="L335"/>
      <c r="M335"/>
      <c r="N335"/>
      <c r="O335"/>
      <c r="P335"/>
      <c r="Q335"/>
    </row>
    <row r="336" spans="1:17" ht="15.6" x14ac:dyDescent="0.3">
      <c r="A336" s="48" t="s">
        <v>1227</v>
      </c>
      <c r="B336" s="48" t="s">
        <v>285</v>
      </c>
      <c r="C336" s="23" t="s">
        <v>904</v>
      </c>
      <c r="D336" s="56"/>
      <c r="E336" s="51"/>
      <c r="F336" s="56">
        <v>0</v>
      </c>
      <c r="G336" s="51">
        <v>4</v>
      </c>
      <c r="H336" s="56"/>
      <c r="I336" s="57"/>
      <c r="J336"/>
      <c r="K336"/>
      <c r="L336"/>
      <c r="M336"/>
      <c r="N336"/>
      <c r="O336"/>
      <c r="P336"/>
      <c r="Q336"/>
    </row>
    <row r="337" spans="1:17" ht="15.6" x14ac:dyDescent="0.3">
      <c r="A337" s="19" t="s">
        <v>1228</v>
      </c>
      <c r="B337" s="19" t="s">
        <v>286</v>
      </c>
      <c r="C337" s="19" t="s">
        <v>1918</v>
      </c>
      <c r="D337" s="53"/>
      <c r="E337" s="54"/>
      <c r="F337" s="53">
        <v>29</v>
      </c>
      <c r="G337" s="54">
        <v>0</v>
      </c>
      <c r="H337" s="53"/>
      <c r="I337" s="55"/>
      <c r="J337"/>
      <c r="K337"/>
      <c r="L337"/>
      <c r="M337"/>
      <c r="N337"/>
      <c r="O337"/>
      <c r="P337"/>
      <c r="Q337"/>
    </row>
    <row r="338" spans="1:17" ht="28.8" x14ac:dyDescent="0.3">
      <c r="A338" s="19" t="s">
        <v>1229</v>
      </c>
      <c r="B338" s="19" t="s">
        <v>287</v>
      </c>
      <c r="C338" s="19" t="s">
        <v>1918</v>
      </c>
      <c r="D338" s="53"/>
      <c r="E338" s="54"/>
      <c r="F338" s="53">
        <v>397</v>
      </c>
      <c r="G338" s="54">
        <v>0</v>
      </c>
      <c r="H338" s="53"/>
      <c r="I338" s="55"/>
      <c r="J338"/>
      <c r="K338"/>
      <c r="L338"/>
      <c r="M338"/>
      <c r="N338"/>
      <c r="O338"/>
      <c r="P338"/>
      <c r="Q338"/>
    </row>
    <row r="339" spans="1:17" ht="28.8" x14ac:dyDescent="0.3">
      <c r="A339" s="19" t="s">
        <v>1230</v>
      </c>
      <c r="B339" s="19" t="s">
        <v>288</v>
      </c>
      <c r="C339" s="19" t="s">
        <v>1918</v>
      </c>
      <c r="D339" s="53"/>
      <c r="E339" s="54"/>
      <c r="F339" s="53">
        <v>17</v>
      </c>
      <c r="G339" s="54">
        <v>0</v>
      </c>
      <c r="H339" s="53"/>
      <c r="I339" s="55"/>
      <c r="J339"/>
      <c r="K339"/>
      <c r="L339"/>
      <c r="M339"/>
      <c r="N339"/>
      <c r="O339"/>
      <c r="P339"/>
      <c r="Q339"/>
    </row>
    <row r="340" spans="1:17" ht="15.6" x14ac:dyDescent="0.3">
      <c r="A340" s="19" t="s">
        <v>1231</v>
      </c>
      <c r="B340" s="19" t="s">
        <v>289</v>
      </c>
      <c r="C340" s="19" t="s">
        <v>1918</v>
      </c>
      <c r="D340" s="53"/>
      <c r="E340" s="54"/>
      <c r="F340" s="53">
        <v>5</v>
      </c>
      <c r="G340" s="54">
        <v>0</v>
      </c>
      <c r="H340" s="53"/>
      <c r="I340" s="55"/>
      <c r="J340"/>
      <c r="K340"/>
      <c r="L340"/>
      <c r="M340"/>
      <c r="N340"/>
      <c r="O340"/>
      <c r="P340"/>
      <c r="Q340"/>
    </row>
    <row r="341" spans="1:17" ht="15.6" x14ac:dyDescent="0.3">
      <c r="A341" s="19" t="s">
        <v>1232</v>
      </c>
      <c r="B341" s="19" t="s">
        <v>290</v>
      </c>
      <c r="C341" s="19" t="s">
        <v>1918</v>
      </c>
      <c r="D341" s="53"/>
      <c r="E341" s="54"/>
      <c r="F341" s="53">
        <v>1</v>
      </c>
      <c r="G341" s="54">
        <v>0</v>
      </c>
      <c r="H341" s="53"/>
      <c r="I341" s="55"/>
      <c r="J341"/>
      <c r="K341"/>
      <c r="L341"/>
      <c r="M341"/>
      <c r="N341"/>
      <c r="O341"/>
      <c r="P341"/>
      <c r="Q341"/>
    </row>
    <row r="342" spans="1:17" ht="15.6" x14ac:dyDescent="0.3">
      <c r="A342" s="47" t="s">
        <v>1233</v>
      </c>
      <c r="B342" s="47" t="s">
        <v>291</v>
      </c>
      <c r="C342" s="19" t="s">
        <v>903</v>
      </c>
      <c r="D342" s="53"/>
      <c r="E342" s="54"/>
      <c r="F342" s="53"/>
      <c r="G342" s="54"/>
      <c r="H342" s="53">
        <v>2</v>
      </c>
      <c r="I342" s="55">
        <v>0</v>
      </c>
      <c r="J342"/>
      <c r="K342"/>
      <c r="L342"/>
      <c r="M342"/>
      <c r="N342"/>
      <c r="O342"/>
      <c r="P342"/>
      <c r="Q342"/>
    </row>
    <row r="343" spans="1:17" ht="15.6" x14ac:dyDescent="0.3">
      <c r="A343" s="48" t="s">
        <v>1233</v>
      </c>
      <c r="B343" s="48" t="s">
        <v>291</v>
      </c>
      <c r="C343" s="23" t="s">
        <v>1918</v>
      </c>
      <c r="D343" s="56"/>
      <c r="E343" s="51"/>
      <c r="F343" s="56">
        <v>3</v>
      </c>
      <c r="G343" s="51">
        <v>0</v>
      </c>
      <c r="H343" s="56"/>
      <c r="I343" s="57"/>
      <c r="J343"/>
      <c r="K343"/>
      <c r="L343"/>
      <c r="M343"/>
      <c r="N343"/>
      <c r="O343"/>
      <c r="P343"/>
      <c r="Q343"/>
    </row>
    <row r="344" spans="1:17" ht="15.6" x14ac:dyDescent="0.3">
      <c r="A344" s="48" t="s">
        <v>1233</v>
      </c>
      <c r="B344" s="48" t="s">
        <v>291</v>
      </c>
      <c r="C344" s="23" t="s">
        <v>904</v>
      </c>
      <c r="D344" s="56"/>
      <c r="E344" s="51"/>
      <c r="F344" s="56">
        <v>0</v>
      </c>
      <c r="G344" s="51">
        <v>2</v>
      </c>
      <c r="H344" s="56"/>
      <c r="I344" s="57"/>
      <c r="J344"/>
      <c r="K344"/>
      <c r="L344"/>
      <c r="M344"/>
      <c r="N344"/>
      <c r="O344"/>
      <c r="P344"/>
      <c r="Q344"/>
    </row>
    <row r="345" spans="1:17" ht="15.6" x14ac:dyDescent="0.3">
      <c r="A345" s="19" t="s">
        <v>1234</v>
      </c>
      <c r="B345" s="19" t="s">
        <v>292</v>
      </c>
      <c r="C345" s="19" t="s">
        <v>1918</v>
      </c>
      <c r="D345" s="53"/>
      <c r="E345" s="54"/>
      <c r="F345" s="53">
        <v>5</v>
      </c>
      <c r="G345" s="54">
        <v>0</v>
      </c>
      <c r="H345" s="53"/>
      <c r="I345" s="55"/>
      <c r="J345"/>
      <c r="K345"/>
      <c r="L345"/>
      <c r="M345"/>
      <c r="N345"/>
      <c r="O345"/>
      <c r="P345"/>
      <c r="Q345"/>
    </row>
    <row r="346" spans="1:17" ht="15.6" x14ac:dyDescent="0.3">
      <c r="A346" s="19" t="s">
        <v>1235</v>
      </c>
      <c r="B346" s="19" t="s">
        <v>2467</v>
      </c>
      <c r="C346" s="19" t="s">
        <v>1918</v>
      </c>
      <c r="D346" s="53"/>
      <c r="E346" s="54"/>
      <c r="F346" s="53">
        <v>5</v>
      </c>
      <c r="G346" s="54">
        <v>0</v>
      </c>
      <c r="H346" s="53"/>
      <c r="I346" s="55"/>
      <c r="J346"/>
      <c r="K346"/>
      <c r="L346"/>
      <c r="M346"/>
      <c r="N346"/>
      <c r="O346"/>
      <c r="P346"/>
      <c r="Q346"/>
    </row>
    <row r="347" spans="1:17" ht="15.6" x14ac:dyDescent="0.3">
      <c r="A347" s="19" t="s">
        <v>1236</v>
      </c>
      <c r="B347" s="19" t="s">
        <v>293</v>
      </c>
      <c r="C347" s="19" t="s">
        <v>1918</v>
      </c>
      <c r="D347" s="53"/>
      <c r="E347" s="54"/>
      <c r="F347" s="53">
        <v>13</v>
      </c>
      <c r="G347" s="54">
        <v>0</v>
      </c>
      <c r="H347" s="53"/>
      <c r="I347" s="55"/>
      <c r="J347"/>
      <c r="K347"/>
      <c r="L347"/>
      <c r="M347"/>
      <c r="N347"/>
      <c r="O347"/>
      <c r="P347"/>
      <c r="Q347"/>
    </row>
    <row r="348" spans="1:17" ht="15.6" x14ac:dyDescent="0.3">
      <c r="A348" s="19" t="s">
        <v>1237</v>
      </c>
      <c r="B348" s="19" t="s">
        <v>294</v>
      </c>
      <c r="C348" s="19" t="s">
        <v>1918</v>
      </c>
      <c r="D348" s="53"/>
      <c r="E348" s="54"/>
      <c r="F348" s="53">
        <v>1</v>
      </c>
      <c r="G348" s="54">
        <v>0</v>
      </c>
      <c r="H348" s="53"/>
      <c r="I348" s="55"/>
      <c r="J348"/>
      <c r="K348"/>
      <c r="L348"/>
      <c r="M348"/>
      <c r="N348"/>
      <c r="O348"/>
      <c r="P348"/>
      <c r="Q348"/>
    </row>
    <row r="349" spans="1:17" ht="15.6" x14ac:dyDescent="0.3">
      <c r="A349" s="19" t="s">
        <v>1238</v>
      </c>
      <c r="B349" s="19" t="s">
        <v>295</v>
      </c>
      <c r="C349" s="19" t="s">
        <v>1918</v>
      </c>
      <c r="D349" s="53"/>
      <c r="E349" s="54"/>
      <c r="F349" s="53">
        <v>1</v>
      </c>
      <c r="G349" s="54">
        <v>0</v>
      </c>
      <c r="H349" s="53"/>
      <c r="I349" s="55"/>
      <c r="J349"/>
      <c r="K349"/>
      <c r="L349"/>
      <c r="M349"/>
      <c r="N349"/>
      <c r="O349"/>
      <c r="P349"/>
      <c r="Q349"/>
    </row>
    <row r="350" spans="1:17" ht="28.8" x14ac:dyDescent="0.3">
      <c r="A350" s="19" t="s">
        <v>1239</v>
      </c>
      <c r="B350" s="19" t="s">
        <v>296</v>
      </c>
      <c r="C350" s="19" t="s">
        <v>1918</v>
      </c>
      <c r="D350" s="53"/>
      <c r="E350" s="54"/>
      <c r="F350" s="53">
        <v>1</v>
      </c>
      <c r="G350" s="54">
        <v>0</v>
      </c>
      <c r="H350" s="53"/>
      <c r="I350" s="55"/>
      <c r="J350"/>
      <c r="K350"/>
      <c r="L350"/>
      <c r="M350"/>
      <c r="N350"/>
      <c r="O350"/>
      <c r="P350"/>
      <c r="Q350"/>
    </row>
    <row r="351" spans="1:17" ht="15.6" x14ac:dyDescent="0.3">
      <c r="A351" s="47" t="s">
        <v>1240</v>
      </c>
      <c r="B351" s="47" t="s">
        <v>297</v>
      </c>
      <c r="C351" s="19" t="s">
        <v>903</v>
      </c>
      <c r="D351" s="53"/>
      <c r="E351" s="54"/>
      <c r="F351" s="53"/>
      <c r="G351" s="54"/>
      <c r="H351" s="53">
        <v>1</v>
      </c>
      <c r="I351" s="55">
        <v>0</v>
      </c>
      <c r="J351"/>
      <c r="K351"/>
      <c r="L351"/>
      <c r="M351"/>
      <c r="N351"/>
      <c r="O351"/>
      <c r="P351"/>
      <c r="Q351"/>
    </row>
    <row r="352" spans="1:17" ht="15.6" x14ac:dyDescent="0.3">
      <c r="A352" s="48" t="s">
        <v>1240</v>
      </c>
      <c r="B352" s="48" t="s">
        <v>297</v>
      </c>
      <c r="C352" s="23" t="s">
        <v>1918</v>
      </c>
      <c r="D352" s="56"/>
      <c r="E352" s="51"/>
      <c r="F352" s="56">
        <v>4</v>
      </c>
      <c r="G352" s="51">
        <v>0</v>
      </c>
      <c r="H352" s="56"/>
      <c r="I352" s="57"/>
      <c r="J352"/>
      <c r="K352"/>
      <c r="L352"/>
      <c r="M352"/>
      <c r="N352"/>
      <c r="O352"/>
      <c r="P352"/>
      <c r="Q352"/>
    </row>
    <row r="353" spans="1:17" ht="15.6" x14ac:dyDescent="0.3">
      <c r="A353" s="48" t="s">
        <v>1240</v>
      </c>
      <c r="B353" s="48" t="s">
        <v>297</v>
      </c>
      <c r="C353" s="23" t="s">
        <v>904</v>
      </c>
      <c r="D353" s="56"/>
      <c r="E353" s="51"/>
      <c r="F353" s="56">
        <v>0</v>
      </c>
      <c r="G353" s="51">
        <v>1</v>
      </c>
      <c r="H353" s="56"/>
      <c r="I353" s="57"/>
      <c r="J353"/>
      <c r="K353"/>
      <c r="L353"/>
      <c r="M353"/>
      <c r="N353"/>
      <c r="O353"/>
      <c r="P353"/>
      <c r="Q353"/>
    </row>
    <row r="354" spans="1:17" ht="28.8" x14ac:dyDescent="0.3">
      <c r="A354" s="19" t="s">
        <v>1241</v>
      </c>
      <c r="B354" s="19" t="s">
        <v>298</v>
      </c>
      <c r="C354" s="19" t="s">
        <v>1918</v>
      </c>
      <c r="D354" s="53"/>
      <c r="E354" s="54"/>
      <c r="F354" s="53">
        <v>1</v>
      </c>
      <c r="G354" s="54">
        <v>0</v>
      </c>
      <c r="H354" s="53"/>
      <c r="I354" s="55"/>
      <c r="J354"/>
      <c r="K354"/>
      <c r="L354"/>
      <c r="M354"/>
      <c r="N354"/>
      <c r="O354"/>
      <c r="P354"/>
      <c r="Q354"/>
    </row>
    <row r="355" spans="1:17" ht="15.6" x14ac:dyDescent="0.3">
      <c r="A355" s="19" t="s">
        <v>1242</v>
      </c>
      <c r="B355" s="19" t="s">
        <v>299</v>
      </c>
      <c r="C355" s="19" t="s">
        <v>1918</v>
      </c>
      <c r="D355" s="53"/>
      <c r="E355" s="54"/>
      <c r="F355" s="53">
        <v>400</v>
      </c>
      <c r="G355" s="54">
        <v>0</v>
      </c>
      <c r="H355" s="53"/>
      <c r="I355" s="55"/>
      <c r="J355"/>
      <c r="K355"/>
      <c r="L355"/>
      <c r="M355"/>
      <c r="N355"/>
      <c r="O355"/>
      <c r="P355"/>
      <c r="Q355"/>
    </row>
    <row r="356" spans="1:17" ht="15.6" x14ac:dyDescent="0.3">
      <c r="A356" s="19" t="s">
        <v>1243</v>
      </c>
      <c r="B356" s="19" t="s">
        <v>2468</v>
      </c>
      <c r="C356" s="19" t="s">
        <v>1918</v>
      </c>
      <c r="D356" s="53"/>
      <c r="E356" s="54"/>
      <c r="F356" s="53">
        <v>1</v>
      </c>
      <c r="G356" s="54">
        <v>0</v>
      </c>
      <c r="H356" s="53"/>
      <c r="I356" s="55"/>
      <c r="J356"/>
      <c r="K356"/>
      <c r="L356"/>
      <c r="M356"/>
      <c r="N356"/>
      <c r="O356"/>
      <c r="P356"/>
      <c r="Q356"/>
    </row>
    <row r="357" spans="1:17" ht="15.6" x14ac:dyDescent="0.3">
      <c r="A357" s="19" t="s">
        <v>1244</v>
      </c>
      <c r="B357" s="19" t="s">
        <v>300</v>
      </c>
      <c r="C357" s="19" t="s">
        <v>1918</v>
      </c>
      <c r="D357" s="53"/>
      <c r="E357" s="54"/>
      <c r="F357" s="53">
        <v>1</v>
      </c>
      <c r="G357" s="54">
        <v>0</v>
      </c>
      <c r="H357" s="53"/>
      <c r="I357" s="55"/>
      <c r="J357"/>
      <c r="K357"/>
      <c r="L357"/>
      <c r="M357"/>
      <c r="N357"/>
      <c r="O357"/>
      <c r="P357"/>
      <c r="Q357"/>
    </row>
    <row r="358" spans="1:17" ht="15.6" x14ac:dyDescent="0.3">
      <c r="A358" s="19" t="s">
        <v>1245</v>
      </c>
      <c r="B358" s="19" t="s">
        <v>301</v>
      </c>
      <c r="C358" s="19" t="s">
        <v>1918</v>
      </c>
      <c r="D358" s="53"/>
      <c r="E358" s="54"/>
      <c r="F358" s="53">
        <v>8</v>
      </c>
      <c r="G358" s="54">
        <v>0</v>
      </c>
      <c r="H358" s="53"/>
      <c r="I358" s="55"/>
      <c r="J358"/>
      <c r="K358"/>
      <c r="L358"/>
      <c r="M358"/>
      <c r="N358"/>
      <c r="O358"/>
      <c r="P358"/>
      <c r="Q358"/>
    </row>
    <row r="359" spans="1:17" ht="15.6" x14ac:dyDescent="0.3">
      <c r="A359" s="19" t="s">
        <v>1246</v>
      </c>
      <c r="B359" s="19" t="s">
        <v>302</v>
      </c>
      <c r="C359" s="19" t="s">
        <v>1918</v>
      </c>
      <c r="D359" s="53"/>
      <c r="E359" s="54"/>
      <c r="F359" s="53">
        <v>1</v>
      </c>
      <c r="G359" s="54">
        <v>0</v>
      </c>
      <c r="H359" s="53"/>
      <c r="I359" s="55"/>
      <c r="J359"/>
      <c r="K359"/>
      <c r="L359"/>
      <c r="M359"/>
      <c r="N359"/>
      <c r="O359"/>
      <c r="P359"/>
      <c r="Q359"/>
    </row>
    <row r="360" spans="1:17" ht="28.8" x14ac:dyDescent="0.3">
      <c r="A360" s="19" t="s">
        <v>1247</v>
      </c>
      <c r="B360" s="19" t="s">
        <v>303</v>
      </c>
      <c r="C360" s="19" t="s">
        <v>1918</v>
      </c>
      <c r="D360" s="53"/>
      <c r="E360" s="54"/>
      <c r="F360" s="53">
        <v>1</v>
      </c>
      <c r="G360" s="54">
        <v>0</v>
      </c>
      <c r="H360" s="53"/>
      <c r="I360" s="55"/>
      <c r="J360"/>
      <c r="K360"/>
      <c r="L360"/>
      <c r="M360"/>
      <c r="N360"/>
      <c r="O360"/>
      <c r="P360"/>
      <c r="Q360"/>
    </row>
    <row r="361" spans="1:17" ht="28.8" x14ac:dyDescent="0.3">
      <c r="A361" s="19" t="s">
        <v>1248</v>
      </c>
      <c r="B361" s="19" t="s">
        <v>304</v>
      </c>
      <c r="C361" s="19" t="s">
        <v>1918</v>
      </c>
      <c r="D361" s="53"/>
      <c r="E361" s="54"/>
      <c r="F361" s="53">
        <v>1</v>
      </c>
      <c r="G361" s="54">
        <v>0</v>
      </c>
      <c r="H361" s="53"/>
      <c r="I361" s="55"/>
      <c r="J361"/>
      <c r="K361"/>
      <c r="L361"/>
      <c r="M361"/>
      <c r="N361"/>
      <c r="O361"/>
      <c r="P361"/>
      <c r="Q361"/>
    </row>
    <row r="362" spans="1:17" ht="28.8" x14ac:dyDescent="0.3">
      <c r="A362" s="19" t="s">
        <v>1249</v>
      </c>
      <c r="B362" s="19" t="s">
        <v>305</v>
      </c>
      <c r="C362" s="19" t="s">
        <v>1918</v>
      </c>
      <c r="D362" s="53"/>
      <c r="E362" s="54"/>
      <c r="F362" s="53">
        <v>1</v>
      </c>
      <c r="G362" s="54">
        <v>0</v>
      </c>
      <c r="H362" s="53"/>
      <c r="I362" s="55"/>
      <c r="J362"/>
      <c r="K362"/>
      <c r="L362"/>
      <c r="M362"/>
      <c r="N362"/>
      <c r="O362"/>
      <c r="P362"/>
      <c r="Q362"/>
    </row>
    <row r="363" spans="1:17" ht="15.6" x14ac:dyDescent="0.3">
      <c r="A363" s="19" t="s">
        <v>1250</v>
      </c>
      <c r="B363" s="19" t="s">
        <v>306</v>
      </c>
      <c r="C363" s="19" t="s">
        <v>1918</v>
      </c>
      <c r="D363" s="53"/>
      <c r="E363" s="54"/>
      <c r="F363" s="53">
        <v>3</v>
      </c>
      <c r="G363" s="54">
        <v>0</v>
      </c>
      <c r="H363" s="53"/>
      <c r="I363" s="55"/>
      <c r="J363"/>
      <c r="K363"/>
      <c r="L363"/>
      <c r="M363"/>
      <c r="N363"/>
      <c r="O363"/>
      <c r="P363"/>
      <c r="Q363"/>
    </row>
    <row r="364" spans="1:17" ht="15.6" x14ac:dyDescent="0.3">
      <c r="A364" s="19" t="s">
        <v>1251</v>
      </c>
      <c r="B364" s="19" t="s">
        <v>307</v>
      </c>
      <c r="C364" s="19" t="s">
        <v>1918</v>
      </c>
      <c r="D364" s="53"/>
      <c r="E364" s="54"/>
      <c r="F364" s="53">
        <v>1</v>
      </c>
      <c r="G364" s="54">
        <v>0</v>
      </c>
      <c r="H364" s="53"/>
      <c r="I364" s="55"/>
      <c r="J364"/>
      <c r="K364"/>
      <c r="L364"/>
      <c r="M364"/>
      <c r="N364"/>
      <c r="O364"/>
      <c r="P364"/>
      <c r="Q364"/>
    </row>
    <row r="365" spans="1:17" ht="28.8" x14ac:dyDescent="0.3">
      <c r="A365" s="19" t="s">
        <v>1252</v>
      </c>
      <c r="B365" s="19" t="s">
        <v>308</v>
      </c>
      <c r="C365" s="19" t="s">
        <v>1918</v>
      </c>
      <c r="D365" s="53"/>
      <c r="E365" s="54"/>
      <c r="F365" s="53">
        <v>1</v>
      </c>
      <c r="G365" s="54">
        <v>0</v>
      </c>
      <c r="H365" s="53"/>
      <c r="I365" s="55"/>
      <c r="J365"/>
      <c r="K365"/>
      <c r="L365"/>
      <c r="M365"/>
      <c r="N365"/>
      <c r="O365"/>
      <c r="P365"/>
      <c r="Q365"/>
    </row>
    <row r="366" spans="1:17" ht="15.6" x14ac:dyDescent="0.3">
      <c r="A366" s="19" t="s">
        <v>1253</v>
      </c>
      <c r="B366" s="19" t="s">
        <v>309</v>
      </c>
      <c r="C366" s="19" t="s">
        <v>1918</v>
      </c>
      <c r="D366" s="53"/>
      <c r="E366" s="54"/>
      <c r="F366" s="53">
        <v>2</v>
      </c>
      <c r="G366" s="54">
        <v>0</v>
      </c>
      <c r="H366" s="53"/>
      <c r="I366" s="55"/>
      <c r="J366"/>
      <c r="K366"/>
      <c r="L366"/>
      <c r="M366"/>
      <c r="N366"/>
      <c r="O366"/>
      <c r="P366"/>
      <c r="Q366"/>
    </row>
    <row r="367" spans="1:17" ht="15.6" x14ac:dyDescent="0.3">
      <c r="A367" s="19" t="s">
        <v>1254</v>
      </c>
      <c r="B367" s="19" t="s">
        <v>310</v>
      </c>
      <c r="C367" s="19" t="s">
        <v>1918</v>
      </c>
      <c r="D367" s="53"/>
      <c r="E367" s="54"/>
      <c r="F367" s="53">
        <v>1</v>
      </c>
      <c r="G367" s="54">
        <v>0</v>
      </c>
      <c r="H367" s="53"/>
      <c r="I367" s="55"/>
      <c r="J367"/>
      <c r="K367"/>
      <c r="L367"/>
      <c r="M367"/>
      <c r="N367"/>
      <c r="O367"/>
      <c r="P367"/>
      <c r="Q367"/>
    </row>
    <row r="368" spans="1:17" ht="15.6" x14ac:dyDescent="0.3">
      <c r="A368" s="19" t="s">
        <v>1255</v>
      </c>
      <c r="B368" s="19" t="s">
        <v>311</v>
      </c>
      <c r="C368" s="19" t="s">
        <v>1918</v>
      </c>
      <c r="D368" s="53"/>
      <c r="E368" s="54"/>
      <c r="F368" s="53">
        <v>1</v>
      </c>
      <c r="G368" s="54">
        <v>0</v>
      </c>
      <c r="H368" s="53"/>
      <c r="I368" s="55"/>
      <c r="J368"/>
      <c r="K368"/>
      <c r="L368"/>
      <c r="M368"/>
      <c r="N368"/>
      <c r="O368"/>
      <c r="P368"/>
      <c r="Q368"/>
    </row>
    <row r="369" spans="1:17" ht="15.6" x14ac:dyDescent="0.3">
      <c r="A369" s="19" t="s">
        <v>1256</v>
      </c>
      <c r="B369" s="19" t="s">
        <v>312</v>
      </c>
      <c r="C369" s="19" t="s">
        <v>1918</v>
      </c>
      <c r="D369" s="53"/>
      <c r="E369" s="54"/>
      <c r="F369" s="53">
        <v>1</v>
      </c>
      <c r="G369" s="54">
        <v>0</v>
      </c>
      <c r="H369" s="53"/>
      <c r="I369" s="55"/>
      <c r="J369"/>
      <c r="K369"/>
      <c r="L369"/>
      <c r="M369"/>
      <c r="N369"/>
      <c r="O369"/>
      <c r="P369"/>
      <c r="Q369"/>
    </row>
    <row r="370" spans="1:17" ht="28.8" x14ac:dyDescent="0.3">
      <c r="A370" s="19" t="s">
        <v>1257</v>
      </c>
      <c r="B370" s="19" t="s">
        <v>313</v>
      </c>
      <c r="C370" s="19" t="s">
        <v>1918</v>
      </c>
      <c r="D370" s="53"/>
      <c r="E370" s="54"/>
      <c r="F370" s="53">
        <v>1</v>
      </c>
      <c r="G370" s="54">
        <v>0</v>
      </c>
      <c r="H370" s="53"/>
      <c r="I370" s="55"/>
      <c r="J370"/>
      <c r="K370"/>
      <c r="L370"/>
      <c r="M370"/>
      <c r="N370"/>
      <c r="O370"/>
      <c r="P370"/>
      <c r="Q370"/>
    </row>
    <row r="371" spans="1:17" ht="15.6" x14ac:dyDescent="0.3">
      <c r="A371" s="19" t="s">
        <v>1258</v>
      </c>
      <c r="B371" s="19" t="s">
        <v>314</v>
      </c>
      <c r="C371" s="19" t="s">
        <v>1918</v>
      </c>
      <c r="D371" s="53"/>
      <c r="E371" s="54"/>
      <c r="F371" s="53">
        <v>51</v>
      </c>
      <c r="G371" s="54">
        <v>0</v>
      </c>
      <c r="H371" s="53"/>
      <c r="I371" s="55"/>
      <c r="J371"/>
      <c r="K371"/>
      <c r="L371"/>
      <c r="M371"/>
      <c r="N371"/>
      <c r="O371"/>
      <c r="P371"/>
      <c r="Q371"/>
    </row>
    <row r="372" spans="1:17" ht="15.6" x14ac:dyDescent="0.3">
      <c r="A372" s="19" t="s">
        <v>1259</v>
      </c>
      <c r="B372" s="19" t="s">
        <v>315</v>
      </c>
      <c r="C372" s="19" t="s">
        <v>1918</v>
      </c>
      <c r="D372" s="53"/>
      <c r="E372" s="54"/>
      <c r="F372" s="53">
        <v>3</v>
      </c>
      <c r="G372" s="54">
        <v>0</v>
      </c>
      <c r="H372" s="53"/>
      <c r="I372" s="55"/>
      <c r="J372"/>
      <c r="K372"/>
      <c r="L372"/>
      <c r="M372"/>
      <c r="N372"/>
      <c r="O372"/>
      <c r="P372"/>
      <c r="Q372"/>
    </row>
    <row r="373" spans="1:17" ht="15.6" x14ac:dyDescent="0.3">
      <c r="A373" s="47" t="s">
        <v>1260</v>
      </c>
      <c r="B373" s="47" t="s">
        <v>316</v>
      </c>
      <c r="C373" s="19" t="s">
        <v>903</v>
      </c>
      <c r="D373" s="53"/>
      <c r="E373" s="54"/>
      <c r="F373" s="53"/>
      <c r="G373" s="54"/>
      <c r="H373" s="53">
        <v>3</v>
      </c>
      <c r="I373" s="55">
        <v>0</v>
      </c>
      <c r="J373"/>
      <c r="K373"/>
      <c r="L373"/>
      <c r="M373"/>
      <c r="N373"/>
      <c r="O373"/>
      <c r="P373"/>
      <c r="Q373"/>
    </row>
    <row r="374" spans="1:17" ht="15.6" x14ac:dyDescent="0.3">
      <c r="A374" s="48" t="s">
        <v>1260</v>
      </c>
      <c r="B374" s="48" t="s">
        <v>316</v>
      </c>
      <c r="C374" s="23" t="s">
        <v>1918</v>
      </c>
      <c r="D374" s="56"/>
      <c r="E374" s="51"/>
      <c r="F374" s="56">
        <v>3</v>
      </c>
      <c r="G374" s="51">
        <v>0</v>
      </c>
      <c r="H374" s="56"/>
      <c r="I374" s="57"/>
      <c r="J374"/>
      <c r="K374"/>
      <c r="L374"/>
      <c r="M374"/>
      <c r="N374"/>
      <c r="O374"/>
      <c r="P374"/>
      <c r="Q374"/>
    </row>
    <row r="375" spans="1:17" ht="15.6" x14ac:dyDescent="0.3">
      <c r="A375" s="48" t="s">
        <v>1260</v>
      </c>
      <c r="B375" s="48" t="s">
        <v>316</v>
      </c>
      <c r="C375" s="23" t="s">
        <v>904</v>
      </c>
      <c r="D375" s="56"/>
      <c r="E375" s="51"/>
      <c r="F375" s="56">
        <v>0</v>
      </c>
      <c r="G375" s="51">
        <v>3</v>
      </c>
      <c r="H375" s="56"/>
      <c r="I375" s="57"/>
      <c r="J375"/>
      <c r="K375"/>
      <c r="L375"/>
      <c r="M375"/>
      <c r="N375"/>
      <c r="O375"/>
      <c r="P375"/>
      <c r="Q375"/>
    </row>
    <row r="376" spans="1:17" ht="15.6" x14ac:dyDescent="0.3">
      <c r="A376" s="47" t="s">
        <v>1261</v>
      </c>
      <c r="B376" s="47" t="s">
        <v>317</v>
      </c>
      <c r="C376" s="19" t="s">
        <v>903</v>
      </c>
      <c r="D376" s="53"/>
      <c r="E376" s="54"/>
      <c r="F376" s="53"/>
      <c r="G376" s="54"/>
      <c r="H376" s="53">
        <v>1</v>
      </c>
      <c r="I376" s="55">
        <v>0</v>
      </c>
      <c r="J376"/>
      <c r="K376"/>
      <c r="L376"/>
      <c r="M376"/>
      <c r="N376"/>
      <c r="O376"/>
      <c r="P376"/>
      <c r="Q376"/>
    </row>
    <row r="377" spans="1:17" ht="15.6" x14ac:dyDescent="0.3">
      <c r="A377" s="48" t="s">
        <v>1261</v>
      </c>
      <c r="B377" s="48" t="s">
        <v>317</v>
      </c>
      <c r="C377" s="23" t="s">
        <v>1918</v>
      </c>
      <c r="D377" s="56"/>
      <c r="E377" s="51"/>
      <c r="F377" s="56">
        <v>1</v>
      </c>
      <c r="G377" s="51">
        <v>0</v>
      </c>
      <c r="H377" s="56"/>
      <c r="I377" s="57"/>
      <c r="J377"/>
      <c r="K377"/>
      <c r="L377"/>
      <c r="M377"/>
      <c r="N377"/>
      <c r="O377"/>
      <c r="P377"/>
      <c r="Q377"/>
    </row>
    <row r="378" spans="1:17" ht="15.6" x14ac:dyDescent="0.3">
      <c r="A378" s="48" t="s">
        <v>1261</v>
      </c>
      <c r="B378" s="48" t="s">
        <v>317</v>
      </c>
      <c r="C378" s="23" t="s">
        <v>904</v>
      </c>
      <c r="D378" s="56"/>
      <c r="E378" s="51"/>
      <c r="F378" s="56">
        <v>0</v>
      </c>
      <c r="G378" s="51">
        <v>1</v>
      </c>
      <c r="H378" s="56"/>
      <c r="I378" s="57"/>
      <c r="J378"/>
      <c r="K378"/>
      <c r="L378"/>
      <c r="M378"/>
      <c r="N378"/>
      <c r="O378"/>
      <c r="P378"/>
      <c r="Q378"/>
    </row>
    <row r="379" spans="1:17" ht="15.6" x14ac:dyDescent="0.3">
      <c r="A379" s="47" t="s">
        <v>1262</v>
      </c>
      <c r="B379" s="47" t="s">
        <v>318</v>
      </c>
      <c r="C379" s="19" t="s">
        <v>905</v>
      </c>
      <c r="D379" s="53"/>
      <c r="E379" s="54"/>
      <c r="F379" s="53">
        <v>0</v>
      </c>
      <c r="G379" s="54">
        <v>1</v>
      </c>
      <c r="H379" s="53"/>
      <c r="I379" s="55"/>
      <c r="J379"/>
      <c r="K379"/>
      <c r="L379"/>
      <c r="M379"/>
      <c r="N379"/>
      <c r="O379"/>
      <c r="P379"/>
      <c r="Q379"/>
    </row>
    <row r="380" spans="1:17" ht="15.6" x14ac:dyDescent="0.3">
      <c r="A380" s="48" t="s">
        <v>1262</v>
      </c>
      <c r="B380" s="48" t="s">
        <v>318</v>
      </c>
      <c r="C380" s="23" t="s">
        <v>903</v>
      </c>
      <c r="D380" s="56">
        <v>1</v>
      </c>
      <c r="E380" s="51">
        <v>0</v>
      </c>
      <c r="F380" s="56"/>
      <c r="G380" s="51"/>
      <c r="H380" s="56">
        <v>2</v>
      </c>
      <c r="I380" s="57">
        <v>0</v>
      </c>
      <c r="J380"/>
      <c r="K380"/>
      <c r="L380"/>
      <c r="M380"/>
      <c r="N380"/>
      <c r="O380"/>
      <c r="P380"/>
      <c r="Q380"/>
    </row>
    <row r="381" spans="1:17" ht="15.6" x14ac:dyDescent="0.3">
      <c r="A381" s="48" t="s">
        <v>1262</v>
      </c>
      <c r="B381" s="48" t="s">
        <v>318</v>
      </c>
      <c r="C381" s="23" t="s">
        <v>1918</v>
      </c>
      <c r="D381" s="56"/>
      <c r="E381" s="51"/>
      <c r="F381" s="56">
        <v>5</v>
      </c>
      <c r="G381" s="51">
        <v>0</v>
      </c>
      <c r="H381" s="56"/>
      <c r="I381" s="57"/>
      <c r="J381"/>
      <c r="K381"/>
      <c r="L381"/>
      <c r="M381"/>
      <c r="N381"/>
      <c r="O381"/>
      <c r="P381"/>
      <c r="Q381"/>
    </row>
    <row r="382" spans="1:17" ht="15.6" x14ac:dyDescent="0.3">
      <c r="A382" s="48" t="s">
        <v>1262</v>
      </c>
      <c r="B382" s="48" t="s">
        <v>318</v>
      </c>
      <c r="C382" s="23" t="s">
        <v>904</v>
      </c>
      <c r="D382" s="56"/>
      <c r="E382" s="51"/>
      <c r="F382" s="56">
        <v>0</v>
      </c>
      <c r="G382" s="51">
        <v>2</v>
      </c>
      <c r="H382" s="56"/>
      <c r="I382" s="57"/>
      <c r="J382"/>
      <c r="K382"/>
      <c r="L382"/>
      <c r="M382"/>
      <c r="N382"/>
      <c r="O382"/>
      <c r="P382"/>
      <c r="Q382"/>
    </row>
    <row r="383" spans="1:17" ht="15.6" x14ac:dyDescent="0.3">
      <c r="A383" s="48" t="s">
        <v>1262</v>
      </c>
      <c r="B383" s="48" t="s">
        <v>318</v>
      </c>
      <c r="C383" s="23" t="s">
        <v>911</v>
      </c>
      <c r="D383" s="56"/>
      <c r="E383" s="51"/>
      <c r="F383" s="56">
        <v>0</v>
      </c>
      <c r="G383" s="51">
        <v>1</v>
      </c>
      <c r="H383" s="56"/>
      <c r="I383" s="57"/>
      <c r="J383"/>
      <c r="K383"/>
      <c r="L383"/>
      <c r="M383"/>
      <c r="N383"/>
      <c r="O383"/>
      <c r="P383"/>
      <c r="Q383"/>
    </row>
    <row r="384" spans="1:17" ht="28.8" x14ac:dyDescent="0.3">
      <c r="A384" s="19" t="s">
        <v>1263</v>
      </c>
      <c r="B384" s="19" t="s">
        <v>319</v>
      </c>
      <c r="C384" s="19" t="s">
        <v>1918</v>
      </c>
      <c r="D384" s="53"/>
      <c r="E384" s="54"/>
      <c r="F384" s="53">
        <v>1</v>
      </c>
      <c r="G384" s="54">
        <v>0</v>
      </c>
      <c r="H384" s="53"/>
      <c r="I384" s="55"/>
      <c r="J384"/>
      <c r="K384"/>
      <c r="L384"/>
      <c r="M384"/>
      <c r="N384"/>
      <c r="O384"/>
      <c r="P384"/>
      <c r="Q384"/>
    </row>
    <row r="385" spans="1:17" ht="15.6" x14ac:dyDescent="0.3">
      <c r="A385" s="19" t="s">
        <v>1264</v>
      </c>
      <c r="B385" s="19" t="s">
        <v>320</v>
      </c>
      <c r="C385" s="19" t="s">
        <v>1918</v>
      </c>
      <c r="D385" s="53"/>
      <c r="E385" s="54"/>
      <c r="F385" s="53">
        <v>2</v>
      </c>
      <c r="G385" s="54">
        <v>0</v>
      </c>
      <c r="H385" s="53"/>
      <c r="I385" s="55"/>
      <c r="J385"/>
      <c r="K385"/>
      <c r="L385"/>
      <c r="M385"/>
      <c r="N385"/>
      <c r="O385"/>
      <c r="P385"/>
      <c r="Q385"/>
    </row>
    <row r="386" spans="1:17" ht="15.6" x14ac:dyDescent="0.3">
      <c r="A386" s="19" t="s">
        <v>1265</v>
      </c>
      <c r="B386" s="19" t="s">
        <v>2469</v>
      </c>
      <c r="C386" s="19" t="s">
        <v>1918</v>
      </c>
      <c r="D386" s="53"/>
      <c r="E386" s="54"/>
      <c r="F386" s="53">
        <v>1</v>
      </c>
      <c r="G386" s="54">
        <v>0</v>
      </c>
      <c r="H386" s="53"/>
      <c r="I386" s="55"/>
      <c r="J386"/>
      <c r="K386"/>
      <c r="L386"/>
      <c r="M386"/>
      <c r="N386"/>
      <c r="O386"/>
      <c r="P386"/>
      <c r="Q386"/>
    </row>
    <row r="387" spans="1:17" ht="15.6" x14ac:dyDescent="0.3">
      <c r="A387" s="47" t="s">
        <v>1266</v>
      </c>
      <c r="B387" s="47" t="s">
        <v>321</v>
      </c>
      <c r="C387" s="19" t="s">
        <v>903</v>
      </c>
      <c r="D387" s="53"/>
      <c r="E387" s="54"/>
      <c r="F387" s="53"/>
      <c r="G387" s="54"/>
      <c r="H387" s="53">
        <v>1</v>
      </c>
      <c r="I387" s="55">
        <v>0</v>
      </c>
      <c r="J387"/>
      <c r="K387"/>
      <c r="L387"/>
      <c r="M387"/>
      <c r="N387"/>
      <c r="O387"/>
      <c r="P387"/>
      <c r="Q387"/>
    </row>
    <row r="388" spans="1:17" ht="15.6" x14ac:dyDescent="0.3">
      <c r="A388" s="48" t="s">
        <v>1266</v>
      </c>
      <c r="B388" s="48" t="s">
        <v>321</v>
      </c>
      <c r="C388" s="23" t="s">
        <v>1918</v>
      </c>
      <c r="D388" s="56"/>
      <c r="E388" s="51"/>
      <c r="F388" s="56">
        <v>1</v>
      </c>
      <c r="G388" s="51">
        <v>0</v>
      </c>
      <c r="H388" s="56"/>
      <c r="I388" s="57"/>
      <c r="J388"/>
      <c r="K388"/>
      <c r="L388"/>
      <c r="M388"/>
      <c r="N388"/>
      <c r="O388"/>
      <c r="P388"/>
      <c r="Q388"/>
    </row>
    <row r="389" spans="1:17" ht="15.6" x14ac:dyDescent="0.3">
      <c r="A389" s="48" t="s">
        <v>1266</v>
      </c>
      <c r="B389" s="48" t="s">
        <v>321</v>
      </c>
      <c r="C389" s="23" t="s">
        <v>904</v>
      </c>
      <c r="D389" s="56"/>
      <c r="E389" s="51"/>
      <c r="F389" s="56">
        <v>0</v>
      </c>
      <c r="G389" s="51">
        <v>1</v>
      </c>
      <c r="H389" s="56"/>
      <c r="I389" s="57"/>
      <c r="J389"/>
      <c r="K389"/>
      <c r="L389"/>
      <c r="M389"/>
      <c r="N389"/>
      <c r="O389"/>
      <c r="P389"/>
      <c r="Q389"/>
    </row>
    <row r="390" spans="1:17" ht="15.6" x14ac:dyDescent="0.3">
      <c r="A390" s="47" t="s">
        <v>1267</v>
      </c>
      <c r="B390" s="47" t="s">
        <v>322</v>
      </c>
      <c r="C390" s="19" t="s">
        <v>905</v>
      </c>
      <c r="D390" s="53"/>
      <c r="E390" s="54"/>
      <c r="F390" s="53">
        <v>0</v>
      </c>
      <c r="G390" s="54">
        <v>1</v>
      </c>
      <c r="H390" s="53"/>
      <c r="I390" s="55"/>
      <c r="J390"/>
      <c r="K390"/>
      <c r="L390"/>
      <c r="M390"/>
      <c r="N390"/>
      <c r="O390"/>
      <c r="P390"/>
      <c r="Q390"/>
    </row>
    <row r="391" spans="1:17" ht="15.6" x14ac:dyDescent="0.3">
      <c r="A391" s="48" t="s">
        <v>1267</v>
      </c>
      <c r="B391" s="48" t="s">
        <v>322</v>
      </c>
      <c r="C391" s="23" t="s">
        <v>903</v>
      </c>
      <c r="D391" s="56">
        <v>1</v>
      </c>
      <c r="E391" s="51">
        <v>0</v>
      </c>
      <c r="F391" s="56"/>
      <c r="G391" s="51"/>
      <c r="H391" s="56"/>
      <c r="I391" s="57"/>
      <c r="J391"/>
      <c r="K391"/>
      <c r="L391"/>
      <c r="M391"/>
      <c r="N391"/>
      <c r="O391"/>
      <c r="P391"/>
      <c r="Q391"/>
    </row>
    <row r="392" spans="1:17" ht="15.6" x14ac:dyDescent="0.3">
      <c r="A392" s="48" t="s">
        <v>1267</v>
      </c>
      <c r="B392" s="48" t="s">
        <v>322</v>
      </c>
      <c r="C392" s="23" t="s">
        <v>1918</v>
      </c>
      <c r="D392" s="56"/>
      <c r="E392" s="51"/>
      <c r="F392" s="56">
        <v>1</v>
      </c>
      <c r="G392" s="51">
        <v>0</v>
      </c>
      <c r="H392" s="56"/>
      <c r="I392" s="57"/>
      <c r="J392"/>
      <c r="K392"/>
      <c r="L392"/>
      <c r="M392"/>
      <c r="N392"/>
      <c r="O392"/>
      <c r="P392"/>
      <c r="Q392"/>
    </row>
    <row r="393" spans="1:17" ht="28.8" x14ac:dyDescent="0.3">
      <c r="A393" s="19" t="s">
        <v>1268</v>
      </c>
      <c r="B393" s="19" t="s">
        <v>323</v>
      </c>
      <c r="C393" s="19" t="s">
        <v>1918</v>
      </c>
      <c r="D393" s="53"/>
      <c r="E393" s="54"/>
      <c r="F393" s="53">
        <v>1</v>
      </c>
      <c r="G393" s="54">
        <v>0</v>
      </c>
      <c r="H393" s="53"/>
      <c r="I393" s="55"/>
      <c r="J393"/>
      <c r="K393"/>
      <c r="L393"/>
      <c r="M393"/>
      <c r="N393"/>
      <c r="O393"/>
      <c r="P393"/>
      <c r="Q393"/>
    </row>
    <row r="394" spans="1:17" ht="28.8" x14ac:dyDescent="0.3">
      <c r="A394" s="19" t="s">
        <v>1269</v>
      </c>
      <c r="B394" s="19" t="s">
        <v>324</v>
      </c>
      <c r="C394" s="19" t="s">
        <v>1918</v>
      </c>
      <c r="D394" s="53"/>
      <c r="E394" s="54"/>
      <c r="F394" s="53">
        <v>1</v>
      </c>
      <c r="G394" s="54">
        <v>0</v>
      </c>
      <c r="H394" s="53"/>
      <c r="I394" s="55"/>
      <c r="J394"/>
      <c r="K394"/>
      <c r="L394"/>
      <c r="M394"/>
      <c r="N394"/>
      <c r="O394"/>
      <c r="P394"/>
      <c r="Q394"/>
    </row>
    <row r="395" spans="1:17" ht="15.6" x14ac:dyDescent="0.3">
      <c r="A395" s="47" t="s">
        <v>1270</v>
      </c>
      <c r="B395" s="47" t="s">
        <v>325</v>
      </c>
      <c r="C395" s="19" t="s">
        <v>903</v>
      </c>
      <c r="D395" s="53"/>
      <c r="E395" s="54"/>
      <c r="F395" s="53"/>
      <c r="G395" s="54"/>
      <c r="H395" s="53">
        <v>1</v>
      </c>
      <c r="I395" s="55">
        <v>0</v>
      </c>
      <c r="J395"/>
      <c r="K395"/>
      <c r="L395"/>
      <c r="M395"/>
      <c r="N395"/>
      <c r="O395"/>
      <c r="P395"/>
      <c r="Q395"/>
    </row>
    <row r="396" spans="1:17" ht="15.6" x14ac:dyDescent="0.3">
      <c r="A396" s="48" t="s">
        <v>1270</v>
      </c>
      <c r="B396" s="48" t="s">
        <v>325</v>
      </c>
      <c r="C396" s="23" t="s">
        <v>1918</v>
      </c>
      <c r="D396" s="56"/>
      <c r="E396" s="51"/>
      <c r="F396" s="56">
        <v>1</v>
      </c>
      <c r="G396" s="51">
        <v>0</v>
      </c>
      <c r="H396" s="56"/>
      <c r="I396" s="57"/>
      <c r="J396"/>
      <c r="K396"/>
      <c r="L396"/>
      <c r="M396"/>
      <c r="N396"/>
      <c r="O396"/>
      <c r="P396"/>
      <c r="Q396"/>
    </row>
    <row r="397" spans="1:17" ht="15.6" x14ac:dyDescent="0.3">
      <c r="A397" s="48" t="s">
        <v>1270</v>
      </c>
      <c r="B397" s="48" t="s">
        <v>325</v>
      </c>
      <c r="C397" s="23" t="s">
        <v>904</v>
      </c>
      <c r="D397" s="56"/>
      <c r="E397" s="51"/>
      <c r="F397" s="56">
        <v>0</v>
      </c>
      <c r="G397" s="51">
        <v>1</v>
      </c>
      <c r="H397" s="56"/>
      <c r="I397" s="57"/>
      <c r="J397"/>
      <c r="K397"/>
      <c r="L397"/>
      <c r="M397"/>
      <c r="N397"/>
      <c r="O397"/>
      <c r="P397"/>
      <c r="Q397"/>
    </row>
    <row r="398" spans="1:17" ht="28.8" x14ac:dyDescent="0.3">
      <c r="A398" s="19" t="s">
        <v>1271</v>
      </c>
      <c r="B398" s="19" t="s">
        <v>326</v>
      </c>
      <c r="C398" s="19" t="s">
        <v>1918</v>
      </c>
      <c r="D398" s="53"/>
      <c r="E398" s="54"/>
      <c r="F398" s="53">
        <v>1</v>
      </c>
      <c r="G398" s="54">
        <v>0</v>
      </c>
      <c r="H398" s="53"/>
      <c r="I398" s="55"/>
      <c r="J398"/>
      <c r="K398"/>
      <c r="L398"/>
      <c r="M398"/>
      <c r="N398"/>
      <c r="O398"/>
      <c r="P398"/>
      <c r="Q398"/>
    </row>
    <row r="399" spans="1:17" ht="28.8" x14ac:dyDescent="0.3">
      <c r="A399" s="19" t="s">
        <v>1272</v>
      </c>
      <c r="B399" s="19" t="s">
        <v>327</v>
      </c>
      <c r="C399" s="19" t="s">
        <v>1918</v>
      </c>
      <c r="D399" s="53"/>
      <c r="E399" s="54"/>
      <c r="F399" s="53">
        <v>1</v>
      </c>
      <c r="G399" s="54">
        <v>0</v>
      </c>
      <c r="H399" s="53"/>
      <c r="I399" s="55"/>
      <c r="J399"/>
      <c r="K399"/>
      <c r="L399"/>
      <c r="M399"/>
      <c r="N399"/>
      <c r="O399"/>
      <c r="P399"/>
      <c r="Q399"/>
    </row>
    <row r="400" spans="1:17" ht="15.6" x14ac:dyDescent="0.3">
      <c r="A400" s="47" t="s">
        <v>1273</v>
      </c>
      <c r="B400" s="47" t="s">
        <v>328</v>
      </c>
      <c r="C400" s="19" t="s">
        <v>905</v>
      </c>
      <c r="D400" s="53"/>
      <c r="E400" s="54"/>
      <c r="F400" s="53">
        <v>0</v>
      </c>
      <c r="G400" s="54">
        <v>1</v>
      </c>
      <c r="H400" s="53"/>
      <c r="I400" s="55"/>
      <c r="J400"/>
      <c r="K400"/>
      <c r="L400"/>
      <c r="M400"/>
      <c r="N400"/>
      <c r="O400"/>
      <c r="P400"/>
      <c r="Q400"/>
    </row>
    <row r="401" spans="1:17" ht="15.6" x14ac:dyDescent="0.3">
      <c r="A401" s="48" t="s">
        <v>1273</v>
      </c>
      <c r="B401" s="48" t="s">
        <v>328</v>
      </c>
      <c r="C401" s="23" t="s">
        <v>903</v>
      </c>
      <c r="D401" s="56">
        <v>1</v>
      </c>
      <c r="E401" s="51">
        <v>0</v>
      </c>
      <c r="F401" s="56"/>
      <c r="G401" s="51"/>
      <c r="H401" s="56"/>
      <c r="I401" s="57"/>
      <c r="J401"/>
      <c r="K401"/>
      <c r="L401"/>
      <c r="M401"/>
      <c r="N401"/>
      <c r="O401"/>
      <c r="P401"/>
      <c r="Q401"/>
    </row>
    <row r="402" spans="1:17" ht="15.6" x14ac:dyDescent="0.3">
      <c r="A402" s="48" t="s">
        <v>1273</v>
      </c>
      <c r="B402" s="48" t="s">
        <v>328</v>
      </c>
      <c r="C402" s="23" t="s">
        <v>1918</v>
      </c>
      <c r="D402" s="56"/>
      <c r="E402" s="51"/>
      <c r="F402" s="56">
        <v>1</v>
      </c>
      <c r="G402" s="51">
        <v>0</v>
      </c>
      <c r="H402" s="56"/>
      <c r="I402" s="57"/>
      <c r="J402"/>
      <c r="K402"/>
      <c r="L402"/>
      <c r="M402"/>
      <c r="N402"/>
      <c r="O402"/>
      <c r="P402"/>
      <c r="Q402"/>
    </row>
    <row r="403" spans="1:17" ht="28.8" x14ac:dyDescent="0.3">
      <c r="A403" s="19" t="s">
        <v>1274</v>
      </c>
      <c r="B403" s="19" t="s">
        <v>329</v>
      </c>
      <c r="C403" s="19" t="s">
        <v>1918</v>
      </c>
      <c r="D403" s="53"/>
      <c r="E403" s="54"/>
      <c r="F403" s="53">
        <v>2</v>
      </c>
      <c r="G403" s="54">
        <v>0</v>
      </c>
      <c r="H403" s="53"/>
      <c r="I403" s="55"/>
      <c r="J403"/>
      <c r="K403"/>
      <c r="L403"/>
      <c r="M403"/>
      <c r="N403"/>
      <c r="O403"/>
      <c r="P403"/>
      <c r="Q403"/>
    </row>
    <row r="404" spans="1:17" ht="15.6" x14ac:dyDescent="0.3">
      <c r="A404" s="19" t="s">
        <v>1275</v>
      </c>
      <c r="B404" s="19" t="s">
        <v>330</v>
      </c>
      <c r="C404" s="19" t="s">
        <v>1918</v>
      </c>
      <c r="D404" s="53"/>
      <c r="E404" s="54"/>
      <c r="F404" s="53">
        <v>23</v>
      </c>
      <c r="G404" s="54">
        <v>0</v>
      </c>
      <c r="H404" s="53"/>
      <c r="I404" s="55"/>
      <c r="J404"/>
      <c r="K404"/>
      <c r="L404"/>
      <c r="M404"/>
      <c r="N404"/>
      <c r="O404"/>
      <c r="P404"/>
      <c r="Q404"/>
    </row>
    <row r="405" spans="1:17" ht="15.6" x14ac:dyDescent="0.3">
      <c r="A405" s="47" t="s">
        <v>1276</v>
      </c>
      <c r="B405" s="47" t="s">
        <v>331</v>
      </c>
      <c r="C405" s="19" t="s">
        <v>905</v>
      </c>
      <c r="D405" s="53"/>
      <c r="E405" s="54"/>
      <c r="F405" s="53">
        <v>0</v>
      </c>
      <c r="G405" s="54">
        <v>1</v>
      </c>
      <c r="H405" s="53"/>
      <c r="I405" s="55"/>
      <c r="J405"/>
      <c r="K405"/>
      <c r="L405"/>
      <c r="M405"/>
      <c r="N405"/>
      <c r="O405"/>
      <c r="P405"/>
      <c r="Q405"/>
    </row>
    <row r="406" spans="1:17" ht="15.6" x14ac:dyDescent="0.3">
      <c r="A406" s="48" t="s">
        <v>1276</v>
      </c>
      <c r="B406" s="48" t="s">
        <v>331</v>
      </c>
      <c r="C406" s="23" t="s">
        <v>903</v>
      </c>
      <c r="D406" s="56">
        <v>1</v>
      </c>
      <c r="E406" s="51">
        <v>0</v>
      </c>
      <c r="F406" s="56"/>
      <c r="G406" s="51"/>
      <c r="H406" s="56"/>
      <c r="I406" s="57"/>
      <c r="J406"/>
      <c r="K406"/>
      <c r="L406"/>
      <c r="M406"/>
      <c r="N406"/>
      <c r="O406"/>
      <c r="P406"/>
      <c r="Q406"/>
    </row>
    <row r="407" spans="1:17" ht="15.6" x14ac:dyDescent="0.3">
      <c r="A407" s="48" t="s">
        <v>1276</v>
      </c>
      <c r="B407" s="48" t="s">
        <v>331</v>
      </c>
      <c r="C407" s="23" t="s">
        <v>1918</v>
      </c>
      <c r="D407" s="56"/>
      <c r="E407" s="51"/>
      <c r="F407" s="56">
        <v>2</v>
      </c>
      <c r="G407" s="51">
        <v>0</v>
      </c>
      <c r="H407" s="56"/>
      <c r="I407" s="57"/>
      <c r="J407"/>
      <c r="K407"/>
      <c r="L407"/>
      <c r="M407"/>
      <c r="N407"/>
      <c r="O407"/>
      <c r="P407"/>
      <c r="Q407"/>
    </row>
    <row r="408" spans="1:17" ht="15.6" x14ac:dyDescent="0.3">
      <c r="A408" s="47" t="s">
        <v>1277</v>
      </c>
      <c r="B408" s="47" t="s">
        <v>332</v>
      </c>
      <c r="C408" s="19" t="s">
        <v>903</v>
      </c>
      <c r="D408" s="53"/>
      <c r="E408" s="54"/>
      <c r="F408" s="53"/>
      <c r="G408" s="54"/>
      <c r="H408" s="53">
        <v>1</v>
      </c>
      <c r="I408" s="55">
        <v>0</v>
      </c>
      <c r="J408"/>
      <c r="K408"/>
      <c r="L408"/>
      <c r="M408"/>
      <c r="N408"/>
      <c r="O408"/>
      <c r="P408"/>
      <c r="Q408"/>
    </row>
    <row r="409" spans="1:17" ht="15.6" x14ac:dyDescent="0.3">
      <c r="A409" s="48" t="s">
        <v>1277</v>
      </c>
      <c r="B409" s="48" t="s">
        <v>332</v>
      </c>
      <c r="C409" s="23" t="s">
        <v>1918</v>
      </c>
      <c r="D409" s="56"/>
      <c r="E409" s="51"/>
      <c r="F409" s="56">
        <v>1</v>
      </c>
      <c r="G409" s="51">
        <v>0</v>
      </c>
      <c r="H409" s="56"/>
      <c r="I409" s="57"/>
      <c r="J409"/>
      <c r="K409"/>
      <c r="L409"/>
      <c r="M409"/>
      <c r="N409"/>
      <c r="O409"/>
      <c r="P409"/>
      <c r="Q409"/>
    </row>
    <row r="410" spans="1:17" ht="15.6" x14ac:dyDescent="0.3">
      <c r="A410" s="48" t="s">
        <v>1277</v>
      </c>
      <c r="B410" s="48" t="s">
        <v>332</v>
      </c>
      <c r="C410" s="23" t="s">
        <v>904</v>
      </c>
      <c r="D410" s="56"/>
      <c r="E410" s="51"/>
      <c r="F410" s="56">
        <v>0</v>
      </c>
      <c r="G410" s="51">
        <v>1</v>
      </c>
      <c r="H410" s="56"/>
      <c r="I410" s="57"/>
      <c r="J410"/>
      <c r="K410"/>
      <c r="L410"/>
      <c r="M410"/>
      <c r="N410"/>
      <c r="O410"/>
      <c r="P410"/>
      <c r="Q410"/>
    </row>
    <row r="411" spans="1:17" ht="15.6" x14ac:dyDescent="0.3">
      <c r="A411" s="47" t="s">
        <v>1278</v>
      </c>
      <c r="B411" s="47" t="s">
        <v>333</v>
      </c>
      <c r="C411" s="19" t="s">
        <v>903</v>
      </c>
      <c r="D411" s="53"/>
      <c r="E411" s="54"/>
      <c r="F411" s="53"/>
      <c r="G411" s="54"/>
      <c r="H411" s="53">
        <v>1</v>
      </c>
      <c r="I411" s="55">
        <v>0</v>
      </c>
      <c r="J411"/>
      <c r="K411"/>
      <c r="L411"/>
      <c r="M411"/>
      <c r="N411"/>
      <c r="O411"/>
      <c r="P411"/>
      <c r="Q411"/>
    </row>
    <row r="412" spans="1:17" ht="15.6" x14ac:dyDescent="0.3">
      <c r="A412" s="48" t="s">
        <v>1278</v>
      </c>
      <c r="B412" s="48" t="s">
        <v>333</v>
      </c>
      <c r="C412" s="23" t="s">
        <v>1918</v>
      </c>
      <c r="D412" s="56"/>
      <c r="E412" s="51"/>
      <c r="F412" s="56">
        <v>1</v>
      </c>
      <c r="G412" s="51">
        <v>0</v>
      </c>
      <c r="H412" s="56"/>
      <c r="I412" s="57"/>
      <c r="J412"/>
      <c r="K412"/>
      <c r="L412"/>
      <c r="M412"/>
      <c r="N412"/>
      <c r="O412"/>
      <c r="P412"/>
      <c r="Q412"/>
    </row>
    <row r="413" spans="1:17" ht="15.6" x14ac:dyDescent="0.3">
      <c r="A413" s="48" t="s">
        <v>1278</v>
      </c>
      <c r="B413" s="48" t="s">
        <v>333</v>
      </c>
      <c r="C413" s="23" t="s">
        <v>904</v>
      </c>
      <c r="D413" s="56"/>
      <c r="E413" s="51"/>
      <c r="F413" s="56">
        <v>0</v>
      </c>
      <c r="G413" s="51">
        <v>1</v>
      </c>
      <c r="H413" s="56"/>
      <c r="I413" s="57"/>
      <c r="J413"/>
      <c r="K413"/>
      <c r="L413"/>
      <c r="M413"/>
      <c r="N413"/>
      <c r="O413"/>
      <c r="P413"/>
      <c r="Q413"/>
    </row>
    <row r="414" spans="1:17" ht="15.6" x14ac:dyDescent="0.3">
      <c r="A414" s="19" t="s">
        <v>1279</v>
      </c>
      <c r="B414" s="19" t="s">
        <v>334</v>
      </c>
      <c r="C414" s="19" t="s">
        <v>1918</v>
      </c>
      <c r="D414" s="53"/>
      <c r="E414" s="54"/>
      <c r="F414" s="53">
        <v>2</v>
      </c>
      <c r="G414" s="54">
        <v>0</v>
      </c>
      <c r="H414" s="53"/>
      <c r="I414" s="55"/>
      <c r="J414"/>
      <c r="K414"/>
      <c r="L414"/>
      <c r="M414"/>
      <c r="N414"/>
      <c r="O414"/>
      <c r="P414"/>
      <c r="Q414"/>
    </row>
    <row r="415" spans="1:17" ht="15.6" x14ac:dyDescent="0.3">
      <c r="A415" s="47" t="s">
        <v>1280</v>
      </c>
      <c r="B415" s="47" t="s">
        <v>335</v>
      </c>
      <c r="C415" s="19" t="s">
        <v>903</v>
      </c>
      <c r="D415" s="53"/>
      <c r="E415" s="54"/>
      <c r="F415" s="53"/>
      <c r="G415" s="54"/>
      <c r="H415" s="53">
        <v>1</v>
      </c>
      <c r="I415" s="55">
        <v>0</v>
      </c>
      <c r="J415"/>
      <c r="K415"/>
      <c r="L415"/>
      <c r="M415"/>
      <c r="N415"/>
      <c r="O415"/>
      <c r="P415"/>
      <c r="Q415"/>
    </row>
    <row r="416" spans="1:17" ht="15.6" x14ac:dyDescent="0.3">
      <c r="A416" s="48" t="s">
        <v>1280</v>
      </c>
      <c r="B416" s="48" t="s">
        <v>335</v>
      </c>
      <c r="C416" s="23" t="s">
        <v>1918</v>
      </c>
      <c r="D416" s="56"/>
      <c r="E416" s="51"/>
      <c r="F416" s="56">
        <v>1</v>
      </c>
      <c r="G416" s="51">
        <v>0</v>
      </c>
      <c r="H416" s="56"/>
      <c r="I416" s="57"/>
      <c r="J416"/>
      <c r="K416"/>
      <c r="L416"/>
      <c r="M416"/>
      <c r="N416"/>
      <c r="O416"/>
      <c r="P416"/>
      <c r="Q416"/>
    </row>
    <row r="417" spans="1:17" ht="15.6" x14ac:dyDescent="0.3">
      <c r="A417" s="48" t="s">
        <v>1280</v>
      </c>
      <c r="B417" s="48" t="s">
        <v>335</v>
      </c>
      <c r="C417" s="23" t="s">
        <v>904</v>
      </c>
      <c r="D417" s="56"/>
      <c r="E417" s="51"/>
      <c r="F417" s="56">
        <v>0</v>
      </c>
      <c r="G417" s="51">
        <v>1</v>
      </c>
      <c r="H417" s="56"/>
      <c r="I417" s="57"/>
      <c r="J417"/>
      <c r="K417"/>
      <c r="L417"/>
      <c r="M417"/>
      <c r="N417"/>
      <c r="O417"/>
      <c r="P417"/>
      <c r="Q417"/>
    </row>
    <row r="418" spans="1:17" ht="15.6" x14ac:dyDescent="0.3">
      <c r="A418" s="19" t="s">
        <v>1281</v>
      </c>
      <c r="B418" s="19" t="s">
        <v>2470</v>
      </c>
      <c r="C418" s="19" t="s">
        <v>1918</v>
      </c>
      <c r="D418" s="53"/>
      <c r="E418" s="54"/>
      <c r="F418" s="53">
        <v>3</v>
      </c>
      <c r="G418" s="54">
        <v>0</v>
      </c>
      <c r="H418" s="53"/>
      <c r="I418" s="55"/>
      <c r="J418"/>
      <c r="K418"/>
      <c r="L418"/>
      <c r="M418"/>
      <c r="N418"/>
      <c r="O418"/>
      <c r="P418"/>
      <c r="Q418"/>
    </row>
    <row r="419" spans="1:17" ht="15.6" x14ac:dyDescent="0.3">
      <c r="A419" s="47" t="s">
        <v>1282</v>
      </c>
      <c r="B419" s="47" t="s">
        <v>336</v>
      </c>
      <c r="C419" s="19" t="s">
        <v>1918</v>
      </c>
      <c r="D419" s="53"/>
      <c r="E419" s="54"/>
      <c r="F419" s="53">
        <v>1</v>
      </c>
      <c r="G419" s="54">
        <v>0</v>
      </c>
      <c r="H419" s="53"/>
      <c r="I419" s="55"/>
      <c r="J419"/>
      <c r="K419"/>
      <c r="L419"/>
      <c r="M419"/>
      <c r="N419"/>
      <c r="O419"/>
      <c r="P419"/>
      <c r="Q419"/>
    </row>
    <row r="420" spans="1:17" ht="15.6" x14ac:dyDescent="0.3">
      <c r="A420" s="48" t="s">
        <v>1282</v>
      </c>
      <c r="B420" s="48" t="s">
        <v>336</v>
      </c>
      <c r="C420" s="23" t="s">
        <v>911</v>
      </c>
      <c r="D420" s="56"/>
      <c r="E420" s="51"/>
      <c r="F420" s="56">
        <v>0</v>
      </c>
      <c r="G420" s="51">
        <v>1</v>
      </c>
      <c r="H420" s="56"/>
      <c r="I420" s="57"/>
      <c r="J420"/>
      <c r="K420"/>
      <c r="L420"/>
      <c r="M420"/>
      <c r="N420"/>
      <c r="O420"/>
      <c r="P420"/>
      <c r="Q420"/>
    </row>
    <row r="421" spans="1:17" ht="15.6" x14ac:dyDescent="0.3">
      <c r="A421" s="19" t="s">
        <v>1283</v>
      </c>
      <c r="B421" s="19" t="s">
        <v>337</v>
      </c>
      <c r="C421" s="19" t="s">
        <v>1918</v>
      </c>
      <c r="D421" s="53"/>
      <c r="E421" s="54"/>
      <c r="F421" s="53">
        <v>2</v>
      </c>
      <c r="G421" s="54">
        <v>0</v>
      </c>
      <c r="H421" s="53"/>
      <c r="I421" s="55"/>
      <c r="J421"/>
      <c r="K421"/>
      <c r="L421"/>
      <c r="M421"/>
      <c r="N421"/>
      <c r="O421"/>
      <c r="P421"/>
      <c r="Q421"/>
    </row>
    <row r="422" spans="1:17" ht="28.8" x14ac:dyDescent="0.3">
      <c r="A422" s="19" t="s">
        <v>1284</v>
      </c>
      <c r="B422" s="19" t="s">
        <v>338</v>
      </c>
      <c r="C422" s="19" t="s">
        <v>1918</v>
      </c>
      <c r="D422" s="53"/>
      <c r="E422" s="54"/>
      <c r="F422" s="53">
        <v>1</v>
      </c>
      <c r="G422" s="54">
        <v>0</v>
      </c>
      <c r="H422" s="53"/>
      <c r="I422" s="55"/>
      <c r="J422"/>
      <c r="K422"/>
      <c r="L422"/>
      <c r="M422"/>
      <c r="N422"/>
      <c r="O422"/>
      <c r="P422"/>
      <c r="Q422"/>
    </row>
    <row r="423" spans="1:17" ht="15.6" x14ac:dyDescent="0.3">
      <c r="A423" s="19" t="s">
        <v>1285</v>
      </c>
      <c r="B423" s="19" t="s">
        <v>2343</v>
      </c>
      <c r="C423" s="19" t="s">
        <v>1918</v>
      </c>
      <c r="D423" s="53"/>
      <c r="E423" s="54"/>
      <c r="F423" s="53">
        <v>1</v>
      </c>
      <c r="G423" s="54">
        <v>0</v>
      </c>
      <c r="H423" s="53"/>
      <c r="I423" s="55"/>
      <c r="J423"/>
      <c r="K423"/>
      <c r="L423"/>
      <c r="M423"/>
      <c r="N423"/>
      <c r="O423"/>
      <c r="P423"/>
      <c r="Q423"/>
    </row>
    <row r="424" spans="1:17" ht="15.6" x14ac:dyDescent="0.3">
      <c r="A424" s="47" t="s">
        <v>1286</v>
      </c>
      <c r="B424" s="47" t="s">
        <v>2471</v>
      </c>
      <c r="C424" s="19" t="s">
        <v>905</v>
      </c>
      <c r="D424" s="53"/>
      <c r="E424" s="54"/>
      <c r="F424" s="53">
        <v>0</v>
      </c>
      <c r="G424" s="54">
        <v>10</v>
      </c>
      <c r="H424" s="53"/>
      <c r="I424" s="55"/>
      <c r="J424"/>
      <c r="K424"/>
      <c r="L424"/>
      <c r="M424"/>
      <c r="N424"/>
      <c r="O424"/>
      <c r="P424"/>
      <c r="Q424"/>
    </row>
    <row r="425" spans="1:17" ht="15.6" x14ac:dyDescent="0.3">
      <c r="A425" s="48" t="s">
        <v>1286</v>
      </c>
      <c r="B425" s="48" t="s">
        <v>2471</v>
      </c>
      <c r="C425" s="23" t="s">
        <v>903</v>
      </c>
      <c r="D425" s="56">
        <v>10</v>
      </c>
      <c r="E425" s="51">
        <v>0</v>
      </c>
      <c r="F425" s="56"/>
      <c r="G425" s="51"/>
      <c r="H425" s="56"/>
      <c r="I425" s="57"/>
      <c r="J425"/>
      <c r="K425"/>
      <c r="L425"/>
      <c r="M425"/>
      <c r="N425"/>
      <c r="O425"/>
      <c r="P425"/>
      <c r="Q425"/>
    </row>
    <row r="426" spans="1:17" ht="15.6" x14ac:dyDescent="0.3">
      <c r="A426" s="48" t="s">
        <v>1286</v>
      </c>
      <c r="B426" s="48" t="s">
        <v>2471</v>
      </c>
      <c r="C426" s="23" t="s">
        <v>1918</v>
      </c>
      <c r="D426" s="56"/>
      <c r="E426" s="51"/>
      <c r="F426" s="56">
        <v>10</v>
      </c>
      <c r="G426" s="51">
        <v>0</v>
      </c>
      <c r="H426" s="56"/>
      <c r="I426" s="57"/>
      <c r="J426"/>
      <c r="K426"/>
      <c r="L426"/>
      <c r="M426"/>
      <c r="N426"/>
      <c r="O426"/>
      <c r="P426"/>
      <c r="Q426"/>
    </row>
    <row r="427" spans="1:17" ht="15.6" x14ac:dyDescent="0.3">
      <c r="A427" s="19" t="s">
        <v>1287</v>
      </c>
      <c r="B427" s="19" t="s">
        <v>339</v>
      </c>
      <c r="C427" s="19" t="s">
        <v>1918</v>
      </c>
      <c r="D427" s="53"/>
      <c r="E427" s="54"/>
      <c r="F427" s="53">
        <v>18</v>
      </c>
      <c r="G427" s="54">
        <v>0</v>
      </c>
      <c r="H427" s="53"/>
      <c r="I427" s="55"/>
      <c r="J427"/>
      <c r="K427"/>
      <c r="L427"/>
      <c r="M427"/>
      <c r="N427"/>
      <c r="O427"/>
      <c r="P427"/>
      <c r="Q427"/>
    </row>
    <row r="428" spans="1:17" ht="15.6" x14ac:dyDescent="0.3">
      <c r="A428" s="47" t="s">
        <v>1288</v>
      </c>
      <c r="B428" s="47" t="s">
        <v>340</v>
      </c>
      <c r="C428" s="19" t="s">
        <v>1918</v>
      </c>
      <c r="D428" s="53"/>
      <c r="E428" s="54"/>
      <c r="F428" s="53">
        <v>2</v>
      </c>
      <c r="G428" s="54">
        <v>0</v>
      </c>
      <c r="H428" s="53"/>
      <c r="I428" s="55"/>
      <c r="J428"/>
      <c r="K428"/>
      <c r="L428"/>
      <c r="M428"/>
      <c r="N428"/>
      <c r="O428"/>
      <c r="P428"/>
      <c r="Q428"/>
    </row>
    <row r="429" spans="1:17" ht="15.6" x14ac:dyDescent="0.3">
      <c r="A429" s="48" t="s">
        <v>1288</v>
      </c>
      <c r="B429" s="48" t="s">
        <v>340</v>
      </c>
      <c r="C429" s="23" t="s">
        <v>910</v>
      </c>
      <c r="D429" s="56"/>
      <c r="E429" s="51"/>
      <c r="F429" s="56">
        <v>4</v>
      </c>
      <c r="G429" s="51">
        <v>0</v>
      </c>
      <c r="H429" s="56"/>
      <c r="I429" s="57"/>
      <c r="J429"/>
      <c r="K429"/>
      <c r="L429"/>
      <c r="M429"/>
      <c r="N429"/>
      <c r="O429"/>
      <c r="P429"/>
      <c r="Q429"/>
    </row>
    <row r="430" spans="1:17" ht="15.6" x14ac:dyDescent="0.3">
      <c r="A430" s="19" t="s">
        <v>1289</v>
      </c>
      <c r="B430" s="19" t="s">
        <v>341</v>
      </c>
      <c r="C430" s="19" t="s">
        <v>1918</v>
      </c>
      <c r="D430" s="53"/>
      <c r="E430" s="54"/>
      <c r="F430" s="53">
        <v>15</v>
      </c>
      <c r="G430" s="54">
        <v>0</v>
      </c>
      <c r="H430" s="53"/>
      <c r="I430" s="55"/>
      <c r="J430"/>
      <c r="K430"/>
      <c r="L430"/>
      <c r="M430"/>
      <c r="N430"/>
      <c r="O430"/>
      <c r="P430"/>
      <c r="Q430"/>
    </row>
    <row r="431" spans="1:17" ht="15.6" x14ac:dyDescent="0.3">
      <c r="A431" s="19" t="s">
        <v>1290</v>
      </c>
      <c r="B431" s="19" t="s">
        <v>342</v>
      </c>
      <c r="C431" s="19" t="s">
        <v>1918</v>
      </c>
      <c r="D431" s="53"/>
      <c r="E431" s="54"/>
      <c r="F431" s="53">
        <v>10</v>
      </c>
      <c r="G431" s="54">
        <v>0</v>
      </c>
      <c r="H431" s="53"/>
      <c r="I431" s="55"/>
      <c r="J431"/>
      <c r="K431"/>
      <c r="L431"/>
      <c r="M431"/>
      <c r="N431"/>
      <c r="O431"/>
      <c r="P431"/>
      <c r="Q431"/>
    </row>
    <row r="432" spans="1:17" ht="15.6" x14ac:dyDescent="0.3">
      <c r="A432" s="19" t="s">
        <v>1291</v>
      </c>
      <c r="B432" s="19" t="s">
        <v>343</v>
      </c>
      <c r="C432" s="19" t="s">
        <v>1918</v>
      </c>
      <c r="D432" s="53"/>
      <c r="E432" s="54"/>
      <c r="F432" s="53">
        <v>1</v>
      </c>
      <c r="G432" s="54">
        <v>0</v>
      </c>
      <c r="H432" s="53"/>
      <c r="I432" s="55"/>
      <c r="J432"/>
      <c r="K432"/>
      <c r="L432"/>
      <c r="M432"/>
      <c r="N432"/>
      <c r="O432"/>
      <c r="P432"/>
      <c r="Q432"/>
    </row>
    <row r="433" spans="1:17" ht="15.6" x14ac:dyDescent="0.3">
      <c r="A433" s="47" t="s">
        <v>1292</v>
      </c>
      <c r="B433" s="47" t="s">
        <v>2144</v>
      </c>
      <c r="C433" s="19" t="s">
        <v>903</v>
      </c>
      <c r="D433" s="53"/>
      <c r="E433" s="54"/>
      <c r="F433" s="53"/>
      <c r="G433" s="54"/>
      <c r="H433" s="53">
        <v>1</v>
      </c>
      <c r="I433" s="55">
        <v>0</v>
      </c>
      <c r="J433"/>
      <c r="K433"/>
      <c r="L433"/>
      <c r="M433"/>
      <c r="N433"/>
      <c r="O433"/>
      <c r="P433"/>
      <c r="Q433"/>
    </row>
    <row r="434" spans="1:17" ht="15.6" x14ac:dyDescent="0.3">
      <c r="A434" s="48" t="s">
        <v>1292</v>
      </c>
      <c r="B434" s="48" t="s">
        <v>2144</v>
      </c>
      <c r="C434" s="23" t="s">
        <v>1918</v>
      </c>
      <c r="D434" s="56"/>
      <c r="E434" s="51"/>
      <c r="F434" s="56">
        <v>2</v>
      </c>
      <c r="G434" s="51">
        <v>0</v>
      </c>
      <c r="H434" s="56"/>
      <c r="I434" s="57"/>
      <c r="J434"/>
      <c r="K434"/>
      <c r="L434"/>
      <c r="M434"/>
      <c r="N434"/>
      <c r="O434"/>
      <c r="P434"/>
      <c r="Q434"/>
    </row>
    <row r="435" spans="1:17" ht="15.6" x14ac:dyDescent="0.3">
      <c r="A435" s="48" t="s">
        <v>1292</v>
      </c>
      <c r="B435" s="48" t="s">
        <v>2144</v>
      </c>
      <c r="C435" s="23" t="s">
        <v>904</v>
      </c>
      <c r="D435" s="56"/>
      <c r="E435" s="51"/>
      <c r="F435" s="56">
        <v>0</v>
      </c>
      <c r="G435" s="51">
        <v>1</v>
      </c>
      <c r="H435" s="56"/>
      <c r="I435" s="57"/>
      <c r="J435"/>
      <c r="K435"/>
      <c r="L435"/>
      <c r="M435"/>
      <c r="N435"/>
      <c r="O435"/>
      <c r="P435"/>
      <c r="Q435"/>
    </row>
    <row r="436" spans="1:17" ht="28.8" x14ac:dyDescent="0.3">
      <c r="A436" s="19" t="s">
        <v>1293</v>
      </c>
      <c r="B436" s="19" t="s">
        <v>344</v>
      </c>
      <c r="C436" s="19" t="s">
        <v>1918</v>
      </c>
      <c r="D436" s="53"/>
      <c r="E436" s="54"/>
      <c r="F436" s="53">
        <v>1</v>
      </c>
      <c r="G436" s="54">
        <v>0</v>
      </c>
      <c r="H436" s="53"/>
      <c r="I436" s="55"/>
      <c r="J436"/>
      <c r="K436"/>
      <c r="L436"/>
      <c r="M436"/>
      <c r="N436"/>
      <c r="O436"/>
      <c r="P436"/>
      <c r="Q436"/>
    </row>
    <row r="437" spans="1:17" ht="15.6" x14ac:dyDescent="0.3">
      <c r="A437" s="19" t="s">
        <v>1294</v>
      </c>
      <c r="B437" s="19" t="s">
        <v>345</v>
      </c>
      <c r="C437" s="19" t="s">
        <v>1918</v>
      </c>
      <c r="D437" s="53"/>
      <c r="E437" s="54"/>
      <c r="F437" s="53">
        <v>3</v>
      </c>
      <c r="G437" s="54">
        <v>0</v>
      </c>
      <c r="H437" s="53"/>
      <c r="I437" s="55"/>
      <c r="J437"/>
      <c r="K437"/>
      <c r="L437"/>
      <c r="M437"/>
      <c r="N437"/>
      <c r="O437"/>
      <c r="P437"/>
      <c r="Q437"/>
    </row>
    <row r="438" spans="1:17" ht="15.6" x14ac:dyDescent="0.3">
      <c r="A438" s="19" t="s">
        <v>1295</v>
      </c>
      <c r="B438" s="19" t="s">
        <v>346</v>
      </c>
      <c r="C438" s="19" t="s">
        <v>1918</v>
      </c>
      <c r="D438" s="53"/>
      <c r="E438" s="54"/>
      <c r="F438" s="53">
        <v>1</v>
      </c>
      <c r="G438" s="54">
        <v>0</v>
      </c>
      <c r="H438" s="53"/>
      <c r="I438" s="55"/>
      <c r="J438"/>
      <c r="K438"/>
      <c r="L438"/>
      <c r="M438"/>
      <c r="N438"/>
      <c r="O438"/>
      <c r="P438"/>
      <c r="Q438"/>
    </row>
    <row r="439" spans="1:17" ht="15.6" x14ac:dyDescent="0.3">
      <c r="A439" s="19" t="s">
        <v>1296</v>
      </c>
      <c r="B439" s="19" t="s">
        <v>347</v>
      </c>
      <c r="C439" s="19" t="s">
        <v>1918</v>
      </c>
      <c r="D439" s="53"/>
      <c r="E439" s="54"/>
      <c r="F439" s="53">
        <v>4</v>
      </c>
      <c r="G439" s="54">
        <v>0</v>
      </c>
      <c r="H439" s="53"/>
      <c r="I439" s="55"/>
      <c r="J439"/>
      <c r="K439"/>
      <c r="L439"/>
      <c r="M439"/>
      <c r="N439"/>
      <c r="O439"/>
      <c r="P439"/>
      <c r="Q439"/>
    </row>
    <row r="440" spans="1:17" ht="15.6" x14ac:dyDescent="0.3">
      <c r="A440" s="19" t="s">
        <v>1297</v>
      </c>
      <c r="B440" s="19" t="s">
        <v>348</v>
      </c>
      <c r="C440" s="19" t="s">
        <v>1918</v>
      </c>
      <c r="D440" s="53"/>
      <c r="E440" s="54"/>
      <c r="F440" s="53">
        <v>23</v>
      </c>
      <c r="G440" s="54">
        <v>0</v>
      </c>
      <c r="H440" s="53"/>
      <c r="I440" s="55"/>
      <c r="J440"/>
      <c r="K440"/>
      <c r="L440"/>
      <c r="M440"/>
      <c r="N440"/>
      <c r="O440"/>
      <c r="P440"/>
      <c r="Q440"/>
    </row>
    <row r="441" spans="1:17" ht="15.6" x14ac:dyDescent="0.3">
      <c r="A441" s="19" t="s">
        <v>1298</v>
      </c>
      <c r="B441" s="19" t="s">
        <v>349</v>
      </c>
      <c r="C441" s="19" t="s">
        <v>1918</v>
      </c>
      <c r="D441" s="53"/>
      <c r="E441" s="54"/>
      <c r="F441" s="53">
        <v>17</v>
      </c>
      <c r="G441" s="54">
        <v>0</v>
      </c>
      <c r="H441" s="53"/>
      <c r="I441" s="55"/>
      <c r="J441"/>
      <c r="K441"/>
      <c r="L441"/>
      <c r="M441"/>
      <c r="N441"/>
      <c r="O441"/>
      <c r="P441"/>
      <c r="Q441"/>
    </row>
    <row r="442" spans="1:17" ht="15.6" x14ac:dyDescent="0.3">
      <c r="A442" s="47" t="s">
        <v>1299</v>
      </c>
      <c r="B442" s="47" t="s">
        <v>350</v>
      </c>
      <c r="C442" s="19" t="s">
        <v>1918</v>
      </c>
      <c r="D442" s="53"/>
      <c r="E442" s="54"/>
      <c r="F442" s="53">
        <v>1</v>
      </c>
      <c r="G442" s="54">
        <v>0</v>
      </c>
      <c r="H442" s="53"/>
      <c r="I442" s="55"/>
      <c r="J442"/>
      <c r="K442"/>
      <c r="L442"/>
      <c r="M442"/>
      <c r="N442"/>
      <c r="O442"/>
      <c r="P442"/>
      <c r="Q442"/>
    </row>
    <row r="443" spans="1:17" ht="15.6" x14ac:dyDescent="0.3">
      <c r="A443" s="48" t="s">
        <v>1299</v>
      </c>
      <c r="B443" s="48" t="s">
        <v>350</v>
      </c>
      <c r="C443" s="23" t="s">
        <v>911</v>
      </c>
      <c r="D443" s="56"/>
      <c r="E443" s="51"/>
      <c r="F443" s="56">
        <v>0</v>
      </c>
      <c r="G443" s="51">
        <v>1</v>
      </c>
      <c r="H443" s="56"/>
      <c r="I443" s="57"/>
      <c r="J443"/>
      <c r="K443"/>
      <c r="L443"/>
      <c r="M443"/>
      <c r="N443"/>
      <c r="O443"/>
      <c r="P443"/>
      <c r="Q443"/>
    </row>
    <row r="444" spans="1:17" ht="15.6" x14ac:dyDescent="0.3">
      <c r="A444" s="47" t="s">
        <v>1300</v>
      </c>
      <c r="B444" s="47" t="s">
        <v>351</v>
      </c>
      <c r="C444" s="19" t="s">
        <v>1918</v>
      </c>
      <c r="D444" s="53"/>
      <c r="E444" s="54"/>
      <c r="F444" s="53">
        <v>1</v>
      </c>
      <c r="G444" s="54">
        <v>0</v>
      </c>
      <c r="H444" s="53"/>
      <c r="I444" s="55"/>
      <c r="J444"/>
      <c r="K444"/>
      <c r="L444"/>
      <c r="M444"/>
      <c r="N444"/>
      <c r="O444"/>
      <c r="P444"/>
      <c r="Q444"/>
    </row>
    <row r="445" spans="1:17" ht="15.6" x14ac:dyDescent="0.3">
      <c r="A445" s="48" t="s">
        <v>1300</v>
      </c>
      <c r="B445" s="48" t="s">
        <v>351</v>
      </c>
      <c r="C445" s="23" t="s">
        <v>911</v>
      </c>
      <c r="D445" s="56"/>
      <c r="E445" s="51"/>
      <c r="F445" s="56">
        <v>0</v>
      </c>
      <c r="G445" s="51">
        <v>1</v>
      </c>
      <c r="H445" s="56"/>
      <c r="I445" s="57"/>
      <c r="J445"/>
      <c r="K445"/>
      <c r="L445"/>
      <c r="M445"/>
      <c r="N445"/>
      <c r="O445"/>
      <c r="P445"/>
      <c r="Q445"/>
    </row>
    <row r="446" spans="1:17" ht="15.6" x14ac:dyDescent="0.3">
      <c r="A446" s="19" t="s">
        <v>1301</v>
      </c>
      <c r="B446" s="19" t="s">
        <v>352</v>
      </c>
      <c r="C446" s="19" t="s">
        <v>1918</v>
      </c>
      <c r="D446" s="53"/>
      <c r="E446" s="54"/>
      <c r="F446" s="53">
        <v>9</v>
      </c>
      <c r="G446" s="54">
        <v>0</v>
      </c>
      <c r="H446" s="53"/>
      <c r="I446" s="55"/>
      <c r="J446"/>
      <c r="K446"/>
      <c r="L446"/>
      <c r="M446"/>
      <c r="N446"/>
      <c r="O446"/>
      <c r="P446"/>
      <c r="Q446"/>
    </row>
    <row r="447" spans="1:17" ht="15.6" x14ac:dyDescent="0.3">
      <c r="A447" s="19" t="s">
        <v>1302</v>
      </c>
      <c r="B447" s="19" t="s">
        <v>353</v>
      </c>
      <c r="C447" s="19" t="s">
        <v>1918</v>
      </c>
      <c r="D447" s="53"/>
      <c r="E447" s="54"/>
      <c r="F447" s="53">
        <v>1</v>
      </c>
      <c r="G447" s="54">
        <v>0</v>
      </c>
      <c r="H447" s="53"/>
      <c r="I447" s="55"/>
      <c r="J447"/>
      <c r="K447"/>
      <c r="L447"/>
      <c r="M447"/>
      <c r="N447"/>
      <c r="O447"/>
      <c r="P447"/>
      <c r="Q447"/>
    </row>
    <row r="448" spans="1:17" ht="15.6" x14ac:dyDescent="0.3">
      <c r="A448" s="19" t="s">
        <v>1303</v>
      </c>
      <c r="B448" s="19" t="s">
        <v>354</v>
      </c>
      <c r="C448" s="19" t="s">
        <v>1918</v>
      </c>
      <c r="D448" s="53"/>
      <c r="E448" s="54"/>
      <c r="F448" s="53">
        <v>4</v>
      </c>
      <c r="G448" s="54">
        <v>0</v>
      </c>
      <c r="H448" s="53"/>
      <c r="I448" s="55"/>
      <c r="J448"/>
      <c r="K448"/>
      <c r="L448"/>
      <c r="M448"/>
      <c r="N448"/>
      <c r="O448"/>
      <c r="P448"/>
      <c r="Q448"/>
    </row>
    <row r="449" spans="1:17" ht="15.6" x14ac:dyDescent="0.3">
      <c r="A449" s="19" t="s">
        <v>1304</v>
      </c>
      <c r="B449" s="19" t="s">
        <v>355</v>
      </c>
      <c r="C449" s="19" t="s">
        <v>1918</v>
      </c>
      <c r="D449" s="53"/>
      <c r="E449" s="54"/>
      <c r="F449" s="53">
        <v>11</v>
      </c>
      <c r="G449" s="54">
        <v>0</v>
      </c>
      <c r="H449" s="53"/>
      <c r="I449" s="55"/>
      <c r="J449"/>
      <c r="K449"/>
      <c r="L449"/>
      <c r="M449"/>
      <c r="N449"/>
      <c r="O449"/>
      <c r="P449"/>
      <c r="Q449"/>
    </row>
    <row r="450" spans="1:17" ht="15.6" x14ac:dyDescent="0.3">
      <c r="A450" s="19" t="s">
        <v>1305</v>
      </c>
      <c r="B450" s="19" t="s">
        <v>356</v>
      </c>
      <c r="C450" s="19" t="s">
        <v>1918</v>
      </c>
      <c r="D450" s="53"/>
      <c r="E450" s="54"/>
      <c r="F450" s="53">
        <v>2</v>
      </c>
      <c r="G450" s="54">
        <v>0</v>
      </c>
      <c r="H450" s="53"/>
      <c r="I450" s="55"/>
      <c r="J450"/>
      <c r="K450"/>
      <c r="L450"/>
      <c r="M450"/>
      <c r="N450"/>
      <c r="O450"/>
      <c r="P450"/>
      <c r="Q450"/>
    </row>
    <row r="451" spans="1:17" ht="15.6" x14ac:dyDescent="0.3">
      <c r="A451" s="19" t="s">
        <v>1306</v>
      </c>
      <c r="B451" s="19" t="s">
        <v>357</v>
      </c>
      <c r="C451" s="19" t="s">
        <v>1918</v>
      </c>
      <c r="D451" s="53"/>
      <c r="E451" s="54"/>
      <c r="F451" s="53">
        <v>3</v>
      </c>
      <c r="G451" s="54">
        <v>0</v>
      </c>
      <c r="H451" s="53"/>
      <c r="I451" s="55"/>
      <c r="J451"/>
      <c r="K451"/>
      <c r="L451"/>
      <c r="M451"/>
      <c r="N451"/>
      <c r="O451"/>
      <c r="P451"/>
      <c r="Q451"/>
    </row>
    <row r="452" spans="1:17" ht="15.6" x14ac:dyDescent="0.3">
      <c r="A452" s="19" t="s">
        <v>1307</v>
      </c>
      <c r="B452" s="19" t="s">
        <v>358</v>
      </c>
      <c r="C452" s="19" t="s">
        <v>1918</v>
      </c>
      <c r="D452" s="53"/>
      <c r="E452" s="54"/>
      <c r="F452" s="53">
        <v>3</v>
      </c>
      <c r="G452" s="54">
        <v>0</v>
      </c>
      <c r="H452" s="53"/>
      <c r="I452" s="55"/>
      <c r="J452"/>
      <c r="K452"/>
      <c r="L452"/>
      <c r="M452"/>
      <c r="N452"/>
      <c r="O452"/>
      <c r="P452"/>
      <c r="Q452"/>
    </row>
    <row r="453" spans="1:17" ht="15.6" x14ac:dyDescent="0.3">
      <c r="A453" s="19" t="s">
        <v>1308</v>
      </c>
      <c r="B453" s="19" t="s">
        <v>359</v>
      </c>
      <c r="C453" s="19" t="s">
        <v>1918</v>
      </c>
      <c r="D453" s="53"/>
      <c r="E453" s="54"/>
      <c r="F453" s="53">
        <v>4</v>
      </c>
      <c r="G453" s="54">
        <v>0</v>
      </c>
      <c r="H453" s="53"/>
      <c r="I453" s="55"/>
      <c r="J453"/>
      <c r="K453"/>
      <c r="L453"/>
      <c r="M453"/>
      <c r="N453"/>
      <c r="O453"/>
      <c r="P453"/>
      <c r="Q453"/>
    </row>
    <row r="454" spans="1:17" ht="15.6" x14ac:dyDescent="0.3">
      <c r="A454" s="19" t="s">
        <v>1309</v>
      </c>
      <c r="B454" s="19" t="s">
        <v>360</v>
      </c>
      <c r="C454" s="19" t="s">
        <v>1918</v>
      </c>
      <c r="D454" s="53"/>
      <c r="E454" s="54"/>
      <c r="F454" s="53">
        <v>1</v>
      </c>
      <c r="G454" s="54">
        <v>0</v>
      </c>
      <c r="H454" s="53"/>
      <c r="I454" s="55"/>
      <c r="J454"/>
      <c r="K454"/>
      <c r="L454"/>
      <c r="M454"/>
      <c r="N454"/>
      <c r="O454"/>
      <c r="P454"/>
      <c r="Q454"/>
    </row>
    <row r="455" spans="1:17" ht="15.6" x14ac:dyDescent="0.3">
      <c r="A455" s="19" t="s">
        <v>1310</v>
      </c>
      <c r="B455" s="19" t="s">
        <v>361</v>
      </c>
      <c r="C455" s="19" t="s">
        <v>1918</v>
      </c>
      <c r="D455" s="53"/>
      <c r="E455" s="54"/>
      <c r="F455" s="53">
        <v>19</v>
      </c>
      <c r="G455" s="54">
        <v>0</v>
      </c>
      <c r="H455" s="53"/>
      <c r="I455" s="55"/>
      <c r="J455"/>
      <c r="K455"/>
      <c r="L455"/>
      <c r="M455"/>
      <c r="N455"/>
      <c r="O455"/>
      <c r="P455"/>
      <c r="Q455"/>
    </row>
    <row r="456" spans="1:17" ht="15.6" x14ac:dyDescent="0.3">
      <c r="A456" s="19" t="s">
        <v>1311</v>
      </c>
      <c r="B456" s="19" t="s">
        <v>2339</v>
      </c>
      <c r="C456" s="19" t="s">
        <v>1918</v>
      </c>
      <c r="D456" s="53"/>
      <c r="E456" s="54"/>
      <c r="F456" s="53">
        <v>53</v>
      </c>
      <c r="G456" s="54">
        <v>0</v>
      </c>
      <c r="H456" s="53"/>
      <c r="I456" s="55"/>
      <c r="J456"/>
      <c r="K456"/>
      <c r="L456"/>
      <c r="M456"/>
      <c r="N456"/>
      <c r="O456"/>
      <c r="P456"/>
      <c r="Q456"/>
    </row>
    <row r="457" spans="1:17" ht="15.6" x14ac:dyDescent="0.3">
      <c r="A457" s="19" t="s">
        <v>1312</v>
      </c>
      <c r="B457" s="19" t="s">
        <v>362</v>
      </c>
      <c r="C457" s="19" t="s">
        <v>1918</v>
      </c>
      <c r="D457" s="53"/>
      <c r="E457" s="54"/>
      <c r="F457" s="53">
        <v>86</v>
      </c>
      <c r="G457" s="54">
        <v>0</v>
      </c>
      <c r="H457" s="53"/>
      <c r="I457" s="55"/>
      <c r="J457"/>
      <c r="K457"/>
      <c r="L457"/>
      <c r="M457"/>
      <c r="N457"/>
      <c r="O457"/>
      <c r="P457"/>
      <c r="Q457"/>
    </row>
    <row r="458" spans="1:17" ht="15.6" x14ac:dyDescent="0.3">
      <c r="A458" s="19" t="s">
        <v>1313</v>
      </c>
      <c r="B458" s="19" t="s">
        <v>363</v>
      </c>
      <c r="C458" s="19" t="s">
        <v>1918</v>
      </c>
      <c r="D458" s="53"/>
      <c r="E458" s="54"/>
      <c r="F458" s="53">
        <v>15</v>
      </c>
      <c r="G458" s="54">
        <v>0</v>
      </c>
      <c r="H458" s="53"/>
      <c r="I458" s="55"/>
      <c r="J458"/>
      <c r="K458"/>
      <c r="L458"/>
      <c r="M458"/>
      <c r="N458"/>
      <c r="O458"/>
      <c r="P458"/>
      <c r="Q458"/>
    </row>
    <row r="459" spans="1:17" ht="15.6" x14ac:dyDescent="0.3">
      <c r="A459" s="19" t="s">
        <v>1314</v>
      </c>
      <c r="B459" s="19" t="s">
        <v>364</v>
      </c>
      <c r="C459" s="19" t="s">
        <v>1918</v>
      </c>
      <c r="D459" s="53"/>
      <c r="E459" s="54"/>
      <c r="F459" s="53">
        <v>1</v>
      </c>
      <c r="G459" s="54">
        <v>0</v>
      </c>
      <c r="H459" s="53"/>
      <c r="I459" s="55"/>
      <c r="J459"/>
      <c r="K459"/>
      <c r="L459"/>
      <c r="M459"/>
      <c r="N459"/>
      <c r="O459"/>
      <c r="P459"/>
      <c r="Q459"/>
    </row>
    <row r="460" spans="1:17" ht="15.6" x14ac:dyDescent="0.3">
      <c r="A460" s="19" t="s">
        <v>1315</v>
      </c>
      <c r="B460" s="19" t="s">
        <v>365</v>
      </c>
      <c r="C460" s="19" t="s">
        <v>1918</v>
      </c>
      <c r="D460" s="53"/>
      <c r="E460" s="54"/>
      <c r="F460" s="53">
        <v>6</v>
      </c>
      <c r="G460" s="54">
        <v>0</v>
      </c>
      <c r="H460" s="53"/>
      <c r="I460" s="55"/>
      <c r="J460"/>
      <c r="K460"/>
      <c r="L460"/>
      <c r="M460"/>
      <c r="N460"/>
      <c r="O460"/>
      <c r="P460"/>
      <c r="Q460"/>
    </row>
    <row r="461" spans="1:17" ht="15.6" x14ac:dyDescent="0.3">
      <c r="A461" s="19" t="s">
        <v>1316</v>
      </c>
      <c r="B461" s="19" t="s">
        <v>366</v>
      </c>
      <c r="C461" s="19" t="s">
        <v>1918</v>
      </c>
      <c r="D461" s="53"/>
      <c r="E461" s="54"/>
      <c r="F461" s="53">
        <v>2</v>
      </c>
      <c r="G461" s="54">
        <v>0</v>
      </c>
      <c r="H461" s="53"/>
      <c r="I461" s="55"/>
      <c r="J461"/>
      <c r="K461"/>
      <c r="L461"/>
      <c r="M461"/>
      <c r="N461"/>
      <c r="O461"/>
      <c r="P461"/>
      <c r="Q461"/>
    </row>
    <row r="462" spans="1:17" ht="15.6" x14ac:dyDescent="0.3">
      <c r="A462" s="19" t="s">
        <v>1317</v>
      </c>
      <c r="B462" s="19" t="s">
        <v>367</v>
      </c>
      <c r="C462" s="19" t="s">
        <v>1918</v>
      </c>
      <c r="D462" s="53"/>
      <c r="E462" s="54"/>
      <c r="F462" s="53">
        <v>4</v>
      </c>
      <c r="G462" s="54">
        <v>0</v>
      </c>
      <c r="H462" s="53"/>
      <c r="I462" s="55"/>
      <c r="J462"/>
      <c r="K462"/>
      <c r="L462"/>
      <c r="M462"/>
      <c r="N462"/>
      <c r="O462"/>
      <c r="P462"/>
      <c r="Q462"/>
    </row>
    <row r="463" spans="1:17" ht="15.6" x14ac:dyDescent="0.3">
      <c r="A463" s="19" t="s">
        <v>1318</v>
      </c>
      <c r="B463" s="19" t="s">
        <v>368</v>
      </c>
      <c r="C463" s="19" t="s">
        <v>1918</v>
      </c>
      <c r="D463" s="53"/>
      <c r="E463" s="54"/>
      <c r="F463" s="53">
        <v>1</v>
      </c>
      <c r="G463" s="54">
        <v>0</v>
      </c>
      <c r="H463" s="53"/>
      <c r="I463" s="55"/>
      <c r="J463"/>
      <c r="K463"/>
      <c r="L463"/>
      <c r="M463"/>
      <c r="N463"/>
      <c r="O463"/>
      <c r="P463"/>
      <c r="Q463"/>
    </row>
    <row r="464" spans="1:17" ht="15.6" x14ac:dyDescent="0.3">
      <c r="A464" s="19" t="s">
        <v>1319</v>
      </c>
      <c r="B464" s="19" t="s">
        <v>369</v>
      </c>
      <c r="C464" s="19" t="s">
        <v>1918</v>
      </c>
      <c r="D464" s="53"/>
      <c r="E464" s="54"/>
      <c r="F464" s="53">
        <v>1</v>
      </c>
      <c r="G464" s="54">
        <v>0</v>
      </c>
      <c r="H464" s="53"/>
      <c r="I464" s="55"/>
      <c r="J464"/>
      <c r="K464"/>
      <c r="L464"/>
      <c r="M464"/>
      <c r="N464"/>
      <c r="O464"/>
      <c r="P464"/>
      <c r="Q464"/>
    </row>
    <row r="465" spans="1:17" ht="15.6" x14ac:dyDescent="0.3">
      <c r="A465" s="19" t="s">
        <v>1320</v>
      </c>
      <c r="B465" s="19" t="s">
        <v>370</v>
      </c>
      <c r="C465" s="19" t="s">
        <v>1918</v>
      </c>
      <c r="D465" s="53"/>
      <c r="E465" s="54"/>
      <c r="F465" s="53">
        <v>1</v>
      </c>
      <c r="G465" s="54">
        <v>0</v>
      </c>
      <c r="H465" s="53"/>
      <c r="I465" s="55"/>
      <c r="J465"/>
      <c r="K465"/>
      <c r="L465"/>
      <c r="M465"/>
      <c r="N465"/>
      <c r="O465"/>
      <c r="P465"/>
      <c r="Q465"/>
    </row>
    <row r="466" spans="1:17" ht="15.6" x14ac:dyDescent="0.3">
      <c r="A466" s="19" t="s">
        <v>1321</v>
      </c>
      <c r="B466" s="19" t="s">
        <v>371</v>
      </c>
      <c r="C466" s="19" t="s">
        <v>1918</v>
      </c>
      <c r="D466" s="53"/>
      <c r="E466" s="54"/>
      <c r="F466" s="53">
        <v>1</v>
      </c>
      <c r="G466" s="54">
        <v>0</v>
      </c>
      <c r="H466" s="53"/>
      <c r="I466" s="55"/>
      <c r="J466"/>
      <c r="K466"/>
      <c r="L466"/>
      <c r="M466"/>
      <c r="N466"/>
      <c r="O466"/>
      <c r="P466"/>
      <c r="Q466"/>
    </row>
    <row r="467" spans="1:17" ht="15.6" x14ac:dyDescent="0.3">
      <c r="A467" s="19" t="s">
        <v>1322</v>
      </c>
      <c r="B467" s="19" t="s">
        <v>372</v>
      </c>
      <c r="C467" s="19" t="s">
        <v>1918</v>
      </c>
      <c r="D467" s="53"/>
      <c r="E467" s="54"/>
      <c r="F467" s="53">
        <v>1</v>
      </c>
      <c r="G467" s="54">
        <v>0</v>
      </c>
      <c r="H467" s="53"/>
      <c r="I467" s="55"/>
      <c r="J467"/>
      <c r="K467"/>
      <c r="L467"/>
      <c r="M467"/>
      <c r="N467"/>
      <c r="O467"/>
      <c r="P467"/>
      <c r="Q467"/>
    </row>
    <row r="468" spans="1:17" ht="15.6" x14ac:dyDescent="0.3">
      <c r="A468" s="19" t="s">
        <v>1323</v>
      </c>
      <c r="B468" s="19" t="s">
        <v>373</v>
      </c>
      <c r="C468" s="19" t="s">
        <v>1918</v>
      </c>
      <c r="D468" s="53"/>
      <c r="E468" s="54"/>
      <c r="F468" s="53">
        <v>2</v>
      </c>
      <c r="G468" s="54">
        <v>0</v>
      </c>
      <c r="H468" s="53"/>
      <c r="I468" s="55"/>
      <c r="J468"/>
      <c r="K468"/>
      <c r="L468"/>
      <c r="M468"/>
      <c r="N468"/>
      <c r="O468"/>
      <c r="P468"/>
      <c r="Q468"/>
    </row>
    <row r="469" spans="1:17" ht="15.6" x14ac:dyDescent="0.3">
      <c r="A469" s="19" t="s">
        <v>1324</v>
      </c>
      <c r="B469" s="19" t="s">
        <v>374</v>
      </c>
      <c r="C469" s="19" t="s">
        <v>1918</v>
      </c>
      <c r="D469" s="53"/>
      <c r="E469" s="54"/>
      <c r="F469" s="53">
        <v>10</v>
      </c>
      <c r="G469" s="54">
        <v>0</v>
      </c>
      <c r="H469" s="53"/>
      <c r="I469" s="55"/>
      <c r="J469"/>
      <c r="K469"/>
      <c r="L469"/>
      <c r="M469"/>
      <c r="N469"/>
      <c r="O469"/>
      <c r="P469"/>
      <c r="Q469"/>
    </row>
    <row r="470" spans="1:17" ht="15.6" x14ac:dyDescent="0.3">
      <c r="A470" s="19" t="s">
        <v>1325</v>
      </c>
      <c r="B470" s="19" t="s">
        <v>375</v>
      </c>
      <c r="C470" s="19" t="s">
        <v>1918</v>
      </c>
      <c r="D470" s="53"/>
      <c r="E470" s="54"/>
      <c r="F470" s="53">
        <v>2</v>
      </c>
      <c r="G470" s="54">
        <v>0</v>
      </c>
      <c r="H470" s="53"/>
      <c r="I470" s="55"/>
      <c r="J470"/>
      <c r="K470"/>
      <c r="L470"/>
      <c r="M470"/>
      <c r="N470"/>
      <c r="O470"/>
      <c r="P470"/>
      <c r="Q470"/>
    </row>
    <row r="471" spans="1:17" ht="15.6" x14ac:dyDescent="0.3">
      <c r="A471" s="19" t="s">
        <v>1326</v>
      </c>
      <c r="B471" s="19" t="s">
        <v>376</v>
      </c>
      <c r="C471" s="19" t="s">
        <v>1918</v>
      </c>
      <c r="D471" s="53"/>
      <c r="E471" s="54"/>
      <c r="F471" s="53">
        <v>1</v>
      </c>
      <c r="G471" s="54">
        <v>0</v>
      </c>
      <c r="H471" s="53"/>
      <c r="I471" s="55"/>
      <c r="J471"/>
      <c r="K471"/>
      <c r="L471"/>
      <c r="M471"/>
      <c r="N471"/>
      <c r="O471"/>
      <c r="P471"/>
      <c r="Q471"/>
    </row>
    <row r="472" spans="1:17" ht="15.6" x14ac:dyDescent="0.3">
      <c r="A472" s="19" t="s">
        <v>1327</v>
      </c>
      <c r="B472" s="19" t="s">
        <v>377</v>
      </c>
      <c r="C472" s="19" t="s">
        <v>1918</v>
      </c>
      <c r="D472" s="53"/>
      <c r="E472" s="54"/>
      <c r="F472" s="53">
        <v>1</v>
      </c>
      <c r="G472" s="54">
        <v>0</v>
      </c>
      <c r="H472" s="53"/>
      <c r="I472" s="55"/>
      <c r="J472"/>
      <c r="K472"/>
      <c r="L472"/>
      <c r="M472"/>
      <c r="N472"/>
      <c r="O472"/>
      <c r="P472"/>
      <c r="Q472"/>
    </row>
    <row r="473" spans="1:17" ht="15.6" x14ac:dyDescent="0.3">
      <c r="A473" s="19" t="s">
        <v>1328</v>
      </c>
      <c r="B473" s="19" t="s">
        <v>378</v>
      </c>
      <c r="C473" s="19" t="s">
        <v>1918</v>
      </c>
      <c r="D473" s="53"/>
      <c r="E473" s="54"/>
      <c r="F473" s="53">
        <v>1</v>
      </c>
      <c r="G473" s="54">
        <v>0</v>
      </c>
      <c r="H473" s="53"/>
      <c r="I473" s="55"/>
      <c r="J473"/>
      <c r="K473"/>
      <c r="L473"/>
      <c r="M473"/>
      <c r="N473"/>
      <c r="O473"/>
      <c r="P473"/>
      <c r="Q473"/>
    </row>
    <row r="474" spans="1:17" ht="15.6" x14ac:dyDescent="0.3">
      <c r="A474" s="19" t="s">
        <v>1329</v>
      </c>
      <c r="B474" s="19" t="s">
        <v>379</v>
      </c>
      <c r="C474" s="19" t="s">
        <v>1918</v>
      </c>
      <c r="D474" s="53"/>
      <c r="E474" s="54"/>
      <c r="F474" s="53">
        <v>1</v>
      </c>
      <c r="G474" s="54">
        <v>0</v>
      </c>
      <c r="H474" s="53"/>
      <c r="I474" s="55"/>
      <c r="J474"/>
      <c r="K474"/>
      <c r="L474"/>
      <c r="M474"/>
      <c r="N474"/>
      <c r="O474"/>
      <c r="P474"/>
      <c r="Q474"/>
    </row>
    <row r="475" spans="1:17" ht="15.6" x14ac:dyDescent="0.3">
      <c r="A475" s="19" t="s">
        <v>1330</v>
      </c>
      <c r="B475" s="19" t="s">
        <v>380</v>
      </c>
      <c r="C475" s="19" t="s">
        <v>1918</v>
      </c>
      <c r="D475" s="53"/>
      <c r="E475" s="54"/>
      <c r="F475" s="53">
        <v>1</v>
      </c>
      <c r="G475" s="54">
        <v>0</v>
      </c>
      <c r="H475" s="53"/>
      <c r="I475" s="55"/>
      <c r="J475"/>
      <c r="K475"/>
      <c r="L475"/>
      <c r="M475"/>
      <c r="N475"/>
      <c r="O475"/>
      <c r="P475"/>
      <c r="Q475"/>
    </row>
    <row r="476" spans="1:17" ht="15.6" x14ac:dyDescent="0.3">
      <c r="A476" s="19" t="s">
        <v>1331</v>
      </c>
      <c r="B476" s="19" t="s">
        <v>381</v>
      </c>
      <c r="C476" s="19" t="s">
        <v>1918</v>
      </c>
      <c r="D476" s="53"/>
      <c r="E476" s="54"/>
      <c r="F476" s="53">
        <v>1</v>
      </c>
      <c r="G476" s="54">
        <v>0</v>
      </c>
      <c r="H476" s="53"/>
      <c r="I476" s="55"/>
      <c r="J476"/>
      <c r="K476"/>
      <c r="L476"/>
      <c r="M476"/>
      <c r="N476"/>
      <c r="O476"/>
      <c r="P476"/>
      <c r="Q476"/>
    </row>
    <row r="477" spans="1:17" ht="15.6" x14ac:dyDescent="0.3">
      <c r="A477" s="19" t="s">
        <v>1332</v>
      </c>
      <c r="B477" s="19" t="s">
        <v>2335</v>
      </c>
      <c r="C477" s="19" t="s">
        <v>1918</v>
      </c>
      <c r="D477" s="53"/>
      <c r="E477" s="54"/>
      <c r="F477" s="53">
        <v>1</v>
      </c>
      <c r="G477" s="54">
        <v>0</v>
      </c>
      <c r="H477" s="53"/>
      <c r="I477" s="55"/>
      <c r="J477"/>
      <c r="K477"/>
      <c r="L477"/>
      <c r="M477"/>
      <c r="N477"/>
      <c r="O477"/>
      <c r="P477"/>
      <c r="Q477"/>
    </row>
    <row r="478" spans="1:17" ht="15.6" x14ac:dyDescent="0.3">
      <c r="A478" s="19" t="s">
        <v>1333</v>
      </c>
      <c r="B478" s="19" t="s">
        <v>382</v>
      </c>
      <c r="C478" s="19" t="s">
        <v>1918</v>
      </c>
      <c r="D478" s="53"/>
      <c r="E478" s="54"/>
      <c r="F478" s="53">
        <v>1</v>
      </c>
      <c r="G478" s="54">
        <v>0</v>
      </c>
      <c r="H478" s="53"/>
      <c r="I478" s="55"/>
      <c r="J478"/>
      <c r="K478"/>
      <c r="L478"/>
      <c r="M478"/>
      <c r="N478"/>
      <c r="O478"/>
      <c r="P478"/>
      <c r="Q478"/>
    </row>
    <row r="479" spans="1:17" ht="15.6" x14ac:dyDescent="0.3">
      <c r="A479" s="19" t="s">
        <v>1334</v>
      </c>
      <c r="B479" s="19" t="s">
        <v>383</v>
      </c>
      <c r="C479" s="19" t="s">
        <v>1918</v>
      </c>
      <c r="D479" s="53"/>
      <c r="E479" s="54"/>
      <c r="F479" s="53">
        <v>1</v>
      </c>
      <c r="G479" s="54">
        <v>0</v>
      </c>
      <c r="H479" s="53"/>
      <c r="I479" s="55"/>
      <c r="J479"/>
      <c r="K479"/>
      <c r="L479"/>
      <c r="M479"/>
      <c r="N479"/>
      <c r="O479"/>
      <c r="P479"/>
      <c r="Q479"/>
    </row>
    <row r="480" spans="1:17" ht="15.6" x14ac:dyDescent="0.3">
      <c r="A480" s="19" t="s">
        <v>1335</v>
      </c>
      <c r="B480" s="19" t="s">
        <v>2472</v>
      </c>
      <c r="C480" s="19" t="s">
        <v>1918</v>
      </c>
      <c r="D480" s="53"/>
      <c r="E480" s="54"/>
      <c r="F480" s="53">
        <v>115</v>
      </c>
      <c r="G480" s="54">
        <v>0</v>
      </c>
      <c r="H480" s="53"/>
      <c r="I480" s="55"/>
      <c r="J480"/>
      <c r="K480"/>
      <c r="L480"/>
      <c r="M480"/>
      <c r="N480"/>
      <c r="O480"/>
      <c r="P480"/>
      <c r="Q480"/>
    </row>
    <row r="481" spans="1:17" ht="15.6" x14ac:dyDescent="0.3">
      <c r="A481" s="19" t="s">
        <v>1336</v>
      </c>
      <c r="B481" s="19" t="s">
        <v>384</v>
      </c>
      <c r="C481" s="19" t="s">
        <v>1918</v>
      </c>
      <c r="D481" s="53"/>
      <c r="E481" s="54"/>
      <c r="F481" s="53">
        <v>1</v>
      </c>
      <c r="G481" s="54">
        <v>0</v>
      </c>
      <c r="H481" s="53"/>
      <c r="I481" s="55"/>
      <c r="J481"/>
      <c r="K481"/>
      <c r="L481"/>
      <c r="M481"/>
      <c r="N481"/>
      <c r="O481"/>
      <c r="P481"/>
      <c r="Q481"/>
    </row>
    <row r="482" spans="1:17" ht="28.8" x14ac:dyDescent="0.3">
      <c r="A482" s="19" t="s">
        <v>1337</v>
      </c>
      <c r="B482" s="19" t="s">
        <v>385</v>
      </c>
      <c r="C482" s="19" t="s">
        <v>1918</v>
      </c>
      <c r="D482" s="53"/>
      <c r="E482" s="54"/>
      <c r="F482" s="53">
        <v>1</v>
      </c>
      <c r="G482" s="54">
        <v>0</v>
      </c>
      <c r="H482" s="53"/>
      <c r="I482" s="55"/>
      <c r="J482"/>
      <c r="K482"/>
      <c r="L482"/>
      <c r="M482"/>
      <c r="N482"/>
      <c r="O482"/>
      <c r="P482"/>
      <c r="Q482"/>
    </row>
    <row r="483" spans="1:17" ht="15.6" x14ac:dyDescent="0.3">
      <c r="A483" s="19" t="s">
        <v>1338</v>
      </c>
      <c r="B483" s="19" t="s">
        <v>386</v>
      </c>
      <c r="C483" s="19" t="s">
        <v>1918</v>
      </c>
      <c r="D483" s="53"/>
      <c r="E483" s="54"/>
      <c r="F483" s="53">
        <v>1</v>
      </c>
      <c r="G483" s="54">
        <v>0</v>
      </c>
      <c r="H483" s="53"/>
      <c r="I483" s="55"/>
      <c r="J483"/>
      <c r="K483"/>
      <c r="L483"/>
      <c r="M483"/>
      <c r="N483"/>
      <c r="O483"/>
      <c r="P483"/>
      <c r="Q483"/>
    </row>
    <row r="484" spans="1:17" ht="15.6" x14ac:dyDescent="0.3">
      <c r="A484" s="19" t="s">
        <v>1339</v>
      </c>
      <c r="B484" s="19" t="s">
        <v>387</v>
      </c>
      <c r="C484" s="19" t="s">
        <v>1918</v>
      </c>
      <c r="D484" s="53"/>
      <c r="E484" s="54"/>
      <c r="F484" s="53">
        <v>1</v>
      </c>
      <c r="G484" s="54">
        <v>0</v>
      </c>
      <c r="H484" s="53"/>
      <c r="I484" s="55"/>
      <c r="J484"/>
      <c r="K484"/>
      <c r="L484"/>
      <c r="M484"/>
      <c r="N484"/>
      <c r="O484"/>
      <c r="P484"/>
      <c r="Q484"/>
    </row>
    <row r="485" spans="1:17" ht="15.6" x14ac:dyDescent="0.3">
      <c r="A485" s="19" t="s">
        <v>1340</v>
      </c>
      <c r="B485" s="19" t="s">
        <v>2344</v>
      </c>
      <c r="C485" s="19" t="s">
        <v>1918</v>
      </c>
      <c r="D485" s="53"/>
      <c r="E485" s="54"/>
      <c r="F485" s="53">
        <v>1</v>
      </c>
      <c r="G485" s="54">
        <v>0</v>
      </c>
      <c r="H485" s="53"/>
      <c r="I485" s="55"/>
      <c r="J485"/>
      <c r="K485"/>
      <c r="L485"/>
      <c r="M485"/>
      <c r="N485"/>
      <c r="O485"/>
      <c r="P485"/>
      <c r="Q485"/>
    </row>
    <row r="486" spans="1:17" ht="15.6" x14ac:dyDescent="0.3">
      <c r="A486" s="19" t="s">
        <v>1341</v>
      </c>
      <c r="B486" s="19" t="s">
        <v>388</v>
      </c>
      <c r="C486" s="19" t="s">
        <v>1918</v>
      </c>
      <c r="D486" s="53"/>
      <c r="E486" s="54"/>
      <c r="F486" s="53">
        <v>65</v>
      </c>
      <c r="G486" s="54">
        <v>0</v>
      </c>
      <c r="H486" s="53"/>
      <c r="I486" s="55"/>
      <c r="J486"/>
      <c r="K486"/>
      <c r="L486"/>
      <c r="M486"/>
      <c r="N486"/>
      <c r="O486"/>
      <c r="P486"/>
      <c r="Q486"/>
    </row>
    <row r="487" spans="1:17" ht="15.6" x14ac:dyDescent="0.3">
      <c r="A487" s="19" t="s">
        <v>1342</v>
      </c>
      <c r="B487" s="19" t="s">
        <v>389</v>
      </c>
      <c r="C487" s="19" t="s">
        <v>1918</v>
      </c>
      <c r="D487" s="53"/>
      <c r="E487" s="54"/>
      <c r="F487" s="53">
        <v>2</v>
      </c>
      <c r="G487" s="54">
        <v>0</v>
      </c>
      <c r="H487" s="53"/>
      <c r="I487" s="55"/>
      <c r="J487"/>
      <c r="K487"/>
      <c r="L487"/>
      <c r="M487"/>
      <c r="N487"/>
      <c r="O487"/>
      <c r="P487"/>
      <c r="Q487"/>
    </row>
    <row r="488" spans="1:17" ht="15.6" x14ac:dyDescent="0.3">
      <c r="A488" s="19" t="s">
        <v>1343</v>
      </c>
      <c r="B488" s="19" t="s">
        <v>390</v>
      </c>
      <c r="C488" s="19" t="s">
        <v>1918</v>
      </c>
      <c r="D488" s="53"/>
      <c r="E488" s="54"/>
      <c r="F488" s="53">
        <v>1</v>
      </c>
      <c r="G488" s="54">
        <v>0</v>
      </c>
      <c r="H488" s="53"/>
      <c r="I488" s="55"/>
      <c r="J488"/>
      <c r="K488"/>
      <c r="L488"/>
      <c r="M488"/>
      <c r="N488"/>
      <c r="O488"/>
      <c r="P488"/>
      <c r="Q488"/>
    </row>
    <row r="489" spans="1:17" ht="15.6" x14ac:dyDescent="0.3">
      <c r="A489" s="47" t="s">
        <v>1344</v>
      </c>
      <c r="B489" s="47" t="s">
        <v>391</v>
      </c>
      <c r="C489" s="19" t="s">
        <v>1918</v>
      </c>
      <c r="D489" s="53"/>
      <c r="E489" s="54"/>
      <c r="F489" s="53">
        <v>2</v>
      </c>
      <c r="G489" s="54">
        <v>0</v>
      </c>
      <c r="H489" s="53"/>
      <c r="I489" s="55"/>
      <c r="J489"/>
      <c r="K489"/>
      <c r="L489"/>
      <c r="M489"/>
      <c r="N489"/>
      <c r="O489"/>
      <c r="P489"/>
      <c r="Q489"/>
    </row>
    <row r="490" spans="1:17" ht="15.6" x14ac:dyDescent="0.3">
      <c r="A490" s="48" t="s">
        <v>1344</v>
      </c>
      <c r="B490" s="48" t="s">
        <v>391</v>
      </c>
      <c r="C490" s="23" t="s">
        <v>910</v>
      </c>
      <c r="D490" s="56"/>
      <c r="E490" s="51"/>
      <c r="F490" s="56">
        <v>5</v>
      </c>
      <c r="G490" s="51">
        <v>0</v>
      </c>
      <c r="H490" s="56"/>
      <c r="I490" s="57"/>
      <c r="J490"/>
      <c r="K490"/>
      <c r="L490"/>
      <c r="M490"/>
      <c r="N490"/>
      <c r="O490"/>
      <c r="P490"/>
      <c r="Q490"/>
    </row>
    <row r="491" spans="1:17" ht="15.6" x14ac:dyDescent="0.3">
      <c r="A491" s="19" t="s">
        <v>1345</v>
      </c>
      <c r="B491" s="19" t="s">
        <v>392</v>
      </c>
      <c r="C491" s="19" t="s">
        <v>1918</v>
      </c>
      <c r="D491" s="53"/>
      <c r="E491" s="54"/>
      <c r="F491" s="53">
        <v>77</v>
      </c>
      <c r="G491" s="54">
        <v>0</v>
      </c>
      <c r="H491" s="53"/>
      <c r="I491" s="55"/>
      <c r="J491"/>
      <c r="K491"/>
      <c r="L491"/>
      <c r="M491"/>
      <c r="N491"/>
      <c r="O491"/>
      <c r="P491"/>
      <c r="Q491"/>
    </row>
    <row r="492" spans="1:17" ht="15.6" x14ac:dyDescent="0.3">
      <c r="A492" s="19" t="s">
        <v>1346</v>
      </c>
      <c r="B492" s="19" t="s">
        <v>393</v>
      </c>
      <c r="C492" s="19" t="s">
        <v>1918</v>
      </c>
      <c r="D492" s="53"/>
      <c r="E492" s="54"/>
      <c r="F492" s="53">
        <v>10</v>
      </c>
      <c r="G492" s="54">
        <v>0</v>
      </c>
      <c r="H492" s="53"/>
      <c r="I492" s="55"/>
      <c r="J492"/>
      <c r="K492"/>
      <c r="L492"/>
      <c r="M492"/>
      <c r="N492"/>
      <c r="O492"/>
      <c r="P492"/>
      <c r="Q492"/>
    </row>
    <row r="493" spans="1:17" ht="15.6" x14ac:dyDescent="0.3">
      <c r="A493" s="19" t="s">
        <v>1347</v>
      </c>
      <c r="B493" s="19" t="s">
        <v>394</v>
      </c>
      <c r="C493" s="19" t="s">
        <v>1918</v>
      </c>
      <c r="D493" s="53"/>
      <c r="E493" s="54"/>
      <c r="F493" s="53">
        <v>293</v>
      </c>
      <c r="G493" s="54">
        <v>0</v>
      </c>
      <c r="H493" s="53"/>
      <c r="I493" s="55"/>
      <c r="J493"/>
      <c r="K493"/>
      <c r="L493"/>
      <c r="M493"/>
      <c r="N493"/>
      <c r="O493"/>
      <c r="P493"/>
      <c r="Q493"/>
    </row>
    <row r="494" spans="1:17" ht="28.8" x14ac:dyDescent="0.3">
      <c r="A494" s="19" t="s">
        <v>1348</v>
      </c>
      <c r="B494" s="19" t="s">
        <v>2473</v>
      </c>
      <c r="C494" s="19" t="s">
        <v>1918</v>
      </c>
      <c r="D494" s="53"/>
      <c r="E494" s="54"/>
      <c r="F494" s="53">
        <v>3</v>
      </c>
      <c r="G494" s="54">
        <v>0</v>
      </c>
      <c r="H494" s="53"/>
      <c r="I494" s="55"/>
      <c r="J494"/>
      <c r="K494"/>
      <c r="L494"/>
      <c r="M494"/>
      <c r="N494"/>
      <c r="O494"/>
      <c r="P494"/>
      <c r="Q494"/>
    </row>
    <row r="495" spans="1:17" ht="15.6" x14ac:dyDescent="0.3">
      <c r="A495" s="19" t="s">
        <v>1349</v>
      </c>
      <c r="B495" s="19" t="s">
        <v>395</v>
      </c>
      <c r="C495" s="19" t="s">
        <v>1918</v>
      </c>
      <c r="D495" s="53"/>
      <c r="E495" s="54"/>
      <c r="F495" s="53">
        <v>8</v>
      </c>
      <c r="G495" s="54">
        <v>0</v>
      </c>
      <c r="H495" s="53"/>
      <c r="I495" s="55"/>
      <c r="J495"/>
      <c r="K495"/>
      <c r="L495"/>
      <c r="M495"/>
      <c r="N495"/>
      <c r="O495"/>
      <c r="P495"/>
      <c r="Q495"/>
    </row>
    <row r="496" spans="1:17" ht="15.6" x14ac:dyDescent="0.3">
      <c r="A496" s="19" t="s">
        <v>1350</v>
      </c>
      <c r="B496" s="19" t="s">
        <v>396</v>
      </c>
      <c r="C496" s="19" t="s">
        <v>1918</v>
      </c>
      <c r="D496" s="53"/>
      <c r="E496" s="54"/>
      <c r="F496" s="53">
        <v>1</v>
      </c>
      <c r="G496" s="54">
        <v>0</v>
      </c>
      <c r="H496" s="53"/>
      <c r="I496" s="55"/>
      <c r="J496"/>
      <c r="K496"/>
      <c r="L496"/>
      <c r="M496"/>
      <c r="N496"/>
      <c r="O496"/>
      <c r="P496"/>
      <c r="Q496"/>
    </row>
    <row r="497" spans="1:17" ht="15.6" x14ac:dyDescent="0.3">
      <c r="A497" s="19" t="s">
        <v>1351</v>
      </c>
      <c r="B497" s="19" t="s">
        <v>397</v>
      </c>
      <c r="C497" s="19" t="s">
        <v>1918</v>
      </c>
      <c r="D497" s="53"/>
      <c r="E497" s="54"/>
      <c r="F497" s="53">
        <v>2</v>
      </c>
      <c r="G497" s="54">
        <v>0</v>
      </c>
      <c r="H497" s="53"/>
      <c r="I497" s="55"/>
      <c r="J497"/>
      <c r="K497"/>
      <c r="L497"/>
      <c r="M497"/>
      <c r="N497"/>
      <c r="O497"/>
      <c r="P497"/>
      <c r="Q497"/>
    </row>
    <row r="498" spans="1:17" ht="15.6" x14ac:dyDescent="0.3">
      <c r="A498" s="47" t="s">
        <v>1352</v>
      </c>
      <c r="B498" s="47" t="s">
        <v>2346</v>
      </c>
      <c r="C498" s="19" t="s">
        <v>905</v>
      </c>
      <c r="D498" s="53"/>
      <c r="E498" s="54"/>
      <c r="F498" s="53">
        <v>0</v>
      </c>
      <c r="G498" s="54">
        <v>1</v>
      </c>
      <c r="H498" s="53"/>
      <c r="I498" s="55"/>
      <c r="J498"/>
      <c r="K498"/>
      <c r="L498"/>
      <c r="M498"/>
      <c r="N498"/>
      <c r="O498"/>
      <c r="P498"/>
      <c r="Q498"/>
    </row>
    <row r="499" spans="1:17" ht="15.6" x14ac:dyDescent="0.3">
      <c r="A499" s="48" t="s">
        <v>1352</v>
      </c>
      <c r="B499" s="48" t="s">
        <v>2346</v>
      </c>
      <c r="C499" s="23" t="s">
        <v>903</v>
      </c>
      <c r="D499" s="56">
        <v>1</v>
      </c>
      <c r="E499" s="51">
        <v>0</v>
      </c>
      <c r="F499" s="56"/>
      <c r="G499" s="51"/>
      <c r="H499" s="56"/>
      <c r="I499" s="57"/>
      <c r="J499"/>
      <c r="K499"/>
      <c r="L499"/>
      <c r="M499"/>
      <c r="N499"/>
      <c r="O499"/>
      <c r="P499"/>
      <c r="Q499"/>
    </row>
    <row r="500" spans="1:17" ht="15.6" x14ac:dyDescent="0.3">
      <c r="A500" s="48" t="s">
        <v>1352</v>
      </c>
      <c r="B500" s="48" t="s">
        <v>2346</v>
      </c>
      <c r="C500" s="23" t="s">
        <v>1918</v>
      </c>
      <c r="D500" s="56"/>
      <c r="E500" s="51"/>
      <c r="F500" s="56">
        <v>1</v>
      </c>
      <c r="G500" s="51">
        <v>0</v>
      </c>
      <c r="H500" s="56"/>
      <c r="I500" s="57"/>
      <c r="J500"/>
      <c r="K500"/>
      <c r="L500"/>
      <c r="M500"/>
      <c r="N500"/>
      <c r="O500"/>
      <c r="P500"/>
      <c r="Q500"/>
    </row>
    <row r="501" spans="1:17" ht="15.6" x14ac:dyDescent="0.3">
      <c r="A501" s="47" t="s">
        <v>1353</v>
      </c>
      <c r="B501" s="47" t="s">
        <v>398</v>
      </c>
      <c r="C501" s="19" t="s">
        <v>903</v>
      </c>
      <c r="D501" s="53"/>
      <c r="E501" s="54"/>
      <c r="F501" s="53"/>
      <c r="G501" s="54"/>
      <c r="H501" s="53">
        <v>2</v>
      </c>
      <c r="I501" s="55">
        <v>0</v>
      </c>
      <c r="J501"/>
      <c r="K501"/>
      <c r="L501"/>
      <c r="M501"/>
      <c r="N501"/>
      <c r="O501"/>
      <c r="P501"/>
      <c r="Q501"/>
    </row>
    <row r="502" spans="1:17" ht="15.6" x14ac:dyDescent="0.3">
      <c r="A502" s="48" t="s">
        <v>1353</v>
      </c>
      <c r="B502" s="48" t="s">
        <v>398</v>
      </c>
      <c r="C502" s="23" t="s">
        <v>1918</v>
      </c>
      <c r="D502" s="56"/>
      <c r="E502" s="51"/>
      <c r="F502" s="56">
        <v>2</v>
      </c>
      <c r="G502" s="51">
        <v>0</v>
      </c>
      <c r="H502" s="56"/>
      <c r="I502" s="57"/>
      <c r="J502"/>
      <c r="K502"/>
      <c r="L502"/>
      <c r="M502"/>
      <c r="N502"/>
      <c r="O502"/>
      <c r="P502"/>
      <c r="Q502"/>
    </row>
    <row r="503" spans="1:17" ht="15.6" x14ac:dyDescent="0.3">
      <c r="A503" s="48" t="s">
        <v>1353</v>
      </c>
      <c r="B503" s="48" t="s">
        <v>398</v>
      </c>
      <c r="C503" s="23" t="s">
        <v>904</v>
      </c>
      <c r="D503" s="56"/>
      <c r="E503" s="51"/>
      <c r="F503" s="56">
        <v>0</v>
      </c>
      <c r="G503" s="51">
        <v>2</v>
      </c>
      <c r="H503" s="56"/>
      <c r="I503" s="57"/>
      <c r="J503"/>
      <c r="K503"/>
      <c r="L503"/>
      <c r="M503"/>
      <c r="N503"/>
      <c r="O503"/>
      <c r="P503"/>
      <c r="Q503"/>
    </row>
    <row r="504" spans="1:17" ht="15.6" x14ac:dyDescent="0.3">
      <c r="A504" s="19" t="s">
        <v>1354</v>
      </c>
      <c r="B504" s="19" t="s">
        <v>399</v>
      </c>
      <c r="C504" s="19" t="s">
        <v>1918</v>
      </c>
      <c r="D504" s="53"/>
      <c r="E504" s="54"/>
      <c r="F504" s="53">
        <v>1</v>
      </c>
      <c r="G504" s="54">
        <v>0</v>
      </c>
      <c r="H504" s="53"/>
      <c r="I504" s="55"/>
      <c r="J504"/>
      <c r="K504"/>
      <c r="L504"/>
      <c r="M504"/>
      <c r="N504"/>
      <c r="O504"/>
      <c r="P504"/>
      <c r="Q504"/>
    </row>
    <row r="505" spans="1:17" ht="15.6" x14ac:dyDescent="0.3">
      <c r="A505" s="19" t="s">
        <v>1355</v>
      </c>
      <c r="B505" s="19" t="s">
        <v>400</v>
      </c>
      <c r="C505" s="19" t="s">
        <v>1918</v>
      </c>
      <c r="D505" s="53"/>
      <c r="E505" s="54"/>
      <c r="F505" s="53">
        <v>1</v>
      </c>
      <c r="G505" s="54">
        <v>0</v>
      </c>
      <c r="H505" s="53"/>
      <c r="I505" s="55"/>
      <c r="J505"/>
      <c r="K505"/>
      <c r="L505"/>
      <c r="M505"/>
      <c r="N505"/>
      <c r="O505"/>
      <c r="P505"/>
      <c r="Q505"/>
    </row>
    <row r="506" spans="1:17" ht="15.6" x14ac:dyDescent="0.3">
      <c r="A506" s="19" t="s">
        <v>1356</v>
      </c>
      <c r="B506" s="19" t="s">
        <v>401</v>
      </c>
      <c r="C506" s="19" t="s">
        <v>1918</v>
      </c>
      <c r="D506" s="53"/>
      <c r="E506" s="54"/>
      <c r="F506" s="53">
        <v>1</v>
      </c>
      <c r="G506" s="54">
        <v>0</v>
      </c>
      <c r="H506" s="53"/>
      <c r="I506" s="55"/>
      <c r="J506"/>
      <c r="K506"/>
      <c r="L506"/>
      <c r="M506"/>
      <c r="N506"/>
      <c r="O506"/>
      <c r="P506"/>
      <c r="Q506"/>
    </row>
    <row r="507" spans="1:17" ht="15.6" x14ac:dyDescent="0.3">
      <c r="A507" s="19" t="s">
        <v>1357</v>
      </c>
      <c r="B507" s="19" t="s">
        <v>402</v>
      </c>
      <c r="C507" s="19" t="s">
        <v>1918</v>
      </c>
      <c r="D507" s="53"/>
      <c r="E507" s="54"/>
      <c r="F507" s="53">
        <v>2</v>
      </c>
      <c r="G507" s="54">
        <v>0</v>
      </c>
      <c r="H507" s="53"/>
      <c r="I507" s="55"/>
      <c r="J507"/>
      <c r="K507"/>
      <c r="L507"/>
      <c r="M507"/>
      <c r="N507"/>
      <c r="O507"/>
      <c r="P507"/>
      <c r="Q507"/>
    </row>
    <row r="508" spans="1:17" ht="15.6" x14ac:dyDescent="0.3">
      <c r="A508" s="19" t="s">
        <v>1358</v>
      </c>
      <c r="B508" s="19" t="s">
        <v>403</v>
      </c>
      <c r="C508" s="19" t="s">
        <v>1918</v>
      </c>
      <c r="D508" s="53"/>
      <c r="E508" s="54"/>
      <c r="F508" s="53">
        <v>1</v>
      </c>
      <c r="G508" s="54">
        <v>0</v>
      </c>
      <c r="H508" s="53"/>
      <c r="I508" s="55"/>
      <c r="J508"/>
      <c r="K508"/>
      <c r="L508"/>
      <c r="M508"/>
      <c r="N508"/>
      <c r="O508"/>
      <c r="P508"/>
      <c r="Q508"/>
    </row>
    <row r="509" spans="1:17" ht="15.6" x14ac:dyDescent="0.3">
      <c r="A509" s="47" t="s">
        <v>1359</v>
      </c>
      <c r="B509" s="47" t="s">
        <v>404</v>
      </c>
      <c r="C509" s="19" t="s">
        <v>905</v>
      </c>
      <c r="D509" s="53"/>
      <c r="E509" s="54"/>
      <c r="F509" s="53">
        <v>0</v>
      </c>
      <c r="G509" s="54">
        <v>1</v>
      </c>
      <c r="H509" s="53"/>
      <c r="I509" s="55"/>
      <c r="J509"/>
      <c r="K509"/>
      <c r="L509"/>
      <c r="M509"/>
      <c r="N509"/>
      <c r="O509"/>
      <c r="P509"/>
      <c r="Q509"/>
    </row>
    <row r="510" spans="1:17" ht="15.6" x14ac:dyDescent="0.3">
      <c r="A510" s="48" t="s">
        <v>1359</v>
      </c>
      <c r="B510" s="48" t="s">
        <v>404</v>
      </c>
      <c r="C510" s="23" t="s">
        <v>903</v>
      </c>
      <c r="D510" s="56">
        <v>1</v>
      </c>
      <c r="E510" s="51">
        <v>0</v>
      </c>
      <c r="F510" s="56"/>
      <c r="G510" s="51"/>
      <c r="H510" s="56"/>
      <c r="I510" s="57"/>
      <c r="J510"/>
      <c r="K510"/>
      <c r="L510"/>
      <c r="M510"/>
      <c r="N510"/>
      <c r="O510"/>
      <c r="P510"/>
      <c r="Q510"/>
    </row>
    <row r="511" spans="1:17" ht="15.6" x14ac:dyDescent="0.3">
      <c r="A511" s="48" t="s">
        <v>1359</v>
      </c>
      <c r="B511" s="48" t="s">
        <v>404</v>
      </c>
      <c r="C511" s="23" t="s">
        <v>1918</v>
      </c>
      <c r="D511" s="56"/>
      <c r="E511" s="51"/>
      <c r="F511" s="56">
        <v>1</v>
      </c>
      <c r="G511" s="51">
        <v>0</v>
      </c>
      <c r="H511" s="56"/>
      <c r="I511" s="57"/>
      <c r="J511"/>
      <c r="K511"/>
      <c r="L511"/>
      <c r="M511"/>
      <c r="N511"/>
      <c r="O511"/>
      <c r="P511"/>
      <c r="Q511"/>
    </row>
    <row r="512" spans="1:17" ht="15.6" x14ac:dyDescent="0.3">
      <c r="A512" s="19" t="s">
        <v>1360</v>
      </c>
      <c r="B512" s="19" t="s">
        <v>405</v>
      </c>
      <c r="C512" s="19" t="s">
        <v>1918</v>
      </c>
      <c r="D512" s="53"/>
      <c r="E512" s="54"/>
      <c r="F512" s="53">
        <v>10</v>
      </c>
      <c r="G512" s="54">
        <v>0</v>
      </c>
      <c r="H512" s="53"/>
      <c r="I512" s="55"/>
      <c r="J512"/>
      <c r="K512"/>
      <c r="L512"/>
      <c r="M512"/>
      <c r="N512"/>
      <c r="O512"/>
      <c r="P512"/>
      <c r="Q512"/>
    </row>
    <row r="513" spans="1:17" ht="15.6" x14ac:dyDescent="0.3">
      <c r="A513" s="19" t="s">
        <v>1361</v>
      </c>
      <c r="B513" s="19" t="s">
        <v>2474</v>
      </c>
      <c r="C513" s="19" t="s">
        <v>1918</v>
      </c>
      <c r="D513" s="53"/>
      <c r="E513" s="54"/>
      <c r="F513" s="53">
        <v>1</v>
      </c>
      <c r="G513" s="54">
        <v>0</v>
      </c>
      <c r="H513" s="53"/>
      <c r="I513" s="55"/>
      <c r="J513"/>
      <c r="K513"/>
      <c r="L513"/>
      <c r="M513"/>
      <c r="N513"/>
      <c r="O513"/>
      <c r="P513"/>
      <c r="Q513"/>
    </row>
    <row r="514" spans="1:17" ht="15.6" x14ac:dyDescent="0.3">
      <c r="A514" s="19" t="s">
        <v>1362</v>
      </c>
      <c r="B514" s="19" t="s">
        <v>406</v>
      </c>
      <c r="C514" s="19" t="s">
        <v>1918</v>
      </c>
      <c r="D514" s="53"/>
      <c r="E514" s="54"/>
      <c r="F514" s="53">
        <v>1</v>
      </c>
      <c r="G514" s="54">
        <v>0</v>
      </c>
      <c r="H514" s="53"/>
      <c r="I514" s="55"/>
      <c r="J514"/>
      <c r="K514"/>
      <c r="L514"/>
      <c r="M514"/>
      <c r="N514"/>
      <c r="O514"/>
      <c r="P514"/>
      <c r="Q514"/>
    </row>
    <row r="515" spans="1:17" ht="15.6" x14ac:dyDescent="0.3">
      <c r="A515" s="19" t="s">
        <v>1363</v>
      </c>
      <c r="B515" s="19" t="s">
        <v>407</v>
      </c>
      <c r="C515" s="19" t="s">
        <v>1918</v>
      </c>
      <c r="D515" s="53"/>
      <c r="E515" s="54"/>
      <c r="F515" s="53">
        <v>2</v>
      </c>
      <c r="G515" s="54">
        <v>0</v>
      </c>
      <c r="H515" s="53"/>
      <c r="I515" s="55"/>
      <c r="J515"/>
      <c r="K515"/>
      <c r="L515"/>
      <c r="M515"/>
      <c r="N515"/>
      <c r="O515"/>
      <c r="P515"/>
      <c r="Q515"/>
    </row>
    <row r="516" spans="1:17" ht="15.6" x14ac:dyDescent="0.3">
      <c r="A516" s="19" t="s">
        <v>1364</v>
      </c>
      <c r="B516" s="19" t="s">
        <v>408</v>
      </c>
      <c r="C516" s="19" t="s">
        <v>1918</v>
      </c>
      <c r="D516" s="53"/>
      <c r="E516" s="54"/>
      <c r="F516" s="53">
        <v>1</v>
      </c>
      <c r="G516" s="54">
        <v>0</v>
      </c>
      <c r="H516" s="53"/>
      <c r="I516" s="55"/>
      <c r="J516"/>
      <c r="K516"/>
      <c r="L516"/>
      <c r="M516"/>
      <c r="N516"/>
      <c r="O516"/>
      <c r="P516"/>
      <c r="Q516"/>
    </row>
    <row r="517" spans="1:17" ht="15.6" x14ac:dyDescent="0.3">
      <c r="A517" s="19" t="s">
        <v>1365</v>
      </c>
      <c r="B517" s="19" t="s">
        <v>409</v>
      </c>
      <c r="C517" s="19" t="s">
        <v>1918</v>
      </c>
      <c r="D517" s="53"/>
      <c r="E517" s="54"/>
      <c r="F517" s="53">
        <v>1</v>
      </c>
      <c r="G517" s="54">
        <v>0</v>
      </c>
      <c r="H517" s="53"/>
      <c r="I517" s="55"/>
      <c r="J517"/>
      <c r="K517"/>
      <c r="L517"/>
      <c r="M517"/>
      <c r="N517"/>
      <c r="O517"/>
      <c r="P517"/>
      <c r="Q517"/>
    </row>
    <row r="518" spans="1:17" ht="15.6" x14ac:dyDescent="0.3">
      <c r="A518" s="19" t="s">
        <v>1366</v>
      </c>
      <c r="B518" s="19" t="s">
        <v>410</v>
      </c>
      <c r="C518" s="19" t="s">
        <v>1918</v>
      </c>
      <c r="D518" s="53"/>
      <c r="E518" s="54"/>
      <c r="F518" s="53">
        <v>2</v>
      </c>
      <c r="G518" s="54">
        <v>0</v>
      </c>
      <c r="H518" s="53"/>
      <c r="I518" s="55"/>
      <c r="J518"/>
      <c r="K518"/>
      <c r="L518"/>
      <c r="M518"/>
      <c r="N518"/>
      <c r="O518"/>
      <c r="P518"/>
      <c r="Q518"/>
    </row>
    <row r="519" spans="1:17" ht="15.6" x14ac:dyDescent="0.3">
      <c r="A519" s="19" t="s">
        <v>1367</v>
      </c>
      <c r="B519" s="19" t="s">
        <v>411</v>
      </c>
      <c r="C519" s="19" t="s">
        <v>1918</v>
      </c>
      <c r="D519" s="53"/>
      <c r="E519" s="54"/>
      <c r="F519" s="53">
        <v>1</v>
      </c>
      <c r="G519" s="54">
        <v>0</v>
      </c>
      <c r="H519" s="53"/>
      <c r="I519" s="55"/>
      <c r="J519"/>
      <c r="K519"/>
      <c r="L519"/>
      <c r="M519"/>
      <c r="N519"/>
      <c r="O519"/>
      <c r="P519"/>
      <c r="Q519"/>
    </row>
    <row r="520" spans="1:17" ht="15.6" x14ac:dyDescent="0.3">
      <c r="A520" s="19" t="s">
        <v>1368</v>
      </c>
      <c r="B520" s="19" t="s">
        <v>412</v>
      </c>
      <c r="C520" s="19" t="s">
        <v>1918</v>
      </c>
      <c r="D520" s="53"/>
      <c r="E520" s="54"/>
      <c r="F520" s="53">
        <v>2</v>
      </c>
      <c r="G520" s="54">
        <v>0</v>
      </c>
      <c r="H520" s="53"/>
      <c r="I520" s="55"/>
      <c r="J520"/>
      <c r="K520"/>
      <c r="L520"/>
      <c r="M520"/>
      <c r="N520"/>
      <c r="O520"/>
      <c r="P520"/>
      <c r="Q520"/>
    </row>
    <row r="521" spans="1:17" ht="28.8" x14ac:dyDescent="0.3">
      <c r="A521" s="19" t="s">
        <v>1369</v>
      </c>
      <c r="B521" s="19" t="s">
        <v>413</v>
      </c>
      <c r="C521" s="19" t="s">
        <v>1918</v>
      </c>
      <c r="D521" s="53"/>
      <c r="E521" s="54"/>
      <c r="F521" s="53">
        <v>3</v>
      </c>
      <c r="G521" s="54">
        <v>0</v>
      </c>
      <c r="H521" s="53"/>
      <c r="I521" s="55"/>
      <c r="J521"/>
      <c r="K521"/>
      <c r="L521"/>
      <c r="M521"/>
      <c r="N521"/>
      <c r="O521"/>
      <c r="P521"/>
      <c r="Q521"/>
    </row>
    <row r="522" spans="1:17" ht="28.8" x14ac:dyDescent="0.3">
      <c r="A522" s="19" t="s">
        <v>1370</v>
      </c>
      <c r="B522" s="19" t="s">
        <v>414</v>
      </c>
      <c r="C522" s="19" t="s">
        <v>1918</v>
      </c>
      <c r="D522" s="53"/>
      <c r="E522" s="54"/>
      <c r="F522" s="53">
        <v>2</v>
      </c>
      <c r="G522" s="54">
        <v>0</v>
      </c>
      <c r="H522" s="53"/>
      <c r="I522" s="55"/>
      <c r="J522"/>
      <c r="K522"/>
      <c r="L522"/>
      <c r="M522"/>
      <c r="N522"/>
      <c r="O522"/>
      <c r="P522"/>
      <c r="Q522"/>
    </row>
    <row r="523" spans="1:17" ht="15.6" x14ac:dyDescent="0.3">
      <c r="A523" s="47" t="s">
        <v>1371</v>
      </c>
      <c r="B523" s="47" t="s">
        <v>415</v>
      </c>
      <c r="C523" s="19" t="s">
        <v>903</v>
      </c>
      <c r="D523" s="53"/>
      <c r="E523" s="54"/>
      <c r="F523" s="53"/>
      <c r="G523" s="54"/>
      <c r="H523" s="53">
        <v>2</v>
      </c>
      <c r="I523" s="55">
        <v>0</v>
      </c>
      <c r="J523"/>
      <c r="K523"/>
      <c r="L523"/>
      <c r="M523"/>
      <c r="N523"/>
      <c r="O523"/>
      <c r="P523"/>
      <c r="Q523"/>
    </row>
    <row r="524" spans="1:17" ht="15.6" x14ac:dyDescent="0.3">
      <c r="A524" s="48" t="s">
        <v>1371</v>
      </c>
      <c r="B524" s="48" t="s">
        <v>415</v>
      </c>
      <c r="C524" s="23" t="s">
        <v>1918</v>
      </c>
      <c r="D524" s="56"/>
      <c r="E524" s="51"/>
      <c r="F524" s="56">
        <v>2</v>
      </c>
      <c r="G524" s="51">
        <v>0</v>
      </c>
      <c r="H524" s="56"/>
      <c r="I524" s="57"/>
      <c r="J524"/>
      <c r="K524"/>
      <c r="L524"/>
      <c r="M524"/>
      <c r="N524"/>
      <c r="O524"/>
      <c r="P524"/>
      <c r="Q524"/>
    </row>
    <row r="525" spans="1:17" ht="15.6" x14ac:dyDescent="0.3">
      <c r="A525" s="48" t="s">
        <v>1371</v>
      </c>
      <c r="B525" s="48" t="s">
        <v>415</v>
      </c>
      <c r="C525" s="23" t="s">
        <v>904</v>
      </c>
      <c r="D525" s="56"/>
      <c r="E525" s="51"/>
      <c r="F525" s="56">
        <v>0</v>
      </c>
      <c r="G525" s="51">
        <v>2</v>
      </c>
      <c r="H525" s="56"/>
      <c r="I525" s="57"/>
      <c r="J525"/>
      <c r="K525"/>
      <c r="L525"/>
      <c r="M525"/>
      <c r="N525"/>
      <c r="O525"/>
      <c r="P525"/>
      <c r="Q525"/>
    </row>
    <row r="526" spans="1:17" ht="15.6" x14ac:dyDescent="0.3">
      <c r="A526" s="19" t="s">
        <v>1372</v>
      </c>
      <c r="B526" s="19" t="s">
        <v>416</v>
      </c>
      <c r="C526" s="19" t="s">
        <v>1918</v>
      </c>
      <c r="D526" s="53"/>
      <c r="E526" s="54"/>
      <c r="F526" s="53">
        <v>11</v>
      </c>
      <c r="G526" s="54">
        <v>0</v>
      </c>
      <c r="H526" s="53"/>
      <c r="I526" s="55"/>
      <c r="J526"/>
      <c r="K526"/>
      <c r="L526"/>
      <c r="M526"/>
      <c r="N526"/>
      <c r="O526"/>
      <c r="P526"/>
      <c r="Q526"/>
    </row>
    <row r="527" spans="1:17" ht="15.6" x14ac:dyDescent="0.3">
      <c r="A527" s="47" t="s">
        <v>1373</v>
      </c>
      <c r="B527" s="47" t="s">
        <v>417</v>
      </c>
      <c r="C527" s="19" t="s">
        <v>1918</v>
      </c>
      <c r="D527" s="53"/>
      <c r="E527" s="54"/>
      <c r="F527" s="53">
        <v>1</v>
      </c>
      <c r="G527" s="54">
        <v>0</v>
      </c>
      <c r="H527" s="53"/>
      <c r="I527" s="55"/>
      <c r="J527"/>
      <c r="K527"/>
      <c r="L527"/>
      <c r="M527"/>
      <c r="N527"/>
      <c r="O527"/>
      <c r="P527"/>
      <c r="Q527"/>
    </row>
    <row r="528" spans="1:17" ht="15.6" x14ac:dyDescent="0.3">
      <c r="A528" s="48" t="s">
        <v>1373</v>
      </c>
      <c r="B528" s="48" t="s">
        <v>417</v>
      </c>
      <c r="C528" s="23" t="s">
        <v>911</v>
      </c>
      <c r="D528" s="56"/>
      <c r="E528" s="51"/>
      <c r="F528" s="56">
        <v>0</v>
      </c>
      <c r="G528" s="51">
        <v>1</v>
      </c>
      <c r="H528" s="56"/>
      <c r="I528" s="57"/>
      <c r="J528"/>
      <c r="K528"/>
      <c r="L528"/>
      <c r="M528"/>
      <c r="N528"/>
      <c r="O528"/>
      <c r="P528"/>
      <c r="Q528"/>
    </row>
    <row r="529" spans="1:17" ht="15.6" x14ac:dyDescent="0.3">
      <c r="A529" s="19" t="s">
        <v>1374</v>
      </c>
      <c r="B529" s="19" t="s">
        <v>418</v>
      </c>
      <c r="C529" s="19" t="s">
        <v>1918</v>
      </c>
      <c r="D529" s="53"/>
      <c r="E529" s="54"/>
      <c r="F529" s="53">
        <v>1</v>
      </c>
      <c r="G529" s="54">
        <v>0</v>
      </c>
      <c r="H529" s="53"/>
      <c r="I529" s="55"/>
      <c r="J529"/>
      <c r="K529"/>
      <c r="L529"/>
      <c r="M529"/>
      <c r="N529"/>
      <c r="O529"/>
      <c r="P529"/>
      <c r="Q529"/>
    </row>
    <row r="530" spans="1:17" ht="15.6" x14ac:dyDescent="0.3">
      <c r="A530" s="19" t="s">
        <v>1375</v>
      </c>
      <c r="B530" s="19" t="s">
        <v>419</v>
      </c>
      <c r="C530" s="19" t="s">
        <v>1918</v>
      </c>
      <c r="D530" s="53"/>
      <c r="E530" s="54"/>
      <c r="F530" s="53">
        <v>1</v>
      </c>
      <c r="G530" s="54">
        <v>0</v>
      </c>
      <c r="H530" s="53"/>
      <c r="I530" s="55"/>
      <c r="J530"/>
      <c r="K530"/>
      <c r="L530"/>
      <c r="M530"/>
      <c r="N530"/>
      <c r="O530"/>
      <c r="P530"/>
      <c r="Q530"/>
    </row>
    <row r="531" spans="1:17" ht="15.6" x14ac:dyDescent="0.3">
      <c r="A531" s="19" t="s">
        <v>1376</v>
      </c>
      <c r="B531" s="19" t="s">
        <v>420</v>
      </c>
      <c r="C531" s="19" t="s">
        <v>1918</v>
      </c>
      <c r="D531" s="53"/>
      <c r="E531" s="54"/>
      <c r="F531" s="53">
        <v>14</v>
      </c>
      <c r="G531" s="54">
        <v>0</v>
      </c>
      <c r="H531" s="53"/>
      <c r="I531" s="55"/>
      <c r="J531"/>
      <c r="K531"/>
      <c r="L531"/>
      <c r="M531"/>
      <c r="N531"/>
      <c r="O531"/>
      <c r="P531"/>
      <c r="Q531"/>
    </row>
    <row r="532" spans="1:17" ht="15.6" x14ac:dyDescent="0.3">
      <c r="A532" s="47" t="s">
        <v>1377</v>
      </c>
      <c r="B532" s="47" t="s">
        <v>2141</v>
      </c>
      <c r="C532" s="19" t="s">
        <v>903</v>
      </c>
      <c r="D532" s="53"/>
      <c r="E532" s="54"/>
      <c r="F532" s="53"/>
      <c r="G532" s="54"/>
      <c r="H532" s="53">
        <v>6</v>
      </c>
      <c r="I532" s="55">
        <v>0</v>
      </c>
      <c r="J532"/>
      <c r="K532"/>
      <c r="L532"/>
      <c r="M532"/>
      <c r="N532"/>
      <c r="O532"/>
      <c r="P532"/>
      <c r="Q532"/>
    </row>
    <row r="533" spans="1:17" ht="15.6" x14ac:dyDescent="0.3">
      <c r="A533" s="48" t="s">
        <v>1377</v>
      </c>
      <c r="B533" s="48" t="s">
        <v>2141</v>
      </c>
      <c r="C533" s="23" t="s">
        <v>1918</v>
      </c>
      <c r="D533" s="56"/>
      <c r="E533" s="51"/>
      <c r="F533" s="56">
        <v>12</v>
      </c>
      <c r="G533" s="51">
        <v>0</v>
      </c>
      <c r="H533" s="56"/>
      <c r="I533" s="57"/>
      <c r="J533"/>
      <c r="K533"/>
      <c r="L533"/>
      <c r="M533"/>
      <c r="N533"/>
      <c r="O533"/>
      <c r="P533"/>
      <c r="Q533"/>
    </row>
    <row r="534" spans="1:17" ht="15.6" x14ac:dyDescent="0.3">
      <c r="A534" s="48" t="s">
        <v>1377</v>
      </c>
      <c r="B534" s="48" t="s">
        <v>2141</v>
      </c>
      <c r="C534" s="23" t="s">
        <v>904</v>
      </c>
      <c r="D534" s="56"/>
      <c r="E534" s="51"/>
      <c r="F534" s="56">
        <v>0</v>
      </c>
      <c r="G534" s="51">
        <v>6</v>
      </c>
      <c r="H534" s="56"/>
      <c r="I534" s="57"/>
      <c r="J534"/>
      <c r="K534"/>
      <c r="L534"/>
      <c r="M534"/>
      <c r="N534"/>
      <c r="O534"/>
      <c r="P534"/>
      <c r="Q534"/>
    </row>
    <row r="535" spans="1:17" ht="28.8" x14ac:dyDescent="0.3">
      <c r="A535" s="19" t="s">
        <v>1378</v>
      </c>
      <c r="B535" s="19" t="s">
        <v>421</v>
      </c>
      <c r="C535" s="19" t="s">
        <v>1918</v>
      </c>
      <c r="D535" s="53"/>
      <c r="E535" s="54"/>
      <c r="F535" s="53">
        <v>1</v>
      </c>
      <c r="G535" s="54">
        <v>0</v>
      </c>
      <c r="H535" s="53"/>
      <c r="I535" s="55"/>
      <c r="J535"/>
      <c r="K535"/>
      <c r="L535"/>
      <c r="M535"/>
      <c r="N535"/>
      <c r="O535"/>
      <c r="P535"/>
      <c r="Q535"/>
    </row>
    <row r="536" spans="1:17" ht="28.8" x14ac:dyDescent="0.3">
      <c r="A536" s="19" t="s">
        <v>1379</v>
      </c>
      <c r="B536" s="19" t="s">
        <v>422</v>
      </c>
      <c r="C536" s="19" t="s">
        <v>1918</v>
      </c>
      <c r="D536" s="53"/>
      <c r="E536" s="54"/>
      <c r="F536" s="53">
        <v>1</v>
      </c>
      <c r="G536" s="54">
        <v>0</v>
      </c>
      <c r="H536" s="53"/>
      <c r="I536" s="55"/>
      <c r="J536"/>
      <c r="K536"/>
      <c r="L536"/>
      <c r="M536"/>
      <c r="N536"/>
      <c r="O536"/>
      <c r="P536"/>
      <c r="Q536"/>
    </row>
    <row r="537" spans="1:17" ht="28.8" x14ac:dyDescent="0.3">
      <c r="A537" s="19" t="s">
        <v>1380</v>
      </c>
      <c r="B537" s="19" t="s">
        <v>423</v>
      </c>
      <c r="C537" s="19" t="s">
        <v>1918</v>
      </c>
      <c r="D537" s="53"/>
      <c r="E537" s="54"/>
      <c r="F537" s="53">
        <v>1</v>
      </c>
      <c r="G537" s="54">
        <v>0</v>
      </c>
      <c r="H537" s="53"/>
      <c r="I537" s="55"/>
      <c r="J537"/>
      <c r="K537"/>
      <c r="L537"/>
      <c r="M537"/>
      <c r="N537"/>
      <c r="O537"/>
      <c r="P537"/>
      <c r="Q537"/>
    </row>
    <row r="538" spans="1:17" ht="15.6" x14ac:dyDescent="0.3">
      <c r="A538" s="19" t="s">
        <v>1381</v>
      </c>
      <c r="B538" s="19" t="s">
        <v>424</v>
      </c>
      <c r="C538" s="19" t="s">
        <v>1918</v>
      </c>
      <c r="D538" s="53"/>
      <c r="E538" s="54"/>
      <c r="F538" s="53">
        <v>2</v>
      </c>
      <c r="G538" s="54">
        <v>0</v>
      </c>
      <c r="H538" s="53"/>
      <c r="I538" s="55"/>
      <c r="J538"/>
      <c r="K538"/>
      <c r="L538"/>
      <c r="M538"/>
      <c r="N538"/>
      <c r="O538"/>
      <c r="P538"/>
      <c r="Q538"/>
    </row>
    <row r="539" spans="1:17" ht="15.6" x14ac:dyDescent="0.3">
      <c r="A539" s="19" t="s">
        <v>1382</v>
      </c>
      <c r="B539" s="19" t="s">
        <v>425</v>
      </c>
      <c r="C539" s="19" t="s">
        <v>1918</v>
      </c>
      <c r="D539" s="53"/>
      <c r="E539" s="54"/>
      <c r="F539" s="53">
        <v>3.75</v>
      </c>
      <c r="G539" s="54">
        <v>0</v>
      </c>
      <c r="H539" s="53"/>
      <c r="I539" s="55"/>
      <c r="J539"/>
      <c r="K539"/>
      <c r="L539"/>
      <c r="M539"/>
      <c r="N539"/>
      <c r="O539"/>
      <c r="P539"/>
      <c r="Q539"/>
    </row>
    <row r="540" spans="1:17" ht="15.6" x14ac:dyDescent="0.3">
      <c r="A540" s="19" t="s">
        <v>1383</v>
      </c>
      <c r="B540" s="19" t="s">
        <v>426</v>
      </c>
      <c r="C540" s="19" t="s">
        <v>1918</v>
      </c>
      <c r="D540" s="53"/>
      <c r="E540" s="54"/>
      <c r="F540" s="53">
        <v>1</v>
      </c>
      <c r="G540" s="54">
        <v>0</v>
      </c>
      <c r="H540" s="53"/>
      <c r="I540" s="55"/>
      <c r="J540"/>
      <c r="K540"/>
      <c r="L540"/>
      <c r="M540"/>
      <c r="N540"/>
      <c r="O540"/>
      <c r="P540"/>
      <c r="Q540"/>
    </row>
    <row r="541" spans="1:17" ht="28.8" x14ac:dyDescent="0.3">
      <c r="A541" s="19" t="s">
        <v>1384</v>
      </c>
      <c r="B541" s="19" t="s">
        <v>427</v>
      </c>
      <c r="C541" s="19" t="s">
        <v>1918</v>
      </c>
      <c r="D541" s="53"/>
      <c r="E541" s="54"/>
      <c r="F541" s="53">
        <v>1</v>
      </c>
      <c r="G541" s="54">
        <v>0</v>
      </c>
      <c r="H541" s="53"/>
      <c r="I541" s="55"/>
      <c r="J541"/>
      <c r="K541"/>
      <c r="L541"/>
      <c r="M541"/>
      <c r="N541"/>
      <c r="O541"/>
      <c r="P541"/>
      <c r="Q541"/>
    </row>
    <row r="542" spans="1:17" ht="15.6" x14ac:dyDescent="0.3">
      <c r="A542" s="19" t="s">
        <v>1385</v>
      </c>
      <c r="B542" s="19" t="s">
        <v>428</v>
      </c>
      <c r="C542" s="19" t="s">
        <v>1918</v>
      </c>
      <c r="D542" s="53"/>
      <c r="E542" s="54"/>
      <c r="F542" s="53">
        <v>8</v>
      </c>
      <c r="G542" s="54">
        <v>0</v>
      </c>
      <c r="H542" s="53"/>
      <c r="I542" s="55"/>
      <c r="J542"/>
      <c r="K542"/>
      <c r="L542"/>
      <c r="M542"/>
      <c r="N542"/>
      <c r="O542"/>
      <c r="P542"/>
      <c r="Q542"/>
    </row>
    <row r="543" spans="1:17" ht="15.6" x14ac:dyDescent="0.3">
      <c r="A543" s="19" t="s">
        <v>1386</v>
      </c>
      <c r="B543" s="19" t="s">
        <v>429</v>
      </c>
      <c r="C543" s="19" t="s">
        <v>1918</v>
      </c>
      <c r="D543" s="53"/>
      <c r="E543" s="54"/>
      <c r="F543" s="53">
        <v>2</v>
      </c>
      <c r="G543" s="54">
        <v>0</v>
      </c>
      <c r="H543" s="53"/>
      <c r="I543" s="55"/>
      <c r="J543"/>
      <c r="K543"/>
      <c r="L543"/>
      <c r="M543"/>
      <c r="N543"/>
      <c r="O543"/>
      <c r="P543"/>
      <c r="Q543"/>
    </row>
    <row r="544" spans="1:17" ht="15.6" x14ac:dyDescent="0.3">
      <c r="A544" s="19" t="s">
        <v>1387</v>
      </c>
      <c r="B544" s="19" t="s">
        <v>430</v>
      </c>
      <c r="C544" s="19" t="s">
        <v>1918</v>
      </c>
      <c r="D544" s="53"/>
      <c r="E544" s="54"/>
      <c r="F544" s="53">
        <v>1</v>
      </c>
      <c r="G544" s="54">
        <v>0</v>
      </c>
      <c r="H544" s="53"/>
      <c r="I544" s="55"/>
      <c r="J544"/>
      <c r="K544"/>
      <c r="L544"/>
      <c r="M544"/>
      <c r="N544"/>
      <c r="O544"/>
      <c r="P544"/>
      <c r="Q544"/>
    </row>
    <row r="545" spans="1:17" ht="15.6" x14ac:dyDescent="0.3">
      <c r="A545" s="19" t="s">
        <v>1388</v>
      </c>
      <c r="B545" s="19" t="s">
        <v>431</v>
      </c>
      <c r="C545" s="19" t="s">
        <v>1918</v>
      </c>
      <c r="D545" s="53"/>
      <c r="E545" s="54"/>
      <c r="F545" s="53">
        <v>3</v>
      </c>
      <c r="G545" s="54">
        <v>0</v>
      </c>
      <c r="H545" s="53"/>
      <c r="I545" s="55"/>
      <c r="J545"/>
      <c r="K545"/>
      <c r="L545"/>
      <c r="M545"/>
      <c r="N545"/>
      <c r="O545"/>
      <c r="P545"/>
      <c r="Q545"/>
    </row>
    <row r="546" spans="1:17" ht="15.6" x14ac:dyDescent="0.3">
      <c r="A546" s="19" t="s">
        <v>1389</v>
      </c>
      <c r="B546" s="19" t="s">
        <v>432</v>
      </c>
      <c r="C546" s="19" t="s">
        <v>1918</v>
      </c>
      <c r="D546" s="53"/>
      <c r="E546" s="54"/>
      <c r="F546" s="53">
        <v>2</v>
      </c>
      <c r="G546" s="54">
        <v>0</v>
      </c>
      <c r="H546" s="53"/>
      <c r="I546" s="55"/>
      <c r="J546"/>
      <c r="K546"/>
      <c r="L546"/>
      <c r="M546"/>
      <c r="N546"/>
      <c r="O546"/>
      <c r="P546"/>
      <c r="Q546"/>
    </row>
    <row r="547" spans="1:17" ht="15.6" x14ac:dyDescent="0.3">
      <c r="A547" s="19" t="s">
        <v>1390</v>
      </c>
      <c r="B547" s="19" t="s">
        <v>433</v>
      </c>
      <c r="C547" s="19" t="s">
        <v>1918</v>
      </c>
      <c r="D547" s="53"/>
      <c r="E547" s="54"/>
      <c r="F547" s="53">
        <v>25</v>
      </c>
      <c r="G547" s="54">
        <v>0</v>
      </c>
      <c r="H547" s="53"/>
      <c r="I547" s="55"/>
      <c r="J547"/>
      <c r="K547"/>
      <c r="L547"/>
      <c r="M547"/>
      <c r="N547"/>
      <c r="O547"/>
      <c r="P547"/>
      <c r="Q547"/>
    </row>
    <row r="548" spans="1:17" ht="15.6" x14ac:dyDescent="0.3">
      <c r="A548" s="19" t="s">
        <v>1391</v>
      </c>
      <c r="B548" s="19" t="s">
        <v>434</v>
      </c>
      <c r="C548" s="19" t="s">
        <v>1918</v>
      </c>
      <c r="D548" s="53"/>
      <c r="E548" s="54"/>
      <c r="F548" s="53">
        <v>1</v>
      </c>
      <c r="G548" s="54">
        <v>0</v>
      </c>
      <c r="H548" s="53"/>
      <c r="I548" s="55"/>
      <c r="J548"/>
      <c r="K548"/>
      <c r="L548"/>
      <c r="M548"/>
      <c r="N548"/>
      <c r="O548"/>
      <c r="P548"/>
      <c r="Q548"/>
    </row>
    <row r="549" spans="1:17" ht="15.6" x14ac:dyDescent="0.3">
      <c r="A549" s="19" t="s">
        <v>1392</v>
      </c>
      <c r="B549" s="19" t="s">
        <v>435</v>
      </c>
      <c r="C549" s="19" t="s">
        <v>1918</v>
      </c>
      <c r="D549" s="53"/>
      <c r="E549" s="54"/>
      <c r="F549" s="53">
        <v>2</v>
      </c>
      <c r="G549" s="54">
        <v>0</v>
      </c>
      <c r="H549" s="53"/>
      <c r="I549" s="55"/>
      <c r="J549"/>
      <c r="K549"/>
      <c r="L549"/>
      <c r="M549"/>
      <c r="N549"/>
      <c r="O549"/>
      <c r="P549"/>
      <c r="Q549"/>
    </row>
    <row r="550" spans="1:17" ht="15.6" x14ac:dyDescent="0.3">
      <c r="A550" s="19" t="s">
        <v>1393</v>
      </c>
      <c r="B550" s="19" t="s">
        <v>436</v>
      </c>
      <c r="C550" s="19" t="s">
        <v>1918</v>
      </c>
      <c r="D550" s="53"/>
      <c r="E550" s="54"/>
      <c r="F550" s="53">
        <v>4</v>
      </c>
      <c r="G550" s="54">
        <v>0</v>
      </c>
      <c r="H550" s="53"/>
      <c r="I550" s="55"/>
      <c r="J550"/>
      <c r="K550"/>
      <c r="L550"/>
      <c r="M550"/>
      <c r="N550"/>
      <c r="O550"/>
      <c r="P550"/>
      <c r="Q550"/>
    </row>
    <row r="551" spans="1:17" ht="15.6" x14ac:dyDescent="0.3">
      <c r="A551" s="47" t="s">
        <v>1394</v>
      </c>
      <c r="B551" s="47" t="s">
        <v>437</v>
      </c>
      <c r="C551" s="19" t="s">
        <v>1918</v>
      </c>
      <c r="D551" s="53"/>
      <c r="E551" s="54"/>
      <c r="F551" s="53">
        <v>2</v>
      </c>
      <c r="G551" s="54">
        <v>0</v>
      </c>
      <c r="H551" s="53"/>
      <c r="I551" s="55"/>
      <c r="J551"/>
      <c r="K551"/>
      <c r="L551"/>
      <c r="M551"/>
      <c r="N551"/>
      <c r="O551"/>
      <c r="P551"/>
      <c r="Q551"/>
    </row>
    <row r="552" spans="1:17" ht="15.6" x14ac:dyDescent="0.3">
      <c r="A552" s="48" t="s">
        <v>1394</v>
      </c>
      <c r="B552" s="48" t="s">
        <v>437</v>
      </c>
      <c r="C552" s="23" t="s">
        <v>910</v>
      </c>
      <c r="D552" s="56"/>
      <c r="E552" s="51"/>
      <c r="F552" s="56">
        <v>2</v>
      </c>
      <c r="G552" s="51">
        <v>0</v>
      </c>
      <c r="H552" s="56">
        <v>5</v>
      </c>
      <c r="I552" s="57">
        <v>0</v>
      </c>
      <c r="J552"/>
      <c r="K552"/>
      <c r="L552"/>
      <c r="M552"/>
      <c r="N552"/>
      <c r="O552"/>
      <c r="P552"/>
      <c r="Q552"/>
    </row>
    <row r="553" spans="1:17" ht="15.6" x14ac:dyDescent="0.3">
      <c r="A553" s="19" t="s">
        <v>1395</v>
      </c>
      <c r="B553" s="19" t="s">
        <v>438</v>
      </c>
      <c r="C553" s="19" t="s">
        <v>1918</v>
      </c>
      <c r="D553" s="53"/>
      <c r="E553" s="54"/>
      <c r="F553" s="53">
        <v>1</v>
      </c>
      <c r="G553" s="54">
        <v>0</v>
      </c>
      <c r="H553" s="53"/>
      <c r="I553" s="55"/>
      <c r="J553"/>
      <c r="K553"/>
      <c r="L553"/>
      <c r="M553"/>
      <c r="N553"/>
      <c r="O553"/>
      <c r="P553"/>
      <c r="Q553"/>
    </row>
    <row r="554" spans="1:17" ht="15.6" x14ac:dyDescent="0.3">
      <c r="A554" s="19" t="s">
        <v>1396</v>
      </c>
      <c r="B554" s="19" t="s">
        <v>439</v>
      </c>
      <c r="C554" s="19" t="s">
        <v>1918</v>
      </c>
      <c r="D554" s="53"/>
      <c r="E554" s="54"/>
      <c r="F554" s="53">
        <v>1</v>
      </c>
      <c r="G554" s="54">
        <v>0</v>
      </c>
      <c r="H554" s="53"/>
      <c r="I554" s="55"/>
      <c r="J554"/>
      <c r="K554"/>
      <c r="L554"/>
      <c r="M554"/>
      <c r="N554"/>
      <c r="O554"/>
      <c r="P554"/>
      <c r="Q554"/>
    </row>
    <row r="555" spans="1:17" ht="15.6" x14ac:dyDescent="0.3">
      <c r="A555" s="19" t="s">
        <v>1397</v>
      </c>
      <c r="B555" s="19" t="s">
        <v>440</v>
      </c>
      <c r="C555" s="19" t="s">
        <v>1918</v>
      </c>
      <c r="D555" s="53"/>
      <c r="E555" s="54"/>
      <c r="F555" s="53">
        <v>1</v>
      </c>
      <c r="G555" s="54">
        <v>0</v>
      </c>
      <c r="H555" s="53"/>
      <c r="I555" s="55"/>
      <c r="J555"/>
      <c r="K555"/>
      <c r="L555"/>
      <c r="M555"/>
      <c r="N555"/>
      <c r="O555"/>
      <c r="P555"/>
      <c r="Q555"/>
    </row>
    <row r="556" spans="1:17" ht="15.6" x14ac:dyDescent="0.3">
      <c r="A556" s="19" t="s">
        <v>1398</v>
      </c>
      <c r="B556" s="19" t="s">
        <v>441</v>
      </c>
      <c r="C556" s="19" t="s">
        <v>1918</v>
      </c>
      <c r="D556" s="53"/>
      <c r="E556" s="54"/>
      <c r="F556" s="53">
        <v>1</v>
      </c>
      <c r="G556" s="54">
        <v>0</v>
      </c>
      <c r="H556" s="53"/>
      <c r="I556" s="55"/>
      <c r="J556"/>
      <c r="K556"/>
      <c r="L556"/>
      <c r="M556"/>
      <c r="N556"/>
      <c r="O556"/>
      <c r="P556"/>
      <c r="Q556"/>
    </row>
    <row r="557" spans="1:17" ht="15.6" x14ac:dyDescent="0.3">
      <c r="A557" s="19" t="s">
        <v>1399</v>
      </c>
      <c r="B557" s="19" t="s">
        <v>442</v>
      </c>
      <c r="C557" s="19" t="s">
        <v>1918</v>
      </c>
      <c r="D557" s="53"/>
      <c r="E557" s="54"/>
      <c r="F557" s="53">
        <v>1</v>
      </c>
      <c r="G557" s="54">
        <v>0</v>
      </c>
      <c r="H557" s="53"/>
      <c r="I557" s="55"/>
      <c r="J557"/>
      <c r="K557"/>
      <c r="L557"/>
      <c r="M557"/>
      <c r="N557"/>
      <c r="O557"/>
      <c r="P557"/>
      <c r="Q557"/>
    </row>
    <row r="558" spans="1:17" ht="15.6" x14ac:dyDescent="0.3">
      <c r="A558" s="19" t="s">
        <v>1400</v>
      </c>
      <c r="B558" s="19" t="s">
        <v>443</v>
      </c>
      <c r="C558" s="19" t="s">
        <v>1918</v>
      </c>
      <c r="D558" s="53"/>
      <c r="E558" s="54"/>
      <c r="F558" s="53">
        <v>2</v>
      </c>
      <c r="G558" s="54">
        <v>0</v>
      </c>
      <c r="H558" s="53"/>
      <c r="I558" s="55"/>
      <c r="J558"/>
      <c r="K558"/>
      <c r="L558"/>
      <c r="M558"/>
      <c r="N558"/>
      <c r="O558"/>
      <c r="P558"/>
      <c r="Q558"/>
    </row>
    <row r="559" spans="1:17" ht="15.6" x14ac:dyDescent="0.3">
      <c r="A559" s="19" t="s">
        <v>1401</v>
      </c>
      <c r="B559" s="19" t="s">
        <v>444</v>
      </c>
      <c r="C559" s="19" t="s">
        <v>1918</v>
      </c>
      <c r="D559" s="53"/>
      <c r="E559" s="54"/>
      <c r="F559" s="53">
        <v>3</v>
      </c>
      <c r="G559" s="54">
        <v>0</v>
      </c>
      <c r="H559" s="53"/>
      <c r="I559" s="55"/>
      <c r="J559"/>
      <c r="K559"/>
      <c r="L559"/>
      <c r="M559"/>
      <c r="N559"/>
      <c r="O559"/>
      <c r="P559"/>
      <c r="Q559"/>
    </row>
    <row r="560" spans="1:17" ht="15.6" x14ac:dyDescent="0.3">
      <c r="A560" s="19" t="s">
        <v>1402</v>
      </c>
      <c r="B560" s="19" t="s">
        <v>445</v>
      </c>
      <c r="C560" s="19" t="s">
        <v>1918</v>
      </c>
      <c r="D560" s="53"/>
      <c r="E560" s="54"/>
      <c r="F560" s="53">
        <v>2</v>
      </c>
      <c r="G560" s="54">
        <v>0</v>
      </c>
      <c r="H560" s="53"/>
      <c r="I560" s="55"/>
      <c r="J560"/>
      <c r="K560"/>
      <c r="L560"/>
      <c r="M560"/>
      <c r="N560"/>
      <c r="O560"/>
      <c r="P560"/>
      <c r="Q560"/>
    </row>
    <row r="561" spans="1:17" ht="15.6" x14ac:dyDescent="0.3">
      <c r="A561" s="19" t="s">
        <v>1403</v>
      </c>
      <c r="B561" s="19" t="s">
        <v>446</v>
      </c>
      <c r="C561" s="19" t="s">
        <v>1918</v>
      </c>
      <c r="D561" s="53"/>
      <c r="E561" s="54"/>
      <c r="F561" s="53">
        <v>1</v>
      </c>
      <c r="G561" s="54">
        <v>0</v>
      </c>
      <c r="H561" s="53"/>
      <c r="I561" s="55"/>
      <c r="J561"/>
      <c r="K561"/>
      <c r="L561"/>
      <c r="M561"/>
      <c r="N561"/>
      <c r="O561"/>
      <c r="P561"/>
      <c r="Q561"/>
    </row>
    <row r="562" spans="1:17" ht="15.6" x14ac:dyDescent="0.3">
      <c r="A562" s="19" t="s">
        <v>1404</v>
      </c>
      <c r="B562" s="19" t="s">
        <v>447</v>
      </c>
      <c r="C562" s="19" t="s">
        <v>1918</v>
      </c>
      <c r="D562" s="53"/>
      <c r="E562" s="54"/>
      <c r="F562" s="53">
        <v>1</v>
      </c>
      <c r="G562" s="54">
        <v>0</v>
      </c>
      <c r="H562" s="53"/>
      <c r="I562" s="55"/>
      <c r="J562"/>
      <c r="K562"/>
      <c r="L562"/>
      <c r="M562"/>
      <c r="N562"/>
      <c r="O562"/>
      <c r="P562"/>
      <c r="Q562"/>
    </row>
    <row r="563" spans="1:17" ht="15.6" x14ac:dyDescent="0.3">
      <c r="A563" s="19" t="s">
        <v>1405</v>
      </c>
      <c r="B563" s="19" t="s">
        <v>448</v>
      </c>
      <c r="C563" s="19" t="s">
        <v>1918</v>
      </c>
      <c r="D563" s="53"/>
      <c r="E563" s="54"/>
      <c r="F563" s="53">
        <v>1</v>
      </c>
      <c r="G563" s="54">
        <v>0</v>
      </c>
      <c r="H563" s="53"/>
      <c r="I563" s="55"/>
      <c r="J563"/>
      <c r="K563"/>
      <c r="L563"/>
      <c r="M563"/>
      <c r="N563"/>
      <c r="O563"/>
      <c r="P563"/>
      <c r="Q563"/>
    </row>
    <row r="564" spans="1:17" ht="15.6" x14ac:dyDescent="0.3">
      <c r="A564" s="19" t="s">
        <v>1406</v>
      </c>
      <c r="B564" s="19" t="s">
        <v>449</v>
      </c>
      <c r="C564" s="19" t="s">
        <v>1918</v>
      </c>
      <c r="D564" s="53"/>
      <c r="E564" s="54"/>
      <c r="F564" s="53">
        <v>1</v>
      </c>
      <c r="G564" s="54">
        <v>0</v>
      </c>
      <c r="H564" s="53"/>
      <c r="I564" s="55"/>
      <c r="J564"/>
      <c r="K564"/>
      <c r="L564"/>
      <c r="M564"/>
      <c r="N564"/>
      <c r="O564"/>
      <c r="P564"/>
      <c r="Q564"/>
    </row>
    <row r="565" spans="1:17" ht="15.6" x14ac:dyDescent="0.3">
      <c r="A565" s="19" t="s">
        <v>1407</v>
      </c>
      <c r="B565" s="19" t="s">
        <v>450</v>
      </c>
      <c r="C565" s="19" t="s">
        <v>1918</v>
      </c>
      <c r="D565" s="53"/>
      <c r="E565" s="54"/>
      <c r="F565" s="53">
        <v>2</v>
      </c>
      <c r="G565" s="54">
        <v>0</v>
      </c>
      <c r="H565" s="53"/>
      <c r="I565" s="55"/>
      <c r="J565"/>
      <c r="K565"/>
      <c r="L565"/>
      <c r="M565"/>
      <c r="N565"/>
      <c r="O565"/>
      <c r="P565"/>
      <c r="Q565"/>
    </row>
    <row r="566" spans="1:17" ht="15.6" x14ac:dyDescent="0.3">
      <c r="A566" s="19" t="s">
        <v>1408</v>
      </c>
      <c r="B566" s="19" t="s">
        <v>451</v>
      </c>
      <c r="C566" s="19" t="s">
        <v>1918</v>
      </c>
      <c r="D566" s="53"/>
      <c r="E566" s="54"/>
      <c r="F566" s="53">
        <v>1</v>
      </c>
      <c r="G566" s="54">
        <v>0</v>
      </c>
      <c r="H566" s="53"/>
      <c r="I566" s="55"/>
      <c r="J566"/>
      <c r="K566"/>
      <c r="L566"/>
      <c r="M566"/>
      <c r="N566"/>
      <c r="O566"/>
      <c r="P566"/>
      <c r="Q566"/>
    </row>
    <row r="567" spans="1:17" ht="15.6" x14ac:dyDescent="0.3">
      <c r="A567" s="19" t="s">
        <v>1409</v>
      </c>
      <c r="B567" s="19" t="s">
        <v>452</v>
      </c>
      <c r="C567" s="19" t="s">
        <v>1918</v>
      </c>
      <c r="D567" s="53"/>
      <c r="E567" s="54"/>
      <c r="F567" s="53">
        <v>1</v>
      </c>
      <c r="G567" s="54">
        <v>0</v>
      </c>
      <c r="H567" s="53"/>
      <c r="I567" s="55"/>
      <c r="J567"/>
      <c r="K567"/>
      <c r="L567"/>
      <c r="M567"/>
      <c r="N567"/>
      <c r="O567"/>
      <c r="P567"/>
      <c r="Q567"/>
    </row>
    <row r="568" spans="1:17" ht="15.6" x14ac:dyDescent="0.3">
      <c r="A568" s="19" t="s">
        <v>1410</v>
      </c>
      <c r="B568" s="19" t="s">
        <v>453</v>
      </c>
      <c r="C568" s="19" t="s">
        <v>1918</v>
      </c>
      <c r="D568" s="53"/>
      <c r="E568" s="54"/>
      <c r="F568" s="53">
        <v>1</v>
      </c>
      <c r="G568" s="54">
        <v>0</v>
      </c>
      <c r="H568" s="53"/>
      <c r="I568" s="55"/>
      <c r="J568"/>
      <c r="K568"/>
      <c r="L568"/>
      <c r="M568"/>
      <c r="N568"/>
      <c r="O568"/>
      <c r="P568"/>
      <c r="Q568"/>
    </row>
    <row r="569" spans="1:17" ht="15.6" x14ac:dyDescent="0.3">
      <c r="A569" s="19" t="s">
        <v>1411</v>
      </c>
      <c r="B569" s="19" t="s">
        <v>454</v>
      </c>
      <c r="C569" s="19" t="s">
        <v>1918</v>
      </c>
      <c r="D569" s="53"/>
      <c r="E569" s="54"/>
      <c r="F569" s="53">
        <v>2</v>
      </c>
      <c r="G569" s="54">
        <v>0</v>
      </c>
      <c r="H569" s="53"/>
      <c r="I569" s="55"/>
      <c r="J569"/>
      <c r="K569"/>
      <c r="L569"/>
      <c r="M569"/>
      <c r="N569"/>
      <c r="O569"/>
      <c r="P569"/>
      <c r="Q569"/>
    </row>
    <row r="570" spans="1:17" ht="28.8" x14ac:dyDescent="0.3">
      <c r="A570" s="19" t="s">
        <v>1412</v>
      </c>
      <c r="B570" s="19" t="s">
        <v>455</v>
      </c>
      <c r="C570" s="19" t="s">
        <v>1918</v>
      </c>
      <c r="D570" s="53"/>
      <c r="E570" s="54"/>
      <c r="F570" s="53">
        <v>1</v>
      </c>
      <c r="G570" s="54">
        <v>0</v>
      </c>
      <c r="H570" s="53"/>
      <c r="I570" s="55"/>
      <c r="J570"/>
      <c r="K570"/>
      <c r="L570"/>
      <c r="M570"/>
      <c r="N570"/>
      <c r="O570"/>
      <c r="P570"/>
      <c r="Q570"/>
    </row>
    <row r="571" spans="1:17" ht="15.6" x14ac:dyDescent="0.3">
      <c r="A571" s="19" t="s">
        <v>1413</v>
      </c>
      <c r="B571" s="19" t="s">
        <v>456</v>
      </c>
      <c r="C571" s="19" t="s">
        <v>1918</v>
      </c>
      <c r="D571" s="53"/>
      <c r="E571" s="54"/>
      <c r="F571" s="53">
        <v>29</v>
      </c>
      <c r="G571" s="54">
        <v>0</v>
      </c>
      <c r="H571" s="53"/>
      <c r="I571" s="55"/>
      <c r="J571"/>
      <c r="K571"/>
      <c r="L571"/>
      <c r="M571"/>
      <c r="N571"/>
      <c r="O571"/>
      <c r="P571"/>
      <c r="Q571"/>
    </row>
    <row r="572" spans="1:17" ht="15.6" x14ac:dyDescent="0.3">
      <c r="A572" s="19" t="s">
        <v>1414</v>
      </c>
      <c r="B572" s="19" t="s">
        <v>457</v>
      </c>
      <c r="C572" s="19" t="s">
        <v>1918</v>
      </c>
      <c r="D572" s="53"/>
      <c r="E572" s="54"/>
      <c r="F572" s="53">
        <v>1</v>
      </c>
      <c r="G572" s="54">
        <v>0</v>
      </c>
      <c r="H572" s="53"/>
      <c r="I572" s="55"/>
      <c r="J572"/>
      <c r="K572"/>
      <c r="L572"/>
      <c r="M572"/>
      <c r="N572"/>
      <c r="O572"/>
      <c r="P572"/>
      <c r="Q572"/>
    </row>
    <row r="573" spans="1:17" ht="15.6" x14ac:dyDescent="0.3">
      <c r="A573" s="19" t="s">
        <v>1415</v>
      </c>
      <c r="B573" s="19" t="s">
        <v>458</v>
      </c>
      <c r="C573" s="19" t="s">
        <v>1918</v>
      </c>
      <c r="D573" s="53"/>
      <c r="E573" s="54"/>
      <c r="F573" s="53">
        <v>1</v>
      </c>
      <c r="G573" s="54">
        <v>0</v>
      </c>
      <c r="H573" s="53"/>
      <c r="I573" s="55"/>
      <c r="J573"/>
      <c r="K573"/>
      <c r="L573"/>
      <c r="M573"/>
      <c r="N573"/>
      <c r="O573"/>
      <c r="P573"/>
      <c r="Q573"/>
    </row>
    <row r="574" spans="1:17" ht="15.6" x14ac:dyDescent="0.3">
      <c r="A574" s="19" t="s">
        <v>1416</v>
      </c>
      <c r="B574" s="19" t="s">
        <v>459</v>
      </c>
      <c r="C574" s="19" t="s">
        <v>1918</v>
      </c>
      <c r="D574" s="53"/>
      <c r="E574" s="54"/>
      <c r="F574" s="53">
        <v>6</v>
      </c>
      <c r="G574" s="54">
        <v>0</v>
      </c>
      <c r="H574" s="53"/>
      <c r="I574" s="55"/>
      <c r="J574"/>
      <c r="K574"/>
      <c r="L574"/>
      <c r="M574"/>
      <c r="N574"/>
      <c r="O574"/>
      <c r="P574"/>
      <c r="Q574"/>
    </row>
    <row r="575" spans="1:17" ht="15.6" x14ac:dyDescent="0.3">
      <c r="A575" s="19" t="s">
        <v>1417</v>
      </c>
      <c r="B575" s="19" t="s">
        <v>460</v>
      </c>
      <c r="C575" s="19" t="s">
        <v>1918</v>
      </c>
      <c r="D575" s="53"/>
      <c r="E575" s="54"/>
      <c r="F575" s="53">
        <v>22</v>
      </c>
      <c r="G575" s="54">
        <v>0</v>
      </c>
      <c r="H575" s="53"/>
      <c r="I575" s="55"/>
      <c r="J575"/>
      <c r="K575"/>
      <c r="L575"/>
      <c r="M575"/>
      <c r="N575"/>
      <c r="O575"/>
      <c r="P575"/>
      <c r="Q575"/>
    </row>
    <row r="576" spans="1:17" ht="15.6" x14ac:dyDescent="0.3">
      <c r="A576" s="19" t="s">
        <v>1418</v>
      </c>
      <c r="B576" s="19" t="s">
        <v>461</v>
      </c>
      <c r="C576" s="19" t="s">
        <v>1918</v>
      </c>
      <c r="D576" s="53"/>
      <c r="E576" s="54"/>
      <c r="F576" s="53">
        <v>4</v>
      </c>
      <c r="G576" s="54">
        <v>0</v>
      </c>
      <c r="H576" s="53"/>
      <c r="I576" s="55"/>
      <c r="J576"/>
      <c r="K576"/>
      <c r="L576"/>
      <c r="M576"/>
      <c r="N576"/>
      <c r="O576"/>
      <c r="P576"/>
      <c r="Q576"/>
    </row>
    <row r="577" spans="1:17" ht="15.6" x14ac:dyDescent="0.3">
      <c r="A577" s="19" t="s">
        <v>1419</v>
      </c>
      <c r="B577" s="19" t="s">
        <v>462</v>
      </c>
      <c r="C577" s="19" t="s">
        <v>1918</v>
      </c>
      <c r="D577" s="53"/>
      <c r="E577" s="54"/>
      <c r="F577" s="53">
        <v>9</v>
      </c>
      <c r="G577" s="54">
        <v>0</v>
      </c>
      <c r="H577" s="53"/>
      <c r="I577" s="55"/>
      <c r="J577"/>
      <c r="K577"/>
      <c r="L577"/>
      <c r="M577"/>
      <c r="N577"/>
      <c r="O577"/>
      <c r="P577"/>
      <c r="Q577"/>
    </row>
    <row r="578" spans="1:17" ht="15.6" x14ac:dyDescent="0.3">
      <c r="A578" s="19" t="s">
        <v>1420</v>
      </c>
      <c r="B578" s="19" t="s">
        <v>463</v>
      </c>
      <c r="C578" s="19" t="s">
        <v>1918</v>
      </c>
      <c r="D578" s="53"/>
      <c r="E578" s="54"/>
      <c r="F578" s="53">
        <v>1</v>
      </c>
      <c r="G578" s="54">
        <v>0</v>
      </c>
      <c r="H578" s="53"/>
      <c r="I578" s="55"/>
      <c r="J578"/>
      <c r="K578"/>
      <c r="L578"/>
      <c r="M578"/>
      <c r="N578"/>
      <c r="O578"/>
      <c r="P578"/>
      <c r="Q578"/>
    </row>
    <row r="579" spans="1:17" ht="15.6" x14ac:dyDescent="0.3">
      <c r="A579" s="19" t="s">
        <v>1421</v>
      </c>
      <c r="B579" s="19" t="s">
        <v>464</v>
      </c>
      <c r="C579" s="19" t="s">
        <v>1918</v>
      </c>
      <c r="D579" s="53"/>
      <c r="E579" s="54"/>
      <c r="F579" s="53">
        <v>2</v>
      </c>
      <c r="G579" s="54">
        <v>0</v>
      </c>
      <c r="H579" s="53"/>
      <c r="I579" s="55"/>
      <c r="J579"/>
      <c r="K579"/>
      <c r="L579"/>
      <c r="M579"/>
      <c r="N579"/>
      <c r="O579"/>
      <c r="P579"/>
      <c r="Q579"/>
    </row>
    <row r="580" spans="1:17" ht="15.6" x14ac:dyDescent="0.3">
      <c r="A580" s="19" t="s">
        <v>1422</v>
      </c>
      <c r="B580" s="19" t="s">
        <v>465</v>
      </c>
      <c r="C580" s="19" t="s">
        <v>1918</v>
      </c>
      <c r="D580" s="53"/>
      <c r="E580" s="54"/>
      <c r="F580" s="53">
        <v>1</v>
      </c>
      <c r="G580" s="54">
        <v>0</v>
      </c>
      <c r="H580" s="53"/>
      <c r="I580" s="55"/>
      <c r="J580"/>
      <c r="K580"/>
      <c r="L580"/>
      <c r="M580"/>
      <c r="N580"/>
      <c r="O580"/>
      <c r="P580"/>
      <c r="Q580"/>
    </row>
    <row r="581" spans="1:17" ht="15.6" x14ac:dyDescent="0.3">
      <c r="A581" s="19" t="s">
        <v>1423</v>
      </c>
      <c r="B581" s="19" t="s">
        <v>466</v>
      </c>
      <c r="C581" s="19" t="s">
        <v>1918</v>
      </c>
      <c r="D581" s="53"/>
      <c r="E581" s="54"/>
      <c r="F581" s="53">
        <v>1</v>
      </c>
      <c r="G581" s="54">
        <v>0</v>
      </c>
      <c r="H581" s="53"/>
      <c r="I581" s="55"/>
      <c r="J581"/>
      <c r="K581"/>
      <c r="L581"/>
      <c r="M581"/>
      <c r="N581"/>
      <c r="O581"/>
      <c r="P581"/>
      <c r="Q581"/>
    </row>
    <row r="582" spans="1:17" ht="15.6" x14ac:dyDescent="0.3">
      <c r="A582" s="19" t="s">
        <v>1424</v>
      </c>
      <c r="B582" s="19" t="s">
        <v>467</v>
      </c>
      <c r="C582" s="19" t="s">
        <v>1918</v>
      </c>
      <c r="D582" s="53"/>
      <c r="E582" s="54"/>
      <c r="F582" s="53">
        <v>3</v>
      </c>
      <c r="G582" s="54">
        <v>0</v>
      </c>
      <c r="H582" s="53"/>
      <c r="I582" s="55"/>
      <c r="J582"/>
      <c r="K582"/>
      <c r="L582"/>
      <c r="M582"/>
      <c r="N582"/>
      <c r="O582"/>
      <c r="P582"/>
      <c r="Q582"/>
    </row>
    <row r="583" spans="1:17" ht="15.6" x14ac:dyDescent="0.3">
      <c r="A583" s="19" t="s">
        <v>1425</v>
      </c>
      <c r="B583" s="19" t="s">
        <v>468</v>
      </c>
      <c r="C583" s="19" t="s">
        <v>1918</v>
      </c>
      <c r="D583" s="53"/>
      <c r="E583" s="54"/>
      <c r="F583" s="53">
        <v>1</v>
      </c>
      <c r="G583" s="54">
        <v>0</v>
      </c>
      <c r="H583" s="53"/>
      <c r="I583" s="55"/>
      <c r="J583"/>
      <c r="K583"/>
      <c r="L583"/>
      <c r="M583"/>
      <c r="N583"/>
      <c r="O583"/>
      <c r="P583"/>
      <c r="Q583"/>
    </row>
    <row r="584" spans="1:17" ht="15.6" x14ac:dyDescent="0.3">
      <c r="A584" s="19" t="s">
        <v>1426</v>
      </c>
      <c r="B584" s="19" t="s">
        <v>469</v>
      </c>
      <c r="C584" s="19" t="s">
        <v>1918</v>
      </c>
      <c r="D584" s="53"/>
      <c r="E584" s="54"/>
      <c r="F584" s="53">
        <v>1</v>
      </c>
      <c r="G584" s="54">
        <v>0</v>
      </c>
      <c r="H584" s="53"/>
      <c r="I584" s="55"/>
      <c r="J584"/>
      <c r="K584"/>
      <c r="L584"/>
      <c r="M584"/>
      <c r="N584"/>
      <c r="O584"/>
      <c r="P584"/>
      <c r="Q584"/>
    </row>
    <row r="585" spans="1:17" ht="15.6" x14ac:dyDescent="0.3">
      <c r="A585" s="19" t="s">
        <v>1427</v>
      </c>
      <c r="B585" s="19" t="s">
        <v>470</v>
      </c>
      <c r="C585" s="19" t="s">
        <v>1918</v>
      </c>
      <c r="D585" s="53"/>
      <c r="E585" s="54"/>
      <c r="F585" s="53">
        <v>1</v>
      </c>
      <c r="G585" s="54">
        <v>0</v>
      </c>
      <c r="H585" s="53"/>
      <c r="I585" s="55"/>
      <c r="J585"/>
      <c r="K585"/>
      <c r="L585"/>
      <c r="M585"/>
      <c r="N585"/>
      <c r="O585"/>
      <c r="P585"/>
      <c r="Q585"/>
    </row>
    <row r="586" spans="1:17" ht="15.6" x14ac:dyDescent="0.3">
      <c r="A586" s="19" t="s">
        <v>1428</v>
      </c>
      <c r="B586" s="19" t="s">
        <v>471</v>
      </c>
      <c r="C586" s="19" t="s">
        <v>1918</v>
      </c>
      <c r="D586" s="53"/>
      <c r="E586" s="54"/>
      <c r="F586" s="53">
        <v>1</v>
      </c>
      <c r="G586" s="54">
        <v>0</v>
      </c>
      <c r="H586" s="53"/>
      <c r="I586" s="55"/>
      <c r="J586"/>
      <c r="K586"/>
      <c r="L586"/>
      <c r="M586"/>
      <c r="N586"/>
      <c r="O586"/>
      <c r="P586"/>
      <c r="Q586"/>
    </row>
    <row r="587" spans="1:17" ht="15.6" x14ac:dyDescent="0.3">
      <c r="A587" s="19" t="s">
        <v>1429</v>
      </c>
      <c r="B587" s="19" t="s">
        <v>472</v>
      </c>
      <c r="C587" s="19" t="s">
        <v>1918</v>
      </c>
      <c r="D587" s="53"/>
      <c r="E587" s="54"/>
      <c r="F587" s="53">
        <v>1</v>
      </c>
      <c r="G587" s="54">
        <v>0</v>
      </c>
      <c r="H587" s="53"/>
      <c r="I587" s="55"/>
      <c r="J587"/>
      <c r="K587"/>
      <c r="L587"/>
      <c r="M587"/>
      <c r="N587"/>
      <c r="O587"/>
      <c r="P587"/>
      <c r="Q587"/>
    </row>
    <row r="588" spans="1:17" ht="15.6" x14ac:dyDescent="0.3">
      <c r="A588" s="19" t="s">
        <v>1430</v>
      </c>
      <c r="B588" s="19" t="s">
        <v>473</v>
      </c>
      <c r="C588" s="19" t="s">
        <v>1918</v>
      </c>
      <c r="D588" s="53"/>
      <c r="E588" s="54"/>
      <c r="F588" s="53">
        <v>2</v>
      </c>
      <c r="G588" s="54">
        <v>0</v>
      </c>
      <c r="H588" s="53"/>
      <c r="I588" s="55"/>
      <c r="J588"/>
      <c r="K588"/>
      <c r="L588"/>
      <c r="M588"/>
      <c r="N588"/>
      <c r="O588"/>
      <c r="P588"/>
      <c r="Q588"/>
    </row>
    <row r="589" spans="1:17" ht="15.6" x14ac:dyDescent="0.3">
      <c r="A589" s="19" t="s">
        <v>1431</v>
      </c>
      <c r="B589" s="19" t="s">
        <v>474</v>
      </c>
      <c r="C589" s="19" t="s">
        <v>1918</v>
      </c>
      <c r="D589" s="53"/>
      <c r="E589" s="54"/>
      <c r="F589" s="53">
        <v>1</v>
      </c>
      <c r="G589" s="54">
        <v>0</v>
      </c>
      <c r="H589" s="53"/>
      <c r="I589" s="55"/>
      <c r="J589"/>
      <c r="K589"/>
      <c r="L589"/>
      <c r="M589"/>
      <c r="N589"/>
      <c r="O589"/>
      <c r="P589"/>
      <c r="Q589"/>
    </row>
    <row r="590" spans="1:17" ht="15.6" x14ac:dyDescent="0.3">
      <c r="A590" s="19" t="s">
        <v>1432</v>
      </c>
      <c r="B590" s="19" t="s">
        <v>475</v>
      </c>
      <c r="C590" s="19" t="s">
        <v>1918</v>
      </c>
      <c r="D590" s="53"/>
      <c r="E590" s="54"/>
      <c r="F590" s="53">
        <v>2</v>
      </c>
      <c r="G590" s="54">
        <v>0</v>
      </c>
      <c r="H590" s="53"/>
      <c r="I590" s="55"/>
      <c r="J590"/>
      <c r="K590"/>
      <c r="L590"/>
      <c r="M590"/>
      <c r="N590"/>
      <c r="O590"/>
      <c r="P590"/>
      <c r="Q590"/>
    </row>
    <row r="591" spans="1:17" ht="15.6" x14ac:dyDescent="0.3">
      <c r="A591" s="19" t="s">
        <v>1433</v>
      </c>
      <c r="B591" s="19" t="s">
        <v>476</v>
      </c>
      <c r="C591" s="19" t="s">
        <v>1918</v>
      </c>
      <c r="D591" s="53"/>
      <c r="E591" s="54"/>
      <c r="F591" s="53">
        <v>1</v>
      </c>
      <c r="G591" s="54">
        <v>0</v>
      </c>
      <c r="H591" s="53"/>
      <c r="I591" s="55"/>
      <c r="J591"/>
      <c r="K591"/>
      <c r="L591"/>
      <c r="M591"/>
      <c r="N591"/>
      <c r="O591"/>
      <c r="P591"/>
      <c r="Q591"/>
    </row>
    <row r="592" spans="1:17" ht="15.6" x14ac:dyDescent="0.3">
      <c r="A592" s="19" t="s">
        <v>1434</v>
      </c>
      <c r="B592" s="19" t="s">
        <v>477</v>
      </c>
      <c r="C592" s="19" t="s">
        <v>1918</v>
      </c>
      <c r="D592" s="53"/>
      <c r="E592" s="54"/>
      <c r="F592" s="53">
        <v>2</v>
      </c>
      <c r="G592" s="54">
        <v>0</v>
      </c>
      <c r="H592" s="53"/>
      <c r="I592" s="55"/>
      <c r="J592"/>
      <c r="K592"/>
      <c r="L592"/>
      <c r="M592"/>
      <c r="N592"/>
      <c r="O592"/>
      <c r="P592"/>
      <c r="Q592"/>
    </row>
    <row r="593" spans="1:17" ht="15.6" x14ac:dyDescent="0.3">
      <c r="A593" s="19" t="s">
        <v>1435</v>
      </c>
      <c r="B593" s="19" t="s">
        <v>478</v>
      </c>
      <c r="C593" s="19" t="s">
        <v>1918</v>
      </c>
      <c r="D593" s="53"/>
      <c r="E593" s="54"/>
      <c r="F593" s="53">
        <v>2</v>
      </c>
      <c r="G593" s="54">
        <v>0</v>
      </c>
      <c r="H593" s="53"/>
      <c r="I593" s="55"/>
      <c r="J593"/>
      <c r="K593"/>
      <c r="L593"/>
      <c r="M593"/>
      <c r="N593"/>
      <c r="O593"/>
      <c r="P593"/>
      <c r="Q593"/>
    </row>
    <row r="594" spans="1:17" ht="15.6" x14ac:dyDescent="0.3">
      <c r="A594" s="19" t="s">
        <v>1436</v>
      </c>
      <c r="B594" s="19" t="s">
        <v>479</v>
      </c>
      <c r="C594" s="19" t="s">
        <v>1918</v>
      </c>
      <c r="D594" s="53"/>
      <c r="E594" s="54"/>
      <c r="F594" s="53">
        <v>1</v>
      </c>
      <c r="G594" s="54">
        <v>0</v>
      </c>
      <c r="H594" s="53"/>
      <c r="I594" s="55"/>
      <c r="J594"/>
      <c r="K594"/>
      <c r="L594"/>
      <c r="M594"/>
      <c r="N594"/>
      <c r="O594"/>
      <c r="P594"/>
      <c r="Q594"/>
    </row>
    <row r="595" spans="1:17" ht="15.6" x14ac:dyDescent="0.3">
      <c r="A595" s="19" t="s">
        <v>1437</v>
      </c>
      <c r="B595" s="19" t="s">
        <v>480</v>
      </c>
      <c r="C595" s="19" t="s">
        <v>1918</v>
      </c>
      <c r="D595" s="53"/>
      <c r="E595" s="54"/>
      <c r="F595" s="53">
        <v>2</v>
      </c>
      <c r="G595" s="54">
        <v>0</v>
      </c>
      <c r="H595" s="53"/>
      <c r="I595" s="55"/>
      <c r="J595"/>
      <c r="K595"/>
      <c r="L595"/>
      <c r="M595"/>
      <c r="N595"/>
      <c r="O595"/>
      <c r="P595"/>
      <c r="Q595"/>
    </row>
    <row r="596" spans="1:17" ht="28.8" x14ac:dyDescent="0.3">
      <c r="A596" s="19" t="s">
        <v>1438</v>
      </c>
      <c r="B596" s="19" t="s">
        <v>2475</v>
      </c>
      <c r="C596" s="19" t="s">
        <v>1918</v>
      </c>
      <c r="D596" s="53"/>
      <c r="E596" s="54"/>
      <c r="F596" s="53">
        <v>1</v>
      </c>
      <c r="G596" s="54">
        <v>0</v>
      </c>
      <c r="H596" s="53"/>
      <c r="I596" s="55"/>
      <c r="J596"/>
      <c r="K596"/>
      <c r="L596"/>
      <c r="M596"/>
      <c r="N596"/>
      <c r="O596"/>
      <c r="P596"/>
      <c r="Q596"/>
    </row>
    <row r="597" spans="1:17" ht="15.6" x14ac:dyDescent="0.3">
      <c r="A597" s="19" t="s">
        <v>1439</v>
      </c>
      <c r="B597" s="19" t="s">
        <v>2476</v>
      </c>
      <c r="C597" s="19" t="s">
        <v>1918</v>
      </c>
      <c r="D597" s="53"/>
      <c r="E597" s="54"/>
      <c r="F597" s="53">
        <v>1</v>
      </c>
      <c r="G597" s="54">
        <v>0</v>
      </c>
      <c r="H597" s="53"/>
      <c r="I597" s="55"/>
      <c r="J597"/>
      <c r="K597"/>
      <c r="L597"/>
      <c r="M597"/>
      <c r="N597"/>
      <c r="O597"/>
      <c r="P597"/>
      <c r="Q597"/>
    </row>
    <row r="598" spans="1:17" ht="28.8" x14ac:dyDescent="0.3">
      <c r="A598" s="19" t="s">
        <v>1440</v>
      </c>
      <c r="B598" s="19" t="s">
        <v>2477</v>
      </c>
      <c r="C598" s="19" t="s">
        <v>1918</v>
      </c>
      <c r="D598" s="53"/>
      <c r="E598" s="54"/>
      <c r="F598" s="53">
        <v>1</v>
      </c>
      <c r="G598" s="54">
        <v>0</v>
      </c>
      <c r="H598" s="53"/>
      <c r="I598" s="55"/>
      <c r="J598"/>
      <c r="K598"/>
      <c r="L598"/>
      <c r="M598"/>
      <c r="N598"/>
      <c r="O598"/>
      <c r="P598"/>
      <c r="Q598"/>
    </row>
    <row r="599" spans="1:17" ht="15.6" x14ac:dyDescent="0.3">
      <c r="A599" s="19" t="s">
        <v>1441</v>
      </c>
      <c r="B599" s="19" t="s">
        <v>2478</v>
      </c>
      <c r="C599" s="19" t="s">
        <v>1918</v>
      </c>
      <c r="D599" s="53"/>
      <c r="E599" s="54"/>
      <c r="F599" s="53">
        <v>1</v>
      </c>
      <c r="G599" s="54">
        <v>0</v>
      </c>
      <c r="H599" s="53"/>
      <c r="I599" s="55"/>
      <c r="J599"/>
      <c r="K599"/>
      <c r="L599"/>
      <c r="M599"/>
      <c r="N599"/>
      <c r="O599"/>
      <c r="P599"/>
      <c r="Q599"/>
    </row>
    <row r="600" spans="1:17" ht="28.8" x14ac:dyDescent="0.3">
      <c r="A600" s="19" t="s">
        <v>1442</v>
      </c>
      <c r="B600" s="19" t="s">
        <v>481</v>
      </c>
      <c r="C600" s="19" t="s">
        <v>1918</v>
      </c>
      <c r="D600" s="53"/>
      <c r="E600" s="54"/>
      <c r="F600" s="53">
        <v>1</v>
      </c>
      <c r="G600" s="54">
        <v>0</v>
      </c>
      <c r="H600" s="53"/>
      <c r="I600" s="55"/>
      <c r="J600"/>
      <c r="K600"/>
      <c r="L600"/>
      <c r="M600"/>
      <c r="N600"/>
      <c r="O600"/>
      <c r="P600"/>
      <c r="Q600"/>
    </row>
    <row r="601" spans="1:17" ht="15.6" x14ac:dyDescent="0.3">
      <c r="A601" s="19" t="s">
        <v>1443</v>
      </c>
      <c r="B601" s="19" t="s">
        <v>482</v>
      </c>
      <c r="C601" s="19" t="s">
        <v>1918</v>
      </c>
      <c r="D601" s="53"/>
      <c r="E601" s="54"/>
      <c r="F601" s="53">
        <v>1</v>
      </c>
      <c r="G601" s="54">
        <v>0</v>
      </c>
      <c r="H601" s="53"/>
      <c r="I601" s="55"/>
      <c r="J601"/>
      <c r="K601"/>
      <c r="L601"/>
      <c r="M601"/>
      <c r="N601"/>
      <c r="O601"/>
      <c r="P601"/>
      <c r="Q601"/>
    </row>
    <row r="602" spans="1:17" ht="28.8" x14ac:dyDescent="0.3">
      <c r="A602" s="19" t="s">
        <v>1444</v>
      </c>
      <c r="B602" s="19" t="s">
        <v>483</v>
      </c>
      <c r="C602" s="19" t="s">
        <v>1918</v>
      </c>
      <c r="D602" s="53"/>
      <c r="E602" s="54"/>
      <c r="F602" s="53">
        <v>2</v>
      </c>
      <c r="G602" s="54">
        <v>0</v>
      </c>
      <c r="H602" s="53"/>
      <c r="I602" s="55"/>
      <c r="J602"/>
      <c r="K602"/>
      <c r="L602"/>
      <c r="M602"/>
      <c r="N602"/>
      <c r="O602"/>
      <c r="P602"/>
      <c r="Q602"/>
    </row>
    <row r="603" spans="1:17" ht="28.8" x14ac:dyDescent="0.3">
      <c r="A603" s="19" t="s">
        <v>1445</v>
      </c>
      <c r="B603" s="19" t="s">
        <v>484</v>
      </c>
      <c r="C603" s="19" t="s">
        <v>1918</v>
      </c>
      <c r="D603" s="53"/>
      <c r="E603" s="54"/>
      <c r="F603" s="53">
        <v>2</v>
      </c>
      <c r="G603" s="54">
        <v>0</v>
      </c>
      <c r="H603" s="53"/>
      <c r="I603" s="55"/>
      <c r="J603"/>
      <c r="K603"/>
      <c r="L603"/>
      <c r="M603"/>
      <c r="N603"/>
      <c r="O603"/>
      <c r="P603"/>
      <c r="Q603"/>
    </row>
    <row r="604" spans="1:17" ht="28.8" x14ac:dyDescent="0.3">
      <c r="A604" s="19" t="s">
        <v>1446</v>
      </c>
      <c r="B604" s="19" t="s">
        <v>485</v>
      </c>
      <c r="C604" s="19" t="s">
        <v>1918</v>
      </c>
      <c r="D604" s="53"/>
      <c r="E604" s="54"/>
      <c r="F604" s="53">
        <v>2</v>
      </c>
      <c r="G604" s="54">
        <v>0</v>
      </c>
      <c r="H604" s="53"/>
      <c r="I604" s="55"/>
      <c r="J604"/>
      <c r="K604"/>
      <c r="L604"/>
      <c r="M604"/>
      <c r="N604"/>
      <c r="O604"/>
      <c r="P604"/>
      <c r="Q604"/>
    </row>
    <row r="605" spans="1:17" ht="15.6" x14ac:dyDescent="0.3">
      <c r="A605" s="47" t="s">
        <v>1447</v>
      </c>
      <c r="B605" s="47" t="s">
        <v>486</v>
      </c>
      <c r="C605" s="19" t="s">
        <v>903</v>
      </c>
      <c r="D605" s="53"/>
      <c r="E605" s="54"/>
      <c r="F605" s="53"/>
      <c r="G605" s="54"/>
      <c r="H605" s="53">
        <v>1</v>
      </c>
      <c r="I605" s="55">
        <v>0</v>
      </c>
      <c r="J605"/>
      <c r="K605"/>
      <c r="L605"/>
      <c r="M605"/>
      <c r="N605"/>
      <c r="O605"/>
      <c r="P605"/>
      <c r="Q605"/>
    </row>
    <row r="606" spans="1:17" ht="15.6" x14ac:dyDescent="0.3">
      <c r="A606" s="48" t="s">
        <v>1447</v>
      </c>
      <c r="B606" s="48" t="s">
        <v>486</v>
      </c>
      <c r="C606" s="23" t="s">
        <v>1918</v>
      </c>
      <c r="D606" s="56"/>
      <c r="E606" s="51"/>
      <c r="F606" s="56">
        <v>2</v>
      </c>
      <c r="G606" s="51">
        <v>0</v>
      </c>
      <c r="H606" s="56"/>
      <c r="I606" s="57"/>
      <c r="J606"/>
      <c r="K606"/>
      <c r="L606"/>
      <c r="M606"/>
      <c r="N606"/>
      <c r="O606"/>
      <c r="P606"/>
      <c r="Q606"/>
    </row>
    <row r="607" spans="1:17" ht="15.6" x14ac:dyDescent="0.3">
      <c r="A607" s="48" t="s">
        <v>1447</v>
      </c>
      <c r="B607" s="48" t="s">
        <v>486</v>
      </c>
      <c r="C607" s="23" t="s">
        <v>904</v>
      </c>
      <c r="D607" s="56"/>
      <c r="E607" s="51"/>
      <c r="F607" s="56">
        <v>0</v>
      </c>
      <c r="G607" s="51">
        <v>1</v>
      </c>
      <c r="H607" s="56"/>
      <c r="I607" s="57"/>
      <c r="J607"/>
      <c r="K607"/>
      <c r="L607"/>
      <c r="M607"/>
      <c r="N607"/>
      <c r="O607"/>
      <c r="P607"/>
      <c r="Q607"/>
    </row>
    <row r="608" spans="1:17" ht="15.6" x14ac:dyDescent="0.3">
      <c r="A608" s="19" t="s">
        <v>1448</v>
      </c>
      <c r="B608" s="19" t="s">
        <v>487</v>
      </c>
      <c r="C608" s="19" t="s">
        <v>1918</v>
      </c>
      <c r="D608" s="53"/>
      <c r="E608" s="54"/>
      <c r="F608" s="53">
        <v>46</v>
      </c>
      <c r="G608" s="54">
        <v>0</v>
      </c>
      <c r="H608" s="53"/>
      <c r="I608" s="55"/>
      <c r="J608"/>
      <c r="K608"/>
      <c r="L608"/>
      <c r="M608"/>
      <c r="N608"/>
      <c r="O608"/>
      <c r="P608"/>
      <c r="Q608"/>
    </row>
    <row r="609" spans="1:17" ht="15.6" x14ac:dyDescent="0.3">
      <c r="A609" s="19" t="s">
        <v>1449</v>
      </c>
      <c r="B609" s="19" t="s">
        <v>488</v>
      </c>
      <c r="C609" s="19" t="s">
        <v>1918</v>
      </c>
      <c r="D609" s="53"/>
      <c r="E609" s="54"/>
      <c r="F609" s="53">
        <v>1</v>
      </c>
      <c r="G609" s="54">
        <v>0</v>
      </c>
      <c r="H609" s="53"/>
      <c r="I609" s="55"/>
      <c r="J609"/>
      <c r="K609"/>
      <c r="L609"/>
      <c r="M609"/>
      <c r="N609"/>
      <c r="O609"/>
      <c r="P609"/>
      <c r="Q609"/>
    </row>
    <row r="610" spans="1:17" ht="15.6" x14ac:dyDescent="0.3">
      <c r="A610" s="47" t="s">
        <v>1450</v>
      </c>
      <c r="B610" s="47" t="s">
        <v>489</v>
      </c>
      <c r="C610" s="19" t="s">
        <v>903</v>
      </c>
      <c r="D610" s="53"/>
      <c r="E610" s="54"/>
      <c r="F610" s="53"/>
      <c r="G610" s="54"/>
      <c r="H610" s="53">
        <v>1</v>
      </c>
      <c r="I610" s="55">
        <v>0</v>
      </c>
      <c r="J610"/>
      <c r="K610"/>
      <c r="L610"/>
      <c r="M610"/>
      <c r="N610"/>
      <c r="O610"/>
      <c r="P610"/>
      <c r="Q610"/>
    </row>
    <row r="611" spans="1:17" ht="15.6" x14ac:dyDescent="0.3">
      <c r="A611" s="48" t="s">
        <v>1450</v>
      </c>
      <c r="B611" s="48" t="s">
        <v>489</v>
      </c>
      <c r="C611" s="23" t="s">
        <v>1918</v>
      </c>
      <c r="D611" s="56"/>
      <c r="E611" s="51"/>
      <c r="F611" s="56">
        <v>1</v>
      </c>
      <c r="G611" s="51">
        <v>0</v>
      </c>
      <c r="H611" s="56"/>
      <c r="I611" s="57"/>
      <c r="J611"/>
      <c r="K611"/>
      <c r="L611"/>
      <c r="M611"/>
      <c r="N611"/>
      <c r="O611"/>
      <c r="P611"/>
      <c r="Q611"/>
    </row>
    <row r="612" spans="1:17" ht="15.6" x14ac:dyDescent="0.3">
      <c r="A612" s="48" t="s">
        <v>1450</v>
      </c>
      <c r="B612" s="48" t="s">
        <v>489</v>
      </c>
      <c r="C612" s="23" t="s">
        <v>904</v>
      </c>
      <c r="D612" s="56"/>
      <c r="E612" s="51"/>
      <c r="F612" s="56">
        <v>0</v>
      </c>
      <c r="G612" s="51">
        <v>1</v>
      </c>
      <c r="H612" s="56"/>
      <c r="I612" s="57"/>
      <c r="J612"/>
      <c r="K612"/>
      <c r="L612"/>
      <c r="M612"/>
      <c r="N612"/>
      <c r="O612"/>
      <c r="P612"/>
      <c r="Q612"/>
    </row>
    <row r="613" spans="1:17" ht="15.6" x14ac:dyDescent="0.3">
      <c r="A613" s="19" t="s">
        <v>1451</v>
      </c>
      <c r="B613" s="19" t="s">
        <v>490</v>
      </c>
      <c r="C613" s="19" t="s">
        <v>1918</v>
      </c>
      <c r="D613" s="53"/>
      <c r="E613" s="54"/>
      <c r="F613" s="53">
        <v>1</v>
      </c>
      <c r="G613" s="54">
        <v>0</v>
      </c>
      <c r="H613" s="53"/>
      <c r="I613" s="55"/>
      <c r="J613"/>
      <c r="K613"/>
      <c r="L613"/>
      <c r="M613"/>
      <c r="N613"/>
      <c r="O613"/>
      <c r="P613"/>
      <c r="Q613"/>
    </row>
    <row r="614" spans="1:17" ht="15.6" x14ac:dyDescent="0.3">
      <c r="A614" s="19" t="s">
        <v>1452</v>
      </c>
      <c r="B614" s="19" t="s">
        <v>2597</v>
      </c>
      <c r="C614" s="19" t="s">
        <v>1918</v>
      </c>
      <c r="D614" s="53"/>
      <c r="E614" s="54"/>
      <c r="F614" s="53">
        <v>0</v>
      </c>
      <c r="G614" s="54">
        <v>0</v>
      </c>
      <c r="H614" s="53"/>
      <c r="I614" s="55"/>
      <c r="J614"/>
      <c r="K614"/>
      <c r="L614"/>
      <c r="M614"/>
      <c r="N614"/>
      <c r="O614"/>
      <c r="P614"/>
      <c r="Q614"/>
    </row>
    <row r="615" spans="1:17" ht="28.8" x14ac:dyDescent="0.3">
      <c r="A615" s="19" t="s">
        <v>1453</v>
      </c>
      <c r="B615" s="19" t="s">
        <v>491</v>
      </c>
      <c r="C615" s="19" t="s">
        <v>1918</v>
      </c>
      <c r="D615" s="53"/>
      <c r="E615" s="54"/>
      <c r="F615" s="53">
        <v>1</v>
      </c>
      <c r="G615" s="54">
        <v>0</v>
      </c>
      <c r="H615" s="53"/>
      <c r="I615" s="55"/>
      <c r="J615"/>
      <c r="K615"/>
      <c r="L615"/>
      <c r="M615"/>
      <c r="N615"/>
      <c r="O615"/>
      <c r="P615"/>
      <c r="Q615"/>
    </row>
    <row r="616" spans="1:17" ht="28.8" x14ac:dyDescent="0.3">
      <c r="A616" s="19" t="s">
        <v>1454</v>
      </c>
      <c r="B616" s="19" t="s">
        <v>492</v>
      </c>
      <c r="C616" s="19" t="s">
        <v>1918</v>
      </c>
      <c r="D616" s="53"/>
      <c r="E616" s="54"/>
      <c r="F616" s="53">
        <v>1</v>
      </c>
      <c r="G616" s="54">
        <v>0</v>
      </c>
      <c r="H616" s="53"/>
      <c r="I616" s="55"/>
      <c r="J616"/>
      <c r="K616"/>
      <c r="L616"/>
      <c r="M616"/>
      <c r="N616"/>
      <c r="O616"/>
      <c r="P616"/>
      <c r="Q616"/>
    </row>
    <row r="617" spans="1:17" ht="15.6" x14ac:dyDescent="0.3">
      <c r="A617" s="19" t="s">
        <v>1455</v>
      </c>
      <c r="B617" s="19" t="s">
        <v>493</v>
      </c>
      <c r="C617" s="19" t="s">
        <v>1918</v>
      </c>
      <c r="D617" s="53"/>
      <c r="E617" s="54"/>
      <c r="F617" s="53">
        <v>1</v>
      </c>
      <c r="G617" s="54">
        <v>0</v>
      </c>
      <c r="H617" s="53"/>
      <c r="I617" s="55"/>
      <c r="J617"/>
      <c r="K617"/>
      <c r="L617"/>
      <c r="M617"/>
      <c r="N617"/>
      <c r="O617"/>
      <c r="P617"/>
      <c r="Q617"/>
    </row>
    <row r="618" spans="1:17" ht="15.6" x14ac:dyDescent="0.3">
      <c r="A618" s="19" t="s">
        <v>1456</v>
      </c>
      <c r="B618" s="19" t="s">
        <v>494</v>
      </c>
      <c r="C618" s="19" t="s">
        <v>1918</v>
      </c>
      <c r="D618" s="53"/>
      <c r="E618" s="54"/>
      <c r="F618" s="53">
        <v>2</v>
      </c>
      <c r="G618" s="54">
        <v>0</v>
      </c>
      <c r="H618" s="53"/>
      <c r="I618" s="55"/>
      <c r="J618"/>
      <c r="K618"/>
      <c r="L618"/>
      <c r="M618"/>
      <c r="N618"/>
      <c r="O618"/>
      <c r="P618"/>
      <c r="Q618"/>
    </row>
    <row r="619" spans="1:17" ht="15.6" x14ac:dyDescent="0.3">
      <c r="A619" s="19" t="s">
        <v>1457</v>
      </c>
      <c r="B619" s="19" t="s">
        <v>495</v>
      </c>
      <c r="C619" s="19" t="s">
        <v>1918</v>
      </c>
      <c r="D619" s="53"/>
      <c r="E619" s="54"/>
      <c r="F619" s="53">
        <v>2</v>
      </c>
      <c r="G619" s="54">
        <v>0</v>
      </c>
      <c r="H619" s="53"/>
      <c r="I619" s="55"/>
      <c r="J619"/>
      <c r="K619"/>
      <c r="L619"/>
      <c r="M619"/>
      <c r="N619"/>
      <c r="O619"/>
      <c r="P619"/>
      <c r="Q619"/>
    </row>
    <row r="620" spans="1:17" ht="15.6" x14ac:dyDescent="0.3">
      <c r="A620" s="19" t="s">
        <v>1458</v>
      </c>
      <c r="B620" s="19" t="s">
        <v>496</v>
      </c>
      <c r="C620" s="19" t="s">
        <v>1918</v>
      </c>
      <c r="D620" s="53"/>
      <c r="E620" s="54"/>
      <c r="F620" s="53">
        <v>1</v>
      </c>
      <c r="G620" s="54">
        <v>0</v>
      </c>
      <c r="H620" s="53"/>
      <c r="I620" s="55"/>
      <c r="J620"/>
      <c r="K620"/>
      <c r="L620"/>
      <c r="M620"/>
      <c r="N620"/>
      <c r="O620"/>
      <c r="P620"/>
      <c r="Q620"/>
    </row>
    <row r="621" spans="1:17" ht="28.8" x14ac:dyDescent="0.3">
      <c r="A621" s="19" t="s">
        <v>1459</v>
      </c>
      <c r="B621" s="19" t="s">
        <v>497</v>
      </c>
      <c r="C621" s="19" t="s">
        <v>1918</v>
      </c>
      <c r="D621" s="53"/>
      <c r="E621" s="54"/>
      <c r="F621" s="53">
        <v>1</v>
      </c>
      <c r="G621" s="54">
        <v>0</v>
      </c>
      <c r="H621" s="53"/>
      <c r="I621" s="55"/>
      <c r="J621"/>
      <c r="K621"/>
      <c r="L621"/>
      <c r="M621"/>
      <c r="N621"/>
      <c r="O621"/>
      <c r="P621"/>
      <c r="Q621"/>
    </row>
    <row r="622" spans="1:17" ht="28.8" x14ac:dyDescent="0.3">
      <c r="A622" s="19" t="s">
        <v>1460</v>
      </c>
      <c r="B622" s="19" t="s">
        <v>498</v>
      </c>
      <c r="C622" s="19" t="s">
        <v>1918</v>
      </c>
      <c r="D622" s="53"/>
      <c r="E622" s="54"/>
      <c r="F622" s="53">
        <v>3</v>
      </c>
      <c r="G622" s="54">
        <v>0</v>
      </c>
      <c r="H622" s="53"/>
      <c r="I622" s="55"/>
      <c r="J622"/>
      <c r="K622"/>
      <c r="L622"/>
      <c r="M622"/>
      <c r="N622"/>
      <c r="O622"/>
      <c r="P622"/>
      <c r="Q622"/>
    </row>
    <row r="623" spans="1:17" ht="28.8" x14ac:dyDescent="0.3">
      <c r="A623" s="19" t="s">
        <v>1461</v>
      </c>
      <c r="B623" s="19" t="s">
        <v>499</v>
      </c>
      <c r="C623" s="19" t="s">
        <v>1918</v>
      </c>
      <c r="D623" s="53"/>
      <c r="E623" s="54"/>
      <c r="F623" s="53">
        <v>1</v>
      </c>
      <c r="G623" s="54">
        <v>0</v>
      </c>
      <c r="H623" s="53"/>
      <c r="I623" s="55"/>
      <c r="J623"/>
      <c r="K623"/>
      <c r="L623"/>
      <c r="M623"/>
      <c r="N623"/>
      <c r="O623"/>
      <c r="P623"/>
      <c r="Q623"/>
    </row>
    <row r="624" spans="1:17" ht="28.8" x14ac:dyDescent="0.3">
      <c r="A624" s="19" t="s">
        <v>1462</v>
      </c>
      <c r="B624" s="19" t="s">
        <v>500</v>
      </c>
      <c r="C624" s="19" t="s">
        <v>1918</v>
      </c>
      <c r="D624" s="53"/>
      <c r="E624" s="54"/>
      <c r="F624" s="53">
        <v>1</v>
      </c>
      <c r="G624" s="54">
        <v>0</v>
      </c>
      <c r="H624" s="53"/>
      <c r="I624" s="55"/>
      <c r="J624"/>
      <c r="K624"/>
      <c r="L624"/>
      <c r="M624"/>
      <c r="N624"/>
      <c r="O624"/>
      <c r="P624"/>
      <c r="Q624"/>
    </row>
    <row r="625" spans="1:17" ht="28.8" x14ac:dyDescent="0.3">
      <c r="A625" s="19" t="s">
        <v>1463</v>
      </c>
      <c r="B625" s="19" t="s">
        <v>501</v>
      </c>
      <c r="C625" s="19" t="s">
        <v>1918</v>
      </c>
      <c r="D625" s="53"/>
      <c r="E625" s="54"/>
      <c r="F625" s="53">
        <v>1</v>
      </c>
      <c r="G625" s="54">
        <v>0</v>
      </c>
      <c r="H625" s="53"/>
      <c r="I625" s="55"/>
      <c r="J625"/>
      <c r="K625"/>
      <c r="L625"/>
      <c r="M625"/>
      <c r="N625"/>
      <c r="O625"/>
      <c r="P625"/>
      <c r="Q625"/>
    </row>
    <row r="626" spans="1:17" ht="28.8" x14ac:dyDescent="0.3">
      <c r="A626" s="19" t="s">
        <v>1464</v>
      </c>
      <c r="B626" s="19" t="s">
        <v>502</v>
      </c>
      <c r="C626" s="19" t="s">
        <v>1918</v>
      </c>
      <c r="D626" s="53"/>
      <c r="E626" s="54"/>
      <c r="F626" s="53">
        <v>3</v>
      </c>
      <c r="G626" s="54">
        <v>0</v>
      </c>
      <c r="H626" s="53"/>
      <c r="I626" s="55"/>
      <c r="J626"/>
      <c r="K626"/>
      <c r="L626"/>
      <c r="M626"/>
      <c r="N626"/>
      <c r="O626"/>
      <c r="P626"/>
      <c r="Q626"/>
    </row>
    <row r="627" spans="1:17" ht="28.8" x14ac:dyDescent="0.3">
      <c r="A627" s="19" t="s">
        <v>1465</v>
      </c>
      <c r="B627" s="19" t="s">
        <v>503</v>
      </c>
      <c r="C627" s="19" t="s">
        <v>1918</v>
      </c>
      <c r="D627" s="53"/>
      <c r="E627" s="54"/>
      <c r="F627" s="53">
        <v>4</v>
      </c>
      <c r="G627" s="54">
        <v>0</v>
      </c>
      <c r="H627" s="53"/>
      <c r="I627" s="55"/>
      <c r="J627"/>
      <c r="K627"/>
      <c r="L627"/>
      <c r="M627"/>
      <c r="N627"/>
      <c r="O627"/>
      <c r="P627"/>
      <c r="Q627"/>
    </row>
    <row r="628" spans="1:17" ht="15.6" x14ac:dyDescent="0.3">
      <c r="A628" s="19" t="s">
        <v>1466</v>
      </c>
      <c r="B628" s="19" t="s">
        <v>504</v>
      </c>
      <c r="C628" s="19" t="s">
        <v>1918</v>
      </c>
      <c r="D628" s="53"/>
      <c r="E628" s="54"/>
      <c r="F628" s="53">
        <v>1</v>
      </c>
      <c r="G628" s="54">
        <v>0</v>
      </c>
      <c r="H628" s="53"/>
      <c r="I628" s="55"/>
      <c r="J628"/>
      <c r="K628"/>
      <c r="L628"/>
      <c r="M628"/>
      <c r="N628"/>
      <c r="O628"/>
      <c r="P628"/>
      <c r="Q628"/>
    </row>
    <row r="629" spans="1:17" ht="15.6" x14ac:dyDescent="0.3">
      <c r="A629" s="19" t="s">
        <v>1467</v>
      </c>
      <c r="B629" s="19" t="s">
        <v>505</v>
      </c>
      <c r="C629" s="19" t="s">
        <v>1918</v>
      </c>
      <c r="D629" s="53"/>
      <c r="E629" s="54"/>
      <c r="F629" s="53">
        <v>2</v>
      </c>
      <c r="G629" s="54">
        <v>0</v>
      </c>
      <c r="H629" s="53"/>
      <c r="I629" s="55"/>
      <c r="J629"/>
      <c r="K629"/>
      <c r="L629"/>
      <c r="M629"/>
      <c r="N629"/>
      <c r="O629"/>
      <c r="P629"/>
      <c r="Q629"/>
    </row>
    <row r="630" spans="1:17" ht="28.8" x14ac:dyDescent="0.3">
      <c r="A630" s="19" t="s">
        <v>1468</v>
      </c>
      <c r="B630" s="19" t="s">
        <v>506</v>
      </c>
      <c r="C630" s="19" t="s">
        <v>1918</v>
      </c>
      <c r="D630" s="53"/>
      <c r="E630" s="54"/>
      <c r="F630" s="53">
        <v>1</v>
      </c>
      <c r="G630" s="54">
        <v>0</v>
      </c>
      <c r="H630" s="53"/>
      <c r="I630" s="55"/>
      <c r="J630"/>
      <c r="K630"/>
      <c r="L630"/>
      <c r="M630"/>
      <c r="N630"/>
      <c r="O630"/>
      <c r="P630"/>
      <c r="Q630"/>
    </row>
    <row r="631" spans="1:17" ht="28.8" x14ac:dyDescent="0.3">
      <c r="A631" s="19" t="s">
        <v>1469</v>
      </c>
      <c r="B631" s="19" t="s">
        <v>507</v>
      </c>
      <c r="C631" s="19" t="s">
        <v>1918</v>
      </c>
      <c r="D631" s="53"/>
      <c r="E631" s="54"/>
      <c r="F631" s="53">
        <v>1</v>
      </c>
      <c r="G631" s="54">
        <v>0</v>
      </c>
      <c r="H631" s="53"/>
      <c r="I631" s="55"/>
      <c r="J631"/>
      <c r="K631"/>
      <c r="L631"/>
      <c r="M631"/>
      <c r="N631"/>
      <c r="O631"/>
      <c r="P631"/>
      <c r="Q631"/>
    </row>
    <row r="632" spans="1:17" ht="28.8" x14ac:dyDescent="0.3">
      <c r="A632" s="19" t="s">
        <v>1470</v>
      </c>
      <c r="B632" s="19" t="s">
        <v>508</v>
      </c>
      <c r="C632" s="19" t="s">
        <v>1918</v>
      </c>
      <c r="D632" s="53"/>
      <c r="E632" s="54"/>
      <c r="F632" s="53">
        <v>5</v>
      </c>
      <c r="G632" s="54">
        <v>0</v>
      </c>
      <c r="H632" s="53"/>
      <c r="I632" s="55"/>
      <c r="J632"/>
      <c r="K632"/>
      <c r="L632"/>
      <c r="M632"/>
      <c r="N632"/>
      <c r="O632"/>
      <c r="P632"/>
      <c r="Q632"/>
    </row>
    <row r="633" spans="1:17" ht="15.6" x14ac:dyDescent="0.3">
      <c r="A633" s="19" t="s">
        <v>1471</v>
      </c>
      <c r="B633" s="19" t="s">
        <v>509</v>
      </c>
      <c r="C633" s="19" t="s">
        <v>1918</v>
      </c>
      <c r="D633" s="53"/>
      <c r="E633" s="54"/>
      <c r="F633" s="53">
        <v>3</v>
      </c>
      <c r="G633" s="54">
        <v>0</v>
      </c>
      <c r="H633" s="53"/>
      <c r="I633" s="55"/>
      <c r="J633"/>
      <c r="K633"/>
      <c r="L633"/>
      <c r="M633"/>
      <c r="N633"/>
      <c r="O633"/>
      <c r="P633"/>
      <c r="Q633"/>
    </row>
    <row r="634" spans="1:17" ht="28.8" x14ac:dyDescent="0.3">
      <c r="A634" s="19" t="s">
        <v>1472</v>
      </c>
      <c r="B634" s="19" t="s">
        <v>510</v>
      </c>
      <c r="C634" s="19" t="s">
        <v>1918</v>
      </c>
      <c r="D634" s="53"/>
      <c r="E634" s="54"/>
      <c r="F634" s="53">
        <v>1</v>
      </c>
      <c r="G634" s="54">
        <v>0</v>
      </c>
      <c r="H634" s="53"/>
      <c r="I634" s="55"/>
      <c r="J634"/>
      <c r="K634"/>
      <c r="L634"/>
      <c r="M634"/>
      <c r="N634"/>
      <c r="O634"/>
      <c r="P634"/>
      <c r="Q634"/>
    </row>
    <row r="635" spans="1:17" ht="15.6" x14ac:dyDescent="0.3">
      <c r="A635" s="19" t="s">
        <v>1473</v>
      </c>
      <c r="B635" s="19" t="s">
        <v>511</v>
      </c>
      <c r="C635" s="19" t="s">
        <v>1918</v>
      </c>
      <c r="D635" s="53"/>
      <c r="E635" s="54"/>
      <c r="F635" s="53">
        <v>1</v>
      </c>
      <c r="G635" s="54">
        <v>0</v>
      </c>
      <c r="H635" s="53"/>
      <c r="I635" s="55"/>
      <c r="J635"/>
      <c r="K635"/>
      <c r="L635"/>
      <c r="M635"/>
      <c r="N635"/>
      <c r="O635"/>
      <c r="P635"/>
      <c r="Q635"/>
    </row>
    <row r="636" spans="1:17" ht="28.8" x14ac:dyDescent="0.3">
      <c r="A636" s="19" t="s">
        <v>1474</v>
      </c>
      <c r="B636" s="19" t="s">
        <v>512</v>
      </c>
      <c r="C636" s="19" t="s">
        <v>1918</v>
      </c>
      <c r="D636" s="53"/>
      <c r="E636" s="54"/>
      <c r="F636" s="53">
        <v>1</v>
      </c>
      <c r="G636" s="54">
        <v>0</v>
      </c>
      <c r="H636" s="53"/>
      <c r="I636" s="55"/>
      <c r="J636"/>
      <c r="K636"/>
      <c r="L636"/>
      <c r="M636"/>
      <c r="N636"/>
      <c r="O636"/>
      <c r="P636"/>
      <c r="Q636"/>
    </row>
    <row r="637" spans="1:17" ht="28.8" x14ac:dyDescent="0.3">
      <c r="A637" s="19" t="s">
        <v>1475</v>
      </c>
      <c r="B637" s="19" t="s">
        <v>513</v>
      </c>
      <c r="C637" s="19" t="s">
        <v>1918</v>
      </c>
      <c r="D637" s="53"/>
      <c r="E637" s="54"/>
      <c r="F637" s="53">
        <v>1</v>
      </c>
      <c r="G637" s="54">
        <v>0</v>
      </c>
      <c r="H637" s="53"/>
      <c r="I637" s="55"/>
      <c r="J637"/>
      <c r="K637"/>
      <c r="L637"/>
      <c r="M637"/>
      <c r="N637"/>
      <c r="O637"/>
      <c r="P637"/>
      <c r="Q637"/>
    </row>
    <row r="638" spans="1:17" ht="15.6" x14ac:dyDescent="0.3">
      <c r="A638" s="19" t="s">
        <v>1476</v>
      </c>
      <c r="B638" s="19" t="s">
        <v>514</v>
      </c>
      <c r="C638" s="19" t="s">
        <v>1918</v>
      </c>
      <c r="D638" s="53"/>
      <c r="E638" s="54"/>
      <c r="F638" s="53">
        <v>1</v>
      </c>
      <c r="G638" s="54">
        <v>0</v>
      </c>
      <c r="H638" s="53"/>
      <c r="I638" s="55"/>
      <c r="J638"/>
      <c r="K638"/>
      <c r="L638"/>
      <c r="M638"/>
      <c r="N638"/>
      <c r="O638"/>
      <c r="P638"/>
      <c r="Q638"/>
    </row>
    <row r="639" spans="1:17" ht="15.6" x14ac:dyDescent="0.3">
      <c r="A639" s="19" t="s">
        <v>1477</v>
      </c>
      <c r="B639" s="19" t="s">
        <v>515</v>
      </c>
      <c r="C639" s="19" t="s">
        <v>1918</v>
      </c>
      <c r="D639" s="53"/>
      <c r="E639" s="54"/>
      <c r="F639" s="53">
        <v>1</v>
      </c>
      <c r="G639" s="54">
        <v>0</v>
      </c>
      <c r="H639" s="53"/>
      <c r="I639" s="55"/>
      <c r="J639"/>
      <c r="K639"/>
      <c r="L639"/>
      <c r="M639"/>
      <c r="N639"/>
      <c r="O639"/>
      <c r="P639"/>
      <c r="Q639"/>
    </row>
    <row r="640" spans="1:17" ht="15.6" x14ac:dyDescent="0.3">
      <c r="A640" s="19" t="s">
        <v>1478</v>
      </c>
      <c r="B640" s="19" t="s">
        <v>516</v>
      </c>
      <c r="C640" s="19" t="s">
        <v>1918</v>
      </c>
      <c r="D640" s="53"/>
      <c r="E640" s="54"/>
      <c r="F640" s="53">
        <v>69</v>
      </c>
      <c r="G640" s="54">
        <v>0</v>
      </c>
      <c r="H640" s="53"/>
      <c r="I640" s="55"/>
      <c r="J640"/>
      <c r="K640"/>
      <c r="L640"/>
      <c r="M640"/>
      <c r="N640"/>
      <c r="O640"/>
      <c r="P640"/>
      <c r="Q640"/>
    </row>
    <row r="641" spans="1:17" ht="15.6" x14ac:dyDescent="0.3">
      <c r="A641" s="19" t="s">
        <v>1479</v>
      </c>
      <c r="B641" s="19" t="s">
        <v>517</v>
      </c>
      <c r="C641" s="19" t="s">
        <v>1918</v>
      </c>
      <c r="D641" s="53"/>
      <c r="E641" s="54"/>
      <c r="F641" s="53">
        <v>7</v>
      </c>
      <c r="G641" s="54">
        <v>0</v>
      </c>
      <c r="H641" s="53"/>
      <c r="I641" s="55"/>
      <c r="J641"/>
      <c r="K641"/>
      <c r="L641"/>
      <c r="M641"/>
      <c r="N641"/>
      <c r="O641"/>
      <c r="P641"/>
      <c r="Q641"/>
    </row>
    <row r="642" spans="1:17" ht="15.6" x14ac:dyDescent="0.3">
      <c r="A642" s="19" t="s">
        <v>1480</v>
      </c>
      <c r="B642" s="19" t="s">
        <v>518</v>
      </c>
      <c r="C642" s="19" t="s">
        <v>1918</v>
      </c>
      <c r="D642" s="53"/>
      <c r="E642" s="54"/>
      <c r="F642" s="53">
        <v>2</v>
      </c>
      <c r="G642" s="54">
        <v>0</v>
      </c>
      <c r="H642" s="53"/>
      <c r="I642" s="55"/>
      <c r="J642"/>
      <c r="K642"/>
      <c r="L642"/>
      <c r="M642"/>
      <c r="N642"/>
      <c r="O642"/>
      <c r="P642"/>
      <c r="Q642"/>
    </row>
    <row r="643" spans="1:17" ht="15.6" x14ac:dyDescent="0.3">
      <c r="A643" s="19" t="s">
        <v>1481</v>
      </c>
      <c r="B643" s="19" t="s">
        <v>519</v>
      </c>
      <c r="C643" s="19" t="s">
        <v>1918</v>
      </c>
      <c r="D643" s="53"/>
      <c r="E643" s="54"/>
      <c r="F643" s="53">
        <v>17</v>
      </c>
      <c r="G643" s="54">
        <v>0</v>
      </c>
      <c r="H643" s="53"/>
      <c r="I643" s="55"/>
      <c r="J643"/>
      <c r="K643"/>
      <c r="L643"/>
      <c r="M643"/>
      <c r="N643"/>
      <c r="O643"/>
      <c r="P643"/>
      <c r="Q643"/>
    </row>
    <row r="644" spans="1:17" ht="15.6" x14ac:dyDescent="0.3">
      <c r="A644" s="19" t="s">
        <v>1482</v>
      </c>
      <c r="B644" s="19" t="s">
        <v>520</v>
      </c>
      <c r="C644" s="19" t="s">
        <v>1918</v>
      </c>
      <c r="D644" s="53"/>
      <c r="E644" s="54"/>
      <c r="F644" s="53">
        <v>226</v>
      </c>
      <c r="G644" s="54">
        <v>0</v>
      </c>
      <c r="H644" s="53"/>
      <c r="I644" s="55"/>
      <c r="J644"/>
      <c r="K644"/>
      <c r="L644"/>
      <c r="M644"/>
      <c r="N644"/>
      <c r="O644"/>
      <c r="P644"/>
      <c r="Q644"/>
    </row>
    <row r="645" spans="1:17" ht="28.8" x14ac:dyDescent="0.3">
      <c r="A645" s="19" t="s">
        <v>1483</v>
      </c>
      <c r="B645" s="19" t="s">
        <v>521</v>
      </c>
      <c r="C645" s="19" t="s">
        <v>1918</v>
      </c>
      <c r="D645" s="53"/>
      <c r="E645" s="54"/>
      <c r="F645" s="53">
        <v>1</v>
      </c>
      <c r="G645" s="54">
        <v>0</v>
      </c>
      <c r="H645" s="53"/>
      <c r="I645" s="55"/>
      <c r="J645"/>
      <c r="K645"/>
      <c r="L645"/>
      <c r="M645"/>
      <c r="N645"/>
      <c r="O645"/>
      <c r="P645"/>
      <c r="Q645"/>
    </row>
    <row r="646" spans="1:17" ht="28.8" x14ac:dyDescent="0.3">
      <c r="A646" s="19" t="s">
        <v>1484</v>
      </c>
      <c r="B646" s="19" t="s">
        <v>522</v>
      </c>
      <c r="C646" s="19" t="s">
        <v>1918</v>
      </c>
      <c r="D646" s="53"/>
      <c r="E646" s="54"/>
      <c r="F646" s="53">
        <v>1</v>
      </c>
      <c r="G646" s="54">
        <v>0</v>
      </c>
      <c r="H646" s="53"/>
      <c r="I646" s="55"/>
      <c r="J646"/>
      <c r="K646"/>
      <c r="L646"/>
      <c r="M646"/>
      <c r="N646"/>
      <c r="O646"/>
      <c r="P646"/>
      <c r="Q646"/>
    </row>
    <row r="647" spans="1:17" ht="28.8" x14ac:dyDescent="0.3">
      <c r="A647" s="19" t="s">
        <v>1485</v>
      </c>
      <c r="B647" s="19" t="s">
        <v>523</v>
      </c>
      <c r="C647" s="19" t="s">
        <v>1918</v>
      </c>
      <c r="D647" s="53"/>
      <c r="E647" s="54"/>
      <c r="F647" s="53">
        <v>1</v>
      </c>
      <c r="G647" s="54">
        <v>0</v>
      </c>
      <c r="H647" s="53"/>
      <c r="I647" s="55"/>
      <c r="J647"/>
      <c r="K647"/>
      <c r="L647"/>
      <c r="M647"/>
      <c r="N647"/>
      <c r="O647"/>
      <c r="P647"/>
      <c r="Q647"/>
    </row>
    <row r="648" spans="1:17" ht="28.8" x14ac:dyDescent="0.3">
      <c r="A648" s="19" t="s">
        <v>1486</v>
      </c>
      <c r="B648" s="19" t="s">
        <v>524</v>
      </c>
      <c r="C648" s="19" t="s">
        <v>1918</v>
      </c>
      <c r="D648" s="53"/>
      <c r="E648" s="54"/>
      <c r="F648" s="53">
        <v>1</v>
      </c>
      <c r="G648" s="54">
        <v>0</v>
      </c>
      <c r="H648" s="53"/>
      <c r="I648" s="55"/>
      <c r="J648"/>
      <c r="K648"/>
      <c r="L648"/>
      <c r="M648"/>
      <c r="N648"/>
      <c r="O648"/>
      <c r="P648"/>
      <c r="Q648"/>
    </row>
    <row r="649" spans="1:17" ht="28.8" x14ac:dyDescent="0.3">
      <c r="A649" s="19" t="s">
        <v>1487</v>
      </c>
      <c r="B649" s="19" t="s">
        <v>525</v>
      </c>
      <c r="C649" s="19" t="s">
        <v>1918</v>
      </c>
      <c r="D649" s="53"/>
      <c r="E649" s="54"/>
      <c r="F649" s="53">
        <v>1</v>
      </c>
      <c r="G649" s="54">
        <v>0</v>
      </c>
      <c r="H649" s="53"/>
      <c r="I649" s="55"/>
      <c r="J649"/>
      <c r="K649"/>
      <c r="L649"/>
      <c r="M649"/>
      <c r="N649"/>
      <c r="O649"/>
      <c r="P649"/>
      <c r="Q649"/>
    </row>
    <row r="650" spans="1:17" ht="15.6" x14ac:dyDescent="0.3">
      <c r="A650" s="19" t="s">
        <v>1488</v>
      </c>
      <c r="B650" s="19" t="s">
        <v>2480</v>
      </c>
      <c r="C650" s="19" t="s">
        <v>1918</v>
      </c>
      <c r="D650" s="53"/>
      <c r="E650" s="54"/>
      <c r="F650" s="53">
        <v>1</v>
      </c>
      <c r="G650" s="54">
        <v>0</v>
      </c>
      <c r="H650" s="53"/>
      <c r="I650" s="55"/>
      <c r="J650"/>
      <c r="K650"/>
      <c r="L650"/>
      <c r="M650"/>
      <c r="N650"/>
      <c r="O650"/>
      <c r="P650"/>
      <c r="Q650"/>
    </row>
    <row r="651" spans="1:17" ht="28.8" x14ac:dyDescent="0.3">
      <c r="A651" s="19" t="s">
        <v>1489</v>
      </c>
      <c r="B651" s="19" t="s">
        <v>527</v>
      </c>
      <c r="C651" s="19" t="s">
        <v>1918</v>
      </c>
      <c r="D651" s="53"/>
      <c r="E651" s="54"/>
      <c r="F651" s="53">
        <v>4</v>
      </c>
      <c r="G651" s="54">
        <v>0</v>
      </c>
      <c r="H651" s="53"/>
      <c r="I651" s="55"/>
      <c r="J651"/>
      <c r="K651"/>
      <c r="L651"/>
      <c r="M651"/>
      <c r="N651"/>
      <c r="O651"/>
      <c r="P651"/>
      <c r="Q651"/>
    </row>
    <row r="652" spans="1:17" ht="28.8" x14ac:dyDescent="0.3">
      <c r="A652" s="19" t="s">
        <v>1490</v>
      </c>
      <c r="B652" s="19" t="s">
        <v>528</v>
      </c>
      <c r="C652" s="19" t="s">
        <v>1918</v>
      </c>
      <c r="D652" s="53"/>
      <c r="E652" s="54"/>
      <c r="F652" s="53">
        <v>1</v>
      </c>
      <c r="G652" s="54">
        <v>0</v>
      </c>
      <c r="H652" s="53"/>
      <c r="I652" s="55"/>
      <c r="J652"/>
      <c r="K652"/>
      <c r="L652"/>
      <c r="M652"/>
      <c r="N652"/>
      <c r="O652"/>
      <c r="P652"/>
      <c r="Q652"/>
    </row>
    <row r="653" spans="1:17" ht="28.8" x14ac:dyDescent="0.3">
      <c r="A653" s="19" t="s">
        <v>1491</v>
      </c>
      <c r="B653" s="19" t="s">
        <v>529</v>
      </c>
      <c r="C653" s="19" t="s">
        <v>1918</v>
      </c>
      <c r="D653" s="53"/>
      <c r="E653" s="54"/>
      <c r="F653" s="53">
        <v>2</v>
      </c>
      <c r="G653" s="54">
        <v>0</v>
      </c>
      <c r="H653" s="53"/>
      <c r="I653" s="55"/>
      <c r="J653"/>
      <c r="K653"/>
      <c r="L653"/>
      <c r="M653"/>
      <c r="N653"/>
      <c r="O653"/>
      <c r="P653"/>
      <c r="Q653"/>
    </row>
    <row r="654" spans="1:17" ht="15.6" x14ac:dyDescent="0.3">
      <c r="A654" s="19" t="s">
        <v>1492</v>
      </c>
      <c r="B654" s="19" t="s">
        <v>530</v>
      </c>
      <c r="C654" s="19" t="s">
        <v>1918</v>
      </c>
      <c r="D654" s="53"/>
      <c r="E654" s="54"/>
      <c r="F654" s="53">
        <v>2</v>
      </c>
      <c r="G654" s="54">
        <v>0</v>
      </c>
      <c r="H654" s="53"/>
      <c r="I654" s="55"/>
      <c r="J654"/>
      <c r="K654"/>
      <c r="L654"/>
      <c r="M654"/>
      <c r="N654"/>
      <c r="O654"/>
      <c r="P654"/>
      <c r="Q654"/>
    </row>
    <row r="655" spans="1:17" ht="15.6" x14ac:dyDescent="0.3">
      <c r="A655" s="19" t="s">
        <v>1493</v>
      </c>
      <c r="B655" s="19" t="s">
        <v>531</v>
      </c>
      <c r="C655" s="19" t="s">
        <v>1918</v>
      </c>
      <c r="D655" s="53"/>
      <c r="E655" s="54"/>
      <c r="F655" s="53">
        <v>1</v>
      </c>
      <c r="G655" s="54">
        <v>0</v>
      </c>
      <c r="H655" s="53"/>
      <c r="I655" s="55"/>
      <c r="J655"/>
      <c r="K655"/>
      <c r="L655"/>
      <c r="M655"/>
      <c r="N655"/>
      <c r="O655"/>
      <c r="P655"/>
      <c r="Q655"/>
    </row>
    <row r="656" spans="1:17" ht="15.6" x14ac:dyDescent="0.3">
      <c r="A656" s="19" t="s">
        <v>1494</v>
      </c>
      <c r="B656" s="19" t="s">
        <v>532</v>
      </c>
      <c r="C656" s="19" t="s">
        <v>1918</v>
      </c>
      <c r="D656" s="53"/>
      <c r="E656" s="54"/>
      <c r="F656" s="53">
        <v>1</v>
      </c>
      <c r="G656" s="54">
        <v>0</v>
      </c>
      <c r="H656" s="53"/>
      <c r="I656" s="55"/>
      <c r="J656"/>
      <c r="K656"/>
      <c r="L656"/>
      <c r="M656"/>
      <c r="N656"/>
      <c r="O656"/>
      <c r="P656"/>
      <c r="Q656"/>
    </row>
    <row r="657" spans="1:17" ht="15.6" x14ac:dyDescent="0.3">
      <c r="A657" s="19" t="s">
        <v>1495</v>
      </c>
      <c r="B657" s="19" t="s">
        <v>533</v>
      </c>
      <c r="C657" s="19" t="s">
        <v>1918</v>
      </c>
      <c r="D657" s="53"/>
      <c r="E657" s="54"/>
      <c r="F657" s="53">
        <v>1</v>
      </c>
      <c r="G657" s="54">
        <v>0</v>
      </c>
      <c r="H657" s="53"/>
      <c r="I657" s="55"/>
      <c r="J657"/>
      <c r="K657"/>
      <c r="L657"/>
      <c r="M657"/>
      <c r="N657"/>
      <c r="O657"/>
      <c r="P657"/>
      <c r="Q657"/>
    </row>
    <row r="658" spans="1:17" ht="15.6" x14ac:dyDescent="0.3">
      <c r="A658" s="47" t="s">
        <v>1496</v>
      </c>
      <c r="B658" s="47" t="s">
        <v>2481</v>
      </c>
      <c r="C658" s="19" t="s">
        <v>903</v>
      </c>
      <c r="D658" s="53"/>
      <c r="E658" s="54"/>
      <c r="F658" s="53"/>
      <c r="G658" s="54"/>
      <c r="H658" s="53">
        <v>3</v>
      </c>
      <c r="I658" s="55">
        <v>0</v>
      </c>
      <c r="J658"/>
      <c r="K658"/>
      <c r="L658"/>
      <c r="M658"/>
      <c r="N658"/>
      <c r="O658"/>
      <c r="P658"/>
      <c r="Q658"/>
    </row>
    <row r="659" spans="1:17" ht="15.6" x14ac:dyDescent="0.3">
      <c r="A659" s="48" t="s">
        <v>1496</v>
      </c>
      <c r="B659" s="48" t="s">
        <v>2481</v>
      </c>
      <c r="C659" s="23" t="s">
        <v>1918</v>
      </c>
      <c r="D659" s="56"/>
      <c r="E659" s="51"/>
      <c r="F659" s="56">
        <v>8</v>
      </c>
      <c r="G659" s="51">
        <v>0</v>
      </c>
      <c r="H659" s="56"/>
      <c r="I659" s="57"/>
      <c r="J659"/>
      <c r="K659"/>
      <c r="L659"/>
      <c r="M659"/>
      <c r="N659"/>
      <c r="O659"/>
      <c r="P659"/>
      <c r="Q659"/>
    </row>
    <row r="660" spans="1:17" ht="15.6" x14ac:dyDescent="0.3">
      <c r="A660" s="48" t="s">
        <v>1496</v>
      </c>
      <c r="B660" s="48" t="s">
        <v>2481</v>
      </c>
      <c r="C660" s="23" t="s">
        <v>904</v>
      </c>
      <c r="D660" s="56"/>
      <c r="E660" s="51"/>
      <c r="F660" s="56">
        <v>0</v>
      </c>
      <c r="G660" s="51">
        <v>3</v>
      </c>
      <c r="H660" s="56"/>
      <c r="I660" s="57"/>
      <c r="J660"/>
      <c r="K660"/>
      <c r="L660"/>
      <c r="M660"/>
      <c r="N660"/>
      <c r="O660"/>
      <c r="P660"/>
      <c r="Q660"/>
    </row>
    <row r="661" spans="1:17" ht="15.6" x14ac:dyDescent="0.3">
      <c r="A661" s="47" t="s">
        <v>1497</v>
      </c>
      <c r="B661" s="47" t="s">
        <v>534</v>
      </c>
      <c r="C661" s="19" t="s">
        <v>903</v>
      </c>
      <c r="D661" s="53"/>
      <c r="E661" s="54"/>
      <c r="F661" s="53"/>
      <c r="G661" s="54"/>
      <c r="H661" s="53">
        <v>1</v>
      </c>
      <c r="I661" s="55">
        <v>0</v>
      </c>
      <c r="J661"/>
      <c r="K661"/>
      <c r="L661"/>
      <c r="M661"/>
      <c r="N661"/>
      <c r="O661"/>
      <c r="P661"/>
      <c r="Q661"/>
    </row>
    <row r="662" spans="1:17" ht="15.6" x14ac:dyDescent="0.3">
      <c r="A662" s="48" t="s">
        <v>1497</v>
      </c>
      <c r="B662" s="48" t="s">
        <v>534</v>
      </c>
      <c r="C662" s="23" t="s">
        <v>1918</v>
      </c>
      <c r="D662" s="56"/>
      <c r="E662" s="51"/>
      <c r="F662" s="56">
        <v>3</v>
      </c>
      <c r="G662" s="51">
        <v>0</v>
      </c>
      <c r="H662" s="56"/>
      <c r="I662" s="57"/>
      <c r="J662"/>
      <c r="K662"/>
      <c r="L662"/>
      <c r="M662"/>
      <c r="N662"/>
      <c r="O662"/>
      <c r="P662"/>
      <c r="Q662"/>
    </row>
    <row r="663" spans="1:17" ht="15.6" x14ac:dyDescent="0.3">
      <c r="A663" s="48" t="s">
        <v>1497</v>
      </c>
      <c r="B663" s="48" t="s">
        <v>534</v>
      </c>
      <c r="C663" s="23" t="s">
        <v>904</v>
      </c>
      <c r="D663" s="56"/>
      <c r="E663" s="51"/>
      <c r="F663" s="56">
        <v>0</v>
      </c>
      <c r="G663" s="51">
        <v>1</v>
      </c>
      <c r="H663" s="56"/>
      <c r="I663" s="57"/>
      <c r="J663"/>
      <c r="K663"/>
      <c r="L663"/>
      <c r="M663"/>
      <c r="N663"/>
      <c r="O663"/>
      <c r="P663"/>
      <c r="Q663"/>
    </row>
    <row r="664" spans="1:17" ht="15.6" x14ac:dyDescent="0.3">
      <c r="A664" s="19" t="s">
        <v>1498</v>
      </c>
      <c r="B664" s="19" t="s">
        <v>535</v>
      </c>
      <c r="C664" s="19" t="s">
        <v>1918</v>
      </c>
      <c r="D664" s="53"/>
      <c r="E664" s="54"/>
      <c r="F664" s="53">
        <v>1</v>
      </c>
      <c r="G664" s="54">
        <v>0</v>
      </c>
      <c r="H664" s="53"/>
      <c r="I664" s="55"/>
      <c r="J664"/>
      <c r="K664"/>
      <c r="L664"/>
      <c r="M664"/>
      <c r="N664"/>
      <c r="O664"/>
      <c r="P664"/>
      <c r="Q664"/>
    </row>
    <row r="665" spans="1:17" ht="15.6" x14ac:dyDescent="0.3">
      <c r="A665" s="19" t="s">
        <v>1499</v>
      </c>
      <c r="B665" s="19" t="s">
        <v>536</v>
      </c>
      <c r="C665" s="19" t="s">
        <v>1918</v>
      </c>
      <c r="D665" s="53"/>
      <c r="E665" s="54"/>
      <c r="F665" s="53">
        <v>1</v>
      </c>
      <c r="G665" s="54">
        <v>0</v>
      </c>
      <c r="H665" s="53"/>
      <c r="I665" s="55"/>
      <c r="J665"/>
      <c r="K665"/>
      <c r="L665"/>
      <c r="M665"/>
      <c r="N665"/>
      <c r="O665"/>
      <c r="P665"/>
      <c r="Q665"/>
    </row>
    <row r="666" spans="1:17" ht="15.6" x14ac:dyDescent="0.3">
      <c r="A666" s="19" t="s">
        <v>1500</v>
      </c>
      <c r="B666" s="19" t="s">
        <v>537</v>
      </c>
      <c r="C666" s="19" t="s">
        <v>1918</v>
      </c>
      <c r="D666" s="53"/>
      <c r="E666" s="54"/>
      <c r="F666" s="53">
        <v>1</v>
      </c>
      <c r="G666" s="54">
        <v>0</v>
      </c>
      <c r="H666" s="53"/>
      <c r="I666" s="55"/>
      <c r="J666"/>
      <c r="K666"/>
      <c r="L666"/>
      <c r="M666"/>
      <c r="N666"/>
      <c r="O666"/>
      <c r="P666"/>
      <c r="Q666"/>
    </row>
    <row r="667" spans="1:17" ht="15.6" x14ac:dyDescent="0.3">
      <c r="A667" s="19" t="s">
        <v>1501</v>
      </c>
      <c r="B667" s="19" t="s">
        <v>538</v>
      </c>
      <c r="C667" s="19" t="s">
        <v>1918</v>
      </c>
      <c r="D667" s="53"/>
      <c r="E667" s="54"/>
      <c r="F667" s="53">
        <v>1</v>
      </c>
      <c r="G667" s="54">
        <v>0</v>
      </c>
      <c r="H667" s="53"/>
      <c r="I667" s="55"/>
      <c r="J667"/>
      <c r="K667"/>
      <c r="L667"/>
      <c r="M667"/>
      <c r="N667"/>
      <c r="O667"/>
      <c r="P667"/>
      <c r="Q667"/>
    </row>
    <row r="668" spans="1:17" ht="15.6" x14ac:dyDescent="0.3">
      <c r="A668" s="19" t="s">
        <v>1502</v>
      </c>
      <c r="B668" s="19" t="s">
        <v>539</v>
      </c>
      <c r="C668" s="19" t="s">
        <v>1918</v>
      </c>
      <c r="D668" s="53"/>
      <c r="E668" s="54"/>
      <c r="F668" s="53">
        <v>1</v>
      </c>
      <c r="G668" s="54">
        <v>0</v>
      </c>
      <c r="H668" s="53"/>
      <c r="I668" s="55"/>
      <c r="J668"/>
      <c r="K668"/>
      <c r="L668"/>
      <c r="M668"/>
      <c r="N668"/>
      <c r="O668"/>
      <c r="P668"/>
      <c r="Q668"/>
    </row>
    <row r="669" spans="1:17" ht="15.6" x14ac:dyDescent="0.3">
      <c r="A669" s="19" t="s">
        <v>1503</v>
      </c>
      <c r="B669" s="19" t="s">
        <v>540</v>
      </c>
      <c r="C669" s="19" t="s">
        <v>1918</v>
      </c>
      <c r="D669" s="53"/>
      <c r="E669" s="54"/>
      <c r="F669" s="53">
        <v>1</v>
      </c>
      <c r="G669" s="54">
        <v>0</v>
      </c>
      <c r="H669" s="53"/>
      <c r="I669" s="55"/>
      <c r="J669"/>
      <c r="K669"/>
      <c r="L669"/>
      <c r="M669"/>
      <c r="N669"/>
      <c r="O669"/>
      <c r="P669"/>
      <c r="Q669"/>
    </row>
    <row r="670" spans="1:17" ht="15.6" x14ac:dyDescent="0.3">
      <c r="A670" s="19" t="s">
        <v>1504</v>
      </c>
      <c r="B670" s="19" t="s">
        <v>541</v>
      </c>
      <c r="C670" s="19" t="s">
        <v>1918</v>
      </c>
      <c r="D670" s="53"/>
      <c r="E670" s="54"/>
      <c r="F670" s="53">
        <v>1</v>
      </c>
      <c r="G670" s="54">
        <v>0</v>
      </c>
      <c r="H670" s="53"/>
      <c r="I670" s="55"/>
      <c r="J670"/>
      <c r="K670"/>
      <c r="L670"/>
      <c r="M670"/>
      <c r="N670"/>
      <c r="O670"/>
      <c r="P670"/>
      <c r="Q670"/>
    </row>
    <row r="671" spans="1:17" ht="15.6" x14ac:dyDescent="0.3">
      <c r="A671" s="19" t="s">
        <v>1505</v>
      </c>
      <c r="B671" s="19" t="s">
        <v>542</v>
      </c>
      <c r="C671" s="19" t="s">
        <v>1918</v>
      </c>
      <c r="D671" s="53"/>
      <c r="E671" s="54"/>
      <c r="F671" s="53">
        <v>2</v>
      </c>
      <c r="G671" s="54">
        <v>0</v>
      </c>
      <c r="H671" s="53"/>
      <c r="I671" s="55"/>
      <c r="J671"/>
      <c r="K671"/>
      <c r="L671"/>
      <c r="M671"/>
      <c r="N671"/>
      <c r="O671"/>
      <c r="P671"/>
      <c r="Q671"/>
    </row>
    <row r="672" spans="1:17" ht="15.6" x14ac:dyDescent="0.3">
      <c r="A672" s="19" t="s">
        <v>1506</v>
      </c>
      <c r="B672" s="19" t="s">
        <v>543</v>
      </c>
      <c r="C672" s="19" t="s">
        <v>1918</v>
      </c>
      <c r="D672" s="53"/>
      <c r="E672" s="54"/>
      <c r="F672" s="53">
        <v>1</v>
      </c>
      <c r="G672" s="54">
        <v>0</v>
      </c>
      <c r="H672" s="53"/>
      <c r="I672" s="55"/>
      <c r="J672"/>
      <c r="K672"/>
      <c r="L672"/>
      <c r="M672"/>
      <c r="N672"/>
      <c r="O672"/>
      <c r="P672"/>
      <c r="Q672"/>
    </row>
    <row r="673" spans="1:17" ht="15.6" x14ac:dyDescent="0.3">
      <c r="A673" s="19" t="s">
        <v>1507</v>
      </c>
      <c r="B673" s="19" t="s">
        <v>544</v>
      </c>
      <c r="C673" s="19" t="s">
        <v>1918</v>
      </c>
      <c r="D673" s="53"/>
      <c r="E673" s="54"/>
      <c r="F673" s="53">
        <v>1</v>
      </c>
      <c r="G673" s="54">
        <v>0</v>
      </c>
      <c r="H673" s="53"/>
      <c r="I673" s="55"/>
      <c r="J673"/>
      <c r="K673"/>
      <c r="L673"/>
      <c r="M673"/>
      <c r="N673"/>
      <c r="O673"/>
      <c r="P673"/>
      <c r="Q673"/>
    </row>
    <row r="674" spans="1:17" ht="15.6" x14ac:dyDescent="0.3">
      <c r="A674" s="19" t="s">
        <v>1508</v>
      </c>
      <c r="B674" s="19" t="s">
        <v>545</v>
      </c>
      <c r="C674" s="19" t="s">
        <v>1918</v>
      </c>
      <c r="D674" s="53"/>
      <c r="E674" s="54"/>
      <c r="F674" s="53">
        <v>1</v>
      </c>
      <c r="G674" s="54">
        <v>0</v>
      </c>
      <c r="H674" s="53"/>
      <c r="I674" s="55"/>
      <c r="J674"/>
      <c r="K674"/>
      <c r="L674"/>
      <c r="M674"/>
      <c r="N674"/>
      <c r="O674"/>
      <c r="P674"/>
      <c r="Q674"/>
    </row>
    <row r="675" spans="1:17" ht="15.6" x14ac:dyDescent="0.3">
      <c r="A675" s="19" t="s">
        <v>1509</v>
      </c>
      <c r="B675" s="19" t="s">
        <v>546</v>
      </c>
      <c r="C675" s="19" t="s">
        <v>1918</v>
      </c>
      <c r="D675" s="53"/>
      <c r="E675" s="54"/>
      <c r="F675" s="53">
        <v>1</v>
      </c>
      <c r="G675" s="54">
        <v>0</v>
      </c>
      <c r="H675" s="53"/>
      <c r="I675" s="55"/>
      <c r="J675"/>
      <c r="K675"/>
      <c r="L675"/>
      <c r="M675"/>
      <c r="N675"/>
      <c r="O675"/>
      <c r="P675"/>
      <c r="Q675"/>
    </row>
    <row r="676" spans="1:17" ht="15.6" x14ac:dyDescent="0.3">
      <c r="A676" s="19" t="s">
        <v>1510</v>
      </c>
      <c r="B676" s="19" t="s">
        <v>547</v>
      </c>
      <c r="C676" s="19" t="s">
        <v>1918</v>
      </c>
      <c r="D676" s="53"/>
      <c r="E676" s="54"/>
      <c r="F676" s="53">
        <v>1</v>
      </c>
      <c r="G676" s="54">
        <v>0</v>
      </c>
      <c r="H676" s="53"/>
      <c r="I676" s="55"/>
      <c r="J676"/>
      <c r="K676"/>
      <c r="L676"/>
      <c r="M676"/>
      <c r="N676"/>
      <c r="O676"/>
      <c r="P676"/>
      <c r="Q676"/>
    </row>
    <row r="677" spans="1:17" ht="15.6" x14ac:dyDescent="0.3">
      <c r="A677" s="19" t="s">
        <v>1511</v>
      </c>
      <c r="B677" s="19" t="s">
        <v>548</v>
      </c>
      <c r="C677" s="19" t="s">
        <v>1918</v>
      </c>
      <c r="D677" s="53"/>
      <c r="E677" s="54"/>
      <c r="F677" s="53">
        <v>1</v>
      </c>
      <c r="G677" s="54">
        <v>0</v>
      </c>
      <c r="H677" s="53"/>
      <c r="I677" s="55"/>
      <c r="J677"/>
      <c r="K677"/>
      <c r="L677"/>
      <c r="M677"/>
      <c r="N677"/>
      <c r="O677"/>
      <c r="P677"/>
      <c r="Q677"/>
    </row>
    <row r="678" spans="1:17" ht="15.6" x14ac:dyDescent="0.3">
      <c r="A678" s="19" t="s">
        <v>1512</v>
      </c>
      <c r="B678" s="19" t="s">
        <v>549</v>
      </c>
      <c r="C678" s="19" t="s">
        <v>1918</v>
      </c>
      <c r="D678" s="53"/>
      <c r="E678" s="54"/>
      <c r="F678" s="53">
        <v>1</v>
      </c>
      <c r="G678" s="54">
        <v>0</v>
      </c>
      <c r="H678" s="53"/>
      <c r="I678" s="55"/>
      <c r="J678"/>
      <c r="K678"/>
      <c r="L678"/>
      <c r="M678"/>
      <c r="N678"/>
      <c r="O678"/>
      <c r="P678"/>
      <c r="Q678"/>
    </row>
    <row r="679" spans="1:17" ht="15.6" x14ac:dyDescent="0.3">
      <c r="A679" s="19" t="s">
        <v>1513</v>
      </c>
      <c r="B679" s="19" t="s">
        <v>550</v>
      </c>
      <c r="C679" s="19" t="s">
        <v>1918</v>
      </c>
      <c r="D679" s="53"/>
      <c r="E679" s="54"/>
      <c r="F679" s="53">
        <v>1</v>
      </c>
      <c r="G679" s="54">
        <v>0</v>
      </c>
      <c r="H679" s="53"/>
      <c r="I679" s="55"/>
      <c r="J679"/>
      <c r="K679"/>
      <c r="L679"/>
      <c r="M679"/>
      <c r="N679"/>
      <c r="O679"/>
      <c r="P679"/>
      <c r="Q679"/>
    </row>
    <row r="680" spans="1:17" ht="15.6" x14ac:dyDescent="0.3">
      <c r="A680" s="19" t="s">
        <v>1514</v>
      </c>
      <c r="B680" s="19" t="s">
        <v>551</v>
      </c>
      <c r="C680" s="19" t="s">
        <v>1918</v>
      </c>
      <c r="D680" s="53"/>
      <c r="E680" s="54"/>
      <c r="F680" s="53">
        <v>1</v>
      </c>
      <c r="G680" s="54">
        <v>0</v>
      </c>
      <c r="H680" s="53"/>
      <c r="I680" s="55"/>
      <c r="J680"/>
      <c r="K680"/>
      <c r="L680"/>
      <c r="M680"/>
      <c r="N680"/>
      <c r="O680"/>
      <c r="P680"/>
      <c r="Q680"/>
    </row>
    <row r="681" spans="1:17" ht="15.6" x14ac:dyDescent="0.3">
      <c r="A681" s="19" t="s">
        <v>1515</v>
      </c>
      <c r="B681" s="19" t="s">
        <v>552</v>
      </c>
      <c r="C681" s="19" t="s">
        <v>1918</v>
      </c>
      <c r="D681" s="53"/>
      <c r="E681" s="54"/>
      <c r="F681" s="53">
        <v>1</v>
      </c>
      <c r="G681" s="54">
        <v>0</v>
      </c>
      <c r="H681" s="53"/>
      <c r="I681" s="55"/>
      <c r="J681"/>
      <c r="K681"/>
      <c r="L681"/>
      <c r="M681"/>
      <c r="N681"/>
      <c r="O681"/>
      <c r="P681"/>
      <c r="Q681"/>
    </row>
    <row r="682" spans="1:17" ht="15.6" x14ac:dyDescent="0.3">
      <c r="A682" s="19" t="s">
        <v>1516</v>
      </c>
      <c r="B682" s="19" t="s">
        <v>553</v>
      </c>
      <c r="C682" s="19" t="s">
        <v>1918</v>
      </c>
      <c r="D682" s="53"/>
      <c r="E682" s="54"/>
      <c r="F682" s="53">
        <v>1</v>
      </c>
      <c r="G682" s="54">
        <v>0</v>
      </c>
      <c r="H682" s="53"/>
      <c r="I682" s="55"/>
      <c r="J682"/>
      <c r="K682"/>
      <c r="L682"/>
      <c r="M682"/>
      <c r="N682"/>
      <c r="O682"/>
      <c r="P682"/>
      <c r="Q682"/>
    </row>
    <row r="683" spans="1:17" ht="28.8" x14ac:dyDescent="0.3">
      <c r="A683" s="19" t="s">
        <v>1517</v>
      </c>
      <c r="B683" s="19" t="s">
        <v>554</v>
      </c>
      <c r="C683" s="19" t="s">
        <v>1918</v>
      </c>
      <c r="D683" s="53"/>
      <c r="E683" s="54"/>
      <c r="F683" s="53">
        <v>5</v>
      </c>
      <c r="G683" s="54">
        <v>0</v>
      </c>
      <c r="H683" s="53"/>
      <c r="I683" s="55"/>
      <c r="J683"/>
      <c r="K683"/>
      <c r="L683"/>
      <c r="M683"/>
      <c r="N683"/>
      <c r="O683"/>
      <c r="P683"/>
      <c r="Q683"/>
    </row>
    <row r="684" spans="1:17" ht="15.6" x14ac:dyDescent="0.3">
      <c r="A684" s="19" t="s">
        <v>1518</v>
      </c>
      <c r="B684" s="19" t="s">
        <v>555</v>
      </c>
      <c r="C684" s="19" t="s">
        <v>1918</v>
      </c>
      <c r="D684" s="53"/>
      <c r="E684" s="54"/>
      <c r="F684" s="53">
        <v>14</v>
      </c>
      <c r="G684" s="54">
        <v>0</v>
      </c>
      <c r="H684" s="53"/>
      <c r="I684" s="55"/>
      <c r="J684"/>
      <c r="K684"/>
      <c r="L684"/>
      <c r="M684"/>
      <c r="N684"/>
      <c r="O684"/>
      <c r="P684"/>
      <c r="Q684"/>
    </row>
    <row r="685" spans="1:17" ht="15.6" x14ac:dyDescent="0.3">
      <c r="A685" s="19" t="s">
        <v>1519</v>
      </c>
      <c r="B685" s="19" t="s">
        <v>2482</v>
      </c>
      <c r="C685" s="19" t="s">
        <v>1918</v>
      </c>
      <c r="D685" s="53"/>
      <c r="E685" s="54"/>
      <c r="F685" s="53">
        <v>5</v>
      </c>
      <c r="G685" s="54">
        <v>0</v>
      </c>
      <c r="H685" s="53"/>
      <c r="I685" s="55"/>
      <c r="J685"/>
      <c r="K685"/>
      <c r="L685"/>
      <c r="M685"/>
      <c r="N685"/>
      <c r="O685"/>
      <c r="P685"/>
      <c r="Q685"/>
    </row>
    <row r="686" spans="1:17" ht="28.8" x14ac:dyDescent="0.3">
      <c r="A686" s="19" t="s">
        <v>1520</v>
      </c>
      <c r="B686" s="19" t="s">
        <v>556</v>
      </c>
      <c r="C686" s="19" t="s">
        <v>1918</v>
      </c>
      <c r="D686" s="53"/>
      <c r="E686" s="54"/>
      <c r="F686" s="53">
        <v>2</v>
      </c>
      <c r="G686" s="54">
        <v>0</v>
      </c>
      <c r="H686" s="53"/>
      <c r="I686" s="55"/>
      <c r="J686"/>
      <c r="K686"/>
      <c r="L686"/>
      <c r="M686"/>
      <c r="N686"/>
      <c r="O686"/>
      <c r="P686"/>
      <c r="Q686"/>
    </row>
    <row r="687" spans="1:17" ht="28.8" x14ac:dyDescent="0.3">
      <c r="A687" s="19" t="s">
        <v>1521</v>
      </c>
      <c r="B687" s="19" t="s">
        <v>557</v>
      </c>
      <c r="C687" s="19" t="s">
        <v>1918</v>
      </c>
      <c r="D687" s="53"/>
      <c r="E687" s="54"/>
      <c r="F687" s="53">
        <v>1</v>
      </c>
      <c r="G687" s="54">
        <v>0</v>
      </c>
      <c r="H687" s="53"/>
      <c r="I687" s="55"/>
      <c r="J687"/>
      <c r="K687"/>
      <c r="L687"/>
      <c r="M687"/>
      <c r="N687"/>
      <c r="O687"/>
      <c r="P687"/>
      <c r="Q687"/>
    </row>
    <row r="688" spans="1:17" ht="15.6" x14ac:dyDescent="0.3">
      <c r="A688" s="19" t="s">
        <v>1522</v>
      </c>
      <c r="B688" s="19" t="s">
        <v>558</v>
      </c>
      <c r="C688" s="19" t="s">
        <v>1918</v>
      </c>
      <c r="D688" s="53"/>
      <c r="E688" s="54"/>
      <c r="F688" s="53">
        <v>1</v>
      </c>
      <c r="G688" s="54">
        <v>0</v>
      </c>
      <c r="H688" s="53"/>
      <c r="I688" s="55"/>
      <c r="J688"/>
      <c r="K688"/>
      <c r="L688"/>
      <c r="M688"/>
      <c r="N688"/>
      <c r="O688"/>
      <c r="P688"/>
      <c r="Q688"/>
    </row>
    <row r="689" spans="1:17" ht="15.6" x14ac:dyDescent="0.3">
      <c r="A689" s="19" t="s">
        <v>1523</v>
      </c>
      <c r="B689" s="19" t="s">
        <v>559</v>
      </c>
      <c r="C689" s="19" t="s">
        <v>1918</v>
      </c>
      <c r="D689" s="53"/>
      <c r="E689" s="54"/>
      <c r="F689" s="53">
        <v>1</v>
      </c>
      <c r="G689" s="54">
        <v>0</v>
      </c>
      <c r="H689" s="53"/>
      <c r="I689" s="55"/>
      <c r="J689"/>
      <c r="K689"/>
      <c r="L689"/>
      <c r="M689"/>
      <c r="N689"/>
      <c r="O689"/>
      <c r="P689"/>
      <c r="Q689"/>
    </row>
    <row r="690" spans="1:17" ht="15.6" x14ac:dyDescent="0.3">
      <c r="A690" s="47" t="s">
        <v>1524</v>
      </c>
      <c r="B690" s="47" t="s">
        <v>560</v>
      </c>
      <c r="C690" s="19" t="s">
        <v>905</v>
      </c>
      <c r="D690" s="53"/>
      <c r="E690" s="54"/>
      <c r="F690" s="53">
        <v>0</v>
      </c>
      <c r="G690" s="54">
        <v>1</v>
      </c>
      <c r="H690" s="53"/>
      <c r="I690" s="55"/>
      <c r="J690"/>
      <c r="K690"/>
      <c r="L690"/>
      <c r="M690"/>
      <c r="N690"/>
      <c r="O690"/>
      <c r="P690"/>
      <c r="Q690"/>
    </row>
    <row r="691" spans="1:17" ht="15.6" x14ac:dyDescent="0.3">
      <c r="A691" s="48" t="s">
        <v>1524</v>
      </c>
      <c r="B691" s="48" t="s">
        <v>560</v>
      </c>
      <c r="C691" s="23" t="s">
        <v>903</v>
      </c>
      <c r="D691" s="56">
        <v>1</v>
      </c>
      <c r="E691" s="51">
        <v>0</v>
      </c>
      <c r="F691" s="56"/>
      <c r="G691" s="51"/>
      <c r="H691" s="56"/>
      <c r="I691" s="57"/>
      <c r="J691"/>
      <c r="K691"/>
      <c r="L691"/>
      <c r="M691"/>
      <c r="N691"/>
      <c r="O691"/>
      <c r="P691"/>
      <c r="Q691"/>
    </row>
    <row r="692" spans="1:17" ht="15.6" x14ac:dyDescent="0.3">
      <c r="A692" s="48" t="s">
        <v>1524</v>
      </c>
      <c r="B692" s="48" t="s">
        <v>560</v>
      </c>
      <c r="C692" s="23" t="s">
        <v>1918</v>
      </c>
      <c r="D692" s="56"/>
      <c r="E692" s="51"/>
      <c r="F692" s="56">
        <v>1</v>
      </c>
      <c r="G692" s="51">
        <v>0</v>
      </c>
      <c r="H692" s="56"/>
      <c r="I692" s="57"/>
      <c r="J692"/>
      <c r="K692"/>
      <c r="L692"/>
      <c r="M692"/>
      <c r="N692"/>
      <c r="O692"/>
      <c r="P692"/>
      <c r="Q692"/>
    </row>
    <row r="693" spans="1:17" ht="15.6" x14ac:dyDescent="0.3">
      <c r="A693" s="47" t="s">
        <v>1525</v>
      </c>
      <c r="B693" s="47" t="s">
        <v>561</v>
      </c>
      <c r="C693" s="19" t="s">
        <v>903</v>
      </c>
      <c r="D693" s="53"/>
      <c r="E693" s="54"/>
      <c r="F693" s="53"/>
      <c r="G693" s="54"/>
      <c r="H693" s="53">
        <v>2</v>
      </c>
      <c r="I693" s="55">
        <v>0</v>
      </c>
      <c r="J693"/>
      <c r="K693"/>
      <c r="L693"/>
      <c r="M693"/>
      <c r="N693"/>
      <c r="O693"/>
      <c r="P693"/>
      <c r="Q693"/>
    </row>
    <row r="694" spans="1:17" ht="15.6" x14ac:dyDescent="0.3">
      <c r="A694" s="48" t="s">
        <v>1525</v>
      </c>
      <c r="B694" s="48" t="s">
        <v>561</v>
      </c>
      <c r="C694" s="23" t="s">
        <v>1918</v>
      </c>
      <c r="D694" s="56"/>
      <c r="E694" s="51"/>
      <c r="F694" s="56">
        <v>2</v>
      </c>
      <c r="G694" s="51">
        <v>0</v>
      </c>
      <c r="H694" s="56"/>
      <c r="I694" s="57"/>
      <c r="J694"/>
      <c r="K694"/>
      <c r="L694"/>
      <c r="M694"/>
      <c r="N694"/>
      <c r="O694"/>
      <c r="P694"/>
      <c r="Q694"/>
    </row>
    <row r="695" spans="1:17" ht="15.6" x14ac:dyDescent="0.3">
      <c r="A695" s="48" t="s">
        <v>1525</v>
      </c>
      <c r="B695" s="48" t="s">
        <v>561</v>
      </c>
      <c r="C695" s="23" t="s">
        <v>904</v>
      </c>
      <c r="D695" s="56"/>
      <c r="E695" s="51"/>
      <c r="F695" s="56">
        <v>0</v>
      </c>
      <c r="G695" s="51">
        <v>2</v>
      </c>
      <c r="H695" s="56"/>
      <c r="I695" s="57"/>
      <c r="J695"/>
      <c r="K695"/>
      <c r="L695"/>
      <c r="M695"/>
      <c r="N695"/>
      <c r="O695"/>
      <c r="P695"/>
      <c r="Q695"/>
    </row>
    <row r="696" spans="1:17" ht="15.6" x14ac:dyDescent="0.3">
      <c r="A696" s="19" t="s">
        <v>1526</v>
      </c>
      <c r="B696" s="19" t="s">
        <v>562</v>
      </c>
      <c r="C696" s="19" t="s">
        <v>1918</v>
      </c>
      <c r="D696" s="53"/>
      <c r="E696" s="54"/>
      <c r="F696" s="53">
        <v>1</v>
      </c>
      <c r="G696" s="54">
        <v>0</v>
      </c>
      <c r="H696" s="53"/>
      <c r="I696" s="55"/>
      <c r="J696"/>
      <c r="K696"/>
      <c r="L696"/>
      <c r="M696"/>
      <c r="N696"/>
      <c r="O696"/>
      <c r="P696"/>
      <c r="Q696"/>
    </row>
    <row r="697" spans="1:17" ht="28.8" x14ac:dyDescent="0.3">
      <c r="A697" s="19" t="s">
        <v>1527</v>
      </c>
      <c r="B697" s="19" t="s">
        <v>563</v>
      </c>
      <c r="C697" s="19" t="s">
        <v>1918</v>
      </c>
      <c r="D697" s="53"/>
      <c r="E697" s="54"/>
      <c r="F697" s="53">
        <v>1</v>
      </c>
      <c r="G697" s="54">
        <v>0</v>
      </c>
      <c r="H697" s="53"/>
      <c r="I697" s="55"/>
      <c r="J697"/>
      <c r="K697"/>
      <c r="L697"/>
      <c r="M697"/>
      <c r="N697"/>
      <c r="O697"/>
      <c r="P697"/>
      <c r="Q697"/>
    </row>
    <row r="698" spans="1:17" ht="15.6" x14ac:dyDescent="0.3">
      <c r="A698" s="19" t="s">
        <v>1528</v>
      </c>
      <c r="B698" s="19" t="s">
        <v>564</v>
      </c>
      <c r="C698" s="19" t="s">
        <v>1918</v>
      </c>
      <c r="D698" s="53"/>
      <c r="E698" s="54"/>
      <c r="F698" s="53">
        <v>1</v>
      </c>
      <c r="G698" s="54">
        <v>0</v>
      </c>
      <c r="H698" s="53"/>
      <c r="I698" s="55"/>
      <c r="J698"/>
      <c r="K698"/>
      <c r="L698"/>
      <c r="M698"/>
      <c r="N698"/>
      <c r="O698"/>
      <c r="P698"/>
      <c r="Q698"/>
    </row>
    <row r="699" spans="1:17" ht="15.6" x14ac:dyDescent="0.3">
      <c r="A699" s="19" t="s">
        <v>1529</v>
      </c>
      <c r="B699" s="19" t="s">
        <v>565</v>
      </c>
      <c r="C699" s="19" t="s">
        <v>1918</v>
      </c>
      <c r="D699" s="53"/>
      <c r="E699" s="54"/>
      <c r="F699" s="53">
        <v>10</v>
      </c>
      <c r="G699" s="54">
        <v>0</v>
      </c>
      <c r="H699" s="53"/>
      <c r="I699" s="55"/>
      <c r="J699"/>
      <c r="K699"/>
      <c r="L699"/>
      <c r="M699"/>
      <c r="N699"/>
      <c r="O699"/>
      <c r="P699"/>
      <c r="Q699"/>
    </row>
    <row r="700" spans="1:17" ht="43.2" x14ac:dyDescent="0.3">
      <c r="A700" s="19" t="s">
        <v>1530</v>
      </c>
      <c r="B700" s="19" t="s">
        <v>566</v>
      </c>
      <c r="C700" s="19" t="s">
        <v>1918</v>
      </c>
      <c r="D700" s="53"/>
      <c r="E700" s="54"/>
      <c r="F700" s="53">
        <v>1</v>
      </c>
      <c r="G700" s="54">
        <v>0</v>
      </c>
      <c r="H700" s="53"/>
      <c r="I700" s="55"/>
      <c r="J700"/>
      <c r="K700"/>
      <c r="L700"/>
      <c r="M700"/>
      <c r="N700"/>
      <c r="O700"/>
      <c r="P700"/>
      <c r="Q700"/>
    </row>
    <row r="701" spans="1:17" ht="15.6" x14ac:dyDescent="0.3">
      <c r="A701" s="19" t="s">
        <v>1531</v>
      </c>
      <c r="B701" s="19" t="s">
        <v>567</v>
      </c>
      <c r="C701" s="19" t="s">
        <v>1918</v>
      </c>
      <c r="D701" s="53"/>
      <c r="E701" s="54"/>
      <c r="F701" s="53">
        <v>1</v>
      </c>
      <c r="G701" s="54">
        <v>0</v>
      </c>
      <c r="H701" s="53"/>
      <c r="I701" s="55"/>
      <c r="J701"/>
      <c r="K701"/>
      <c r="L701"/>
      <c r="M701"/>
      <c r="N701"/>
      <c r="O701"/>
      <c r="P701"/>
      <c r="Q701"/>
    </row>
    <row r="702" spans="1:17" ht="15.6" x14ac:dyDescent="0.3">
      <c r="A702" s="47" t="s">
        <v>1532</v>
      </c>
      <c r="B702" s="47" t="s">
        <v>568</v>
      </c>
      <c r="C702" s="19" t="s">
        <v>903</v>
      </c>
      <c r="D702" s="53"/>
      <c r="E702" s="54"/>
      <c r="F702" s="53"/>
      <c r="G702" s="54"/>
      <c r="H702" s="53">
        <v>1</v>
      </c>
      <c r="I702" s="55">
        <v>0</v>
      </c>
      <c r="J702"/>
      <c r="K702"/>
      <c r="L702"/>
      <c r="M702"/>
      <c r="N702"/>
      <c r="O702"/>
      <c r="P702"/>
      <c r="Q702"/>
    </row>
    <row r="703" spans="1:17" ht="15.6" x14ac:dyDescent="0.3">
      <c r="A703" s="48" t="s">
        <v>1532</v>
      </c>
      <c r="B703" s="48" t="s">
        <v>568</v>
      </c>
      <c r="C703" s="23" t="s">
        <v>1918</v>
      </c>
      <c r="D703" s="56"/>
      <c r="E703" s="51"/>
      <c r="F703" s="56">
        <v>1</v>
      </c>
      <c r="G703" s="51">
        <v>0</v>
      </c>
      <c r="H703" s="56"/>
      <c r="I703" s="57"/>
      <c r="J703"/>
      <c r="K703"/>
      <c r="L703"/>
      <c r="M703"/>
      <c r="N703"/>
      <c r="O703"/>
      <c r="P703"/>
      <c r="Q703"/>
    </row>
    <row r="704" spans="1:17" ht="15.6" x14ac:dyDescent="0.3">
      <c r="A704" s="48" t="s">
        <v>1532</v>
      </c>
      <c r="B704" s="48" t="s">
        <v>568</v>
      </c>
      <c r="C704" s="23" t="s">
        <v>904</v>
      </c>
      <c r="D704" s="56"/>
      <c r="E704" s="51"/>
      <c r="F704" s="56">
        <v>0</v>
      </c>
      <c r="G704" s="51">
        <v>1</v>
      </c>
      <c r="H704" s="56"/>
      <c r="I704" s="57"/>
      <c r="J704"/>
      <c r="K704"/>
      <c r="L704"/>
      <c r="M704"/>
      <c r="N704"/>
      <c r="O704"/>
      <c r="P704"/>
      <c r="Q704"/>
    </row>
    <row r="705" spans="1:17" ht="15.6" x14ac:dyDescent="0.3">
      <c r="A705" s="47" t="s">
        <v>1533</v>
      </c>
      <c r="B705" s="47" t="s">
        <v>569</v>
      </c>
      <c r="C705" s="19" t="s">
        <v>905</v>
      </c>
      <c r="D705" s="53"/>
      <c r="E705" s="54"/>
      <c r="F705" s="53">
        <v>0</v>
      </c>
      <c r="G705" s="54">
        <v>1</v>
      </c>
      <c r="H705" s="53"/>
      <c r="I705" s="55"/>
      <c r="J705"/>
      <c r="K705"/>
      <c r="L705"/>
      <c r="M705"/>
      <c r="N705"/>
      <c r="O705"/>
      <c r="P705"/>
      <c r="Q705"/>
    </row>
    <row r="706" spans="1:17" ht="15.6" x14ac:dyDescent="0.3">
      <c r="A706" s="48" t="s">
        <v>1533</v>
      </c>
      <c r="B706" s="48" t="s">
        <v>569</v>
      </c>
      <c r="C706" s="23" t="s">
        <v>903</v>
      </c>
      <c r="D706" s="56">
        <v>1</v>
      </c>
      <c r="E706" s="51">
        <v>0</v>
      </c>
      <c r="F706" s="56"/>
      <c r="G706" s="51"/>
      <c r="H706" s="56"/>
      <c r="I706" s="57"/>
      <c r="J706"/>
      <c r="K706"/>
      <c r="L706"/>
      <c r="M706"/>
      <c r="N706"/>
      <c r="O706"/>
      <c r="P706"/>
      <c r="Q706"/>
    </row>
    <row r="707" spans="1:17" ht="15.6" x14ac:dyDescent="0.3">
      <c r="A707" s="48" t="s">
        <v>1533</v>
      </c>
      <c r="B707" s="48" t="s">
        <v>569</v>
      </c>
      <c r="C707" s="23" t="s">
        <v>1918</v>
      </c>
      <c r="D707" s="56"/>
      <c r="E707" s="51"/>
      <c r="F707" s="56">
        <v>1</v>
      </c>
      <c r="G707" s="51">
        <v>0</v>
      </c>
      <c r="H707" s="56"/>
      <c r="I707" s="57"/>
      <c r="J707"/>
      <c r="K707"/>
      <c r="L707"/>
      <c r="M707"/>
      <c r="N707"/>
      <c r="O707"/>
      <c r="P707"/>
      <c r="Q707"/>
    </row>
    <row r="708" spans="1:17" ht="28.8" x14ac:dyDescent="0.3">
      <c r="A708" s="19" t="s">
        <v>1534</v>
      </c>
      <c r="B708" s="19" t="s">
        <v>570</v>
      </c>
      <c r="C708" s="19" t="s">
        <v>1918</v>
      </c>
      <c r="D708" s="53"/>
      <c r="E708" s="54"/>
      <c r="F708" s="53">
        <v>1</v>
      </c>
      <c r="G708" s="54">
        <v>0</v>
      </c>
      <c r="H708" s="53"/>
      <c r="I708" s="55"/>
      <c r="J708"/>
      <c r="K708"/>
      <c r="L708"/>
      <c r="M708"/>
      <c r="N708"/>
      <c r="O708"/>
      <c r="P708"/>
      <c r="Q708"/>
    </row>
    <row r="709" spans="1:17" ht="28.8" x14ac:dyDescent="0.3">
      <c r="A709" s="19" t="s">
        <v>1535</v>
      </c>
      <c r="B709" s="19" t="s">
        <v>571</v>
      </c>
      <c r="C709" s="19" t="s">
        <v>1918</v>
      </c>
      <c r="D709" s="53"/>
      <c r="E709" s="54"/>
      <c r="F709" s="53">
        <v>1</v>
      </c>
      <c r="G709" s="54">
        <v>0</v>
      </c>
      <c r="H709" s="53"/>
      <c r="I709" s="55"/>
      <c r="J709"/>
      <c r="K709"/>
      <c r="L709"/>
      <c r="M709"/>
      <c r="N709"/>
      <c r="O709"/>
      <c r="P709"/>
      <c r="Q709"/>
    </row>
    <row r="710" spans="1:17" ht="28.8" x14ac:dyDescent="0.3">
      <c r="A710" s="19" t="s">
        <v>1536</v>
      </c>
      <c r="B710" s="19" t="s">
        <v>572</v>
      </c>
      <c r="C710" s="19" t="s">
        <v>1918</v>
      </c>
      <c r="D710" s="53"/>
      <c r="E710" s="54"/>
      <c r="F710" s="53">
        <v>1</v>
      </c>
      <c r="G710" s="54">
        <v>0</v>
      </c>
      <c r="H710" s="53"/>
      <c r="I710" s="55"/>
      <c r="J710"/>
      <c r="K710"/>
      <c r="L710"/>
      <c r="M710"/>
      <c r="N710"/>
      <c r="O710"/>
      <c r="P710"/>
      <c r="Q710"/>
    </row>
    <row r="711" spans="1:17" ht="28.8" x14ac:dyDescent="0.3">
      <c r="A711" s="19" t="s">
        <v>1537</v>
      </c>
      <c r="B711" s="19" t="s">
        <v>573</v>
      </c>
      <c r="C711" s="19" t="s">
        <v>1918</v>
      </c>
      <c r="D711" s="53"/>
      <c r="E711" s="54"/>
      <c r="F711" s="53">
        <v>1</v>
      </c>
      <c r="G711" s="54">
        <v>0</v>
      </c>
      <c r="H711" s="53"/>
      <c r="I711" s="55"/>
      <c r="J711"/>
      <c r="K711"/>
      <c r="L711"/>
      <c r="M711"/>
      <c r="N711"/>
      <c r="O711"/>
      <c r="P711"/>
      <c r="Q711"/>
    </row>
    <row r="712" spans="1:17" ht="28.8" x14ac:dyDescent="0.3">
      <c r="A712" s="19" t="s">
        <v>1538</v>
      </c>
      <c r="B712" s="19" t="s">
        <v>574</v>
      </c>
      <c r="C712" s="19" t="s">
        <v>1918</v>
      </c>
      <c r="D712" s="53"/>
      <c r="E712" s="54"/>
      <c r="F712" s="53">
        <v>1</v>
      </c>
      <c r="G712" s="54">
        <v>0</v>
      </c>
      <c r="H712" s="53"/>
      <c r="I712" s="55"/>
      <c r="J712"/>
      <c r="K712"/>
      <c r="L712"/>
      <c r="M712"/>
      <c r="N712"/>
      <c r="O712"/>
      <c r="P712"/>
      <c r="Q712"/>
    </row>
    <row r="713" spans="1:17" ht="15.6" x14ac:dyDescent="0.3">
      <c r="A713" s="47" t="s">
        <v>1539</v>
      </c>
      <c r="B713" s="47" t="s">
        <v>575</v>
      </c>
      <c r="C713" s="19" t="s">
        <v>905</v>
      </c>
      <c r="D713" s="53"/>
      <c r="E713" s="54"/>
      <c r="F713" s="53">
        <v>0</v>
      </c>
      <c r="G713" s="54">
        <v>1</v>
      </c>
      <c r="H713" s="53"/>
      <c r="I713" s="55"/>
      <c r="J713"/>
      <c r="K713"/>
      <c r="L713"/>
      <c r="M713"/>
      <c r="N713"/>
      <c r="O713"/>
      <c r="P713"/>
      <c r="Q713"/>
    </row>
    <row r="714" spans="1:17" ht="15.6" x14ac:dyDescent="0.3">
      <c r="A714" s="48" t="s">
        <v>1539</v>
      </c>
      <c r="B714" s="48" t="s">
        <v>575</v>
      </c>
      <c r="C714" s="23" t="s">
        <v>903</v>
      </c>
      <c r="D714" s="56">
        <v>1</v>
      </c>
      <c r="E714" s="51">
        <v>0</v>
      </c>
      <c r="F714" s="56"/>
      <c r="G714" s="51"/>
      <c r="H714" s="56"/>
      <c r="I714" s="57"/>
      <c r="J714"/>
      <c r="K714"/>
      <c r="L714"/>
      <c r="M714"/>
      <c r="N714"/>
      <c r="O714"/>
      <c r="P714"/>
      <c r="Q714"/>
    </row>
    <row r="715" spans="1:17" ht="15.6" x14ac:dyDescent="0.3">
      <c r="A715" s="48" t="s">
        <v>1539</v>
      </c>
      <c r="B715" s="48" t="s">
        <v>575</v>
      </c>
      <c r="C715" s="23" t="s">
        <v>1918</v>
      </c>
      <c r="D715" s="56"/>
      <c r="E715" s="51"/>
      <c r="F715" s="56">
        <v>1</v>
      </c>
      <c r="G715" s="51">
        <v>0</v>
      </c>
      <c r="H715" s="56"/>
      <c r="I715" s="57"/>
      <c r="J715"/>
      <c r="K715"/>
      <c r="L715"/>
      <c r="M715"/>
      <c r="N715"/>
      <c r="O715"/>
      <c r="P715"/>
      <c r="Q715"/>
    </row>
    <row r="716" spans="1:17" ht="15.6" x14ac:dyDescent="0.3">
      <c r="A716" s="48" t="s">
        <v>1539</v>
      </c>
      <c r="B716" s="48" t="s">
        <v>575</v>
      </c>
      <c r="C716" s="23" t="s">
        <v>904</v>
      </c>
      <c r="D716" s="56">
        <v>0</v>
      </c>
      <c r="E716" s="51">
        <v>1</v>
      </c>
      <c r="F716" s="56"/>
      <c r="G716" s="51"/>
      <c r="H716" s="56"/>
      <c r="I716" s="57"/>
      <c r="J716"/>
      <c r="K716"/>
      <c r="L716"/>
      <c r="M716"/>
      <c r="N716"/>
      <c r="O716"/>
      <c r="P716"/>
      <c r="Q716"/>
    </row>
    <row r="717" spans="1:17" ht="15.6" x14ac:dyDescent="0.3">
      <c r="A717" s="48" t="s">
        <v>1539</v>
      </c>
      <c r="B717" s="48" t="s">
        <v>575</v>
      </c>
      <c r="C717" s="23" t="s">
        <v>915</v>
      </c>
      <c r="D717" s="56"/>
      <c r="E717" s="51"/>
      <c r="F717" s="56"/>
      <c r="G717" s="51"/>
      <c r="H717" s="56">
        <v>1</v>
      </c>
      <c r="I717" s="57">
        <v>0</v>
      </c>
      <c r="J717"/>
      <c r="K717"/>
      <c r="L717"/>
      <c r="M717"/>
      <c r="N717"/>
      <c r="O717"/>
      <c r="P717"/>
      <c r="Q717"/>
    </row>
    <row r="718" spans="1:17" ht="15.6" x14ac:dyDescent="0.3">
      <c r="A718" s="47" t="s">
        <v>1540</v>
      </c>
      <c r="B718" s="47" t="s">
        <v>576</v>
      </c>
      <c r="C718" s="19" t="s">
        <v>905</v>
      </c>
      <c r="D718" s="53"/>
      <c r="E718" s="54"/>
      <c r="F718" s="53">
        <v>0</v>
      </c>
      <c r="G718" s="54">
        <v>1</v>
      </c>
      <c r="H718" s="53"/>
      <c r="I718" s="55"/>
      <c r="J718"/>
      <c r="K718"/>
      <c r="L718"/>
      <c r="M718"/>
      <c r="N718"/>
      <c r="O718"/>
      <c r="P718"/>
      <c r="Q718"/>
    </row>
    <row r="719" spans="1:17" ht="15.6" x14ac:dyDescent="0.3">
      <c r="A719" s="48" t="s">
        <v>1540</v>
      </c>
      <c r="B719" s="48" t="s">
        <v>576</v>
      </c>
      <c r="C719" s="23" t="s">
        <v>903</v>
      </c>
      <c r="D719" s="56">
        <v>1</v>
      </c>
      <c r="E719" s="51">
        <v>0</v>
      </c>
      <c r="F719" s="56"/>
      <c r="G719" s="51"/>
      <c r="H719" s="56">
        <v>1</v>
      </c>
      <c r="I719" s="57">
        <v>0</v>
      </c>
      <c r="J719"/>
      <c r="K719"/>
      <c r="L719"/>
      <c r="M719"/>
      <c r="N719"/>
      <c r="O719"/>
      <c r="P719"/>
      <c r="Q719"/>
    </row>
    <row r="720" spans="1:17" ht="15.6" x14ac:dyDescent="0.3">
      <c r="A720" s="48" t="s">
        <v>1540</v>
      </c>
      <c r="B720" s="48" t="s">
        <v>576</v>
      </c>
      <c r="C720" s="23" t="s">
        <v>1918</v>
      </c>
      <c r="D720" s="56"/>
      <c r="E720" s="51"/>
      <c r="F720" s="56">
        <v>3</v>
      </c>
      <c r="G720" s="51">
        <v>0</v>
      </c>
      <c r="H720" s="56"/>
      <c r="I720" s="57"/>
      <c r="J720"/>
      <c r="K720"/>
      <c r="L720"/>
      <c r="M720"/>
      <c r="N720"/>
      <c r="O720"/>
      <c r="P720"/>
      <c r="Q720"/>
    </row>
    <row r="721" spans="1:17" ht="15.6" x14ac:dyDescent="0.3">
      <c r="A721" s="48" t="s">
        <v>1540</v>
      </c>
      <c r="B721" s="48" t="s">
        <v>576</v>
      </c>
      <c r="C721" s="23" t="s">
        <v>904</v>
      </c>
      <c r="D721" s="56"/>
      <c r="E721" s="51"/>
      <c r="F721" s="56">
        <v>0</v>
      </c>
      <c r="G721" s="51">
        <v>1</v>
      </c>
      <c r="H721" s="56"/>
      <c r="I721" s="57"/>
      <c r="J721"/>
      <c r="K721"/>
      <c r="L721"/>
      <c r="M721"/>
      <c r="N721"/>
      <c r="O721"/>
      <c r="P721"/>
      <c r="Q721"/>
    </row>
    <row r="722" spans="1:17" ht="15.6" x14ac:dyDescent="0.3">
      <c r="A722" s="19" t="s">
        <v>1541</v>
      </c>
      <c r="B722" s="19" t="s">
        <v>577</v>
      </c>
      <c r="C722" s="19" t="s">
        <v>1918</v>
      </c>
      <c r="D722" s="53"/>
      <c r="E722" s="54"/>
      <c r="F722" s="53">
        <v>1</v>
      </c>
      <c r="G722" s="54">
        <v>0</v>
      </c>
      <c r="H722" s="53"/>
      <c r="I722" s="55"/>
      <c r="J722"/>
      <c r="K722"/>
      <c r="L722"/>
      <c r="M722"/>
      <c r="N722"/>
      <c r="O722"/>
      <c r="P722"/>
      <c r="Q722"/>
    </row>
    <row r="723" spans="1:17" ht="15.6" x14ac:dyDescent="0.3">
      <c r="A723" s="47" t="s">
        <v>1542</v>
      </c>
      <c r="B723" s="47" t="s">
        <v>578</v>
      </c>
      <c r="C723" s="19" t="s">
        <v>905</v>
      </c>
      <c r="D723" s="53"/>
      <c r="E723" s="54"/>
      <c r="F723" s="53">
        <v>0</v>
      </c>
      <c r="G723" s="54">
        <v>1</v>
      </c>
      <c r="H723" s="53"/>
      <c r="I723" s="55"/>
      <c r="J723"/>
      <c r="K723"/>
      <c r="L723"/>
      <c r="M723"/>
      <c r="N723"/>
      <c r="O723"/>
      <c r="P723"/>
      <c r="Q723"/>
    </row>
    <row r="724" spans="1:17" ht="15.6" x14ac:dyDescent="0.3">
      <c r="A724" s="48" t="s">
        <v>1542</v>
      </c>
      <c r="B724" s="48" t="s">
        <v>578</v>
      </c>
      <c r="C724" s="23" t="s">
        <v>903</v>
      </c>
      <c r="D724" s="56">
        <v>1</v>
      </c>
      <c r="E724" s="51">
        <v>0</v>
      </c>
      <c r="F724" s="56"/>
      <c r="G724" s="51"/>
      <c r="H724" s="56"/>
      <c r="I724" s="57"/>
      <c r="J724"/>
      <c r="K724"/>
      <c r="L724"/>
      <c r="M724"/>
      <c r="N724"/>
      <c r="O724"/>
      <c r="P724"/>
      <c r="Q724"/>
    </row>
    <row r="725" spans="1:17" ht="15.6" x14ac:dyDescent="0.3">
      <c r="A725" s="48" t="s">
        <v>1542</v>
      </c>
      <c r="B725" s="48" t="s">
        <v>578</v>
      </c>
      <c r="C725" s="23" t="s">
        <v>1918</v>
      </c>
      <c r="D725" s="56"/>
      <c r="E725" s="51"/>
      <c r="F725" s="56">
        <v>1</v>
      </c>
      <c r="G725" s="51">
        <v>0</v>
      </c>
      <c r="H725" s="56"/>
      <c r="I725" s="57"/>
      <c r="J725"/>
      <c r="K725"/>
      <c r="L725"/>
      <c r="M725"/>
      <c r="N725"/>
      <c r="O725"/>
      <c r="P725"/>
      <c r="Q725"/>
    </row>
    <row r="726" spans="1:17" ht="15.6" x14ac:dyDescent="0.3">
      <c r="A726" s="47" t="s">
        <v>1543</v>
      </c>
      <c r="B726" s="47" t="s">
        <v>579</v>
      </c>
      <c r="C726" s="19" t="s">
        <v>1918</v>
      </c>
      <c r="D726" s="53"/>
      <c r="E726" s="54"/>
      <c r="F726" s="53">
        <v>1</v>
      </c>
      <c r="G726" s="54">
        <v>0</v>
      </c>
      <c r="H726" s="53"/>
      <c r="I726" s="55"/>
      <c r="J726"/>
      <c r="K726"/>
      <c r="L726"/>
      <c r="M726"/>
      <c r="N726"/>
      <c r="O726"/>
      <c r="P726"/>
      <c r="Q726"/>
    </row>
    <row r="727" spans="1:17" ht="15.6" x14ac:dyDescent="0.3">
      <c r="A727" s="48" t="s">
        <v>1543</v>
      </c>
      <c r="B727" s="48" t="s">
        <v>579</v>
      </c>
      <c r="C727" s="23" t="s">
        <v>911</v>
      </c>
      <c r="D727" s="56"/>
      <c r="E727" s="51"/>
      <c r="F727" s="56">
        <v>0</v>
      </c>
      <c r="G727" s="51">
        <v>1</v>
      </c>
      <c r="H727" s="56"/>
      <c r="I727" s="57"/>
      <c r="J727"/>
      <c r="K727"/>
      <c r="L727"/>
      <c r="M727"/>
      <c r="N727"/>
      <c r="O727"/>
      <c r="P727"/>
      <c r="Q727"/>
    </row>
    <row r="728" spans="1:17" ht="15.6" x14ac:dyDescent="0.3">
      <c r="A728" s="19" t="s">
        <v>1544</v>
      </c>
      <c r="B728" s="19" t="s">
        <v>580</v>
      </c>
      <c r="C728" s="19" t="s">
        <v>1918</v>
      </c>
      <c r="D728" s="53"/>
      <c r="E728" s="54"/>
      <c r="F728" s="53">
        <v>1</v>
      </c>
      <c r="G728" s="54">
        <v>0</v>
      </c>
      <c r="H728" s="53"/>
      <c r="I728" s="55"/>
      <c r="J728"/>
      <c r="K728"/>
      <c r="L728"/>
      <c r="M728"/>
      <c r="N728"/>
      <c r="O728"/>
      <c r="P728"/>
      <c r="Q728"/>
    </row>
    <row r="729" spans="1:17" ht="15.6" x14ac:dyDescent="0.3">
      <c r="A729" s="19" t="s">
        <v>1545</v>
      </c>
      <c r="B729" s="19" t="s">
        <v>581</v>
      </c>
      <c r="C729" s="19" t="s">
        <v>1918</v>
      </c>
      <c r="D729" s="53"/>
      <c r="E729" s="54"/>
      <c r="F729" s="53">
        <v>1</v>
      </c>
      <c r="G729" s="54">
        <v>0</v>
      </c>
      <c r="H729" s="53"/>
      <c r="I729" s="55"/>
      <c r="J729"/>
      <c r="K729"/>
      <c r="L729"/>
      <c r="M729"/>
      <c r="N729"/>
      <c r="O729"/>
      <c r="P729"/>
      <c r="Q729"/>
    </row>
    <row r="730" spans="1:17" ht="28.8" x14ac:dyDescent="0.3">
      <c r="A730" s="19" t="s">
        <v>907</v>
      </c>
      <c r="B730" s="19" t="s">
        <v>582</v>
      </c>
      <c r="C730" s="19" t="s">
        <v>1918</v>
      </c>
      <c r="D730" s="53"/>
      <c r="E730" s="54"/>
      <c r="F730" s="53">
        <v>23</v>
      </c>
      <c r="G730" s="54">
        <v>0</v>
      </c>
      <c r="H730" s="53"/>
      <c r="I730" s="55"/>
      <c r="J730"/>
      <c r="K730"/>
      <c r="L730"/>
      <c r="M730"/>
      <c r="N730"/>
      <c r="O730"/>
      <c r="P730"/>
      <c r="Q730"/>
    </row>
    <row r="731" spans="1:17" ht="28.8" x14ac:dyDescent="0.3">
      <c r="A731" s="19" t="s">
        <v>1546</v>
      </c>
      <c r="B731" s="19" t="s">
        <v>583</v>
      </c>
      <c r="C731" s="19" t="s">
        <v>1918</v>
      </c>
      <c r="D731" s="53"/>
      <c r="E731" s="54"/>
      <c r="F731" s="53">
        <v>11</v>
      </c>
      <c r="G731" s="54">
        <v>0</v>
      </c>
      <c r="H731" s="53"/>
      <c r="I731" s="55"/>
      <c r="J731"/>
      <c r="K731"/>
      <c r="L731"/>
      <c r="M731"/>
      <c r="N731"/>
      <c r="O731"/>
      <c r="P731"/>
      <c r="Q731"/>
    </row>
    <row r="732" spans="1:17" ht="15.6" x14ac:dyDescent="0.3">
      <c r="A732" s="19" t="s">
        <v>1547</v>
      </c>
      <c r="B732" s="19" t="s">
        <v>584</v>
      </c>
      <c r="C732" s="19" t="s">
        <v>1918</v>
      </c>
      <c r="D732" s="53"/>
      <c r="E732" s="54"/>
      <c r="F732" s="53">
        <v>2</v>
      </c>
      <c r="G732" s="54">
        <v>0</v>
      </c>
      <c r="H732" s="53"/>
      <c r="I732" s="55"/>
      <c r="J732"/>
      <c r="K732"/>
      <c r="L732"/>
      <c r="M732"/>
      <c r="N732"/>
      <c r="O732"/>
      <c r="P732"/>
      <c r="Q732"/>
    </row>
    <row r="733" spans="1:17" ht="15.6" x14ac:dyDescent="0.3">
      <c r="A733" s="19" t="s">
        <v>1548</v>
      </c>
      <c r="B733" s="19" t="s">
        <v>585</v>
      </c>
      <c r="C733" s="19" t="s">
        <v>1918</v>
      </c>
      <c r="D733" s="53"/>
      <c r="E733" s="54"/>
      <c r="F733" s="53">
        <v>1</v>
      </c>
      <c r="G733" s="54">
        <v>0</v>
      </c>
      <c r="H733" s="53"/>
      <c r="I733" s="55"/>
      <c r="J733"/>
      <c r="K733"/>
      <c r="L733"/>
      <c r="M733"/>
      <c r="N733"/>
      <c r="O733"/>
      <c r="P733"/>
      <c r="Q733"/>
    </row>
    <row r="734" spans="1:17" ht="15.6" x14ac:dyDescent="0.3">
      <c r="A734" s="19" t="s">
        <v>1549</v>
      </c>
      <c r="B734" s="19" t="s">
        <v>586</v>
      </c>
      <c r="C734" s="19" t="s">
        <v>1918</v>
      </c>
      <c r="D734" s="53"/>
      <c r="E734" s="54"/>
      <c r="F734" s="53">
        <v>1</v>
      </c>
      <c r="G734" s="54">
        <v>0</v>
      </c>
      <c r="H734" s="53"/>
      <c r="I734" s="55"/>
      <c r="J734"/>
      <c r="K734"/>
      <c r="L734"/>
      <c r="M734"/>
      <c r="N734"/>
      <c r="O734"/>
      <c r="P734"/>
      <c r="Q734"/>
    </row>
    <row r="735" spans="1:17" ht="15.6" x14ac:dyDescent="0.3">
      <c r="A735" s="19" t="s">
        <v>1550</v>
      </c>
      <c r="B735" s="19" t="s">
        <v>587</v>
      </c>
      <c r="C735" s="19" t="s">
        <v>1918</v>
      </c>
      <c r="D735" s="53"/>
      <c r="E735" s="54"/>
      <c r="F735" s="53">
        <v>1</v>
      </c>
      <c r="G735" s="54">
        <v>0</v>
      </c>
      <c r="H735" s="53"/>
      <c r="I735" s="55"/>
      <c r="J735"/>
      <c r="K735"/>
      <c r="L735"/>
      <c r="M735"/>
      <c r="N735"/>
      <c r="O735"/>
      <c r="P735"/>
      <c r="Q735"/>
    </row>
    <row r="736" spans="1:17" ht="15.6" x14ac:dyDescent="0.3">
      <c r="A736" s="19" t="s">
        <v>1551</v>
      </c>
      <c r="B736" s="19" t="s">
        <v>588</v>
      </c>
      <c r="C736" s="19" t="s">
        <v>1918</v>
      </c>
      <c r="D736" s="53"/>
      <c r="E736" s="54"/>
      <c r="F736" s="53">
        <v>9</v>
      </c>
      <c r="G736" s="54">
        <v>0</v>
      </c>
      <c r="H736" s="53"/>
      <c r="I736" s="55"/>
      <c r="J736"/>
      <c r="K736"/>
      <c r="L736"/>
      <c r="M736"/>
      <c r="N736"/>
      <c r="O736"/>
      <c r="P736"/>
      <c r="Q736"/>
    </row>
    <row r="737" spans="1:17" ht="15.6" x14ac:dyDescent="0.3">
      <c r="A737" s="19" t="s">
        <v>1552</v>
      </c>
      <c r="B737" s="19" t="s">
        <v>589</v>
      </c>
      <c r="C737" s="19" t="s">
        <v>1918</v>
      </c>
      <c r="D737" s="53"/>
      <c r="E737" s="54"/>
      <c r="F737" s="53">
        <v>5</v>
      </c>
      <c r="G737" s="54">
        <v>0</v>
      </c>
      <c r="H737" s="53"/>
      <c r="I737" s="55"/>
      <c r="J737"/>
      <c r="K737"/>
      <c r="L737"/>
      <c r="M737"/>
      <c r="N737"/>
      <c r="O737"/>
      <c r="P737"/>
      <c r="Q737"/>
    </row>
    <row r="738" spans="1:17" ht="15.6" x14ac:dyDescent="0.3">
      <c r="A738" s="19" t="s">
        <v>1553</v>
      </c>
      <c r="B738" s="19" t="s">
        <v>590</v>
      </c>
      <c r="C738" s="19" t="s">
        <v>1918</v>
      </c>
      <c r="D738" s="53"/>
      <c r="E738" s="54"/>
      <c r="F738" s="53">
        <v>6</v>
      </c>
      <c r="G738" s="54">
        <v>0</v>
      </c>
      <c r="H738" s="53"/>
      <c r="I738" s="55"/>
      <c r="J738"/>
      <c r="K738"/>
      <c r="L738"/>
      <c r="M738"/>
      <c r="N738"/>
      <c r="O738"/>
      <c r="P738"/>
      <c r="Q738"/>
    </row>
    <row r="739" spans="1:17" ht="15.6" x14ac:dyDescent="0.3">
      <c r="A739" s="19" t="s">
        <v>1554</v>
      </c>
      <c r="B739" s="19" t="s">
        <v>591</v>
      </c>
      <c r="C739" s="19" t="s">
        <v>1918</v>
      </c>
      <c r="D739" s="53"/>
      <c r="E739" s="54"/>
      <c r="F739" s="53">
        <v>1</v>
      </c>
      <c r="G739" s="54">
        <v>0</v>
      </c>
      <c r="H739" s="53"/>
      <c r="I739" s="55"/>
      <c r="J739"/>
      <c r="K739"/>
      <c r="L739"/>
      <c r="M739"/>
      <c r="N739"/>
      <c r="O739"/>
      <c r="P739"/>
      <c r="Q739"/>
    </row>
    <row r="740" spans="1:17" ht="15.6" x14ac:dyDescent="0.3">
      <c r="A740" s="19" t="s">
        <v>1555</v>
      </c>
      <c r="B740" s="19" t="s">
        <v>592</v>
      </c>
      <c r="C740" s="19" t="s">
        <v>1918</v>
      </c>
      <c r="D740" s="53"/>
      <c r="E740" s="54"/>
      <c r="F740" s="53">
        <v>2</v>
      </c>
      <c r="G740" s="54">
        <v>0</v>
      </c>
      <c r="H740" s="53"/>
      <c r="I740" s="55"/>
      <c r="J740"/>
      <c r="K740"/>
      <c r="L740"/>
      <c r="M740"/>
      <c r="N740"/>
      <c r="O740"/>
      <c r="P740"/>
      <c r="Q740"/>
    </row>
    <row r="741" spans="1:17" ht="15.6" x14ac:dyDescent="0.3">
      <c r="A741" s="47" t="s">
        <v>1556</v>
      </c>
      <c r="B741" s="47" t="s">
        <v>593</v>
      </c>
      <c r="C741" s="19" t="s">
        <v>903</v>
      </c>
      <c r="D741" s="53"/>
      <c r="E741" s="54"/>
      <c r="F741" s="53"/>
      <c r="G741" s="54"/>
      <c r="H741" s="53">
        <v>20</v>
      </c>
      <c r="I741" s="55">
        <v>0</v>
      </c>
      <c r="J741"/>
      <c r="K741"/>
      <c r="L741"/>
      <c r="M741"/>
      <c r="N741"/>
      <c r="O741"/>
      <c r="P741"/>
      <c r="Q741"/>
    </row>
    <row r="742" spans="1:17" ht="15.6" x14ac:dyDescent="0.3">
      <c r="A742" s="48" t="s">
        <v>1556</v>
      </c>
      <c r="B742" s="48" t="s">
        <v>593</v>
      </c>
      <c r="C742" s="23" t="s">
        <v>1918</v>
      </c>
      <c r="D742" s="56"/>
      <c r="E742" s="51"/>
      <c r="F742" s="56">
        <v>29</v>
      </c>
      <c r="G742" s="51">
        <v>0</v>
      </c>
      <c r="H742" s="56"/>
      <c r="I742" s="57"/>
      <c r="J742"/>
      <c r="K742"/>
      <c r="L742"/>
      <c r="M742"/>
      <c r="N742"/>
      <c r="O742"/>
      <c r="P742"/>
      <c r="Q742"/>
    </row>
    <row r="743" spans="1:17" ht="15.6" x14ac:dyDescent="0.3">
      <c r="A743" s="48" t="s">
        <v>1556</v>
      </c>
      <c r="B743" s="48" t="s">
        <v>593</v>
      </c>
      <c r="C743" s="23" t="s">
        <v>904</v>
      </c>
      <c r="D743" s="56"/>
      <c r="E743" s="51"/>
      <c r="F743" s="56">
        <v>0</v>
      </c>
      <c r="G743" s="51">
        <v>20</v>
      </c>
      <c r="H743" s="56"/>
      <c r="I743" s="57"/>
      <c r="J743"/>
      <c r="K743"/>
      <c r="L743"/>
      <c r="M743"/>
      <c r="N743"/>
      <c r="O743"/>
      <c r="P743"/>
      <c r="Q743"/>
    </row>
    <row r="744" spans="1:17" ht="15.6" x14ac:dyDescent="0.3">
      <c r="A744" s="19" t="s">
        <v>1557</v>
      </c>
      <c r="B744" s="19" t="s">
        <v>594</v>
      </c>
      <c r="C744" s="19" t="s">
        <v>1918</v>
      </c>
      <c r="D744" s="53"/>
      <c r="E744" s="54"/>
      <c r="F744" s="53">
        <v>2</v>
      </c>
      <c r="G744" s="54">
        <v>0</v>
      </c>
      <c r="H744" s="53"/>
      <c r="I744" s="55"/>
      <c r="J744"/>
      <c r="K744"/>
      <c r="L744"/>
      <c r="M744"/>
      <c r="N744"/>
      <c r="O744"/>
      <c r="P744"/>
      <c r="Q744"/>
    </row>
    <row r="745" spans="1:17" ht="15.6" x14ac:dyDescent="0.3">
      <c r="A745" s="19" t="s">
        <v>1558</v>
      </c>
      <c r="B745" s="19" t="s">
        <v>595</v>
      </c>
      <c r="C745" s="19" t="s">
        <v>1918</v>
      </c>
      <c r="D745" s="53"/>
      <c r="E745" s="54"/>
      <c r="F745" s="53">
        <v>1</v>
      </c>
      <c r="G745" s="54">
        <v>0</v>
      </c>
      <c r="H745" s="53"/>
      <c r="I745" s="55"/>
      <c r="J745"/>
      <c r="K745"/>
      <c r="L745"/>
      <c r="M745"/>
      <c r="N745"/>
      <c r="O745"/>
      <c r="P745"/>
      <c r="Q745"/>
    </row>
    <row r="746" spans="1:17" ht="15.6" x14ac:dyDescent="0.3">
      <c r="A746" s="19" t="s">
        <v>1559</v>
      </c>
      <c r="B746" s="19" t="s">
        <v>596</v>
      </c>
      <c r="C746" s="19" t="s">
        <v>1918</v>
      </c>
      <c r="D746" s="53"/>
      <c r="E746" s="54"/>
      <c r="F746" s="53">
        <v>25</v>
      </c>
      <c r="G746" s="54">
        <v>0</v>
      </c>
      <c r="H746" s="53"/>
      <c r="I746" s="55"/>
      <c r="J746"/>
      <c r="K746"/>
      <c r="L746"/>
      <c r="M746"/>
      <c r="N746"/>
      <c r="O746"/>
      <c r="P746"/>
      <c r="Q746"/>
    </row>
    <row r="747" spans="1:17" ht="15.6" x14ac:dyDescent="0.3">
      <c r="A747" s="19" t="s">
        <v>1560</v>
      </c>
      <c r="B747" s="19" t="s">
        <v>597</v>
      </c>
      <c r="C747" s="19" t="s">
        <v>1918</v>
      </c>
      <c r="D747" s="53"/>
      <c r="E747" s="54"/>
      <c r="F747" s="53">
        <v>1</v>
      </c>
      <c r="G747" s="54">
        <v>0</v>
      </c>
      <c r="H747" s="53"/>
      <c r="I747" s="55"/>
      <c r="J747"/>
      <c r="K747"/>
      <c r="L747"/>
      <c r="M747"/>
      <c r="N747"/>
      <c r="O747"/>
      <c r="P747"/>
      <c r="Q747"/>
    </row>
    <row r="748" spans="1:17" ht="15.6" x14ac:dyDescent="0.3">
      <c r="A748" s="19" t="s">
        <v>1561</v>
      </c>
      <c r="B748" s="19" t="s">
        <v>598</v>
      </c>
      <c r="C748" s="19" t="s">
        <v>1918</v>
      </c>
      <c r="D748" s="53"/>
      <c r="E748" s="54"/>
      <c r="F748" s="53">
        <v>16</v>
      </c>
      <c r="G748" s="54">
        <v>0</v>
      </c>
      <c r="H748" s="53"/>
      <c r="I748" s="55"/>
      <c r="J748"/>
      <c r="K748"/>
      <c r="L748"/>
      <c r="M748"/>
      <c r="N748"/>
      <c r="O748"/>
      <c r="P748"/>
      <c r="Q748"/>
    </row>
    <row r="749" spans="1:17" ht="15.6" x14ac:dyDescent="0.3">
      <c r="A749" s="19" t="s">
        <v>1562</v>
      </c>
      <c r="B749" s="19" t="s">
        <v>599</v>
      </c>
      <c r="C749" s="19" t="s">
        <v>1918</v>
      </c>
      <c r="D749" s="53"/>
      <c r="E749" s="54"/>
      <c r="F749" s="53">
        <v>2</v>
      </c>
      <c r="G749" s="54">
        <v>0</v>
      </c>
      <c r="H749" s="53"/>
      <c r="I749" s="55"/>
      <c r="J749"/>
      <c r="K749"/>
      <c r="L749"/>
      <c r="M749"/>
      <c r="N749"/>
      <c r="O749"/>
      <c r="P749"/>
      <c r="Q749"/>
    </row>
    <row r="750" spans="1:17" ht="15.6" x14ac:dyDescent="0.3">
      <c r="A750" s="19" t="s">
        <v>1563</v>
      </c>
      <c r="B750" s="19" t="s">
        <v>600</v>
      </c>
      <c r="C750" s="19" t="s">
        <v>1918</v>
      </c>
      <c r="D750" s="53"/>
      <c r="E750" s="54"/>
      <c r="F750" s="53">
        <v>1</v>
      </c>
      <c r="G750" s="54">
        <v>0</v>
      </c>
      <c r="H750" s="53"/>
      <c r="I750" s="55"/>
      <c r="J750"/>
      <c r="K750"/>
      <c r="L750"/>
      <c r="M750"/>
      <c r="N750"/>
      <c r="O750"/>
      <c r="P750"/>
      <c r="Q750"/>
    </row>
    <row r="751" spans="1:17" ht="15.6" x14ac:dyDescent="0.3">
      <c r="A751" s="19" t="s">
        <v>1564</v>
      </c>
      <c r="B751" s="19" t="s">
        <v>601</v>
      </c>
      <c r="C751" s="19" t="s">
        <v>1918</v>
      </c>
      <c r="D751" s="53"/>
      <c r="E751" s="54"/>
      <c r="F751" s="53">
        <v>29</v>
      </c>
      <c r="G751" s="54">
        <v>0</v>
      </c>
      <c r="H751" s="53"/>
      <c r="I751" s="55"/>
      <c r="J751"/>
      <c r="K751"/>
      <c r="L751"/>
      <c r="M751"/>
      <c r="N751"/>
      <c r="O751"/>
      <c r="P751"/>
      <c r="Q751"/>
    </row>
    <row r="752" spans="1:17" ht="15.6" x14ac:dyDescent="0.3">
      <c r="A752" s="19" t="s">
        <v>1565</v>
      </c>
      <c r="B752" s="19" t="s">
        <v>602</v>
      </c>
      <c r="C752" s="19" t="s">
        <v>1918</v>
      </c>
      <c r="D752" s="53"/>
      <c r="E752" s="54"/>
      <c r="F752" s="53">
        <v>2</v>
      </c>
      <c r="G752" s="54">
        <v>0</v>
      </c>
      <c r="H752" s="53"/>
      <c r="I752" s="55"/>
      <c r="J752"/>
      <c r="K752"/>
      <c r="L752"/>
      <c r="M752"/>
      <c r="N752"/>
      <c r="O752"/>
      <c r="P752"/>
      <c r="Q752"/>
    </row>
    <row r="753" spans="1:17" ht="15.6" x14ac:dyDescent="0.3">
      <c r="A753" s="19" t="s">
        <v>1566</v>
      </c>
      <c r="B753" s="19" t="s">
        <v>603</v>
      </c>
      <c r="C753" s="19" t="s">
        <v>1918</v>
      </c>
      <c r="D753" s="53"/>
      <c r="E753" s="54"/>
      <c r="F753" s="53">
        <v>1</v>
      </c>
      <c r="G753" s="54">
        <v>0</v>
      </c>
      <c r="H753" s="53"/>
      <c r="I753" s="55"/>
      <c r="J753"/>
      <c r="K753"/>
      <c r="L753"/>
      <c r="M753"/>
      <c r="N753"/>
      <c r="O753"/>
      <c r="P753"/>
      <c r="Q753"/>
    </row>
    <row r="754" spans="1:17" ht="15.6" x14ac:dyDescent="0.3">
      <c r="A754" s="19" t="s">
        <v>1567</v>
      </c>
      <c r="B754" s="19" t="s">
        <v>604</v>
      </c>
      <c r="C754" s="19" t="s">
        <v>1918</v>
      </c>
      <c r="D754" s="53"/>
      <c r="E754" s="54"/>
      <c r="F754" s="53">
        <v>1</v>
      </c>
      <c r="G754" s="54">
        <v>0</v>
      </c>
      <c r="H754" s="53"/>
      <c r="I754" s="55"/>
      <c r="J754"/>
      <c r="K754"/>
      <c r="L754"/>
      <c r="M754"/>
      <c r="N754"/>
      <c r="O754"/>
      <c r="P754"/>
      <c r="Q754"/>
    </row>
    <row r="755" spans="1:17" ht="15.6" x14ac:dyDescent="0.3">
      <c r="A755" s="19" t="s">
        <v>1568</v>
      </c>
      <c r="B755" s="19" t="s">
        <v>605</v>
      </c>
      <c r="C755" s="19" t="s">
        <v>1918</v>
      </c>
      <c r="D755" s="53"/>
      <c r="E755" s="54"/>
      <c r="F755" s="53">
        <v>1</v>
      </c>
      <c r="G755" s="54">
        <v>0</v>
      </c>
      <c r="H755" s="53"/>
      <c r="I755" s="55"/>
      <c r="J755"/>
      <c r="K755"/>
      <c r="L755"/>
      <c r="M755"/>
      <c r="N755"/>
      <c r="O755"/>
      <c r="P755"/>
      <c r="Q755"/>
    </row>
    <row r="756" spans="1:17" ht="15.6" x14ac:dyDescent="0.3">
      <c r="A756" s="19" t="s">
        <v>1569</v>
      </c>
      <c r="B756" s="19" t="s">
        <v>606</v>
      </c>
      <c r="C756" s="19" t="s">
        <v>1918</v>
      </c>
      <c r="D756" s="53"/>
      <c r="E756" s="54"/>
      <c r="F756" s="53">
        <v>1</v>
      </c>
      <c r="G756" s="54">
        <v>0</v>
      </c>
      <c r="H756" s="53"/>
      <c r="I756" s="55"/>
      <c r="J756"/>
      <c r="K756"/>
      <c r="L756"/>
      <c r="M756"/>
      <c r="N756"/>
      <c r="O756"/>
      <c r="P756"/>
      <c r="Q756"/>
    </row>
    <row r="757" spans="1:17" ht="15.6" x14ac:dyDescent="0.3">
      <c r="A757" s="19" t="s">
        <v>1570</v>
      </c>
      <c r="B757" s="19" t="s">
        <v>607</v>
      </c>
      <c r="C757" s="19" t="s">
        <v>1918</v>
      </c>
      <c r="D757" s="53"/>
      <c r="E757" s="54"/>
      <c r="F757" s="53">
        <v>1</v>
      </c>
      <c r="G757" s="54">
        <v>0</v>
      </c>
      <c r="H757" s="53"/>
      <c r="I757" s="55"/>
      <c r="J757"/>
      <c r="K757"/>
      <c r="L757"/>
      <c r="M757"/>
      <c r="N757"/>
      <c r="O757"/>
      <c r="P757"/>
      <c r="Q757"/>
    </row>
    <row r="758" spans="1:17" ht="15.6" x14ac:dyDescent="0.3">
      <c r="A758" s="19" t="s">
        <v>1571</v>
      </c>
      <c r="B758" s="19" t="s">
        <v>2483</v>
      </c>
      <c r="C758" s="19" t="s">
        <v>1918</v>
      </c>
      <c r="D758" s="53"/>
      <c r="E758" s="54"/>
      <c r="F758" s="53">
        <v>10</v>
      </c>
      <c r="G758" s="54">
        <v>0</v>
      </c>
      <c r="H758" s="53"/>
      <c r="I758" s="55"/>
      <c r="J758"/>
      <c r="K758"/>
      <c r="L758"/>
      <c r="M758"/>
      <c r="N758"/>
      <c r="O758"/>
      <c r="P758"/>
      <c r="Q758"/>
    </row>
    <row r="759" spans="1:17" ht="15.6" x14ac:dyDescent="0.3">
      <c r="A759" s="47" t="s">
        <v>1572</v>
      </c>
      <c r="B759" s="47" t="s">
        <v>608</v>
      </c>
      <c r="C759" s="19" t="s">
        <v>903</v>
      </c>
      <c r="D759" s="53"/>
      <c r="E759" s="54"/>
      <c r="F759" s="53"/>
      <c r="G759" s="54"/>
      <c r="H759" s="53">
        <v>1</v>
      </c>
      <c r="I759" s="55">
        <v>0</v>
      </c>
      <c r="J759"/>
      <c r="K759"/>
      <c r="L759"/>
      <c r="M759"/>
      <c r="N759"/>
      <c r="O759"/>
      <c r="P759"/>
      <c r="Q759"/>
    </row>
    <row r="760" spans="1:17" ht="15.6" x14ac:dyDescent="0.3">
      <c r="A760" s="48" t="s">
        <v>1572</v>
      </c>
      <c r="B760" s="48" t="s">
        <v>608</v>
      </c>
      <c r="C760" s="23" t="s">
        <v>1918</v>
      </c>
      <c r="D760" s="56"/>
      <c r="E760" s="51"/>
      <c r="F760" s="56">
        <v>4</v>
      </c>
      <c r="G760" s="51">
        <v>0</v>
      </c>
      <c r="H760" s="56"/>
      <c r="I760" s="57"/>
      <c r="J760"/>
      <c r="K760"/>
      <c r="L760"/>
      <c r="M760"/>
      <c r="N760"/>
      <c r="O760"/>
      <c r="P760"/>
      <c r="Q760"/>
    </row>
    <row r="761" spans="1:17" ht="15.6" x14ac:dyDescent="0.3">
      <c r="A761" s="48" t="s">
        <v>1572</v>
      </c>
      <c r="B761" s="48" t="s">
        <v>608</v>
      </c>
      <c r="C761" s="23" t="s">
        <v>904</v>
      </c>
      <c r="D761" s="56"/>
      <c r="E761" s="51"/>
      <c r="F761" s="56">
        <v>0</v>
      </c>
      <c r="G761" s="51">
        <v>1</v>
      </c>
      <c r="H761" s="56"/>
      <c r="I761" s="57"/>
      <c r="J761"/>
      <c r="K761"/>
      <c r="L761"/>
      <c r="M761"/>
      <c r="N761"/>
      <c r="O761"/>
      <c r="P761"/>
      <c r="Q761"/>
    </row>
    <row r="762" spans="1:17" ht="15.6" x14ac:dyDescent="0.3">
      <c r="A762" s="19" t="s">
        <v>1573</v>
      </c>
      <c r="B762" s="19" t="s">
        <v>609</v>
      </c>
      <c r="C762" s="19" t="s">
        <v>1918</v>
      </c>
      <c r="D762" s="53"/>
      <c r="E762" s="54"/>
      <c r="F762" s="53">
        <v>3</v>
      </c>
      <c r="G762" s="54">
        <v>0</v>
      </c>
      <c r="H762" s="53"/>
      <c r="I762" s="55"/>
      <c r="J762"/>
      <c r="K762"/>
      <c r="L762"/>
      <c r="M762"/>
      <c r="N762"/>
      <c r="O762"/>
      <c r="P762"/>
      <c r="Q762"/>
    </row>
    <row r="763" spans="1:17" ht="15.6" x14ac:dyDescent="0.3">
      <c r="A763" s="19" t="s">
        <v>1574</v>
      </c>
      <c r="B763" s="19" t="s">
        <v>610</v>
      </c>
      <c r="C763" s="19" t="s">
        <v>1918</v>
      </c>
      <c r="D763" s="53"/>
      <c r="E763" s="54"/>
      <c r="F763" s="53">
        <v>2</v>
      </c>
      <c r="G763" s="54">
        <v>0</v>
      </c>
      <c r="H763" s="53"/>
      <c r="I763" s="55"/>
      <c r="J763"/>
      <c r="K763"/>
      <c r="L763"/>
      <c r="M763"/>
      <c r="N763"/>
      <c r="O763"/>
      <c r="P763"/>
      <c r="Q763"/>
    </row>
    <row r="764" spans="1:17" ht="15.6" x14ac:dyDescent="0.3">
      <c r="A764" s="19" t="s">
        <v>1575</v>
      </c>
      <c r="B764" s="19" t="s">
        <v>611</v>
      </c>
      <c r="C764" s="19" t="s">
        <v>1918</v>
      </c>
      <c r="D764" s="53"/>
      <c r="E764" s="54"/>
      <c r="F764" s="53">
        <v>1</v>
      </c>
      <c r="G764" s="54">
        <v>0</v>
      </c>
      <c r="H764" s="53"/>
      <c r="I764" s="55"/>
      <c r="J764"/>
      <c r="K764"/>
      <c r="L764"/>
      <c r="M764"/>
      <c r="N764"/>
      <c r="O764"/>
      <c r="P764"/>
      <c r="Q764"/>
    </row>
    <row r="765" spans="1:17" ht="15.6" x14ac:dyDescent="0.3">
      <c r="A765" s="19" t="s">
        <v>1576</v>
      </c>
      <c r="B765" s="19" t="s">
        <v>612</v>
      </c>
      <c r="C765" s="19" t="s">
        <v>1918</v>
      </c>
      <c r="D765" s="53"/>
      <c r="E765" s="54"/>
      <c r="F765" s="53">
        <v>1</v>
      </c>
      <c r="G765" s="54">
        <v>0</v>
      </c>
      <c r="H765" s="53"/>
      <c r="I765" s="55"/>
      <c r="J765"/>
      <c r="K765"/>
      <c r="L765"/>
      <c r="M765"/>
      <c r="N765"/>
      <c r="O765"/>
      <c r="P765"/>
      <c r="Q765"/>
    </row>
    <row r="766" spans="1:17" ht="15.6" x14ac:dyDescent="0.3">
      <c r="A766" s="19" t="s">
        <v>1577</v>
      </c>
      <c r="B766" s="19" t="s">
        <v>613</v>
      </c>
      <c r="C766" s="19" t="s">
        <v>1918</v>
      </c>
      <c r="D766" s="53"/>
      <c r="E766" s="54"/>
      <c r="F766" s="53">
        <v>1</v>
      </c>
      <c r="G766" s="54">
        <v>0</v>
      </c>
      <c r="H766" s="53"/>
      <c r="I766" s="55"/>
      <c r="J766"/>
      <c r="K766"/>
      <c r="L766"/>
      <c r="M766"/>
      <c r="N766"/>
      <c r="O766"/>
      <c r="P766"/>
      <c r="Q766"/>
    </row>
    <row r="767" spans="1:17" ht="15.6" x14ac:dyDescent="0.3">
      <c r="A767" s="19" t="s">
        <v>1578</v>
      </c>
      <c r="B767" s="19" t="s">
        <v>614</v>
      </c>
      <c r="C767" s="19" t="s">
        <v>1918</v>
      </c>
      <c r="D767" s="53"/>
      <c r="E767" s="54"/>
      <c r="F767" s="53">
        <v>2</v>
      </c>
      <c r="G767" s="54">
        <v>0</v>
      </c>
      <c r="H767" s="53"/>
      <c r="I767" s="55"/>
      <c r="J767"/>
      <c r="K767"/>
      <c r="L767"/>
      <c r="M767"/>
      <c r="N767"/>
      <c r="O767"/>
      <c r="P767"/>
      <c r="Q767"/>
    </row>
    <row r="768" spans="1:17" ht="15.6" x14ac:dyDescent="0.3">
      <c r="A768" s="19" t="s">
        <v>1579</v>
      </c>
      <c r="B768" s="19" t="s">
        <v>615</v>
      </c>
      <c r="C768" s="19" t="s">
        <v>1918</v>
      </c>
      <c r="D768" s="53"/>
      <c r="E768" s="54"/>
      <c r="F768" s="53">
        <v>1</v>
      </c>
      <c r="G768" s="54">
        <v>0</v>
      </c>
      <c r="H768" s="53"/>
      <c r="I768" s="55"/>
      <c r="J768"/>
      <c r="K768"/>
      <c r="L768"/>
      <c r="M768"/>
      <c r="N768"/>
      <c r="O768"/>
      <c r="P768"/>
      <c r="Q768"/>
    </row>
    <row r="769" spans="1:17" ht="15.6" x14ac:dyDescent="0.3">
      <c r="A769" s="47" t="s">
        <v>1580</v>
      </c>
      <c r="B769" s="47" t="s">
        <v>2484</v>
      </c>
      <c r="C769" s="19" t="s">
        <v>903</v>
      </c>
      <c r="D769" s="53"/>
      <c r="E769" s="54"/>
      <c r="F769" s="53"/>
      <c r="G769" s="54"/>
      <c r="H769" s="53">
        <v>1</v>
      </c>
      <c r="I769" s="55">
        <v>0</v>
      </c>
      <c r="J769"/>
      <c r="K769"/>
      <c r="L769"/>
      <c r="M769"/>
      <c r="N769"/>
      <c r="O769"/>
      <c r="P769"/>
      <c r="Q769"/>
    </row>
    <row r="770" spans="1:17" ht="15.6" x14ac:dyDescent="0.3">
      <c r="A770" s="48" t="s">
        <v>1580</v>
      </c>
      <c r="B770" s="48" t="s">
        <v>2484</v>
      </c>
      <c r="C770" s="23" t="s">
        <v>1918</v>
      </c>
      <c r="D770" s="56"/>
      <c r="E770" s="51"/>
      <c r="F770" s="56">
        <v>5</v>
      </c>
      <c r="G770" s="51">
        <v>0</v>
      </c>
      <c r="H770" s="56"/>
      <c r="I770" s="57"/>
      <c r="J770"/>
      <c r="K770"/>
      <c r="L770"/>
      <c r="M770"/>
      <c r="N770"/>
      <c r="O770"/>
      <c r="P770"/>
      <c r="Q770"/>
    </row>
    <row r="771" spans="1:17" ht="15.6" x14ac:dyDescent="0.3">
      <c r="A771" s="48" t="s">
        <v>1580</v>
      </c>
      <c r="B771" s="48" t="s">
        <v>2484</v>
      </c>
      <c r="C771" s="23" t="s">
        <v>904</v>
      </c>
      <c r="D771" s="56"/>
      <c r="E771" s="51"/>
      <c r="F771" s="56">
        <v>0</v>
      </c>
      <c r="G771" s="51">
        <v>1</v>
      </c>
      <c r="H771" s="56"/>
      <c r="I771" s="57"/>
      <c r="J771"/>
      <c r="K771"/>
      <c r="L771"/>
      <c r="M771"/>
      <c r="N771"/>
      <c r="O771"/>
      <c r="P771"/>
      <c r="Q771"/>
    </row>
    <row r="772" spans="1:17" ht="15.6" x14ac:dyDescent="0.3">
      <c r="A772" s="19" t="s">
        <v>1581</v>
      </c>
      <c r="B772" s="19" t="s">
        <v>616</v>
      </c>
      <c r="C772" s="19" t="s">
        <v>1918</v>
      </c>
      <c r="D772" s="53"/>
      <c r="E772" s="54"/>
      <c r="F772" s="53">
        <v>1</v>
      </c>
      <c r="G772" s="54">
        <v>0</v>
      </c>
      <c r="H772" s="53"/>
      <c r="I772" s="55"/>
      <c r="J772"/>
      <c r="K772"/>
      <c r="L772"/>
      <c r="M772"/>
      <c r="N772"/>
      <c r="O772"/>
      <c r="P772"/>
      <c r="Q772"/>
    </row>
    <row r="773" spans="1:17" ht="15.6" x14ac:dyDescent="0.3">
      <c r="A773" s="19" t="s">
        <v>1582</v>
      </c>
      <c r="B773" s="19" t="s">
        <v>617</v>
      </c>
      <c r="C773" s="19" t="s">
        <v>1918</v>
      </c>
      <c r="D773" s="53"/>
      <c r="E773" s="54"/>
      <c r="F773" s="53">
        <v>4</v>
      </c>
      <c r="G773" s="54">
        <v>0</v>
      </c>
      <c r="H773" s="53"/>
      <c r="I773" s="55"/>
      <c r="J773"/>
      <c r="K773"/>
      <c r="L773"/>
      <c r="M773"/>
      <c r="N773"/>
      <c r="O773"/>
      <c r="P773"/>
      <c r="Q773"/>
    </row>
    <row r="774" spans="1:17" ht="15.6" x14ac:dyDescent="0.3">
      <c r="A774" s="19" t="s">
        <v>1583</v>
      </c>
      <c r="B774" s="19" t="s">
        <v>618</v>
      </c>
      <c r="C774" s="19" t="s">
        <v>1918</v>
      </c>
      <c r="D774" s="53"/>
      <c r="E774" s="54"/>
      <c r="F774" s="53">
        <v>1</v>
      </c>
      <c r="G774" s="54">
        <v>0</v>
      </c>
      <c r="H774" s="53"/>
      <c r="I774" s="55"/>
      <c r="J774"/>
      <c r="K774"/>
      <c r="L774"/>
      <c r="M774"/>
      <c r="N774"/>
      <c r="O774"/>
      <c r="P774"/>
      <c r="Q774"/>
    </row>
    <row r="775" spans="1:17" ht="15.6" x14ac:dyDescent="0.3">
      <c r="A775" s="19" t="s">
        <v>1584</v>
      </c>
      <c r="B775" s="19" t="s">
        <v>619</v>
      </c>
      <c r="C775" s="19" t="s">
        <v>1918</v>
      </c>
      <c r="D775" s="53"/>
      <c r="E775" s="54"/>
      <c r="F775" s="53">
        <v>1</v>
      </c>
      <c r="G775" s="54">
        <v>0</v>
      </c>
      <c r="H775" s="53"/>
      <c r="I775" s="55"/>
      <c r="J775"/>
      <c r="K775"/>
      <c r="L775"/>
      <c r="M775"/>
      <c r="N775"/>
      <c r="O775"/>
      <c r="P775"/>
      <c r="Q775"/>
    </row>
    <row r="776" spans="1:17" ht="28.8" x14ac:dyDescent="0.3">
      <c r="A776" s="19" t="s">
        <v>1585</v>
      </c>
      <c r="B776" s="19" t="s">
        <v>620</v>
      </c>
      <c r="C776" s="19" t="s">
        <v>1918</v>
      </c>
      <c r="D776" s="53"/>
      <c r="E776" s="54"/>
      <c r="F776" s="53">
        <v>1</v>
      </c>
      <c r="G776" s="54">
        <v>0</v>
      </c>
      <c r="H776" s="53"/>
      <c r="I776" s="55"/>
      <c r="J776"/>
      <c r="K776"/>
      <c r="L776"/>
      <c r="M776"/>
      <c r="N776"/>
      <c r="O776"/>
      <c r="P776"/>
      <c r="Q776"/>
    </row>
    <row r="777" spans="1:17" ht="15.6" x14ac:dyDescent="0.3">
      <c r="A777" s="47" t="s">
        <v>1586</v>
      </c>
      <c r="B777" s="47" t="s">
        <v>621</v>
      </c>
      <c r="C777" s="19" t="s">
        <v>1918</v>
      </c>
      <c r="D777" s="53"/>
      <c r="E777" s="54"/>
      <c r="F777" s="53">
        <v>1</v>
      </c>
      <c r="G777" s="54">
        <v>0</v>
      </c>
      <c r="H777" s="53"/>
      <c r="I777" s="55"/>
      <c r="J777"/>
      <c r="K777"/>
      <c r="L777"/>
      <c r="M777"/>
      <c r="N777"/>
      <c r="O777"/>
      <c r="P777"/>
      <c r="Q777"/>
    </row>
    <row r="778" spans="1:17" ht="15.6" x14ac:dyDescent="0.3">
      <c r="A778" s="48" t="s">
        <v>1586</v>
      </c>
      <c r="B778" s="48" t="s">
        <v>621</v>
      </c>
      <c r="C778" s="23" t="s">
        <v>911</v>
      </c>
      <c r="D778" s="56"/>
      <c r="E778" s="51"/>
      <c r="F778" s="56">
        <v>0</v>
      </c>
      <c r="G778" s="51">
        <v>1</v>
      </c>
      <c r="H778" s="56"/>
      <c r="I778" s="57"/>
      <c r="J778"/>
      <c r="K778"/>
      <c r="L778"/>
      <c r="M778"/>
      <c r="N778"/>
      <c r="O778"/>
      <c r="P778"/>
      <c r="Q778"/>
    </row>
    <row r="779" spans="1:17" ht="15.6" x14ac:dyDescent="0.3">
      <c r="A779" s="19" t="s">
        <v>1587</v>
      </c>
      <c r="B779" s="19" t="s">
        <v>622</v>
      </c>
      <c r="C779" s="19" t="s">
        <v>1918</v>
      </c>
      <c r="D779" s="53"/>
      <c r="E779" s="54"/>
      <c r="F779" s="53">
        <v>1</v>
      </c>
      <c r="G779" s="54">
        <v>0</v>
      </c>
      <c r="H779" s="53"/>
      <c r="I779" s="55"/>
      <c r="J779"/>
      <c r="K779"/>
      <c r="L779"/>
      <c r="M779"/>
      <c r="N779"/>
      <c r="O779"/>
      <c r="P779"/>
      <c r="Q779"/>
    </row>
    <row r="780" spans="1:17" ht="15.6" x14ac:dyDescent="0.3">
      <c r="A780" s="19" t="s">
        <v>1588</v>
      </c>
      <c r="B780" s="19" t="s">
        <v>623</v>
      </c>
      <c r="C780" s="19" t="s">
        <v>1918</v>
      </c>
      <c r="D780" s="53"/>
      <c r="E780" s="54"/>
      <c r="F780" s="53">
        <v>1</v>
      </c>
      <c r="G780" s="54">
        <v>0</v>
      </c>
      <c r="H780" s="53"/>
      <c r="I780" s="55"/>
      <c r="J780"/>
      <c r="K780"/>
      <c r="L780"/>
      <c r="M780"/>
      <c r="N780"/>
      <c r="O780"/>
      <c r="P780"/>
      <c r="Q780"/>
    </row>
    <row r="781" spans="1:17" ht="15.6" x14ac:dyDescent="0.3">
      <c r="A781" s="19" t="s">
        <v>1589</v>
      </c>
      <c r="B781" s="19" t="s">
        <v>624</v>
      </c>
      <c r="C781" s="19" t="s">
        <v>1918</v>
      </c>
      <c r="D781" s="53"/>
      <c r="E781" s="54"/>
      <c r="F781" s="53">
        <v>1</v>
      </c>
      <c r="G781" s="54">
        <v>0</v>
      </c>
      <c r="H781" s="53"/>
      <c r="I781" s="55"/>
      <c r="J781"/>
      <c r="K781"/>
      <c r="L781"/>
      <c r="M781"/>
      <c r="N781"/>
      <c r="O781"/>
      <c r="P781"/>
      <c r="Q781"/>
    </row>
    <row r="782" spans="1:17" ht="15.6" x14ac:dyDescent="0.3">
      <c r="A782" s="19" t="s">
        <v>1590</v>
      </c>
      <c r="B782" s="19" t="s">
        <v>625</v>
      </c>
      <c r="C782" s="19" t="s">
        <v>1918</v>
      </c>
      <c r="D782" s="53"/>
      <c r="E782" s="54"/>
      <c r="F782" s="53">
        <v>1</v>
      </c>
      <c r="G782" s="54">
        <v>0</v>
      </c>
      <c r="H782" s="53"/>
      <c r="I782" s="55"/>
      <c r="J782"/>
      <c r="K782"/>
      <c r="L782"/>
      <c r="M782"/>
      <c r="N782"/>
      <c r="O782"/>
      <c r="P782"/>
      <c r="Q782"/>
    </row>
    <row r="783" spans="1:17" ht="15.6" x14ac:dyDescent="0.3">
      <c r="A783" s="19" t="s">
        <v>1591</v>
      </c>
      <c r="B783" s="19" t="s">
        <v>626</v>
      </c>
      <c r="C783" s="19" t="s">
        <v>1918</v>
      </c>
      <c r="D783" s="53"/>
      <c r="E783" s="54"/>
      <c r="F783" s="53">
        <v>2</v>
      </c>
      <c r="G783" s="54">
        <v>0</v>
      </c>
      <c r="H783" s="53"/>
      <c r="I783" s="55"/>
      <c r="J783"/>
      <c r="K783"/>
      <c r="L783"/>
      <c r="M783"/>
      <c r="N783"/>
      <c r="O783"/>
      <c r="P783"/>
      <c r="Q783"/>
    </row>
    <row r="784" spans="1:17" ht="15.6" x14ac:dyDescent="0.3">
      <c r="A784" s="19" t="s">
        <v>1592</v>
      </c>
      <c r="B784" s="19" t="s">
        <v>627</v>
      </c>
      <c r="C784" s="19" t="s">
        <v>1918</v>
      </c>
      <c r="D784" s="53"/>
      <c r="E784" s="54"/>
      <c r="F784" s="53">
        <v>5</v>
      </c>
      <c r="G784" s="54">
        <v>0</v>
      </c>
      <c r="H784" s="53"/>
      <c r="I784" s="55"/>
      <c r="J784"/>
      <c r="K784"/>
      <c r="L784"/>
      <c r="M784"/>
      <c r="N784"/>
      <c r="O784"/>
      <c r="P784"/>
      <c r="Q784"/>
    </row>
    <row r="785" spans="1:17" ht="15.6" x14ac:dyDescent="0.3">
      <c r="A785" s="19" t="s">
        <v>1593</v>
      </c>
      <c r="B785" s="19" t="s">
        <v>2597</v>
      </c>
      <c r="C785" s="19" t="s">
        <v>1918</v>
      </c>
      <c r="D785" s="53"/>
      <c r="E785" s="54"/>
      <c r="F785" s="53">
        <v>0</v>
      </c>
      <c r="G785" s="54">
        <v>0</v>
      </c>
      <c r="H785" s="53"/>
      <c r="I785" s="55"/>
      <c r="J785"/>
      <c r="K785"/>
      <c r="L785"/>
      <c r="M785"/>
      <c r="N785"/>
      <c r="O785"/>
      <c r="P785"/>
      <c r="Q785"/>
    </row>
    <row r="786" spans="1:17" ht="28.8" x14ac:dyDescent="0.3">
      <c r="A786" s="19" t="s">
        <v>1594</v>
      </c>
      <c r="B786" s="19" t="s">
        <v>628</v>
      </c>
      <c r="C786" s="19" t="s">
        <v>1918</v>
      </c>
      <c r="D786" s="53"/>
      <c r="E786" s="54"/>
      <c r="F786" s="53">
        <v>107</v>
      </c>
      <c r="G786" s="54">
        <v>0</v>
      </c>
      <c r="H786" s="53"/>
      <c r="I786" s="55"/>
      <c r="J786"/>
      <c r="K786"/>
      <c r="L786"/>
      <c r="M786"/>
      <c r="N786"/>
      <c r="O786"/>
      <c r="P786"/>
      <c r="Q786"/>
    </row>
    <row r="787" spans="1:17" ht="28.8" x14ac:dyDescent="0.3">
      <c r="A787" s="19" t="s">
        <v>1595</v>
      </c>
      <c r="B787" s="19" t="s">
        <v>629</v>
      </c>
      <c r="C787" s="19" t="s">
        <v>1918</v>
      </c>
      <c r="D787" s="53"/>
      <c r="E787" s="54"/>
      <c r="F787" s="53">
        <v>22</v>
      </c>
      <c r="G787" s="54">
        <v>0</v>
      </c>
      <c r="H787" s="53"/>
      <c r="I787" s="55"/>
      <c r="J787"/>
      <c r="K787"/>
      <c r="L787"/>
      <c r="M787"/>
      <c r="N787"/>
      <c r="O787"/>
      <c r="P787"/>
      <c r="Q787"/>
    </row>
    <row r="788" spans="1:17" ht="28.8" x14ac:dyDescent="0.3">
      <c r="A788" s="19" t="s">
        <v>1596</v>
      </c>
      <c r="B788" s="19" t="s">
        <v>630</v>
      </c>
      <c r="C788" s="19" t="s">
        <v>1918</v>
      </c>
      <c r="D788" s="53"/>
      <c r="E788" s="54"/>
      <c r="F788" s="53">
        <v>6</v>
      </c>
      <c r="G788" s="54">
        <v>0</v>
      </c>
      <c r="H788" s="53"/>
      <c r="I788" s="55"/>
      <c r="J788"/>
      <c r="K788"/>
      <c r="L788"/>
      <c r="M788"/>
      <c r="N788"/>
      <c r="O788"/>
      <c r="P788"/>
      <c r="Q788"/>
    </row>
    <row r="789" spans="1:17" ht="28.8" x14ac:dyDescent="0.3">
      <c r="A789" s="19" t="s">
        <v>1597</v>
      </c>
      <c r="B789" s="19" t="s">
        <v>631</v>
      </c>
      <c r="C789" s="19" t="s">
        <v>1918</v>
      </c>
      <c r="D789" s="53"/>
      <c r="E789" s="54"/>
      <c r="F789" s="53">
        <v>1</v>
      </c>
      <c r="G789" s="54">
        <v>0</v>
      </c>
      <c r="H789" s="53"/>
      <c r="I789" s="55"/>
      <c r="J789"/>
      <c r="K789"/>
      <c r="L789"/>
      <c r="M789"/>
      <c r="N789"/>
      <c r="O789"/>
      <c r="P789"/>
      <c r="Q789"/>
    </row>
    <row r="790" spans="1:17" ht="28.8" x14ac:dyDescent="0.3">
      <c r="A790" s="19" t="s">
        <v>1598</v>
      </c>
      <c r="B790" s="19" t="s">
        <v>632</v>
      </c>
      <c r="C790" s="19" t="s">
        <v>1918</v>
      </c>
      <c r="D790" s="53"/>
      <c r="E790" s="54"/>
      <c r="F790" s="53">
        <v>1</v>
      </c>
      <c r="G790" s="54">
        <v>0</v>
      </c>
      <c r="H790" s="53"/>
      <c r="I790" s="55"/>
      <c r="J790"/>
      <c r="K790"/>
      <c r="L790"/>
      <c r="M790"/>
      <c r="N790"/>
      <c r="O790"/>
      <c r="P790"/>
      <c r="Q790"/>
    </row>
    <row r="791" spans="1:17" ht="28.8" x14ac:dyDescent="0.3">
      <c r="A791" s="19" t="s">
        <v>1599</v>
      </c>
      <c r="B791" s="19" t="s">
        <v>633</v>
      </c>
      <c r="C791" s="19" t="s">
        <v>1918</v>
      </c>
      <c r="D791" s="53"/>
      <c r="E791" s="54"/>
      <c r="F791" s="53">
        <v>1</v>
      </c>
      <c r="G791" s="54">
        <v>0</v>
      </c>
      <c r="H791" s="53"/>
      <c r="I791" s="55"/>
      <c r="J791"/>
      <c r="K791"/>
      <c r="L791"/>
      <c r="M791"/>
      <c r="N791"/>
      <c r="O791"/>
      <c r="P791"/>
      <c r="Q791"/>
    </row>
    <row r="792" spans="1:17" ht="28.8" x14ac:dyDescent="0.3">
      <c r="A792" s="19" t="s">
        <v>1600</v>
      </c>
      <c r="B792" s="19" t="s">
        <v>634</v>
      </c>
      <c r="C792" s="19" t="s">
        <v>1918</v>
      </c>
      <c r="D792" s="53"/>
      <c r="E792" s="54"/>
      <c r="F792" s="53">
        <v>4</v>
      </c>
      <c r="G792" s="54">
        <v>0</v>
      </c>
      <c r="H792" s="53"/>
      <c r="I792" s="55"/>
      <c r="J792"/>
      <c r="K792"/>
      <c r="L792"/>
      <c r="M792"/>
      <c r="N792"/>
      <c r="O792"/>
      <c r="P792"/>
      <c r="Q792"/>
    </row>
    <row r="793" spans="1:17" ht="28.8" x14ac:dyDescent="0.3">
      <c r="A793" s="19" t="s">
        <v>1601</v>
      </c>
      <c r="B793" s="19" t="s">
        <v>635</v>
      </c>
      <c r="C793" s="19" t="s">
        <v>1918</v>
      </c>
      <c r="D793" s="53"/>
      <c r="E793" s="54"/>
      <c r="F793" s="53">
        <v>3</v>
      </c>
      <c r="G793" s="54">
        <v>0</v>
      </c>
      <c r="H793" s="53"/>
      <c r="I793" s="55"/>
      <c r="J793"/>
      <c r="K793"/>
      <c r="L793"/>
      <c r="M793"/>
      <c r="N793"/>
      <c r="O793"/>
      <c r="P793"/>
      <c r="Q793"/>
    </row>
    <row r="794" spans="1:17" ht="28.8" x14ac:dyDescent="0.3">
      <c r="A794" s="19" t="s">
        <v>1602</v>
      </c>
      <c r="B794" s="19" t="s">
        <v>636</v>
      </c>
      <c r="C794" s="19" t="s">
        <v>1918</v>
      </c>
      <c r="D794" s="53"/>
      <c r="E794" s="54"/>
      <c r="F794" s="53">
        <v>2</v>
      </c>
      <c r="G794" s="54">
        <v>0</v>
      </c>
      <c r="H794" s="53"/>
      <c r="I794" s="55"/>
      <c r="J794"/>
      <c r="K794"/>
      <c r="L794"/>
      <c r="M794"/>
      <c r="N794"/>
      <c r="O794"/>
      <c r="P794"/>
      <c r="Q794"/>
    </row>
    <row r="795" spans="1:17" ht="28.8" x14ac:dyDescent="0.3">
      <c r="A795" s="19" t="s">
        <v>1603</v>
      </c>
      <c r="B795" s="19" t="s">
        <v>637</v>
      </c>
      <c r="C795" s="19" t="s">
        <v>1918</v>
      </c>
      <c r="D795" s="53"/>
      <c r="E795" s="54"/>
      <c r="F795" s="53">
        <v>2</v>
      </c>
      <c r="G795" s="54">
        <v>0</v>
      </c>
      <c r="H795" s="53"/>
      <c r="I795" s="55"/>
      <c r="J795"/>
      <c r="K795"/>
      <c r="L795"/>
      <c r="M795"/>
      <c r="N795"/>
      <c r="O795"/>
      <c r="P795"/>
      <c r="Q795"/>
    </row>
    <row r="796" spans="1:17" ht="15.6" x14ac:dyDescent="0.3">
      <c r="A796" s="19" t="s">
        <v>1604</v>
      </c>
      <c r="B796" s="19" t="s">
        <v>638</v>
      </c>
      <c r="C796" s="19" t="s">
        <v>1918</v>
      </c>
      <c r="D796" s="53"/>
      <c r="E796" s="54"/>
      <c r="F796" s="53">
        <v>17</v>
      </c>
      <c r="G796" s="54">
        <v>0</v>
      </c>
      <c r="H796" s="53"/>
      <c r="I796" s="55"/>
      <c r="J796"/>
      <c r="K796"/>
      <c r="L796"/>
      <c r="M796"/>
      <c r="N796"/>
      <c r="O796"/>
      <c r="P796"/>
      <c r="Q796"/>
    </row>
    <row r="797" spans="1:17" ht="15.6" x14ac:dyDescent="0.3">
      <c r="A797" s="19" t="s">
        <v>1605</v>
      </c>
      <c r="B797" s="19" t="s">
        <v>639</v>
      </c>
      <c r="C797" s="19" t="s">
        <v>1918</v>
      </c>
      <c r="D797" s="53"/>
      <c r="E797" s="54"/>
      <c r="F797" s="53">
        <v>2</v>
      </c>
      <c r="G797" s="54">
        <v>0</v>
      </c>
      <c r="H797" s="53"/>
      <c r="I797" s="55"/>
      <c r="J797"/>
      <c r="K797"/>
      <c r="L797"/>
      <c r="M797"/>
      <c r="N797"/>
      <c r="O797"/>
      <c r="P797"/>
      <c r="Q797"/>
    </row>
    <row r="798" spans="1:17" ht="15.6" x14ac:dyDescent="0.3">
      <c r="A798" s="19" t="s">
        <v>1606</v>
      </c>
      <c r="B798" s="19" t="s">
        <v>640</v>
      </c>
      <c r="C798" s="19" t="s">
        <v>1918</v>
      </c>
      <c r="D798" s="53"/>
      <c r="E798" s="54"/>
      <c r="F798" s="53">
        <v>8</v>
      </c>
      <c r="G798" s="54">
        <v>0</v>
      </c>
      <c r="H798" s="53"/>
      <c r="I798" s="55"/>
      <c r="J798"/>
      <c r="K798"/>
      <c r="L798"/>
      <c r="M798"/>
      <c r="N798"/>
      <c r="O798"/>
      <c r="P798"/>
      <c r="Q798"/>
    </row>
    <row r="799" spans="1:17" ht="15.6" x14ac:dyDescent="0.3">
      <c r="A799" s="19" t="s">
        <v>1607</v>
      </c>
      <c r="B799" s="19" t="s">
        <v>2485</v>
      </c>
      <c r="C799" s="19" t="s">
        <v>1918</v>
      </c>
      <c r="D799" s="53"/>
      <c r="E799" s="54"/>
      <c r="F799" s="53">
        <v>10</v>
      </c>
      <c r="G799" s="54">
        <v>0</v>
      </c>
      <c r="H799" s="53"/>
      <c r="I799" s="55"/>
      <c r="J799"/>
      <c r="K799"/>
      <c r="L799"/>
      <c r="M799"/>
      <c r="N799"/>
      <c r="O799"/>
      <c r="P799"/>
      <c r="Q799"/>
    </row>
    <row r="800" spans="1:17" ht="15.6" x14ac:dyDescent="0.3">
      <c r="A800" s="19" t="s">
        <v>1608</v>
      </c>
      <c r="B800" s="19" t="s">
        <v>2486</v>
      </c>
      <c r="C800" s="19" t="s">
        <v>1918</v>
      </c>
      <c r="D800" s="53"/>
      <c r="E800" s="54"/>
      <c r="F800" s="53">
        <v>6</v>
      </c>
      <c r="G800" s="54">
        <v>0</v>
      </c>
      <c r="H800" s="53"/>
      <c r="I800" s="55"/>
      <c r="J800"/>
      <c r="K800"/>
      <c r="L800"/>
      <c r="M800"/>
      <c r="N800"/>
      <c r="O800"/>
      <c r="P800"/>
      <c r="Q800"/>
    </row>
    <row r="801" spans="1:17" ht="15.6" x14ac:dyDescent="0.3">
      <c r="A801" s="19" t="s">
        <v>1609</v>
      </c>
      <c r="B801" s="19" t="s">
        <v>641</v>
      </c>
      <c r="C801" s="19" t="s">
        <v>1918</v>
      </c>
      <c r="D801" s="53"/>
      <c r="E801" s="54"/>
      <c r="F801" s="53">
        <v>2</v>
      </c>
      <c r="G801" s="54">
        <v>0</v>
      </c>
      <c r="H801" s="53"/>
      <c r="I801" s="55"/>
      <c r="J801"/>
      <c r="K801"/>
      <c r="L801"/>
      <c r="M801"/>
      <c r="N801"/>
      <c r="O801"/>
      <c r="P801"/>
      <c r="Q801"/>
    </row>
    <row r="802" spans="1:17" ht="28.8" x14ac:dyDescent="0.3">
      <c r="A802" s="19" t="s">
        <v>1610</v>
      </c>
      <c r="B802" s="19" t="s">
        <v>642</v>
      </c>
      <c r="C802" s="19" t="s">
        <v>1918</v>
      </c>
      <c r="D802" s="53"/>
      <c r="E802" s="54"/>
      <c r="F802" s="53">
        <v>5</v>
      </c>
      <c r="G802" s="54">
        <v>0</v>
      </c>
      <c r="H802" s="53"/>
      <c r="I802" s="55"/>
      <c r="J802"/>
      <c r="K802"/>
      <c r="L802"/>
      <c r="M802"/>
      <c r="N802"/>
      <c r="O802"/>
      <c r="P802"/>
      <c r="Q802"/>
    </row>
    <row r="803" spans="1:17" ht="28.8" x14ac:dyDescent="0.3">
      <c r="A803" s="19" t="s">
        <v>1611</v>
      </c>
      <c r="B803" s="19" t="s">
        <v>643</v>
      </c>
      <c r="C803" s="19" t="s">
        <v>1918</v>
      </c>
      <c r="D803" s="53"/>
      <c r="E803" s="54"/>
      <c r="F803" s="53">
        <v>1</v>
      </c>
      <c r="G803" s="54">
        <v>0</v>
      </c>
      <c r="H803" s="53"/>
      <c r="I803" s="55"/>
      <c r="J803"/>
      <c r="K803"/>
      <c r="L803"/>
      <c r="M803"/>
      <c r="N803"/>
      <c r="O803"/>
      <c r="P803"/>
      <c r="Q803"/>
    </row>
    <row r="804" spans="1:17" ht="28.8" x14ac:dyDescent="0.3">
      <c r="A804" s="19" t="s">
        <v>1612</v>
      </c>
      <c r="B804" s="19" t="s">
        <v>644</v>
      </c>
      <c r="C804" s="19" t="s">
        <v>1918</v>
      </c>
      <c r="D804" s="53"/>
      <c r="E804" s="54"/>
      <c r="F804" s="53">
        <v>4</v>
      </c>
      <c r="G804" s="54">
        <v>0</v>
      </c>
      <c r="H804" s="53"/>
      <c r="I804" s="55"/>
      <c r="J804"/>
      <c r="K804"/>
      <c r="L804"/>
      <c r="M804"/>
      <c r="N804"/>
      <c r="O804"/>
      <c r="P804"/>
      <c r="Q804"/>
    </row>
    <row r="805" spans="1:17" ht="28.8" x14ac:dyDescent="0.3">
      <c r="A805" s="19" t="s">
        <v>1613</v>
      </c>
      <c r="B805" s="19" t="s">
        <v>645</v>
      </c>
      <c r="C805" s="19" t="s">
        <v>1918</v>
      </c>
      <c r="D805" s="53"/>
      <c r="E805" s="54"/>
      <c r="F805" s="53">
        <v>5</v>
      </c>
      <c r="G805" s="54">
        <v>0</v>
      </c>
      <c r="H805" s="53"/>
      <c r="I805" s="55"/>
      <c r="J805"/>
      <c r="K805"/>
      <c r="L805"/>
      <c r="M805"/>
      <c r="N805"/>
      <c r="O805"/>
      <c r="P805"/>
      <c r="Q805"/>
    </row>
    <row r="806" spans="1:17" ht="15.6" x14ac:dyDescent="0.3">
      <c r="A806" s="19" t="s">
        <v>1614</v>
      </c>
      <c r="B806" s="19" t="s">
        <v>646</v>
      </c>
      <c r="C806" s="19" t="s">
        <v>1918</v>
      </c>
      <c r="D806" s="53"/>
      <c r="E806" s="54"/>
      <c r="F806" s="53">
        <v>2</v>
      </c>
      <c r="G806" s="54">
        <v>0</v>
      </c>
      <c r="H806" s="53"/>
      <c r="I806" s="55"/>
      <c r="J806"/>
      <c r="K806"/>
      <c r="L806"/>
      <c r="M806"/>
      <c r="N806"/>
      <c r="O806"/>
      <c r="P806"/>
      <c r="Q806"/>
    </row>
    <row r="807" spans="1:17" ht="28.8" x14ac:dyDescent="0.3">
      <c r="A807" s="19" t="s">
        <v>1615</v>
      </c>
      <c r="B807" s="19" t="s">
        <v>647</v>
      </c>
      <c r="C807" s="19" t="s">
        <v>1918</v>
      </c>
      <c r="D807" s="53"/>
      <c r="E807" s="54"/>
      <c r="F807" s="53">
        <v>1</v>
      </c>
      <c r="G807" s="54">
        <v>0</v>
      </c>
      <c r="H807" s="53"/>
      <c r="I807" s="55"/>
      <c r="J807"/>
      <c r="K807"/>
      <c r="L807"/>
      <c r="M807"/>
      <c r="N807"/>
      <c r="O807"/>
      <c r="P807"/>
      <c r="Q807"/>
    </row>
    <row r="808" spans="1:17" ht="28.8" x14ac:dyDescent="0.3">
      <c r="A808" s="19" t="s">
        <v>1616</v>
      </c>
      <c r="B808" s="19" t="s">
        <v>648</v>
      </c>
      <c r="C808" s="19" t="s">
        <v>1918</v>
      </c>
      <c r="D808" s="53"/>
      <c r="E808" s="54"/>
      <c r="F808" s="53">
        <v>1</v>
      </c>
      <c r="G808" s="54">
        <v>0</v>
      </c>
      <c r="H808" s="53"/>
      <c r="I808" s="55"/>
      <c r="J808"/>
      <c r="K808"/>
      <c r="L808"/>
      <c r="M808"/>
      <c r="N808"/>
      <c r="O808"/>
      <c r="P808"/>
      <c r="Q808"/>
    </row>
    <row r="809" spans="1:17" ht="28.8" x14ac:dyDescent="0.3">
      <c r="A809" s="19" t="s">
        <v>1617</v>
      </c>
      <c r="B809" s="19" t="s">
        <v>649</v>
      </c>
      <c r="C809" s="19" t="s">
        <v>1918</v>
      </c>
      <c r="D809" s="53"/>
      <c r="E809" s="54"/>
      <c r="F809" s="53">
        <v>2</v>
      </c>
      <c r="G809" s="54">
        <v>0</v>
      </c>
      <c r="H809" s="53"/>
      <c r="I809" s="55"/>
      <c r="J809"/>
      <c r="K809"/>
      <c r="L809"/>
      <c r="M809"/>
      <c r="N809"/>
      <c r="O809"/>
      <c r="P809"/>
      <c r="Q809"/>
    </row>
    <row r="810" spans="1:17" ht="28.8" x14ac:dyDescent="0.3">
      <c r="A810" s="19" t="s">
        <v>1618</v>
      </c>
      <c r="B810" s="19" t="s">
        <v>650</v>
      </c>
      <c r="C810" s="19" t="s">
        <v>1918</v>
      </c>
      <c r="D810" s="53"/>
      <c r="E810" s="54"/>
      <c r="F810" s="53">
        <v>1</v>
      </c>
      <c r="G810" s="54">
        <v>0</v>
      </c>
      <c r="H810" s="53"/>
      <c r="I810" s="55"/>
      <c r="J810"/>
      <c r="K810"/>
      <c r="L810"/>
      <c r="M810"/>
      <c r="N810"/>
      <c r="O810"/>
      <c r="P810"/>
      <c r="Q810"/>
    </row>
    <row r="811" spans="1:17" ht="28.8" x14ac:dyDescent="0.3">
      <c r="A811" s="19" t="s">
        <v>1619</v>
      </c>
      <c r="B811" s="19" t="s">
        <v>651</v>
      </c>
      <c r="C811" s="19" t="s">
        <v>1918</v>
      </c>
      <c r="D811" s="53"/>
      <c r="E811" s="54"/>
      <c r="F811" s="53">
        <v>6</v>
      </c>
      <c r="G811" s="54">
        <v>0</v>
      </c>
      <c r="H811" s="53"/>
      <c r="I811" s="55"/>
      <c r="J811"/>
      <c r="K811"/>
      <c r="L811"/>
      <c r="M811"/>
      <c r="N811"/>
      <c r="O811"/>
      <c r="P811"/>
      <c r="Q811"/>
    </row>
    <row r="812" spans="1:17" ht="28.8" x14ac:dyDescent="0.3">
      <c r="A812" s="19" t="s">
        <v>1620</v>
      </c>
      <c r="B812" s="19" t="s">
        <v>652</v>
      </c>
      <c r="C812" s="19" t="s">
        <v>1918</v>
      </c>
      <c r="D812" s="53"/>
      <c r="E812" s="54"/>
      <c r="F812" s="53">
        <v>2</v>
      </c>
      <c r="G812" s="54">
        <v>0</v>
      </c>
      <c r="H812" s="53"/>
      <c r="I812" s="55"/>
      <c r="J812"/>
      <c r="K812"/>
      <c r="L812"/>
      <c r="M812"/>
      <c r="N812"/>
      <c r="O812"/>
      <c r="P812"/>
      <c r="Q812"/>
    </row>
    <row r="813" spans="1:17" ht="28.8" x14ac:dyDescent="0.3">
      <c r="A813" s="19" t="s">
        <v>1621</v>
      </c>
      <c r="B813" s="19" t="s">
        <v>653</v>
      </c>
      <c r="C813" s="19" t="s">
        <v>1918</v>
      </c>
      <c r="D813" s="53"/>
      <c r="E813" s="54"/>
      <c r="F813" s="53">
        <v>6</v>
      </c>
      <c r="G813" s="54">
        <v>0</v>
      </c>
      <c r="H813" s="53"/>
      <c r="I813" s="55"/>
      <c r="J813"/>
      <c r="K813"/>
      <c r="L813"/>
      <c r="M813"/>
      <c r="N813"/>
      <c r="O813"/>
      <c r="P813"/>
      <c r="Q813"/>
    </row>
    <row r="814" spans="1:17" ht="28.8" x14ac:dyDescent="0.3">
      <c r="A814" s="19" t="s">
        <v>1622</v>
      </c>
      <c r="B814" s="19" t="s">
        <v>526</v>
      </c>
      <c r="C814" s="19" t="s">
        <v>1918</v>
      </c>
      <c r="D814" s="53"/>
      <c r="E814" s="54"/>
      <c r="F814" s="53">
        <v>2</v>
      </c>
      <c r="G814" s="54">
        <v>0</v>
      </c>
      <c r="H814" s="53"/>
      <c r="I814" s="55"/>
      <c r="J814"/>
      <c r="K814"/>
      <c r="L814"/>
      <c r="M814"/>
      <c r="N814"/>
      <c r="O814"/>
      <c r="P814"/>
      <c r="Q814"/>
    </row>
    <row r="815" spans="1:17" ht="28.8" x14ac:dyDescent="0.3">
      <c r="A815" s="19" t="s">
        <v>1623</v>
      </c>
      <c r="B815" s="19" t="s">
        <v>654</v>
      </c>
      <c r="C815" s="19" t="s">
        <v>1918</v>
      </c>
      <c r="D815" s="53"/>
      <c r="E815" s="54"/>
      <c r="F815" s="53">
        <v>1</v>
      </c>
      <c r="G815" s="54">
        <v>0</v>
      </c>
      <c r="H815" s="53"/>
      <c r="I815" s="55"/>
      <c r="J815"/>
      <c r="K815"/>
      <c r="L815"/>
      <c r="M815"/>
      <c r="N815"/>
      <c r="O815"/>
      <c r="P815"/>
      <c r="Q815"/>
    </row>
    <row r="816" spans="1:17" ht="15.6" x14ac:dyDescent="0.3">
      <c r="A816" s="19" t="s">
        <v>1624</v>
      </c>
      <c r="B816" s="19" t="s">
        <v>655</v>
      </c>
      <c r="C816" s="19" t="s">
        <v>1918</v>
      </c>
      <c r="D816" s="53"/>
      <c r="E816" s="54"/>
      <c r="F816" s="53">
        <v>1</v>
      </c>
      <c r="G816" s="54">
        <v>0</v>
      </c>
      <c r="H816" s="53"/>
      <c r="I816" s="55"/>
      <c r="J816"/>
      <c r="K816"/>
      <c r="L816"/>
      <c r="M816"/>
      <c r="N816"/>
      <c r="O816"/>
      <c r="P816"/>
      <c r="Q816"/>
    </row>
    <row r="817" spans="1:17" ht="15.6" x14ac:dyDescent="0.3">
      <c r="A817" s="19" t="s">
        <v>1625</v>
      </c>
      <c r="B817" s="19" t="s">
        <v>656</v>
      </c>
      <c r="C817" s="19" t="s">
        <v>1918</v>
      </c>
      <c r="D817" s="53"/>
      <c r="E817" s="54"/>
      <c r="F817" s="53">
        <v>1</v>
      </c>
      <c r="G817" s="54">
        <v>0</v>
      </c>
      <c r="H817" s="53"/>
      <c r="I817" s="55"/>
      <c r="J817"/>
      <c r="K817"/>
      <c r="L817"/>
      <c r="M817"/>
      <c r="N817"/>
      <c r="O817"/>
      <c r="P817"/>
      <c r="Q817"/>
    </row>
    <row r="818" spans="1:17" ht="15.6" x14ac:dyDescent="0.3">
      <c r="A818" s="19" t="s">
        <v>1626</v>
      </c>
      <c r="B818" s="19" t="s">
        <v>657</v>
      </c>
      <c r="C818" s="19" t="s">
        <v>1918</v>
      </c>
      <c r="D818" s="53"/>
      <c r="E818" s="54"/>
      <c r="F818" s="53">
        <v>1</v>
      </c>
      <c r="G818" s="54">
        <v>0</v>
      </c>
      <c r="H818" s="53"/>
      <c r="I818" s="55"/>
      <c r="J818"/>
      <c r="K818"/>
      <c r="L818"/>
      <c r="M818"/>
      <c r="N818"/>
      <c r="O818"/>
      <c r="P818"/>
      <c r="Q818"/>
    </row>
    <row r="819" spans="1:17" ht="15.6" x14ac:dyDescent="0.3">
      <c r="A819" s="19" t="s">
        <v>1627</v>
      </c>
      <c r="B819" s="19" t="s">
        <v>658</v>
      </c>
      <c r="C819" s="19" t="s">
        <v>1918</v>
      </c>
      <c r="D819" s="53"/>
      <c r="E819" s="54"/>
      <c r="F819" s="53">
        <v>1</v>
      </c>
      <c r="G819" s="54">
        <v>0</v>
      </c>
      <c r="H819" s="53"/>
      <c r="I819" s="55"/>
      <c r="J819"/>
      <c r="K819"/>
      <c r="L819"/>
      <c r="M819"/>
      <c r="N819"/>
      <c r="O819"/>
      <c r="P819"/>
      <c r="Q819"/>
    </row>
    <row r="820" spans="1:17" ht="15.6" x14ac:dyDescent="0.3">
      <c r="A820" s="19" t="s">
        <v>1628</v>
      </c>
      <c r="B820" s="19" t="s">
        <v>659</v>
      </c>
      <c r="C820" s="19" t="s">
        <v>1918</v>
      </c>
      <c r="D820" s="53"/>
      <c r="E820" s="54"/>
      <c r="F820" s="53">
        <v>1</v>
      </c>
      <c r="G820" s="54">
        <v>0</v>
      </c>
      <c r="H820" s="53"/>
      <c r="I820" s="55"/>
      <c r="J820"/>
      <c r="K820"/>
      <c r="L820"/>
      <c r="M820"/>
      <c r="N820"/>
      <c r="O820"/>
      <c r="P820"/>
      <c r="Q820"/>
    </row>
    <row r="821" spans="1:17" ht="15.6" x14ac:dyDescent="0.3">
      <c r="A821" s="19" t="s">
        <v>1629</v>
      </c>
      <c r="B821" s="19" t="s">
        <v>660</v>
      </c>
      <c r="C821" s="19" t="s">
        <v>1918</v>
      </c>
      <c r="D821" s="53"/>
      <c r="E821" s="54"/>
      <c r="F821" s="53">
        <v>1</v>
      </c>
      <c r="G821" s="54">
        <v>0</v>
      </c>
      <c r="H821" s="53"/>
      <c r="I821" s="55"/>
      <c r="J821"/>
      <c r="K821"/>
      <c r="L821"/>
      <c r="M821"/>
      <c r="N821"/>
      <c r="O821"/>
      <c r="P821"/>
      <c r="Q821"/>
    </row>
    <row r="822" spans="1:17" ht="15.6" x14ac:dyDescent="0.3">
      <c r="A822" s="19" t="s">
        <v>1630</v>
      </c>
      <c r="B822" s="19" t="s">
        <v>661</v>
      </c>
      <c r="C822" s="19" t="s">
        <v>1918</v>
      </c>
      <c r="D822" s="53"/>
      <c r="E822" s="54"/>
      <c r="F822" s="53">
        <v>1</v>
      </c>
      <c r="G822" s="54">
        <v>0</v>
      </c>
      <c r="H822" s="53"/>
      <c r="I822" s="55"/>
      <c r="J822"/>
      <c r="K822"/>
      <c r="L822"/>
      <c r="M822"/>
      <c r="N822"/>
      <c r="O822"/>
      <c r="P822"/>
      <c r="Q822"/>
    </row>
    <row r="823" spans="1:17" ht="15.6" x14ac:dyDescent="0.3">
      <c r="A823" s="19" t="s">
        <v>1631</v>
      </c>
      <c r="B823" s="19" t="s">
        <v>662</v>
      </c>
      <c r="C823" s="19" t="s">
        <v>1918</v>
      </c>
      <c r="D823" s="53"/>
      <c r="E823" s="54"/>
      <c r="F823" s="53">
        <v>7</v>
      </c>
      <c r="G823" s="54">
        <v>0</v>
      </c>
      <c r="H823" s="53"/>
      <c r="I823" s="55"/>
      <c r="J823"/>
      <c r="K823"/>
      <c r="L823"/>
      <c r="M823"/>
      <c r="N823"/>
      <c r="O823"/>
      <c r="P823"/>
      <c r="Q823"/>
    </row>
    <row r="824" spans="1:17" ht="15.6" x14ac:dyDescent="0.3">
      <c r="A824" s="19" t="s">
        <v>1632</v>
      </c>
      <c r="B824" s="19" t="s">
        <v>663</v>
      </c>
      <c r="C824" s="19" t="s">
        <v>1918</v>
      </c>
      <c r="D824" s="53"/>
      <c r="E824" s="54"/>
      <c r="F824" s="53">
        <v>1</v>
      </c>
      <c r="G824" s="54">
        <v>0</v>
      </c>
      <c r="H824" s="53"/>
      <c r="I824" s="55"/>
      <c r="J824"/>
      <c r="K824"/>
      <c r="L824"/>
      <c r="M824"/>
      <c r="N824"/>
      <c r="O824"/>
      <c r="P824"/>
      <c r="Q824"/>
    </row>
    <row r="825" spans="1:17" ht="15.6" x14ac:dyDescent="0.3">
      <c r="A825" s="19" t="s">
        <v>1633</v>
      </c>
      <c r="B825" s="19" t="s">
        <v>664</v>
      </c>
      <c r="C825" s="19" t="s">
        <v>1918</v>
      </c>
      <c r="D825" s="53"/>
      <c r="E825" s="54"/>
      <c r="F825" s="53">
        <v>6</v>
      </c>
      <c r="G825" s="54">
        <v>0</v>
      </c>
      <c r="H825" s="53"/>
      <c r="I825" s="55"/>
      <c r="J825"/>
      <c r="K825"/>
      <c r="L825"/>
      <c r="M825"/>
      <c r="N825"/>
      <c r="O825"/>
      <c r="P825"/>
      <c r="Q825"/>
    </row>
    <row r="826" spans="1:17" ht="15.6" x14ac:dyDescent="0.3">
      <c r="A826" s="19" t="s">
        <v>1634</v>
      </c>
      <c r="B826" s="19" t="s">
        <v>665</v>
      </c>
      <c r="C826" s="19" t="s">
        <v>1918</v>
      </c>
      <c r="D826" s="53"/>
      <c r="E826" s="54"/>
      <c r="F826" s="53">
        <v>1</v>
      </c>
      <c r="G826" s="54">
        <v>0</v>
      </c>
      <c r="H826" s="53"/>
      <c r="I826" s="55"/>
      <c r="J826"/>
      <c r="K826"/>
      <c r="L826"/>
      <c r="M826"/>
      <c r="N826"/>
      <c r="O826"/>
      <c r="P826"/>
      <c r="Q826"/>
    </row>
    <row r="827" spans="1:17" ht="15.6" x14ac:dyDescent="0.3">
      <c r="A827" s="19" t="s">
        <v>1635</v>
      </c>
      <c r="B827" s="19" t="s">
        <v>666</v>
      </c>
      <c r="C827" s="19" t="s">
        <v>1918</v>
      </c>
      <c r="D827" s="53"/>
      <c r="E827" s="54"/>
      <c r="F827" s="53">
        <v>1</v>
      </c>
      <c r="G827" s="54">
        <v>0</v>
      </c>
      <c r="H827" s="53"/>
      <c r="I827" s="55"/>
      <c r="J827"/>
      <c r="K827"/>
      <c r="L827"/>
      <c r="M827"/>
      <c r="N827"/>
      <c r="O827"/>
      <c r="P827"/>
      <c r="Q827"/>
    </row>
    <row r="828" spans="1:17" ht="15.6" x14ac:dyDescent="0.3">
      <c r="A828" s="19" t="s">
        <v>1636</v>
      </c>
      <c r="B828" s="19" t="s">
        <v>667</v>
      </c>
      <c r="C828" s="19" t="s">
        <v>1918</v>
      </c>
      <c r="D828" s="53"/>
      <c r="E828" s="54"/>
      <c r="F828" s="53">
        <v>1</v>
      </c>
      <c r="G828" s="54">
        <v>0</v>
      </c>
      <c r="H828" s="53"/>
      <c r="I828" s="55"/>
      <c r="J828"/>
      <c r="K828"/>
      <c r="L828"/>
      <c r="M828"/>
      <c r="N828"/>
      <c r="O828"/>
      <c r="P828"/>
      <c r="Q828"/>
    </row>
    <row r="829" spans="1:17" ht="15.6" x14ac:dyDescent="0.3">
      <c r="A829" s="19" t="s">
        <v>1637</v>
      </c>
      <c r="B829" s="19" t="s">
        <v>668</v>
      </c>
      <c r="C829" s="19" t="s">
        <v>1918</v>
      </c>
      <c r="D829" s="53"/>
      <c r="E829" s="54"/>
      <c r="F829" s="53">
        <v>1</v>
      </c>
      <c r="G829" s="54">
        <v>0</v>
      </c>
      <c r="H829" s="53"/>
      <c r="I829" s="55"/>
      <c r="J829"/>
      <c r="K829"/>
      <c r="L829"/>
      <c r="M829"/>
      <c r="N829"/>
      <c r="O829"/>
      <c r="P829"/>
      <c r="Q829"/>
    </row>
    <row r="830" spans="1:17" ht="15.6" x14ac:dyDescent="0.3">
      <c r="A830" s="19" t="s">
        <v>1638</v>
      </c>
      <c r="B830" s="19" t="s">
        <v>669</v>
      </c>
      <c r="C830" s="19" t="s">
        <v>1918</v>
      </c>
      <c r="D830" s="53"/>
      <c r="E830" s="54"/>
      <c r="F830" s="53">
        <v>1</v>
      </c>
      <c r="G830" s="54">
        <v>0</v>
      </c>
      <c r="H830" s="53"/>
      <c r="I830" s="55"/>
      <c r="J830"/>
      <c r="K830"/>
      <c r="L830"/>
      <c r="M830"/>
      <c r="N830"/>
      <c r="O830"/>
      <c r="P830"/>
      <c r="Q830"/>
    </row>
    <row r="831" spans="1:17" ht="15.6" x14ac:dyDescent="0.3">
      <c r="A831" s="19" t="s">
        <v>1639</v>
      </c>
      <c r="B831" s="19" t="s">
        <v>670</v>
      </c>
      <c r="C831" s="19" t="s">
        <v>1918</v>
      </c>
      <c r="D831" s="53"/>
      <c r="E831" s="54"/>
      <c r="F831" s="53">
        <v>2</v>
      </c>
      <c r="G831" s="54">
        <v>0</v>
      </c>
      <c r="H831" s="53"/>
      <c r="I831" s="55"/>
      <c r="J831"/>
      <c r="K831"/>
      <c r="L831"/>
      <c r="M831"/>
      <c r="N831"/>
      <c r="O831"/>
      <c r="P831"/>
      <c r="Q831"/>
    </row>
    <row r="832" spans="1:17" ht="15.6" x14ac:dyDescent="0.3">
      <c r="A832" s="19" t="s">
        <v>1640</v>
      </c>
      <c r="B832" s="19" t="s">
        <v>671</v>
      </c>
      <c r="C832" s="19" t="s">
        <v>1918</v>
      </c>
      <c r="D832" s="53"/>
      <c r="E832" s="54"/>
      <c r="F832" s="53">
        <v>2</v>
      </c>
      <c r="G832" s="54">
        <v>0</v>
      </c>
      <c r="H832" s="53"/>
      <c r="I832" s="55"/>
      <c r="J832"/>
      <c r="K832"/>
      <c r="L832"/>
      <c r="M832"/>
      <c r="N832"/>
      <c r="O832"/>
      <c r="P832"/>
      <c r="Q832"/>
    </row>
    <row r="833" spans="1:17" ht="15.6" x14ac:dyDescent="0.3">
      <c r="A833" s="19" t="s">
        <v>1641</v>
      </c>
      <c r="B833" s="19" t="s">
        <v>672</v>
      </c>
      <c r="C833" s="19" t="s">
        <v>1918</v>
      </c>
      <c r="D833" s="53"/>
      <c r="E833" s="54"/>
      <c r="F833" s="53">
        <v>1</v>
      </c>
      <c r="G833" s="54">
        <v>0</v>
      </c>
      <c r="H833" s="53"/>
      <c r="I833" s="55"/>
      <c r="J833"/>
      <c r="K833"/>
      <c r="L833"/>
      <c r="M833"/>
      <c r="N833"/>
      <c r="O833"/>
      <c r="P833"/>
      <c r="Q833"/>
    </row>
    <row r="834" spans="1:17" ht="15.6" x14ac:dyDescent="0.3">
      <c r="A834" s="19" t="s">
        <v>1642</v>
      </c>
      <c r="B834" s="19" t="s">
        <v>673</v>
      </c>
      <c r="C834" s="19" t="s">
        <v>1918</v>
      </c>
      <c r="D834" s="53"/>
      <c r="E834" s="54"/>
      <c r="F834" s="53">
        <v>1</v>
      </c>
      <c r="G834" s="54">
        <v>0</v>
      </c>
      <c r="H834" s="53"/>
      <c r="I834" s="55"/>
      <c r="J834"/>
      <c r="K834"/>
      <c r="L834"/>
      <c r="M834"/>
      <c r="N834"/>
      <c r="O834"/>
      <c r="P834"/>
      <c r="Q834"/>
    </row>
    <row r="835" spans="1:17" ht="15.6" x14ac:dyDescent="0.3">
      <c r="A835" s="19" t="s">
        <v>1643</v>
      </c>
      <c r="B835" s="19" t="s">
        <v>674</v>
      </c>
      <c r="C835" s="19" t="s">
        <v>1918</v>
      </c>
      <c r="D835" s="53"/>
      <c r="E835" s="54"/>
      <c r="F835" s="53">
        <v>1</v>
      </c>
      <c r="G835" s="54">
        <v>0</v>
      </c>
      <c r="H835" s="53"/>
      <c r="I835" s="55"/>
      <c r="J835"/>
      <c r="K835"/>
      <c r="L835"/>
      <c r="M835"/>
      <c r="N835"/>
      <c r="O835"/>
      <c r="P835"/>
      <c r="Q835"/>
    </row>
    <row r="836" spans="1:17" ht="15.6" x14ac:dyDescent="0.3">
      <c r="A836" s="19" t="s">
        <v>1644</v>
      </c>
      <c r="B836" s="19" t="s">
        <v>675</v>
      </c>
      <c r="C836" s="19" t="s">
        <v>1918</v>
      </c>
      <c r="D836" s="53"/>
      <c r="E836" s="54"/>
      <c r="F836" s="53">
        <v>1</v>
      </c>
      <c r="G836" s="54">
        <v>0</v>
      </c>
      <c r="H836" s="53"/>
      <c r="I836" s="55"/>
      <c r="J836"/>
      <c r="K836"/>
      <c r="L836"/>
      <c r="M836"/>
      <c r="N836"/>
      <c r="O836"/>
      <c r="P836"/>
      <c r="Q836"/>
    </row>
    <row r="837" spans="1:17" ht="15.6" x14ac:dyDescent="0.3">
      <c r="A837" s="19" t="s">
        <v>1645</v>
      </c>
      <c r="B837" s="19" t="s">
        <v>676</v>
      </c>
      <c r="C837" s="19" t="s">
        <v>1918</v>
      </c>
      <c r="D837" s="53"/>
      <c r="E837" s="54"/>
      <c r="F837" s="53">
        <v>1</v>
      </c>
      <c r="G837" s="54">
        <v>0</v>
      </c>
      <c r="H837" s="53"/>
      <c r="I837" s="55"/>
      <c r="J837"/>
      <c r="K837"/>
      <c r="L837"/>
      <c r="M837"/>
      <c r="N837"/>
      <c r="O837"/>
      <c r="P837"/>
      <c r="Q837"/>
    </row>
    <row r="838" spans="1:17" ht="15.6" x14ac:dyDescent="0.3">
      <c r="A838" s="19" t="s">
        <v>1646</v>
      </c>
      <c r="B838" s="19" t="s">
        <v>677</v>
      </c>
      <c r="C838" s="19" t="s">
        <v>1918</v>
      </c>
      <c r="D838" s="53"/>
      <c r="E838" s="54"/>
      <c r="F838" s="53">
        <v>1</v>
      </c>
      <c r="G838" s="54">
        <v>0</v>
      </c>
      <c r="H838" s="53"/>
      <c r="I838" s="55"/>
      <c r="J838"/>
      <c r="K838"/>
      <c r="L838"/>
      <c r="M838"/>
      <c r="N838"/>
      <c r="O838"/>
      <c r="P838"/>
      <c r="Q838"/>
    </row>
    <row r="839" spans="1:17" ht="15.6" x14ac:dyDescent="0.3">
      <c r="A839" s="19" t="s">
        <v>1647</v>
      </c>
      <c r="B839" s="19" t="s">
        <v>678</v>
      </c>
      <c r="C839" s="19" t="s">
        <v>1918</v>
      </c>
      <c r="D839" s="53"/>
      <c r="E839" s="54"/>
      <c r="F839" s="53">
        <v>1</v>
      </c>
      <c r="G839" s="54">
        <v>0</v>
      </c>
      <c r="H839" s="53"/>
      <c r="I839" s="55"/>
      <c r="J839"/>
      <c r="K839"/>
      <c r="L839"/>
      <c r="M839"/>
      <c r="N839"/>
      <c r="O839"/>
      <c r="P839"/>
      <c r="Q839"/>
    </row>
    <row r="840" spans="1:17" ht="15.6" x14ac:dyDescent="0.3">
      <c r="A840" s="19" t="s">
        <v>1648</v>
      </c>
      <c r="B840" s="19" t="s">
        <v>2487</v>
      </c>
      <c r="C840" s="19" t="s">
        <v>1918</v>
      </c>
      <c r="D840" s="53"/>
      <c r="E840" s="54"/>
      <c r="F840" s="53">
        <v>1</v>
      </c>
      <c r="G840" s="54">
        <v>0</v>
      </c>
      <c r="H840" s="53"/>
      <c r="I840" s="55"/>
      <c r="J840"/>
      <c r="K840"/>
      <c r="L840"/>
      <c r="M840"/>
      <c r="N840"/>
      <c r="O840"/>
      <c r="P840"/>
      <c r="Q840"/>
    </row>
    <row r="841" spans="1:17" ht="15.6" x14ac:dyDescent="0.3">
      <c r="A841" s="19" t="s">
        <v>1649</v>
      </c>
      <c r="B841" s="19" t="s">
        <v>679</v>
      </c>
      <c r="C841" s="19" t="s">
        <v>1918</v>
      </c>
      <c r="D841" s="53"/>
      <c r="E841" s="54"/>
      <c r="F841" s="53">
        <v>1</v>
      </c>
      <c r="G841" s="54">
        <v>0</v>
      </c>
      <c r="H841" s="53"/>
      <c r="I841" s="55"/>
      <c r="J841"/>
      <c r="K841"/>
      <c r="L841"/>
      <c r="M841"/>
      <c r="N841"/>
      <c r="O841"/>
      <c r="P841"/>
      <c r="Q841"/>
    </row>
    <row r="842" spans="1:17" ht="15.6" x14ac:dyDescent="0.3">
      <c r="A842" s="19" t="s">
        <v>1650</v>
      </c>
      <c r="B842" s="19" t="s">
        <v>680</v>
      </c>
      <c r="C842" s="19" t="s">
        <v>1918</v>
      </c>
      <c r="D842" s="53"/>
      <c r="E842" s="54"/>
      <c r="F842" s="53">
        <v>1</v>
      </c>
      <c r="G842" s="54">
        <v>0</v>
      </c>
      <c r="H842" s="53"/>
      <c r="I842" s="55"/>
      <c r="J842"/>
      <c r="K842"/>
      <c r="L842"/>
      <c r="M842"/>
      <c r="N842"/>
      <c r="O842"/>
      <c r="P842"/>
      <c r="Q842"/>
    </row>
    <row r="843" spans="1:17" ht="15.6" x14ac:dyDescent="0.3">
      <c r="A843" s="19" t="s">
        <v>1651</v>
      </c>
      <c r="B843" s="19" t="s">
        <v>681</v>
      </c>
      <c r="C843" s="19" t="s">
        <v>1918</v>
      </c>
      <c r="D843" s="53"/>
      <c r="E843" s="54"/>
      <c r="F843" s="53">
        <v>2</v>
      </c>
      <c r="G843" s="54">
        <v>0</v>
      </c>
      <c r="H843" s="53"/>
      <c r="I843" s="55"/>
      <c r="J843"/>
      <c r="K843"/>
      <c r="L843"/>
      <c r="M843"/>
      <c r="N843"/>
      <c r="O843"/>
      <c r="P843"/>
      <c r="Q843"/>
    </row>
    <row r="844" spans="1:17" ht="15.6" x14ac:dyDescent="0.3">
      <c r="A844" s="47" t="s">
        <v>1652</v>
      </c>
      <c r="B844" s="47" t="s">
        <v>682</v>
      </c>
      <c r="C844" s="19" t="s">
        <v>903</v>
      </c>
      <c r="D844" s="53"/>
      <c r="E844" s="54"/>
      <c r="F844" s="53"/>
      <c r="G844" s="54"/>
      <c r="H844" s="53">
        <v>1</v>
      </c>
      <c r="I844" s="55">
        <v>0</v>
      </c>
      <c r="J844"/>
      <c r="K844"/>
      <c r="L844"/>
      <c r="M844"/>
      <c r="N844"/>
      <c r="O844"/>
      <c r="P844"/>
      <c r="Q844"/>
    </row>
    <row r="845" spans="1:17" ht="15.6" x14ac:dyDescent="0.3">
      <c r="A845" s="48" t="s">
        <v>1652</v>
      </c>
      <c r="B845" s="48" t="s">
        <v>682</v>
      </c>
      <c r="C845" s="23" t="s">
        <v>1918</v>
      </c>
      <c r="D845" s="56"/>
      <c r="E845" s="51"/>
      <c r="F845" s="56">
        <v>1</v>
      </c>
      <c r="G845" s="51">
        <v>0</v>
      </c>
      <c r="H845" s="56"/>
      <c r="I845" s="57"/>
      <c r="J845"/>
      <c r="K845"/>
      <c r="L845"/>
      <c r="M845"/>
      <c r="N845"/>
      <c r="O845"/>
      <c r="P845"/>
      <c r="Q845"/>
    </row>
    <row r="846" spans="1:17" ht="15.6" x14ac:dyDescent="0.3">
      <c r="A846" s="48" t="s">
        <v>1652</v>
      </c>
      <c r="B846" s="48" t="s">
        <v>682</v>
      </c>
      <c r="C846" s="23" t="s">
        <v>904</v>
      </c>
      <c r="D846" s="56"/>
      <c r="E846" s="51"/>
      <c r="F846" s="56">
        <v>0</v>
      </c>
      <c r="G846" s="51">
        <v>1</v>
      </c>
      <c r="H846" s="56"/>
      <c r="I846" s="57"/>
      <c r="J846"/>
      <c r="K846"/>
      <c r="L846"/>
      <c r="M846"/>
      <c r="N846"/>
      <c r="O846"/>
      <c r="P846"/>
      <c r="Q846"/>
    </row>
    <row r="847" spans="1:17" ht="15.6" x14ac:dyDescent="0.3">
      <c r="A847" s="47" t="s">
        <v>1653</v>
      </c>
      <c r="B847" s="47" t="s">
        <v>683</v>
      </c>
      <c r="C847" s="19" t="s">
        <v>1918</v>
      </c>
      <c r="D847" s="53"/>
      <c r="E847" s="54"/>
      <c r="F847" s="53">
        <v>1</v>
      </c>
      <c r="G847" s="54">
        <v>0</v>
      </c>
      <c r="H847" s="53"/>
      <c r="I847" s="55"/>
      <c r="J847"/>
      <c r="K847"/>
      <c r="L847"/>
      <c r="M847"/>
      <c r="N847"/>
      <c r="O847"/>
      <c r="P847"/>
      <c r="Q847"/>
    </row>
    <row r="848" spans="1:17" ht="15.6" x14ac:dyDescent="0.3">
      <c r="A848" s="48" t="s">
        <v>1653</v>
      </c>
      <c r="B848" s="48" t="s">
        <v>683</v>
      </c>
      <c r="C848" s="23" t="s">
        <v>910</v>
      </c>
      <c r="D848" s="56"/>
      <c r="E848" s="51"/>
      <c r="F848" s="56"/>
      <c r="G848" s="51"/>
      <c r="H848" s="56">
        <v>5</v>
      </c>
      <c r="I848" s="57">
        <v>0</v>
      </c>
      <c r="J848"/>
      <c r="K848"/>
      <c r="L848"/>
      <c r="M848"/>
      <c r="N848"/>
      <c r="O848"/>
      <c r="P848"/>
      <c r="Q848"/>
    </row>
    <row r="849" spans="1:17" ht="15.6" x14ac:dyDescent="0.3">
      <c r="A849" s="19" t="s">
        <v>1654</v>
      </c>
      <c r="B849" s="19" t="s">
        <v>2336</v>
      </c>
      <c r="C849" s="19" t="s">
        <v>1918</v>
      </c>
      <c r="D849" s="53"/>
      <c r="E849" s="54"/>
      <c r="F849" s="53">
        <v>80</v>
      </c>
      <c r="G849" s="54">
        <v>0</v>
      </c>
      <c r="H849" s="53"/>
      <c r="I849" s="55"/>
      <c r="J849"/>
      <c r="K849"/>
      <c r="L849"/>
      <c r="M849"/>
      <c r="N849"/>
      <c r="O849"/>
      <c r="P849"/>
      <c r="Q849"/>
    </row>
    <row r="850" spans="1:17" ht="15.6" x14ac:dyDescent="0.3">
      <c r="A850" s="19" t="s">
        <v>1655</v>
      </c>
      <c r="B850" s="19" t="s">
        <v>684</v>
      </c>
      <c r="C850" s="19" t="s">
        <v>1918</v>
      </c>
      <c r="D850" s="53"/>
      <c r="E850" s="54"/>
      <c r="F850" s="53">
        <v>1</v>
      </c>
      <c r="G850" s="54">
        <v>0</v>
      </c>
      <c r="H850" s="53"/>
      <c r="I850" s="55"/>
      <c r="J850"/>
      <c r="K850"/>
      <c r="L850"/>
      <c r="M850"/>
      <c r="N850"/>
      <c r="O850"/>
      <c r="P850"/>
      <c r="Q850"/>
    </row>
    <row r="851" spans="1:17" ht="15.6" x14ac:dyDescent="0.3">
      <c r="A851" s="19" t="s">
        <v>1656</v>
      </c>
      <c r="B851" s="19" t="s">
        <v>685</v>
      </c>
      <c r="C851" s="19" t="s">
        <v>1918</v>
      </c>
      <c r="D851" s="53"/>
      <c r="E851" s="54"/>
      <c r="F851" s="53">
        <v>9</v>
      </c>
      <c r="G851" s="54">
        <v>0</v>
      </c>
      <c r="H851" s="53"/>
      <c r="I851" s="55"/>
      <c r="J851"/>
      <c r="K851"/>
      <c r="L851"/>
      <c r="M851"/>
      <c r="N851"/>
      <c r="O851"/>
      <c r="P851"/>
      <c r="Q851"/>
    </row>
    <row r="852" spans="1:17" ht="15.6" x14ac:dyDescent="0.3">
      <c r="A852" s="19" t="s">
        <v>1657</v>
      </c>
      <c r="B852" s="19" t="s">
        <v>686</v>
      </c>
      <c r="C852" s="19" t="s">
        <v>1918</v>
      </c>
      <c r="D852" s="53"/>
      <c r="E852" s="54"/>
      <c r="F852" s="53">
        <v>1</v>
      </c>
      <c r="G852" s="54">
        <v>0</v>
      </c>
      <c r="H852" s="53"/>
      <c r="I852" s="55"/>
      <c r="J852"/>
      <c r="K852"/>
      <c r="L852"/>
      <c r="M852"/>
      <c r="N852"/>
      <c r="O852"/>
      <c r="P852"/>
      <c r="Q852"/>
    </row>
    <row r="853" spans="1:17" ht="28.8" x14ac:dyDescent="0.3">
      <c r="A853" s="19" t="s">
        <v>1658</v>
      </c>
      <c r="B853" s="19" t="s">
        <v>687</v>
      </c>
      <c r="C853" s="19" t="s">
        <v>1918</v>
      </c>
      <c r="D853" s="53"/>
      <c r="E853" s="54"/>
      <c r="F853" s="53">
        <v>1</v>
      </c>
      <c r="G853" s="54">
        <v>0</v>
      </c>
      <c r="H853" s="53"/>
      <c r="I853" s="55"/>
      <c r="J853"/>
      <c r="K853"/>
      <c r="L853"/>
      <c r="M853"/>
      <c r="N853"/>
      <c r="O853"/>
      <c r="P853"/>
      <c r="Q853"/>
    </row>
    <row r="854" spans="1:17" ht="15.6" x14ac:dyDescent="0.3">
      <c r="A854" s="19" t="s">
        <v>1659</v>
      </c>
      <c r="B854" s="19" t="s">
        <v>2347</v>
      </c>
      <c r="C854" s="19" t="s">
        <v>1918</v>
      </c>
      <c r="D854" s="53"/>
      <c r="E854" s="54"/>
      <c r="F854" s="53">
        <v>12</v>
      </c>
      <c r="G854" s="54">
        <v>0</v>
      </c>
      <c r="H854" s="53"/>
      <c r="I854" s="55"/>
      <c r="J854"/>
      <c r="K854"/>
      <c r="L854"/>
      <c r="M854"/>
      <c r="N854"/>
      <c r="O854"/>
      <c r="P854"/>
      <c r="Q854"/>
    </row>
    <row r="855" spans="1:17" ht="15.6" x14ac:dyDescent="0.3">
      <c r="A855" s="19" t="s">
        <v>1660</v>
      </c>
      <c r="B855" s="19" t="s">
        <v>688</v>
      </c>
      <c r="C855" s="19" t="s">
        <v>1918</v>
      </c>
      <c r="D855" s="53"/>
      <c r="E855" s="54"/>
      <c r="F855" s="53">
        <v>1</v>
      </c>
      <c r="G855" s="54">
        <v>0</v>
      </c>
      <c r="H855" s="53"/>
      <c r="I855" s="55"/>
      <c r="J855"/>
      <c r="K855"/>
      <c r="L855"/>
      <c r="M855"/>
      <c r="N855"/>
      <c r="O855"/>
      <c r="P855"/>
      <c r="Q855"/>
    </row>
    <row r="856" spans="1:17" ht="15.6" x14ac:dyDescent="0.3">
      <c r="A856" s="19" t="s">
        <v>1661</v>
      </c>
      <c r="B856" s="19" t="s">
        <v>689</v>
      </c>
      <c r="C856" s="19" t="s">
        <v>1918</v>
      </c>
      <c r="D856" s="53"/>
      <c r="E856" s="54"/>
      <c r="F856" s="53">
        <v>7</v>
      </c>
      <c r="G856" s="54">
        <v>0</v>
      </c>
      <c r="H856" s="53"/>
      <c r="I856" s="55"/>
      <c r="J856"/>
      <c r="K856"/>
      <c r="L856"/>
      <c r="M856"/>
      <c r="N856"/>
      <c r="O856"/>
      <c r="P856"/>
      <c r="Q856"/>
    </row>
    <row r="857" spans="1:17" ht="15.6" x14ac:dyDescent="0.3">
      <c r="A857" s="19" t="s">
        <v>1662</v>
      </c>
      <c r="B857" s="19" t="s">
        <v>690</v>
      </c>
      <c r="C857" s="19" t="s">
        <v>1918</v>
      </c>
      <c r="D857" s="53"/>
      <c r="E857" s="54"/>
      <c r="F857" s="53">
        <v>17</v>
      </c>
      <c r="G857" s="54">
        <v>0</v>
      </c>
      <c r="H857" s="53"/>
      <c r="I857" s="55"/>
      <c r="J857"/>
      <c r="K857"/>
      <c r="L857"/>
      <c r="M857"/>
      <c r="N857"/>
      <c r="O857"/>
      <c r="P857"/>
      <c r="Q857"/>
    </row>
    <row r="858" spans="1:17" ht="15.6" x14ac:dyDescent="0.3">
      <c r="A858" s="19" t="s">
        <v>1663</v>
      </c>
      <c r="B858" s="19" t="s">
        <v>691</v>
      </c>
      <c r="C858" s="19" t="s">
        <v>1918</v>
      </c>
      <c r="D858" s="53"/>
      <c r="E858" s="54"/>
      <c r="F858" s="53">
        <v>1</v>
      </c>
      <c r="G858" s="54">
        <v>0</v>
      </c>
      <c r="H858" s="53"/>
      <c r="I858" s="55"/>
      <c r="J858"/>
      <c r="K858"/>
      <c r="L858"/>
      <c r="M858"/>
      <c r="N858"/>
      <c r="O858"/>
      <c r="P858"/>
      <c r="Q858"/>
    </row>
    <row r="859" spans="1:17" ht="15.6" x14ac:dyDescent="0.3">
      <c r="A859" s="19" t="s">
        <v>1664</v>
      </c>
      <c r="B859" s="19" t="s">
        <v>692</v>
      </c>
      <c r="C859" s="19" t="s">
        <v>1918</v>
      </c>
      <c r="D859" s="53"/>
      <c r="E859" s="54"/>
      <c r="F859" s="53">
        <v>1</v>
      </c>
      <c r="G859" s="54">
        <v>0</v>
      </c>
      <c r="H859" s="53"/>
      <c r="I859" s="55"/>
      <c r="J859"/>
      <c r="K859"/>
      <c r="L859"/>
      <c r="M859"/>
      <c r="N859"/>
      <c r="O859"/>
      <c r="P859"/>
      <c r="Q859"/>
    </row>
    <row r="860" spans="1:17" ht="15.6" x14ac:dyDescent="0.3">
      <c r="A860" s="19" t="s">
        <v>1665</v>
      </c>
      <c r="B860" s="19" t="s">
        <v>693</v>
      </c>
      <c r="C860" s="19" t="s">
        <v>1918</v>
      </c>
      <c r="D860" s="53"/>
      <c r="E860" s="54"/>
      <c r="F860" s="53">
        <v>1</v>
      </c>
      <c r="G860" s="54">
        <v>0</v>
      </c>
      <c r="H860" s="53"/>
      <c r="I860" s="55"/>
      <c r="J860"/>
      <c r="K860"/>
      <c r="L860"/>
      <c r="M860"/>
      <c r="N860"/>
      <c r="O860"/>
      <c r="P860"/>
      <c r="Q860"/>
    </row>
    <row r="861" spans="1:17" ht="15.6" x14ac:dyDescent="0.3">
      <c r="A861" s="47" t="s">
        <v>1666</v>
      </c>
      <c r="B861" s="47" t="s">
        <v>694</v>
      </c>
      <c r="C861" s="19" t="s">
        <v>903</v>
      </c>
      <c r="D861" s="53"/>
      <c r="E861" s="54"/>
      <c r="F861" s="53"/>
      <c r="G861" s="54"/>
      <c r="H861" s="53">
        <v>2</v>
      </c>
      <c r="I861" s="55">
        <v>0</v>
      </c>
      <c r="J861"/>
      <c r="K861"/>
      <c r="L861"/>
      <c r="M861"/>
      <c r="N861"/>
      <c r="O861"/>
      <c r="P861"/>
      <c r="Q861"/>
    </row>
    <row r="862" spans="1:17" ht="15.6" x14ac:dyDescent="0.3">
      <c r="A862" s="48" t="s">
        <v>1666</v>
      </c>
      <c r="B862" s="48" t="s">
        <v>694</v>
      </c>
      <c r="C862" s="23" t="s">
        <v>1918</v>
      </c>
      <c r="D862" s="56"/>
      <c r="E862" s="51"/>
      <c r="F862" s="56">
        <v>2</v>
      </c>
      <c r="G862" s="51">
        <v>0</v>
      </c>
      <c r="H862" s="56"/>
      <c r="I862" s="57"/>
      <c r="J862"/>
      <c r="K862"/>
      <c r="L862"/>
      <c r="M862"/>
      <c r="N862"/>
      <c r="O862"/>
      <c r="P862"/>
      <c r="Q862"/>
    </row>
    <row r="863" spans="1:17" ht="15.6" x14ac:dyDescent="0.3">
      <c r="A863" s="48" t="s">
        <v>1666</v>
      </c>
      <c r="B863" s="48" t="s">
        <v>694</v>
      </c>
      <c r="C863" s="23" t="s">
        <v>904</v>
      </c>
      <c r="D863" s="56"/>
      <c r="E863" s="51"/>
      <c r="F863" s="56">
        <v>0</v>
      </c>
      <c r="G863" s="51">
        <v>2</v>
      </c>
      <c r="H863" s="56"/>
      <c r="I863" s="57"/>
      <c r="J863"/>
      <c r="K863"/>
      <c r="L863"/>
      <c r="M863"/>
      <c r="N863"/>
      <c r="O863"/>
      <c r="P863"/>
      <c r="Q863"/>
    </row>
    <row r="864" spans="1:17" ht="15.6" x14ac:dyDescent="0.3">
      <c r="A864" s="19" t="s">
        <v>1667</v>
      </c>
      <c r="B864" s="19" t="s">
        <v>695</v>
      </c>
      <c r="C864" s="19" t="s">
        <v>1918</v>
      </c>
      <c r="D864" s="53"/>
      <c r="E864" s="54"/>
      <c r="F864" s="53">
        <v>1</v>
      </c>
      <c r="G864" s="54">
        <v>0</v>
      </c>
      <c r="H864" s="53"/>
      <c r="I864" s="55"/>
      <c r="J864"/>
      <c r="K864"/>
      <c r="L864"/>
      <c r="M864"/>
      <c r="N864"/>
      <c r="O864"/>
      <c r="P864"/>
      <c r="Q864"/>
    </row>
    <row r="865" spans="1:17" ht="15.6" x14ac:dyDescent="0.3">
      <c r="A865" s="19" t="s">
        <v>1668</v>
      </c>
      <c r="B865" s="19" t="s">
        <v>696</v>
      </c>
      <c r="C865" s="19" t="s">
        <v>1918</v>
      </c>
      <c r="D865" s="53"/>
      <c r="E865" s="54"/>
      <c r="F865" s="53">
        <v>1</v>
      </c>
      <c r="G865" s="54">
        <v>0</v>
      </c>
      <c r="H865" s="53"/>
      <c r="I865" s="55"/>
      <c r="J865"/>
      <c r="K865"/>
      <c r="L865"/>
      <c r="M865"/>
      <c r="N865"/>
      <c r="O865"/>
      <c r="P865"/>
      <c r="Q865"/>
    </row>
    <row r="866" spans="1:17" ht="15.6" x14ac:dyDescent="0.3">
      <c r="A866" s="19" t="s">
        <v>1669</v>
      </c>
      <c r="B866" s="19" t="s">
        <v>697</v>
      </c>
      <c r="C866" s="19" t="s">
        <v>1918</v>
      </c>
      <c r="D866" s="53"/>
      <c r="E866" s="54"/>
      <c r="F866" s="53">
        <v>2</v>
      </c>
      <c r="G866" s="54">
        <v>0</v>
      </c>
      <c r="H866" s="53"/>
      <c r="I866" s="55"/>
      <c r="J866"/>
      <c r="K866"/>
      <c r="L866"/>
      <c r="M866"/>
      <c r="N866"/>
      <c r="O866"/>
      <c r="P866"/>
      <c r="Q866"/>
    </row>
    <row r="867" spans="1:17" ht="15.6" x14ac:dyDescent="0.3">
      <c r="A867" s="19" t="s">
        <v>1670</v>
      </c>
      <c r="B867" s="19" t="s">
        <v>698</v>
      </c>
      <c r="C867" s="19" t="s">
        <v>1918</v>
      </c>
      <c r="D867" s="53"/>
      <c r="E867" s="54"/>
      <c r="F867" s="53">
        <v>3</v>
      </c>
      <c r="G867" s="54">
        <v>0</v>
      </c>
      <c r="H867" s="53"/>
      <c r="I867" s="55"/>
      <c r="J867"/>
      <c r="K867"/>
      <c r="L867"/>
      <c r="M867"/>
      <c r="N867"/>
      <c r="O867"/>
      <c r="P867"/>
      <c r="Q867"/>
    </row>
    <row r="868" spans="1:17" ht="28.8" x14ac:dyDescent="0.3">
      <c r="A868" s="19" t="s">
        <v>1671</v>
      </c>
      <c r="B868" s="19" t="s">
        <v>699</v>
      </c>
      <c r="C868" s="19" t="s">
        <v>1918</v>
      </c>
      <c r="D868" s="53"/>
      <c r="E868" s="54"/>
      <c r="F868" s="53">
        <v>2</v>
      </c>
      <c r="G868" s="54">
        <v>0</v>
      </c>
      <c r="H868" s="53"/>
      <c r="I868" s="55"/>
      <c r="J868"/>
      <c r="K868"/>
      <c r="L868"/>
      <c r="M868"/>
      <c r="N868"/>
      <c r="O868"/>
      <c r="P868"/>
      <c r="Q868"/>
    </row>
    <row r="869" spans="1:17" ht="15.6" x14ac:dyDescent="0.3">
      <c r="A869" s="19" t="s">
        <v>1672</v>
      </c>
      <c r="B869" s="19" t="s">
        <v>700</v>
      </c>
      <c r="C869" s="19" t="s">
        <v>1918</v>
      </c>
      <c r="D869" s="53"/>
      <c r="E869" s="54"/>
      <c r="F869" s="53">
        <v>1</v>
      </c>
      <c r="G869" s="54">
        <v>0</v>
      </c>
      <c r="H869" s="53"/>
      <c r="I869" s="55"/>
      <c r="J869"/>
      <c r="K869"/>
      <c r="L869"/>
      <c r="M869"/>
      <c r="N869"/>
      <c r="O869"/>
      <c r="P869"/>
      <c r="Q869"/>
    </row>
    <row r="870" spans="1:17" ht="15.6" x14ac:dyDescent="0.3">
      <c r="A870" s="19" t="s">
        <v>1673</v>
      </c>
      <c r="B870" s="19" t="s">
        <v>701</v>
      </c>
      <c r="C870" s="19" t="s">
        <v>1918</v>
      </c>
      <c r="D870" s="53"/>
      <c r="E870" s="54"/>
      <c r="F870" s="53">
        <v>1</v>
      </c>
      <c r="G870" s="54">
        <v>0</v>
      </c>
      <c r="H870" s="53"/>
      <c r="I870" s="55"/>
      <c r="J870"/>
      <c r="K870"/>
      <c r="L870"/>
      <c r="M870"/>
      <c r="N870"/>
      <c r="O870"/>
      <c r="P870"/>
      <c r="Q870"/>
    </row>
    <row r="871" spans="1:17" ht="15.6" x14ac:dyDescent="0.3">
      <c r="A871" s="19" t="s">
        <v>1674</v>
      </c>
      <c r="B871" s="19" t="s">
        <v>702</v>
      </c>
      <c r="C871" s="19" t="s">
        <v>1918</v>
      </c>
      <c r="D871" s="53"/>
      <c r="E871" s="54"/>
      <c r="F871" s="53">
        <v>420</v>
      </c>
      <c r="G871" s="54">
        <v>0</v>
      </c>
      <c r="H871" s="53"/>
      <c r="I871" s="55"/>
      <c r="J871"/>
      <c r="K871"/>
      <c r="L871"/>
      <c r="M871"/>
      <c r="N871"/>
      <c r="O871"/>
      <c r="P871"/>
      <c r="Q871"/>
    </row>
    <row r="872" spans="1:17" ht="15.6" x14ac:dyDescent="0.3">
      <c r="A872" s="19" t="s">
        <v>1675</v>
      </c>
      <c r="B872" s="19" t="s">
        <v>703</v>
      </c>
      <c r="C872" s="19" t="s">
        <v>1918</v>
      </c>
      <c r="D872" s="53"/>
      <c r="E872" s="54"/>
      <c r="F872" s="53">
        <v>553</v>
      </c>
      <c r="G872" s="54">
        <v>0</v>
      </c>
      <c r="H872" s="53"/>
      <c r="I872" s="55"/>
      <c r="J872"/>
      <c r="K872"/>
      <c r="L872"/>
      <c r="M872"/>
      <c r="N872"/>
      <c r="O872"/>
      <c r="P872"/>
      <c r="Q872"/>
    </row>
    <row r="873" spans="1:17" ht="15.6" x14ac:dyDescent="0.3">
      <c r="A873" s="19" t="s">
        <v>1676</v>
      </c>
      <c r="B873" s="19" t="s">
        <v>704</v>
      </c>
      <c r="C873" s="19" t="s">
        <v>1918</v>
      </c>
      <c r="D873" s="53"/>
      <c r="E873" s="54"/>
      <c r="F873" s="53">
        <v>127</v>
      </c>
      <c r="G873" s="54">
        <v>0</v>
      </c>
      <c r="H873" s="53"/>
      <c r="I873" s="55"/>
      <c r="J873"/>
      <c r="K873"/>
      <c r="L873"/>
      <c r="M873"/>
      <c r="N873"/>
      <c r="O873"/>
      <c r="P873"/>
      <c r="Q873"/>
    </row>
    <row r="874" spans="1:17" ht="15.6" x14ac:dyDescent="0.3">
      <c r="A874" s="19" t="s">
        <v>1677</v>
      </c>
      <c r="B874" s="19" t="s">
        <v>705</v>
      </c>
      <c r="C874" s="19" t="s">
        <v>1918</v>
      </c>
      <c r="D874" s="53"/>
      <c r="E874" s="54"/>
      <c r="F874" s="53">
        <v>8</v>
      </c>
      <c r="G874" s="54">
        <v>0</v>
      </c>
      <c r="H874" s="53"/>
      <c r="I874" s="55"/>
      <c r="J874"/>
      <c r="K874"/>
      <c r="L874"/>
      <c r="M874"/>
      <c r="N874"/>
      <c r="O874"/>
      <c r="P874"/>
      <c r="Q874"/>
    </row>
    <row r="875" spans="1:17" ht="15.6" x14ac:dyDescent="0.3">
      <c r="A875" s="19" t="s">
        <v>1678</v>
      </c>
      <c r="B875" s="19" t="s">
        <v>706</v>
      </c>
      <c r="C875" s="19" t="s">
        <v>1918</v>
      </c>
      <c r="D875" s="53"/>
      <c r="E875" s="54"/>
      <c r="F875" s="53">
        <v>45</v>
      </c>
      <c r="G875" s="54">
        <v>0</v>
      </c>
      <c r="H875" s="53"/>
      <c r="I875" s="55"/>
      <c r="J875"/>
      <c r="K875"/>
      <c r="L875"/>
      <c r="M875"/>
      <c r="N875"/>
      <c r="O875"/>
      <c r="P875"/>
      <c r="Q875"/>
    </row>
    <row r="876" spans="1:17" ht="15.6" x14ac:dyDescent="0.3">
      <c r="A876" s="19" t="s">
        <v>1679</v>
      </c>
      <c r="B876" s="19" t="s">
        <v>707</v>
      </c>
      <c r="C876" s="19" t="s">
        <v>1918</v>
      </c>
      <c r="D876" s="53"/>
      <c r="E876" s="54"/>
      <c r="F876" s="53">
        <v>464</v>
      </c>
      <c r="G876" s="54">
        <v>0</v>
      </c>
      <c r="H876" s="53"/>
      <c r="I876" s="55"/>
      <c r="J876"/>
      <c r="K876"/>
      <c r="L876"/>
      <c r="M876"/>
      <c r="N876"/>
      <c r="O876"/>
      <c r="P876"/>
      <c r="Q876"/>
    </row>
    <row r="877" spans="1:17" ht="15.6" x14ac:dyDescent="0.3">
      <c r="A877" s="19" t="s">
        <v>1680</v>
      </c>
      <c r="B877" s="19" t="s">
        <v>708</v>
      </c>
      <c r="C877" s="19" t="s">
        <v>1918</v>
      </c>
      <c r="D877" s="53"/>
      <c r="E877" s="54"/>
      <c r="F877" s="53">
        <v>104</v>
      </c>
      <c r="G877" s="54">
        <v>0</v>
      </c>
      <c r="H877" s="53"/>
      <c r="I877" s="55"/>
      <c r="J877"/>
      <c r="K877"/>
      <c r="L877"/>
      <c r="M877"/>
      <c r="N877"/>
      <c r="O877"/>
      <c r="P877"/>
      <c r="Q877"/>
    </row>
    <row r="878" spans="1:17" ht="28.8" x14ac:dyDescent="0.3">
      <c r="A878" s="19" t="s">
        <v>1681</v>
      </c>
      <c r="B878" s="19" t="s">
        <v>2488</v>
      </c>
      <c r="C878" s="19" t="s">
        <v>1918</v>
      </c>
      <c r="D878" s="53"/>
      <c r="E878" s="54"/>
      <c r="F878" s="53">
        <v>94</v>
      </c>
      <c r="G878" s="54">
        <v>0</v>
      </c>
      <c r="H878" s="53"/>
      <c r="I878" s="55"/>
      <c r="J878"/>
      <c r="K878"/>
      <c r="L878"/>
      <c r="M878"/>
      <c r="N878"/>
      <c r="O878"/>
      <c r="P878"/>
      <c r="Q878"/>
    </row>
    <row r="879" spans="1:17" ht="15.6" x14ac:dyDescent="0.3">
      <c r="A879" s="19" t="s">
        <v>1682</v>
      </c>
      <c r="B879" s="19" t="s">
        <v>2489</v>
      </c>
      <c r="C879" s="19" t="s">
        <v>1918</v>
      </c>
      <c r="D879" s="53"/>
      <c r="E879" s="54"/>
      <c r="F879" s="53">
        <v>2</v>
      </c>
      <c r="G879" s="54">
        <v>0</v>
      </c>
      <c r="H879" s="53"/>
      <c r="I879" s="55"/>
      <c r="J879"/>
      <c r="K879"/>
      <c r="L879"/>
      <c r="M879"/>
      <c r="N879"/>
      <c r="O879"/>
      <c r="P879"/>
      <c r="Q879"/>
    </row>
    <row r="880" spans="1:17" ht="15.6" x14ac:dyDescent="0.3">
      <c r="A880" s="19" t="s">
        <v>1683</v>
      </c>
      <c r="B880" s="19" t="s">
        <v>2490</v>
      </c>
      <c r="C880" s="19" t="s">
        <v>1918</v>
      </c>
      <c r="D880" s="53"/>
      <c r="E880" s="54"/>
      <c r="F880" s="53">
        <v>1</v>
      </c>
      <c r="G880" s="54">
        <v>0</v>
      </c>
      <c r="H880" s="53"/>
      <c r="I880" s="55"/>
      <c r="J880"/>
      <c r="K880"/>
      <c r="L880"/>
      <c r="M880"/>
      <c r="N880"/>
      <c r="O880"/>
      <c r="P880"/>
      <c r="Q880"/>
    </row>
    <row r="881" spans="1:17" ht="15.6" x14ac:dyDescent="0.3">
      <c r="A881" s="19" t="s">
        <v>1684</v>
      </c>
      <c r="B881" s="19" t="s">
        <v>709</v>
      </c>
      <c r="C881" s="19" t="s">
        <v>1918</v>
      </c>
      <c r="D881" s="53"/>
      <c r="E881" s="54"/>
      <c r="F881" s="53">
        <v>1</v>
      </c>
      <c r="G881" s="54">
        <v>0</v>
      </c>
      <c r="H881" s="53"/>
      <c r="I881" s="55"/>
      <c r="J881"/>
      <c r="K881"/>
      <c r="L881"/>
      <c r="M881"/>
      <c r="N881"/>
      <c r="O881"/>
      <c r="P881"/>
      <c r="Q881"/>
    </row>
    <row r="882" spans="1:17" ht="15.6" x14ac:dyDescent="0.3">
      <c r="A882" s="19" t="s">
        <v>1685</v>
      </c>
      <c r="B882" s="19" t="s">
        <v>710</v>
      </c>
      <c r="C882" s="19" t="s">
        <v>1918</v>
      </c>
      <c r="D882" s="53"/>
      <c r="E882" s="54"/>
      <c r="F882" s="53">
        <v>1</v>
      </c>
      <c r="G882" s="54">
        <v>0</v>
      </c>
      <c r="H882" s="53"/>
      <c r="I882" s="55"/>
      <c r="J882"/>
      <c r="K882"/>
      <c r="L882"/>
      <c r="M882"/>
      <c r="N882"/>
      <c r="O882"/>
      <c r="P882"/>
      <c r="Q882"/>
    </row>
    <row r="883" spans="1:17" ht="15.6" x14ac:dyDescent="0.3">
      <c r="A883" s="19" t="s">
        <v>1686</v>
      </c>
      <c r="B883" s="19" t="s">
        <v>711</v>
      </c>
      <c r="C883" s="19" t="s">
        <v>1918</v>
      </c>
      <c r="D883" s="53"/>
      <c r="E883" s="54"/>
      <c r="F883" s="53">
        <v>1</v>
      </c>
      <c r="G883" s="54">
        <v>0</v>
      </c>
      <c r="H883" s="53"/>
      <c r="I883" s="55"/>
      <c r="J883"/>
      <c r="K883"/>
      <c r="L883"/>
      <c r="M883"/>
      <c r="N883"/>
      <c r="O883"/>
      <c r="P883"/>
      <c r="Q883"/>
    </row>
    <row r="884" spans="1:17" ht="15.6" x14ac:dyDescent="0.3">
      <c r="A884" s="19" t="s">
        <v>1687</v>
      </c>
      <c r="B884" s="19" t="s">
        <v>712</v>
      </c>
      <c r="C884" s="19" t="s">
        <v>1918</v>
      </c>
      <c r="D884" s="53"/>
      <c r="E884" s="54"/>
      <c r="F884" s="53">
        <v>1</v>
      </c>
      <c r="G884" s="54">
        <v>0</v>
      </c>
      <c r="H884" s="53"/>
      <c r="I884" s="55"/>
      <c r="J884"/>
      <c r="K884"/>
      <c r="L884"/>
      <c r="M884"/>
      <c r="N884"/>
      <c r="O884"/>
      <c r="P884"/>
      <c r="Q884"/>
    </row>
    <row r="885" spans="1:17" ht="15.6" x14ac:dyDescent="0.3">
      <c r="A885" s="19" t="s">
        <v>1688</v>
      </c>
      <c r="B885" s="19" t="s">
        <v>2491</v>
      </c>
      <c r="C885" s="19" t="s">
        <v>1918</v>
      </c>
      <c r="D885" s="53"/>
      <c r="E885" s="54"/>
      <c r="F885" s="53">
        <v>1</v>
      </c>
      <c r="G885" s="54">
        <v>0</v>
      </c>
      <c r="H885" s="53"/>
      <c r="I885" s="55"/>
      <c r="J885"/>
      <c r="K885"/>
      <c r="L885"/>
      <c r="M885"/>
      <c r="N885"/>
      <c r="O885"/>
      <c r="P885"/>
      <c r="Q885"/>
    </row>
    <row r="886" spans="1:17" ht="15.6" x14ac:dyDescent="0.3">
      <c r="A886" s="19" t="s">
        <v>1689</v>
      </c>
      <c r="B886" s="19" t="s">
        <v>713</v>
      </c>
      <c r="C886" s="19" t="s">
        <v>1918</v>
      </c>
      <c r="D886" s="53"/>
      <c r="E886" s="54"/>
      <c r="F886" s="53">
        <v>1</v>
      </c>
      <c r="G886" s="54">
        <v>0</v>
      </c>
      <c r="H886" s="53"/>
      <c r="I886" s="55"/>
      <c r="J886"/>
      <c r="K886"/>
      <c r="L886"/>
      <c r="M886"/>
      <c r="N886"/>
      <c r="O886"/>
      <c r="P886"/>
      <c r="Q886"/>
    </row>
    <row r="887" spans="1:17" ht="15.6" x14ac:dyDescent="0.3">
      <c r="A887" s="19" t="s">
        <v>1690</v>
      </c>
      <c r="B887" s="19" t="s">
        <v>714</v>
      </c>
      <c r="C887" s="19" t="s">
        <v>1918</v>
      </c>
      <c r="D887" s="53"/>
      <c r="E887" s="54"/>
      <c r="F887" s="53">
        <v>10</v>
      </c>
      <c r="G887" s="54">
        <v>0</v>
      </c>
      <c r="H887" s="53"/>
      <c r="I887" s="55"/>
      <c r="J887"/>
      <c r="K887"/>
      <c r="L887"/>
      <c r="M887"/>
      <c r="N887"/>
      <c r="O887"/>
      <c r="P887"/>
      <c r="Q887"/>
    </row>
    <row r="888" spans="1:17" ht="15.6" x14ac:dyDescent="0.3">
      <c r="A888" s="19" t="s">
        <v>1691</v>
      </c>
      <c r="B888" s="19" t="s">
        <v>2597</v>
      </c>
      <c r="C888" s="19" t="s">
        <v>1918</v>
      </c>
      <c r="D888" s="53"/>
      <c r="E888" s="54"/>
      <c r="F888" s="53">
        <v>0</v>
      </c>
      <c r="G888" s="54">
        <v>0</v>
      </c>
      <c r="H888" s="53"/>
      <c r="I888" s="55"/>
      <c r="J888"/>
      <c r="K888"/>
      <c r="L888"/>
      <c r="M888"/>
      <c r="N888"/>
      <c r="O888"/>
      <c r="P888"/>
      <c r="Q888"/>
    </row>
    <row r="889" spans="1:17" ht="15.6" x14ac:dyDescent="0.3">
      <c r="A889" s="19" t="s">
        <v>1692</v>
      </c>
      <c r="B889" s="19" t="s">
        <v>715</v>
      </c>
      <c r="C889" s="19" t="s">
        <v>1918</v>
      </c>
      <c r="D889" s="53"/>
      <c r="E889" s="54"/>
      <c r="F889" s="53">
        <v>1</v>
      </c>
      <c r="G889" s="54">
        <v>0</v>
      </c>
      <c r="H889" s="53"/>
      <c r="I889" s="55"/>
      <c r="J889"/>
      <c r="K889"/>
      <c r="L889"/>
      <c r="M889"/>
      <c r="N889"/>
      <c r="O889"/>
      <c r="P889"/>
      <c r="Q889"/>
    </row>
    <row r="890" spans="1:17" ht="28.8" x14ac:dyDescent="0.3">
      <c r="A890" s="19" t="s">
        <v>1693</v>
      </c>
      <c r="B890" s="19" t="s">
        <v>716</v>
      </c>
      <c r="C890" s="19" t="s">
        <v>1918</v>
      </c>
      <c r="D890" s="53"/>
      <c r="E890" s="54"/>
      <c r="F890" s="53">
        <v>1</v>
      </c>
      <c r="G890" s="54">
        <v>0</v>
      </c>
      <c r="H890" s="53"/>
      <c r="I890" s="55"/>
      <c r="J890"/>
      <c r="K890"/>
      <c r="L890"/>
      <c r="M890"/>
      <c r="N890"/>
      <c r="O890"/>
      <c r="P890"/>
      <c r="Q890"/>
    </row>
    <row r="891" spans="1:17" ht="15.6" x14ac:dyDescent="0.3">
      <c r="A891" s="19" t="s">
        <v>1694</v>
      </c>
      <c r="B891" s="19" t="s">
        <v>717</v>
      </c>
      <c r="C891" s="19" t="s">
        <v>1918</v>
      </c>
      <c r="D891" s="53"/>
      <c r="E891" s="54"/>
      <c r="F891" s="53">
        <v>1</v>
      </c>
      <c r="G891" s="54">
        <v>0</v>
      </c>
      <c r="H891" s="53"/>
      <c r="I891" s="55"/>
      <c r="J891"/>
      <c r="K891"/>
      <c r="L891"/>
      <c r="M891"/>
      <c r="N891"/>
      <c r="O891"/>
      <c r="P891"/>
      <c r="Q891"/>
    </row>
    <row r="892" spans="1:17" ht="15.6" x14ac:dyDescent="0.3">
      <c r="A892" s="19" t="s">
        <v>1695</v>
      </c>
      <c r="B892" s="19" t="s">
        <v>718</v>
      </c>
      <c r="C892" s="19" t="s">
        <v>1918</v>
      </c>
      <c r="D892" s="53"/>
      <c r="E892" s="54"/>
      <c r="F892" s="53">
        <v>1</v>
      </c>
      <c r="G892" s="54">
        <v>0</v>
      </c>
      <c r="H892" s="53"/>
      <c r="I892" s="55"/>
      <c r="J892"/>
      <c r="K892"/>
      <c r="L892"/>
      <c r="M892"/>
      <c r="N892"/>
      <c r="O892"/>
      <c r="P892"/>
      <c r="Q892"/>
    </row>
    <row r="893" spans="1:17" ht="15.6" x14ac:dyDescent="0.3">
      <c r="A893" s="19" t="s">
        <v>1696</v>
      </c>
      <c r="B893" s="19" t="s">
        <v>719</v>
      </c>
      <c r="C893" s="19" t="s">
        <v>1918</v>
      </c>
      <c r="D893" s="53"/>
      <c r="E893" s="54"/>
      <c r="F893" s="53">
        <v>1</v>
      </c>
      <c r="G893" s="54">
        <v>0</v>
      </c>
      <c r="H893" s="53"/>
      <c r="I893" s="55"/>
      <c r="J893"/>
      <c r="K893"/>
      <c r="L893"/>
      <c r="M893"/>
      <c r="N893"/>
      <c r="O893"/>
      <c r="P893"/>
      <c r="Q893"/>
    </row>
    <row r="894" spans="1:17" ht="15.6" x14ac:dyDescent="0.3">
      <c r="A894" s="19" t="s">
        <v>1697</v>
      </c>
      <c r="B894" s="19" t="s">
        <v>720</v>
      </c>
      <c r="C894" s="19" t="s">
        <v>1918</v>
      </c>
      <c r="D894" s="53"/>
      <c r="E894" s="54"/>
      <c r="F894" s="53">
        <v>4</v>
      </c>
      <c r="G894" s="54">
        <v>0</v>
      </c>
      <c r="H894" s="53"/>
      <c r="I894" s="55"/>
      <c r="J894"/>
      <c r="K894"/>
      <c r="L894"/>
      <c r="M894"/>
      <c r="N894"/>
      <c r="O894"/>
      <c r="P894"/>
      <c r="Q894"/>
    </row>
    <row r="895" spans="1:17" ht="15.6" x14ac:dyDescent="0.3">
      <c r="A895" s="19" t="s">
        <v>1698</v>
      </c>
      <c r="B895" s="19" t="s">
        <v>721</v>
      </c>
      <c r="C895" s="19" t="s">
        <v>1918</v>
      </c>
      <c r="D895" s="53"/>
      <c r="E895" s="54"/>
      <c r="F895" s="53">
        <v>1</v>
      </c>
      <c r="G895" s="54">
        <v>0</v>
      </c>
      <c r="H895" s="53"/>
      <c r="I895" s="55"/>
      <c r="J895"/>
      <c r="K895"/>
      <c r="L895"/>
      <c r="M895"/>
      <c r="N895"/>
      <c r="O895"/>
      <c r="P895"/>
      <c r="Q895"/>
    </row>
    <row r="896" spans="1:17" ht="15.6" x14ac:dyDescent="0.3">
      <c r="A896" s="19" t="s">
        <v>1699</v>
      </c>
      <c r="B896" s="19" t="s">
        <v>722</v>
      </c>
      <c r="C896" s="19" t="s">
        <v>1918</v>
      </c>
      <c r="D896" s="53"/>
      <c r="E896" s="54"/>
      <c r="F896" s="53">
        <v>1</v>
      </c>
      <c r="G896" s="54">
        <v>0</v>
      </c>
      <c r="H896" s="53"/>
      <c r="I896" s="55"/>
      <c r="J896"/>
      <c r="K896"/>
      <c r="L896"/>
      <c r="M896"/>
      <c r="N896"/>
      <c r="O896"/>
      <c r="P896"/>
      <c r="Q896"/>
    </row>
    <row r="897" spans="1:17" ht="15.6" x14ac:dyDescent="0.3">
      <c r="A897" s="19" t="s">
        <v>1700</v>
      </c>
      <c r="B897" s="19" t="s">
        <v>723</v>
      </c>
      <c r="C897" s="19" t="s">
        <v>1918</v>
      </c>
      <c r="D897" s="53"/>
      <c r="E897" s="54"/>
      <c r="F897" s="53">
        <v>1</v>
      </c>
      <c r="G897" s="54">
        <v>0</v>
      </c>
      <c r="H897" s="53"/>
      <c r="I897" s="55"/>
      <c r="J897"/>
      <c r="K897"/>
      <c r="L897"/>
      <c r="M897"/>
      <c r="N897"/>
      <c r="O897"/>
      <c r="P897"/>
      <c r="Q897"/>
    </row>
    <row r="898" spans="1:17" ht="15.6" x14ac:dyDescent="0.3">
      <c r="A898" s="19" t="s">
        <v>1701</v>
      </c>
      <c r="B898" s="19" t="s">
        <v>724</v>
      </c>
      <c r="C898" s="19" t="s">
        <v>1918</v>
      </c>
      <c r="D898" s="53"/>
      <c r="E898" s="54"/>
      <c r="F898" s="53">
        <v>1</v>
      </c>
      <c r="G898" s="54">
        <v>0</v>
      </c>
      <c r="H898" s="53"/>
      <c r="I898" s="55"/>
      <c r="J898"/>
      <c r="K898"/>
      <c r="L898"/>
      <c r="M898"/>
      <c r="N898"/>
      <c r="O898"/>
      <c r="P898"/>
      <c r="Q898"/>
    </row>
    <row r="899" spans="1:17" ht="28.8" x14ac:dyDescent="0.3">
      <c r="A899" s="19" t="s">
        <v>1702</v>
      </c>
      <c r="B899" s="19" t="s">
        <v>725</v>
      </c>
      <c r="C899" s="19" t="s">
        <v>1918</v>
      </c>
      <c r="D899" s="53"/>
      <c r="E899" s="54"/>
      <c r="F899" s="53">
        <v>10</v>
      </c>
      <c r="G899" s="54">
        <v>0</v>
      </c>
      <c r="H899" s="53"/>
      <c r="I899" s="55"/>
      <c r="J899"/>
      <c r="K899"/>
      <c r="L899"/>
      <c r="M899"/>
      <c r="N899"/>
      <c r="O899"/>
      <c r="P899"/>
      <c r="Q899"/>
    </row>
    <row r="900" spans="1:17" ht="28.8" x14ac:dyDescent="0.3">
      <c r="A900" s="19" t="s">
        <v>1703</v>
      </c>
      <c r="B900" s="19" t="s">
        <v>726</v>
      </c>
      <c r="C900" s="19" t="s">
        <v>1918</v>
      </c>
      <c r="D900" s="53"/>
      <c r="E900" s="54"/>
      <c r="F900" s="53">
        <v>94</v>
      </c>
      <c r="G900" s="54">
        <v>0</v>
      </c>
      <c r="H900" s="53"/>
      <c r="I900" s="55"/>
      <c r="J900"/>
      <c r="K900"/>
      <c r="L900"/>
      <c r="M900"/>
      <c r="N900"/>
      <c r="O900"/>
      <c r="P900"/>
      <c r="Q900"/>
    </row>
    <row r="901" spans="1:17" ht="28.8" x14ac:dyDescent="0.3">
      <c r="A901" s="19" t="s">
        <v>1704</v>
      </c>
      <c r="B901" s="19" t="s">
        <v>727</v>
      </c>
      <c r="C901" s="19" t="s">
        <v>1918</v>
      </c>
      <c r="D901" s="53"/>
      <c r="E901" s="54"/>
      <c r="F901" s="53">
        <v>50</v>
      </c>
      <c r="G901" s="54">
        <v>0</v>
      </c>
      <c r="H901" s="53"/>
      <c r="I901" s="55"/>
      <c r="J901"/>
      <c r="K901"/>
      <c r="L901"/>
      <c r="M901"/>
      <c r="N901"/>
      <c r="O901"/>
      <c r="P901"/>
      <c r="Q901"/>
    </row>
    <row r="902" spans="1:17" ht="15.6" x14ac:dyDescent="0.3">
      <c r="A902" s="19" t="s">
        <v>1705</v>
      </c>
      <c r="B902" s="19" t="s">
        <v>728</v>
      </c>
      <c r="C902" s="19" t="s">
        <v>1918</v>
      </c>
      <c r="D902" s="53"/>
      <c r="E902" s="54"/>
      <c r="F902" s="53">
        <v>1</v>
      </c>
      <c r="G902" s="54">
        <v>0</v>
      </c>
      <c r="H902" s="53"/>
      <c r="I902" s="55"/>
      <c r="J902"/>
      <c r="K902"/>
      <c r="L902"/>
      <c r="M902"/>
      <c r="N902"/>
      <c r="O902"/>
      <c r="P902"/>
      <c r="Q902"/>
    </row>
    <row r="903" spans="1:17" ht="15.6" x14ac:dyDescent="0.3">
      <c r="A903" s="47" t="s">
        <v>1706</v>
      </c>
      <c r="B903" s="47" t="s">
        <v>729</v>
      </c>
      <c r="C903" s="19" t="s">
        <v>905</v>
      </c>
      <c r="D903" s="53"/>
      <c r="E903" s="54"/>
      <c r="F903" s="53">
        <v>0</v>
      </c>
      <c r="G903" s="54">
        <v>1</v>
      </c>
      <c r="H903" s="53"/>
      <c r="I903" s="55"/>
      <c r="J903"/>
      <c r="K903"/>
      <c r="L903"/>
      <c r="M903"/>
      <c r="N903"/>
      <c r="O903"/>
      <c r="P903"/>
      <c r="Q903"/>
    </row>
    <row r="904" spans="1:17" ht="15.6" x14ac:dyDescent="0.3">
      <c r="A904" s="48" t="s">
        <v>1706</v>
      </c>
      <c r="B904" s="48" t="s">
        <v>729</v>
      </c>
      <c r="C904" s="23" t="s">
        <v>903</v>
      </c>
      <c r="D904" s="56">
        <v>1</v>
      </c>
      <c r="E904" s="51">
        <v>0</v>
      </c>
      <c r="F904" s="56"/>
      <c r="G904" s="51"/>
      <c r="H904" s="56"/>
      <c r="I904" s="57"/>
      <c r="J904"/>
      <c r="K904"/>
      <c r="L904"/>
      <c r="M904"/>
      <c r="N904"/>
      <c r="O904"/>
      <c r="P904"/>
      <c r="Q904"/>
    </row>
    <row r="905" spans="1:17" ht="15.6" x14ac:dyDescent="0.3">
      <c r="A905" s="48" t="s">
        <v>1706</v>
      </c>
      <c r="B905" s="48" t="s">
        <v>729</v>
      </c>
      <c r="C905" s="23" t="s">
        <v>1918</v>
      </c>
      <c r="D905" s="56"/>
      <c r="E905" s="51"/>
      <c r="F905" s="56">
        <v>1</v>
      </c>
      <c r="G905" s="51">
        <v>0</v>
      </c>
      <c r="H905" s="56"/>
      <c r="I905" s="57"/>
      <c r="J905"/>
      <c r="K905"/>
      <c r="L905"/>
      <c r="M905"/>
      <c r="N905"/>
      <c r="O905"/>
      <c r="P905"/>
      <c r="Q905"/>
    </row>
    <row r="906" spans="1:17" ht="15.6" x14ac:dyDescent="0.3">
      <c r="A906" s="19" t="s">
        <v>1707</v>
      </c>
      <c r="B906" s="19" t="s">
        <v>730</v>
      </c>
      <c r="C906" s="19" t="s">
        <v>1918</v>
      </c>
      <c r="D906" s="53"/>
      <c r="E906" s="54"/>
      <c r="F906" s="53">
        <v>1</v>
      </c>
      <c r="G906" s="54">
        <v>0</v>
      </c>
      <c r="H906" s="53"/>
      <c r="I906" s="55"/>
      <c r="J906"/>
      <c r="K906"/>
      <c r="L906"/>
      <c r="M906"/>
      <c r="N906"/>
      <c r="O906"/>
      <c r="P906"/>
      <c r="Q906"/>
    </row>
    <row r="907" spans="1:17" ht="15.6" x14ac:dyDescent="0.3">
      <c r="A907" s="19" t="s">
        <v>1708</v>
      </c>
      <c r="B907" s="19" t="s">
        <v>731</v>
      </c>
      <c r="C907" s="19" t="s">
        <v>1918</v>
      </c>
      <c r="D907" s="53"/>
      <c r="E907" s="54"/>
      <c r="F907" s="53">
        <v>1</v>
      </c>
      <c r="G907" s="54">
        <v>0</v>
      </c>
      <c r="H907" s="53"/>
      <c r="I907" s="55"/>
      <c r="J907"/>
      <c r="K907"/>
      <c r="L907"/>
      <c r="M907"/>
      <c r="N907"/>
      <c r="O907"/>
      <c r="P907"/>
      <c r="Q907"/>
    </row>
    <row r="908" spans="1:17" ht="15.6" x14ac:dyDescent="0.3">
      <c r="A908" s="19" t="s">
        <v>1709</v>
      </c>
      <c r="B908" s="19" t="s">
        <v>732</v>
      </c>
      <c r="C908" s="19" t="s">
        <v>1918</v>
      </c>
      <c r="D908" s="53"/>
      <c r="E908" s="54"/>
      <c r="F908" s="53">
        <v>12</v>
      </c>
      <c r="G908" s="54">
        <v>0</v>
      </c>
      <c r="H908" s="53"/>
      <c r="I908" s="55"/>
      <c r="J908"/>
      <c r="K908"/>
      <c r="L908"/>
      <c r="M908"/>
      <c r="N908"/>
      <c r="O908"/>
      <c r="P908"/>
      <c r="Q908"/>
    </row>
    <row r="909" spans="1:17" ht="15.6" x14ac:dyDescent="0.3">
      <c r="A909" s="19" t="s">
        <v>1710</v>
      </c>
      <c r="B909" s="19" t="s">
        <v>733</v>
      </c>
      <c r="C909" s="19" t="s">
        <v>1918</v>
      </c>
      <c r="D909" s="53"/>
      <c r="E909" s="54"/>
      <c r="F909" s="53">
        <v>142</v>
      </c>
      <c r="G909" s="54">
        <v>0</v>
      </c>
      <c r="H909" s="53"/>
      <c r="I909" s="55"/>
      <c r="J909"/>
      <c r="K909"/>
      <c r="L909"/>
      <c r="M909"/>
      <c r="N909"/>
      <c r="O909"/>
      <c r="P909"/>
      <c r="Q909"/>
    </row>
    <row r="910" spans="1:17" ht="15.6" x14ac:dyDescent="0.3">
      <c r="A910" s="47" t="s">
        <v>1711</v>
      </c>
      <c r="B910" s="47" t="s">
        <v>734</v>
      </c>
      <c r="C910" s="19" t="s">
        <v>903</v>
      </c>
      <c r="D910" s="53"/>
      <c r="E910" s="54"/>
      <c r="F910" s="53"/>
      <c r="G910" s="54"/>
      <c r="H910" s="53">
        <v>2</v>
      </c>
      <c r="I910" s="55">
        <v>0</v>
      </c>
      <c r="J910"/>
      <c r="K910"/>
      <c r="L910"/>
      <c r="M910"/>
      <c r="N910"/>
      <c r="O910"/>
      <c r="P910"/>
      <c r="Q910"/>
    </row>
    <row r="911" spans="1:17" ht="15.6" x14ac:dyDescent="0.3">
      <c r="A911" s="48" t="s">
        <v>1711</v>
      </c>
      <c r="B911" s="48" t="s">
        <v>734</v>
      </c>
      <c r="C911" s="23" t="s">
        <v>1918</v>
      </c>
      <c r="D911" s="56"/>
      <c r="E911" s="51"/>
      <c r="F911" s="56">
        <v>4</v>
      </c>
      <c r="G911" s="51">
        <v>0</v>
      </c>
      <c r="H911" s="56"/>
      <c r="I911" s="57"/>
      <c r="J911"/>
      <c r="K911"/>
      <c r="L911"/>
      <c r="M911"/>
      <c r="N911"/>
      <c r="O911"/>
      <c r="P911"/>
      <c r="Q911"/>
    </row>
    <row r="912" spans="1:17" ht="15.6" x14ac:dyDescent="0.3">
      <c r="A912" s="48" t="s">
        <v>1711</v>
      </c>
      <c r="B912" s="48" t="s">
        <v>734</v>
      </c>
      <c r="C912" s="23" t="s">
        <v>904</v>
      </c>
      <c r="D912" s="56"/>
      <c r="E912" s="51"/>
      <c r="F912" s="56">
        <v>0</v>
      </c>
      <c r="G912" s="51">
        <v>2</v>
      </c>
      <c r="H912" s="56"/>
      <c r="I912" s="57"/>
      <c r="J912"/>
      <c r="K912"/>
      <c r="L912"/>
      <c r="M912"/>
      <c r="N912"/>
      <c r="O912"/>
      <c r="P912"/>
      <c r="Q912"/>
    </row>
    <row r="913" spans="1:17" ht="15.6" x14ac:dyDescent="0.3">
      <c r="A913" s="19" t="s">
        <v>1712</v>
      </c>
      <c r="B913" s="19" t="s">
        <v>735</v>
      </c>
      <c r="C913" s="19" t="s">
        <v>1918</v>
      </c>
      <c r="D913" s="53"/>
      <c r="E913" s="54"/>
      <c r="F913" s="53">
        <v>4</v>
      </c>
      <c r="G913" s="54">
        <v>0</v>
      </c>
      <c r="H913" s="53"/>
      <c r="I913" s="55"/>
      <c r="J913"/>
      <c r="K913"/>
      <c r="L913"/>
      <c r="M913"/>
      <c r="N913"/>
      <c r="O913"/>
      <c r="P913"/>
      <c r="Q913"/>
    </row>
    <row r="914" spans="1:17" ht="15.6" x14ac:dyDescent="0.3">
      <c r="A914" s="19" t="s">
        <v>1713</v>
      </c>
      <c r="B914" s="19" t="s">
        <v>736</v>
      </c>
      <c r="C914" s="19" t="s">
        <v>1918</v>
      </c>
      <c r="D914" s="53"/>
      <c r="E914" s="54"/>
      <c r="F914" s="53">
        <v>2</v>
      </c>
      <c r="G914" s="54">
        <v>0</v>
      </c>
      <c r="H914" s="53"/>
      <c r="I914" s="55"/>
      <c r="J914"/>
      <c r="K914"/>
      <c r="L914"/>
      <c r="M914"/>
      <c r="N914"/>
      <c r="O914"/>
      <c r="P914"/>
      <c r="Q914"/>
    </row>
    <row r="915" spans="1:17" ht="15.6" x14ac:dyDescent="0.3">
      <c r="A915" s="19" t="s">
        <v>1714</v>
      </c>
      <c r="B915" s="19" t="s">
        <v>737</v>
      </c>
      <c r="C915" s="19" t="s">
        <v>1918</v>
      </c>
      <c r="D915" s="53"/>
      <c r="E915" s="54"/>
      <c r="F915" s="53">
        <v>1</v>
      </c>
      <c r="G915" s="54">
        <v>0</v>
      </c>
      <c r="H915" s="53"/>
      <c r="I915" s="55"/>
      <c r="J915"/>
      <c r="K915"/>
      <c r="L915"/>
      <c r="M915"/>
      <c r="N915"/>
      <c r="O915"/>
      <c r="P915"/>
      <c r="Q915"/>
    </row>
    <row r="916" spans="1:17" ht="15.6" x14ac:dyDescent="0.3">
      <c r="A916" s="19" t="s">
        <v>1715</v>
      </c>
      <c r="B916" s="19" t="s">
        <v>738</v>
      </c>
      <c r="C916" s="19" t="s">
        <v>1918</v>
      </c>
      <c r="D916" s="53"/>
      <c r="E916" s="54"/>
      <c r="F916" s="53">
        <v>1</v>
      </c>
      <c r="G916" s="54">
        <v>0</v>
      </c>
      <c r="H916" s="53"/>
      <c r="I916" s="55"/>
      <c r="J916"/>
      <c r="K916"/>
      <c r="L916"/>
      <c r="M916"/>
      <c r="N916"/>
      <c r="O916"/>
      <c r="P916"/>
      <c r="Q916"/>
    </row>
    <row r="917" spans="1:17" ht="15.6" x14ac:dyDescent="0.3">
      <c r="A917" s="19" t="s">
        <v>1716</v>
      </c>
      <c r="B917" s="19" t="s">
        <v>739</v>
      </c>
      <c r="C917" s="19" t="s">
        <v>1918</v>
      </c>
      <c r="D917" s="53"/>
      <c r="E917" s="54"/>
      <c r="F917" s="53">
        <v>1</v>
      </c>
      <c r="G917" s="54">
        <v>0</v>
      </c>
      <c r="H917" s="53"/>
      <c r="I917" s="55"/>
      <c r="J917"/>
      <c r="K917"/>
      <c r="L917"/>
      <c r="M917"/>
      <c r="N917"/>
      <c r="O917"/>
      <c r="P917"/>
      <c r="Q917"/>
    </row>
    <row r="918" spans="1:17" ht="15.6" x14ac:dyDescent="0.3">
      <c r="A918" s="19" t="s">
        <v>1717</v>
      </c>
      <c r="B918" s="19" t="s">
        <v>740</v>
      </c>
      <c r="C918" s="19" t="s">
        <v>1918</v>
      </c>
      <c r="D918" s="53"/>
      <c r="E918" s="54"/>
      <c r="F918" s="53">
        <v>40</v>
      </c>
      <c r="G918" s="54">
        <v>0</v>
      </c>
      <c r="H918" s="53"/>
      <c r="I918" s="55"/>
      <c r="J918"/>
      <c r="K918"/>
      <c r="L918"/>
      <c r="M918"/>
      <c r="N918"/>
      <c r="O918"/>
      <c r="P918"/>
      <c r="Q918"/>
    </row>
    <row r="919" spans="1:17" ht="15.6" x14ac:dyDescent="0.3">
      <c r="A919" s="19" t="s">
        <v>1718</v>
      </c>
      <c r="B919" s="19" t="s">
        <v>741</v>
      </c>
      <c r="C919" s="19" t="s">
        <v>1918</v>
      </c>
      <c r="D919" s="53"/>
      <c r="E919" s="54"/>
      <c r="F919" s="53">
        <v>6</v>
      </c>
      <c r="G919" s="54">
        <v>0</v>
      </c>
      <c r="H919" s="53"/>
      <c r="I919" s="55"/>
      <c r="J919"/>
      <c r="K919"/>
      <c r="L919"/>
      <c r="M919"/>
      <c r="N919"/>
      <c r="O919"/>
      <c r="P919"/>
      <c r="Q919"/>
    </row>
    <row r="920" spans="1:17" ht="15.6" x14ac:dyDescent="0.3">
      <c r="A920" s="19" t="s">
        <v>1719</v>
      </c>
      <c r="B920" s="19" t="s">
        <v>742</v>
      </c>
      <c r="C920" s="19" t="s">
        <v>1918</v>
      </c>
      <c r="D920" s="53"/>
      <c r="E920" s="54"/>
      <c r="F920" s="53">
        <v>1</v>
      </c>
      <c r="G920" s="54">
        <v>0</v>
      </c>
      <c r="H920" s="53"/>
      <c r="I920" s="55"/>
      <c r="J920"/>
      <c r="K920"/>
      <c r="L920"/>
      <c r="M920"/>
      <c r="N920"/>
      <c r="O920"/>
      <c r="P920"/>
      <c r="Q920"/>
    </row>
    <row r="921" spans="1:17" ht="15.6" x14ac:dyDescent="0.3">
      <c r="A921" s="19" t="s">
        <v>1720</v>
      </c>
      <c r="B921" s="19" t="s">
        <v>743</v>
      </c>
      <c r="C921" s="19" t="s">
        <v>1918</v>
      </c>
      <c r="D921" s="53"/>
      <c r="E921" s="54"/>
      <c r="F921" s="53">
        <v>10</v>
      </c>
      <c r="G921" s="54">
        <v>0</v>
      </c>
      <c r="H921" s="53"/>
      <c r="I921" s="55"/>
      <c r="J921"/>
      <c r="K921"/>
      <c r="L921"/>
      <c r="M921"/>
      <c r="N921"/>
      <c r="O921"/>
      <c r="P921"/>
      <c r="Q921"/>
    </row>
    <row r="922" spans="1:17" ht="15.6" x14ac:dyDescent="0.3">
      <c r="A922" s="19" t="s">
        <v>1721</v>
      </c>
      <c r="B922" s="19" t="s">
        <v>744</v>
      </c>
      <c r="C922" s="19" t="s">
        <v>1918</v>
      </c>
      <c r="D922" s="53"/>
      <c r="E922" s="54"/>
      <c r="F922" s="53">
        <v>8</v>
      </c>
      <c r="G922" s="54">
        <v>0</v>
      </c>
      <c r="H922" s="53"/>
      <c r="I922" s="55"/>
      <c r="J922"/>
      <c r="K922"/>
      <c r="L922"/>
      <c r="M922"/>
      <c r="N922"/>
      <c r="O922"/>
      <c r="P922"/>
      <c r="Q922"/>
    </row>
    <row r="923" spans="1:17" ht="15.6" x14ac:dyDescent="0.3">
      <c r="A923" s="47" t="s">
        <v>1722</v>
      </c>
      <c r="B923" s="47" t="s">
        <v>745</v>
      </c>
      <c r="C923" s="19" t="s">
        <v>903</v>
      </c>
      <c r="D923" s="53"/>
      <c r="E923" s="54"/>
      <c r="F923" s="53"/>
      <c r="G923" s="54"/>
      <c r="H923" s="53">
        <v>2</v>
      </c>
      <c r="I923" s="55">
        <v>0</v>
      </c>
      <c r="J923"/>
      <c r="K923"/>
      <c r="L923"/>
      <c r="M923"/>
      <c r="N923"/>
      <c r="O923"/>
      <c r="P923"/>
      <c r="Q923"/>
    </row>
    <row r="924" spans="1:17" ht="15.6" x14ac:dyDescent="0.3">
      <c r="A924" s="48" t="s">
        <v>1722</v>
      </c>
      <c r="B924" s="48" t="s">
        <v>745</v>
      </c>
      <c r="C924" s="23" t="s">
        <v>1918</v>
      </c>
      <c r="D924" s="56"/>
      <c r="E924" s="51"/>
      <c r="F924" s="56">
        <v>2</v>
      </c>
      <c r="G924" s="51">
        <v>0</v>
      </c>
      <c r="H924" s="56"/>
      <c r="I924" s="57"/>
      <c r="J924"/>
      <c r="K924"/>
      <c r="L924"/>
      <c r="M924"/>
      <c r="N924"/>
      <c r="O924"/>
      <c r="P924"/>
      <c r="Q924"/>
    </row>
    <row r="925" spans="1:17" ht="15.6" x14ac:dyDescent="0.3">
      <c r="A925" s="48" t="s">
        <v>1722</v>
      </c>
      <c r="B925" s="48" t="s">
        <v>745</v>
      </c>
      <c r="C925" s="23" t="s">
        <v>904</v>
      </c>
      <c r="D925" s="56"/>
      <c r="E925" s="51"/>
      <c r="F925" s="56">
        <v>0</v>
      </c>
      <c r="G925" s="51">
        <v>2</v>
      </c>
      <c r="H925" s="56"/>
      <c r="I925" s="57"/>
      <c r="J925"/>
      <c r="K925"/>
      <c r="L925"/>
      <c r="M925"/>
      <c r="N925"/>
      <c r="O925"/>
      <c r="P925"/>
      <c r="Q925"/>
    </row>
    <row r="926" spans="1:17" ht="15.6" x14ac:dyDescent="0.3">
      <c r="A926" s="19" t="s">
        <v>1723</v>
      </c>
      <c r="B926" s="19" t="s">
        <v>746</v>
      </c>
      <c r="C926" s="19" t="s">
        <v>1918</v>
      </c>
      <c r="D926" s="53"/>
      <c r="E926" s="54"/>
      <c r="F926" s="53">
        <v>6</v>
      </c>
      <c r="G926" s="54">
        <v>0</v>
      </c>
      <c r="H926" s="53"/>
      <c r="I926" s="55"/>
      <c r="J926"/>
      <c r="K926"/>
      <c r="L926"/>
      <c r="M926"/>
      <c r="N926"/>
      <c r="O926"/>
      <c r="P926"/>
      <c r="Q926"/>
    </row>
    <row r="927" spans="1:17" ht="15.6" x14ac:dyDescent="0.3">
      <c r="A927" s="19" t="s">
        <v>1724</v>
      </c>
      <c r="B927" s="19" t="s">
        <v>747</v>
      </c>
      <c r="C927" s="19" t="s">
        <v>1918</v>
      </c>
      <c r="D927" s="53"/>
      <c r="E927" s="54"/>
      <c r="F927" s="53">
        <v>3</v>
      </c>
      <c r="G927" s="54">
        <v>0</v>
      </c>
      <c r="H927" s="53"/>
      <c r="I927" s="55"/>
      <c r="J927"/>
      <c r="K927"/>
      <c r="L927"/>
      <c r="M927"/>
      <c r="N927"/>
      <c r="O927"/>
      <c r="P927"/>
      <c r="Q927"/>
    </row>
    <row r="928" spans="1:17" ht="15.6" x14ac:dyDescent="0.3">
      <c r="A928" s="19" t="s">
        <v>1725</v>
      </c>
      <c r="B928" s="19" t="s">
        <v>748</v>
      </c>
      <c r="C928" s="19" t="s">
        <v>1918</v>
      </c>
      <c r="D928" s="53"/>
      <c r="E928" s="54"/>
      <c r="F928" s="53">
        <v>3</v>
      </c>
      <c r="G928" s="54">
        <v>0</v>
      </c>
      <c r="H928" s="53"/>
      <c r="I928" s="55"/>
      <c r="J928"/>
      <c r="K928"/>
      <c r="L928"/>
      <c r="M928"/>
      <c r="N928"/>
      <c r="O928"/>
      <c r="P928"/>
      <c r="Q928"/>
    </row>
    <row r="929" spans="1:17" ht="15.6" x14ac:dyDescent="0.3">
      <c r="A929" s="19" t="s">
        <v>1726</v>
      </c>
      <c r="B929" s="19" t="s">
        <v>749</v>
      </c>
      <c r="C929" s="19" t="s">
        <v>1918</v>
      </c>
      <c r="D929" s="53"/>
      <c r="E929" s="54"/>
      <c r="F929" s="53">
        <v>1</v>
      </c>
      <c r="G929" s="54">
        <v>0</v>
      </c>
      <c r="H929" s="53"/>
      <c r="I929" s="55"/>
      <c r="J929"/>
      <c r="K929"/>
      <c r="L929"/>
      <c r="M929"/>
      <c r="N929"/>
      <c r="O929"/>
      <c r="P929"/>
      <c r="Q929"/>
    </row>
    <row r="930" spans="1:17" ht="15.6" x14ac:dyDescent="0.3">
      <c r="A930" s="19" t="s">
        <v>1727</v>
      </c>
      <c r="B930" s="19" t="s">
        <v>750</v>
      </c>
      <c r="C930" s="19" t="s">
        <v>1918</v>
      </c>
      <c r="D930" s="53"/>
      <c r="E930" s="54"/>
      <c r="F930" s="53">
        <v>1</v>
      </c>
      <c r="G930" s="54">
        <v>0</v>
      </c>
      <c r="H930" s="53"/>
      <c r="I930" s="55"/>
      <c r="J930"/>
      <c r="K930"/>
      <c r="L930"/>
      <c r="M930"/>
      <c r="N930"/>
      <c r="O930"/>
      <c r="P930"/>
      <c r="Q930"/>
    </row>
    <row r="931" spans="1:17" ht="15.6" x14ac:dyDescent="0.3">
      <c r="A931" s="19" t="s">
        <v>1728</v>
      </c>
      <c r="B931" s="19" t="s">
        <v>751</v>
      </c>
      <c r="C931" s="19" t="s">
        <v>1918</v>
      </c>
      <c r="D931" s="53"/>
      <c r="E931" s="54"/>
      <c r="F931" s="53">
        <v>1</v>
      </c>
      <c r="G931" s="54">
        <v>0</v>
      </c>
      <c r="H931" s="53"/>
      <c r="I931" s="55"/>
      <c r="J931"/>
      <c r="K931"/>
      <c r="L931"/>
      <c r="M931"/>
      <c r="N931"/>
      <c r="O931"/>
      <c r="P931"/>
      <c r="Q931"/>
    </row>
    <row r="932" spans="1:17" ht="15.6" x14ac:dyDescent="0.3">
      <c r="A932" s="19" t="s">
        <v>1729</v>
      </c>
      <c r="B932" s="19" t="s">
        <v>752</v>
      </c>
      <c r="C932" s="19" t="s">
        <v>1918</v>
      </c>
      <c r="D932" s="53"/>
      <c r="E932" s="54"/>
      <c r="F932" s="53">
        <v>1</v>
      </c>
      <c r="G932" s="54">
        <v>0</v>
      </c>
      <c r="H932" s="53"/>
      <c r="I932" s="55"/>
      <c r="J932"/>
      <c r="K932"/>
      <c r="L932"/>
      <c r="M932"/>
      <c r="N932"/>
      <c r="O932"/>
      <c r="P932"/>
      <c r="Q932"/>
    </row>
    <row r="933" spans="1:17" ht="28.8" x14ac:dyDescent="0.3">
      <c r="A933" s="19" t="s">
        <v>1730</v>
      </c>
      <c r="B933" s="19" t="s">
        <v>753</v>
      </c>
      <c r="C933" s="19" t="s">
        <v>1918</v>
      </c>
      <c r="D933" s="53"/>
      <c r="E933" s="54"/>
      <c r="F933" s="53">
        <v>1</v>
      </c>
      <c r="G933" s="54">
        <v>0</v>
      </c>
      <c r="H933" s="53"/>
      <c r="I933" s="55"/>
      <c r="J933"/>
      <c r="K933"/>
      <c r="L933"/>
      <c r="M933"/>
      <c r="N933"/>
      <c r="O933"/>
      <c r="P933"/>
      <c r="Q933"/>
    </row>
    <row r="934" spans="1:17" ht="15.6" x14ac:dyDescent="0.3">
      <c r="A934" s="19" t="s">
        <v>1731</v>
      </c>
      <c r="B934" s="19" t="s">
        <v>754</v>
      </c>
      <c r="C934" s="19" t="s">
        <v>1918</v>
      </c>
      <c r="D934" s="53"/>
      <c r="E934" s="54"/>
      <c r="F934" s="53">
        <v>1</v>
      </c>
      <c r="G934" s="54">
        <v>0</v>
      </c>
      <c r="H934" s="53"/>
      <c r="I934" s="55"/>
      <c r="J934"/>
      <c r="K934"/>
      <c r="L934"/>
      <c r="M934"/>
      <c r="N934"/>
      <c r="O934"/>
      <c r="P934"/>
      <c r="Q934"/>
    </row>
    <row r="935" spans="1:17" ht="15.6" x14ac:dyDescent="0.3">
      <c r="A935" s="19" t="s">
        <v>1732</v>
      </c>
      <c r="B935" s="19" t="s">
        <v>755</v>
      </c>
      <c r="C935" s="19" t="s">
        <v>1918</v>
      </c>
      <c r="D935" s="53"/>
      <c r="E935" s="54"/>
      <c r="F935" s="53">
        <v>3</v>
      </c>
      <c r="G935" s="54">
        <v>0</v>
      </c>
      <c r="H935" s="53"/>
      <c r="I935" s="55"/>
      <c r="J935"/>
      <c r="K935"/>
      <c r="L935"/>
      <c r="M935"/>
      <c r="N935"/>
      <c r="O935"/>
      <c r="P935"/>
      <c r="Q935"/>
    </row>
    <row r="936" spans="1:17" ht="15.6" x14ac:dyDescent="0.3">
      <c r="A936" s="19" t="s">
        <v>1733</v>
      </c>
      <c r="B936" s="19" t="s">
        <v>756</v>
      </c>
      <c r="C936" s="19" t="s">
        <v>1918</v>
      </c>
      <c r="D936" s="53"/>
      <c r="E936" s="54"/>
      <c r="F936" s="53">
        <v>6</v>
      </c>
      <c r="G936" s="54">
        <v>0</v>
      </c>
      <c r="H936" s="53"/>
      <c r="I936" s="55"/>
      <c r="J936"/>
      <c r="K936"/>
      <c r="L936"/>
      <c r="M936"/>
      <c r="N936"/>
      <c r="O936"/>
      <c r="P936"/>
      <c r="Q936"/>
    </row>
    <row r="937" spans="1:17" ht="15.6" x14ac:dyDescent="0.3">
      <c r="A937" s="47" t="s">
        <v>1734</v>
      </c>
      <c r="B937" s="47" t="s">
        <v>757</v>
      </c>
      <c r="C937" s="19" t="s">
        <v>1918</v>
      </c>
      <c r="D937" s="53"/>
      <c r="E937" s="54"/>
      <c r="F937" s="53">
        <v>1</v>
      </c>
      <c r="G937" s="54">
        <v>0</v>
      </c>
      <c r="H937" s="53"/>
      <c r="I937" s="55"/>
      <c r="J937"/>
      <c r="K937"/>
      <c r="L937"/>
      <c r="M937"/>
      <c r="N937"/>
      <c r="O937"/>
      <c r="P937"/>
      <c r="Q937"/>
    </row>
    <row r="938" spans="1:17" ht="15.6" x14ac:dyDescent="0.3">
      <c r="A938" s="48" t="s">
        <v>1734</v>
      </c>
      <c r="B938" s="48" t="s">
        <v>757</v>
      </c>
      <c r="C938" s="23" t="s">
        <v>911</v>
      </c>
      <c r="D938" s="56"/>
      <c r="E938" s="51"/>
      <c r="F938" s="56">
        <v>0</v>
      </c>
      <c r="G938" s="51">
        <v>1</v>
      </c>
      <c r="H938" s="56"/>
      <c r="I938" s="57"/>
      <c r="J938"/>
      <c r="K938"/>
      <c r="L938"/>
      <c r="M938"/>
      <c r="N938"/>
      <c r="O938"/>
      <c r="P938"/>
      <c r="Q938"/>
    </row>
    <row r="939" spans="1:17" ht="15.6" x14ac:dyDescent="0.3">
      <c r="A939" s="47" t="s">
        <v>1735</v>
      </c>
      <c r="B939" s="47" t="s">
        <v>758</v>
      </c>
      <c r="C939" s="19" t="s">
        <v>1918</v>
      </c>
      <c r="D939" s="53"/>
      <c r="E939" s="54"/>
      <c r="F939" s="53">
        <v>1</v>
      </c>
      <c r="G939" s="54">
        <v>0</v>
      </c>
      <c r="H939" s="53"/>
      <c r="I939" s="55"/>
      <c r="J939"/>
      <c r="K939"/>
      <c r="L939"/>
      <c r="M939"/>
      <c r="N939"/>
      <c r="O939"/>
      <c r="P939"/>
      <c r="Q939"/>
    </row>
    <row r="940" spans="1:17" ht="15.6" x14ac:dyDescent="0.3">
      <c r="A940" s="48" t="s">
        <v>1735</v>
      </c>
      <c r="B940" s="48" t="s">
        <v>758</v>
      </c>
      <c r="C940" s="23" t="s">
        <v>911</v>
      </c>
      <c r="D940" s="56"/>
      <c r="E940" s="51"/>
      <c r="F940" s="56">
        <v>0</v>
      </c>
      <c r="G940" s="51">
        <v>1</v>
      </c>
      <c r="H940" s="56"/>
      <c r="I940" s="57"/>
      <c r="J940"/>
      <c r="K940"/>
      <c r="L940"/>
      <c r="M940"/>
      <c r="N940"/>
      <c r="O940"/>
      <c r="P940"/>
      <c r="Q940"/>
    </row>
    <row r="941" spans="1:17" ht="15.6" x14ac:dyDescent="0.3">
      <c r="A941" s="47" t="s">
        <v>1736</v>
      </c>
      <c r="B941" s="47" t="s">
        <v>2492</v>
      </c>
      <c r="C941" s="19" t="s">
        <v>1918</v>
      </c>
      <c r="D941" s="53"/>
      <c r="E941" s="54"/>
      <c r="F941" s="53">
        <v>1</v>
      </c>
      <c r="G941" s="54">
        <v>0</v>
      </c>
      <c r="H941" s="53"/>
      <c r="I941" s="55"/>
      <c r="J941"/>
      <c r="K941"/>
      <c r="L941"/>
      <c r="M941"/>
      <c r="N941"/>
      <c r="O941"/>
      <c r="P941"/>
      <c r="Q941"/>
    </row>
    <row r="942" spans="1:17" ht="15.6" x14ac:dyDescent="0.3">
      <c r="A942" s="48" t="s">
        <v>1736</v>
      </c>
      <c r="B942" s="48" t="s">
        <v>2492</v>
      </c>
      <c r="C942" s="23" t="s">
        <v>911</v>
      </c>
      <c r="D942" s="56"/>
      <c r="E942" s="51"/>
      <c r="F942" s="56">
        <v>0</v>
      </c>
      <c r="G942" s="51">
        <v>1</v>
      </c>
      <c r="H942" s="56"/>
      <c r="I942" s="57"/>
      <c r="J942"/>
      <c r="K942"/>
      <c r="L942"/>
      <c r="M942"/>
      <c r="N942"/>
      <c r="O942"/>
      <c r="P942"/>
      <c r="Q942"/>
    </row>
    <row r="943" spans="1:17" ht="15.6" x14ac:dyDescent="0.3">
      <c r="A943" s="19" t="s">
        <v>1737</v>
      </c>
      <c r="B943" s="19" t="s">
        <v>759</v>
      </c>
      <c r="C943" s="19" t="s">
        <v>1918</v>
      </c>
      <c r="D943" s="53"/>
      <c r="E943" s="54"/>
      <c r="F943" s="53">
        <v>44</v>
      </c>
      <c r="G943" s="54">
        <v>0</v>
      </c>
      <c r="H943" s="53"/>
      <c r="I943" s="55"/>
      <c r="J943"/>
      <c r="K943"/>
      <c r="L943"/>
      <c r="M943"/>
      <c r="N943"/>
      <c r="O943"/>
      <c r="P943"/>
      <c r="Q943"/>
    </row>
    <row r="944" spans="1:17" ht="15.6" x14ac:dyDescent="0.3">
      <c r="A944" s="19" t="s">
        <v>1738</v>
      </c>
      <c r="B944" s="19" t="s">
        <v>760</v>
      </c>
      <c r="C944" s="19" t="s">
        <v>1918</v>
      </c>
      <c r="D944" s="53"/>
      <c r="E944" s="54"/>
      <c r="F944" s="53">
        <v>3</v>
      </c>
      <c r="G944" s="54">
        <v>0</v>
      </c>
      <c r="H944" s="53"/>
      <c r="I944" s="55"/>
      <c r="J944"/>
      <c r="K944"/>
      <c r="L944"/>
      <c r="M944"/>
      <c r="N944"/>
      <c r="O944"/>
      <c r="P944"/>
      <c r="Q944"/>
    </row>
    <row r="945" spans="1:17" ht="15.6" x14ac:dyDescent="0.3">
      <c r="A945" s="19" t="s">
        <v>1739</v>
      </c>
      <c r="B945" s="19" t="s">
        <v>761</v>
      </c>
      <c r="C945" s="19" t="s">
        <v>1918</v>
      </c>
      <c r="D945" s="53"/>
      <c r="E945" s="54"/>
      <c r="F945" s="53">
        <v>54</v>
      </c>
      <c r="G945" s="54">
        <v>0</v>
      </c>
      <c r="H945" s="53"/>
      <c r="I945" s="55"/>
      <c r="J945"/>
      <c r="K945"/>
      <c r="L945"/>
      <c r="M945"/>
      <c r="N945"/>
      <c r="O945"/>
      <c r="P945"/>
      <c r="Q945"/>
    </row>
    <row r="946" spans="1:17" ht="15.6" x14ac:dyDescent="0.3">
      <c r="A946" s="19" t="s">
        <v>1740</v>
      </c>
      <c r="B946" s="19" t="s">
        <v>762</v>
      </c>
      <c r="C946" s="19" t="s">
        <v>1918</v>
      </c>
      <c r="D946" s="53"/>
      <c r="E946" s="54"/>
      <c r="F946" s="53">
        <v>54</v>
      </c>
      <c r="G946" s="54">
        <v>0</v>
      </c>
      <c r="H946" s="53"/>
      <c r="I946" s="55"/>
      <c r="J946"/>
      <c r="K946"/>
      <c r="L946"/>
      <c r="M946"/>
      <c r="N946"/>
      <c r="O946"/>
      <c r="P946"/>
      <c r="Q946"/>
    </row>
    <row r="947" spans="1:17" ht="15.6" x14ac:dyDescent="0.3">
      <c r="A947" s="19" t="s">
        <v>1741</v>
      </c>
      <c r="B947" s="19" t="s">
        <v>763</v>
      </c>
      <c r="C947" s="19" t="s">
        <v>1918</v>
      </c>
      <c r="D947" s="53"/>
      <c r="E947" s="54"/>
      <c r="F947" s="53">
        <v>11</v>
      </c>
      <c r="G947" s="54">
        <v>0</v>
      </c>
      <c r="H947" s="53"/>
      <c r="I947" s="55"/>
      <c r="J947"/>
      <c r="K947"/>
      <c r="L947"/>
      <c r="M947"/>
      <c r="N947"/>
      <c r="O947"/>
      <c r="P947"/>
      <c r="Q947"/>
    </row>
    <row r="948" spans="1:17" ht="15.6" x14ac:dyDescent="0.3">
      <c r="A948" s="19" t="s">
        <v>1742</v>
      </c>
      <c r="B948" s="19" t="s">
        <v>764</v>
      </c>
      <c r="C948" s="19" t="s">
        <v>1918</v>
      </c>
      <c r="D948" s="53"/>
      <c r="E948" s="54"/>
      <c r="F948" s="53">
        <v>2</v>
      </c>
      <c r="G948" s="54">
        <v>0</v>
      </c>
      <c r="H948" s="53"/>
      <c r="I948" s="55"/>
      <c r="J948"/>
      <c r="K948"/>
      <c r="L948"/>
      <c r="M948"/>
      <c r="N948"/>
      <c r="O948"/>
      <c r="P948"/>
      <c r="Q948"/>
    </row>
    <row r="949" spans="1:17" ht="15.6" x14ac:dyDescent="0.3">
      <c r="A949" s="19" t="s">
        <v>1743</v>
      </c>
      <c r="B949" s="19" t="s">
        <v>765</v>
      </c>
      <c r="C949" s="19" t="s">
        <v>1918</v>
      </c>
      <c r="D949" s="53"/>
      <c r="E949" s="54"/>
      <c r="F949" s="53">
        <v>3</v>
      </c>
      <c r="G949" s="54">
        <v>0</v>
      </c>
      <c r="H949" s="53"/>
      <c r="I949" s="55"/>
      <c r="J949"/>
      <c r="K949"/>
      <c r="L949"/>
      <c r="M949"/>
      <c r="N949"/>
      <c r="O949"/>
      <c r="P949"/>
      <c r="Q949"/>
    </row>
    <row r="950" spans="1:17" ht="15.6" x14ac:dyDescent="0.3">
      <c r="A950" s="19" t="s">
        <v>1744</v>
      </c>
      <c r="B950" s="19" t="s">
        <v>2337</v>
      </c>
      <c r="C950" s="19" t="s">
        <v>1918</v>
      </c>
      <c r="D950" s="53"/>
      <c r="E950" s="54"/>
      <c r="F950" s="53">
        <v>93</v>
      </c>
      <c r="G950" s="54">
        <v>0</v>
      </c>
      <c r="H950" s="53"/>
      <c r="I950" s="55"/>
      <c r="J950"/>
      <c r="K950"/>
      <c r="L950"/>
      <c r="M950"/>
      <c r="N950"/>
      <c r="O950"/>
      <c r="P950"/>
      <c r="Q950"/>
    </row>
    <row r="951" spans="1:17" ht="15.6" x14ac:dyDescent="0.3">
      <c r="A951" s="19" t="s">
        <v>1745</v>
      </c>
      <c r="B951" s="19" t="s">
        <v>766</v>
      </c>
      <c r="C951" s="19" t="s">
        <v>1918</v>
      </c>
      <c r="D951" s="53"/>
      <c r="E951" s="54"/>
      <c r="F951" s="53">
        <v>94</v>
      </c>
      <c r="G951" s="54">
        <v>0</v>
      </c>
      <c r="H951" s="53"/>
      <c r="I951" s="55"/>
      <c r="J951"/>
      <c r="K951"/>
      <c r="L951"/>
      <c r="M951"/>
      <c r="N951"/>
      <c r="O951"/>
      <c r="P951"/>
      <c r="Q951"/>
    </row>
    <row r="952" spans="1:17" ht="15.6" x14ac:dyDescent="0.3">
      <c r="A952" s="19" t="s">
        <v>1746</v>
      </c>
      <c r="B952" s="19" t="s">
        <v>767</v>
      </c>
      <c r="C952" s="19" t="s">
        <v>1918</v>
      </c>
      <c r="D952" s="53"/>
      <c r="E952" s="54"/>
      <c r="F952" s="53">
        <v>10</v>
      </c>
      <c r="G952" s="54">
        <v>0</v>
      </c>
      <c r="H952" s="53"/>
      <c r="I952" s="55"/>
      <c r="J952"/>
      <c r="K952"/>
      <c r="L952"/>
      <c r="M952"/>
      <c r="N952"/>
      <c r="O952"/>
      <c r="P952"/>
      <c r="Q952"/>
    </row>
    <row r="953" spans="1:17" ht="15.6" x14ac:dyDescent="0.3">
      <c r="A953" s="19" t="s">
        <v>1747</v>
      </c>
      <c r="B953" s="19" t="s">
        <v>768</v>
      </c>
      <c r="C953" s="19" t="s">
        <v>1918</v>
      </c>
      <c r="D953" s="53"/>
      <c r="E953" s="54"/>
      <c r="F953" s="53">
        <v>14</v>
      </c>
      <c r="G953" s="54">
        <v>0</v>
      </c>
      <c r="H953" s="53"/>
      <c r="I953" s="55"/>
      <c r="J953"/>
      <c r="K953"/>
      <c r="L953"/>
      <c r="M953"/>
      <c r="N953"/>
      <c r="O953"/>
      <c r="P953"/>
      <c r="Q953"/>
    </row>
    <row r="954" spans="1:17" ht="15.6" x14ac:dyDescent="0.3">
      <c r="A954" s="19" t="s">
        <v>1748</v>
      </c>
      <c r="B954" s="19" t="s">
        <v>769</v>
      </c>
      <c r="C954" s="19" t="s">
        <v>1918</v>
      </c>
      <c r="D954" s="53"/>
      <c r="E954" s="54"/>
      <c r="F954" s="53">
        <v>6</v>
      </c>
      <c r="G954" s="54">
        <v>0</v>
      </c>
      <c r="H954" s="53"/>
      <c r="I954" s="55"/>
      <c r="J954"/>
      <c r="K954"/>
      <c r="L954"/>
      <c r="M954"/>
      <c r="N954"/>
      <c r="O954"/>
      <c r="P954"/>
      <c r="Q954"/>
    </row>
    <row r="955" spans="1:17" ht="15.6" x14ac:dyDescent="0.3">
      <c r="A955" s="19" t="s">
        <v>1749</v>
      </c>
      <c r="B955" s="19" t="s">
        <v>770</v>
      </c>
      <c r="C955" s="19" t="s">
        <v>1918</v>
      </c>
      <c r="D955" s="53"/>
      <c r="E955" s="54"/>
      <c r="F955" s="53">
        <v>2</v>
      </c>
      <c r="G955" s="54">
        <v>0</v>
      </c>
      <c r="H955" s="53"/>
      <c r="I955" s="55"/>
      <c r="J955"/>
      <c r="K955"/>
      <c r="L955"/>
      <c r="M955"/>
      <c r="N955"/>
      <c r="O955"/>
      <c r="P955"/>
      <c r="Q955"/>
    </row>
    <row r="956" spans="1:17" ht="15.6" x14ac:dyDescent="0.3">
      <c r="A956" s="19" t="s">
        <v>1750</v>
      </c>
      <c r="B956" s="19" t="s">
        <v>771</v>
      </c>
      <c r="C956" s="19" t="s">
        <v>1918</v>
      </c>
      <c r="D956" s="53"/>
      <c r="E956" s="54"/>
      <c r="F956" s="53">
        <v>3</v>
      </c>
      <c r="G956" s="54">
        <v>0</v>
      </c>
      <c r="H956" s="53"/>
      <c r="I956" s="55"/>
      <c r="J956"/>
      <c r="K956"/>
      <c r="L956"/>
      <c r="M956"/>
      <c r="N956"/>
      <c r="O956"/>
      <c r="P956"/>
      <c r="Q956"/>
    </row>
    <row r="957" spans="1:17" ht="15.6" x14ac:dyDescent="0.3">
      <c r="A957" s="19" t="s">
        <v>1751</v>
      </c>
      <c r="B957" s="19" t="s">
        <v>772</v>
      </c>
      <c r="C957" s="19" t="s">
        <v>1918</v>
      </c>
      <c r="D957" s="53"/>
      <c r="E957" s="54"/>
      <c r="F957" s="53">
        <v>1</v>
      </c>
      <c r="G957" s="54">
        <v>0</v>
      </c>
      <c r="H957" s="53"/>
      <c r="I957" s="55"/>
      <c r="J957"/>
      <c r="K957"/>
      <c r="L957"/>
      <c r="M957"/>
      <c r="N957"/>
      <c r="O957"/>
      <c r="P957"/>
      <c r="Q957"/>
    </row>
    <row r="958" spans="1:17" ht="15.6" x14ac:dyDescent="0.3">
      <c r="A958" s="19" t="s">
        <v>1752</v>
      </c>
      <c r="B958" s="19" t="s">
        <v>2493</v>
      </c>
      <c r="C958" s="19" t="s">
        <v>1918</v>
      </c>
      <c r="D958" s="53"/>
      <c r="E958" s="54"/>
      <c r="F958" s="53">
        <v>2</v>
      </c>
      <c r="G958" s="54">
        <v>0</v>
      </c>
      <c r="H958" s="53"/>
      <c r="I958" s="55"/>
      <c r="J958"/>
      <c r="K958"/>
      <c r="L958"/>
      <c r="M958"/>
      <c r="N958"/>
      <c r="O958"/>
      <c r="P958"/>
      <c r="Q958"/>
    </row>
    <row r="959" spans="1:17" ht="15.6" x14ac:dyDescent="0.3">
      <c r="A959" s="19" t="s">
        <v>1753</v>
      </c>
      <c r="B959" s="19" t="s">
        <v>773</v>
      </c>
      <c r="C959" s="19" t="s">
        <v>1918</v>
      </c>
      <c r="D959" s="53"/>
      <c r="E959" s="54"/>
      <c r="F959" s="53">
        <v>1</v>
      </c>
      <c r="G959" s="54">
        <v>0</v>
      </c>
      <c r="H959" s="53"/>
      <c r="I959" s="55"/>
      <c r="J959"/>
      <c r="K959"/>
      <c r="L959"/>
      <c r="M959"/>
      <c r="N959"/>
      <c r="O959"/>
      <c r="P959"/>
      <c r="Q959"/>
    </row>
    <row r="960" spans="1:17" ht="15.6" x14ac:dyDescent="0.3">
      <c r="A960" s="19" t="s">
        <v>1754</v>
      </c>
      <c r="B960" s="19" t="s">
        <v>774</v>
      </c>
      <c r="C960" s="19" t="s">
        <v>1918</v>
      </c>
      <c r="D960" s="53"/>
      <c r="E960" s="54"/>
      <c r="F960" s="53">
        <v>2</v>
      </c>
      <c r="G960" s="54">
        <v>0</v>
      </c>
      <c r="H960" s="53"/>
      <c r="I960" s="55"/>
      <c r="J960"/>
      <c r="K960"/>
      <c r="L960"/>
      <c r="M960"/>
      <c r="N960"/>
      <c r="O960"/>
      <c r="P960"/>
      <c r="Q960"/>
    </row>
    <row r="961" spans="1:17" ht="15.6" x14ac:dyDescent="0.3">
      <c r="A961" s="19" t="s">
        <v>1755</v>
      </c>
      <c r="B961" s="19" t="s">
        <v>775</v>
      </c>
      <c r="C961" s="19" t="s">
        <v>1918</v>
      </c>
      <c r="D961" s="53"/>
      <c r="E961" s="54"/>
      <c r="F961" s="53">
        <v>3</v>
      </c>
      <c r="G961" s="54">
        <v>0</v>
      </c>
      <c r="H961" s="53"/>
      <c r="I961" s="55"/>
      <c r="J961"/>
      <c r="K961"/>
      <c r="L961"/>
      <c r="M961"/>
      <c r="N961"/>
      <c r="O961"/>
      <c r="P961"/>
      <c r="Q961"/>
    </row>
    <row r="962" spans="1:17" ht="15.6" x14ac:dyDescent="0.3">
      <c r="A962" s="19" t="s">
        <v>1756</v>
      </c>
      <c r="B962" s="19" t="s">
        <v>776</v>
      </c>
      <c r="C962" s="19" t="s">
        <v>1918</v>
      </c>
      <c r="D962" s="53"/>
      <c r="E962" s="54"/>
      <c r="F962" s="53">
        <v>1</v>
      </c>
      <c r="G962" s="54">
        <v>0</v>
      </c>
      <c r="H962" s="53"/>
      <c r="I962" s="55"/>
      <c r="J962"/>
      <c r="K962"/>
      <c r="L962"/>
      <c r="M962"/>
      <c r="N962"/>
      <c r="O962"/>
      <c r="P962"/>
      <c r="Q962"/>
    </row>
    <row r="963" spans="1:17" ht="15.6" x14ac:dyDescent="0.3">
      <c r="A963" s="19" t="s">
        <v>1757</v>
      </c>
      <c r="B963" s="19" t="s">
        <v>777</v>
      </c>
      <c r="C963" s="19" t="s">
        <v>1918</v>
      </c>
      <c r="D963" s="53"/>
      <c r="E963" s="54"/>
      <c r="F963" s="53">
        <v>140</v>
      </c>
      <c r="G963" s="54">
        <v>0</v>
      </c>
      <c r="H963" s="53"/>
      <c r="I963" s="55"/>
      <c r="J963"/>
      <c r="K963"/>
      <c r="L963"/>
      <c r="M963"/>
      <c r="N963"/>
      <c r="O963"/>
      <c r="P963"/>
      <c r="Q963"/>
    </row>
    <row r="964" spans="1:17" ht="15.6" x14ac:dyDescent="0.3">
      <c r="A964" s="19" t="s">
        <v>1758</v>
      </c>
      <c r="B964" s="19" t="s">
        <v>778</v>
      </c>
      <c r="C964" s="19" t="s">
        <v>1918</v>
      </c>
      <c r="D964" s="53"/>
      <c r="E964" s="54"/>
      <c r="F964" s="53">
        <v>85</v>
      </c>
      <c r="G964" s="54">
        <v>0</v>
      </c>
      <c r="H964" s="53"/>
      <c r="I964" s="55"/>
      <c r="J964"/>
      <c r="K964"/>
      <c r="L964"/>
      <c r="M964"/>
      <c r="N964"/>
      <c r="O964"/>
      <c r="P964"/>
      <c r="Q964"/>
    </row>
    <row r="965" spans="1:17" ht="15.6" x14ac:dyDescent="0.3">
      <c r="A965" s="19" t="s">
        <v>1759</v>
      </c>
      <c r="B965" s="19" t="s">
        <v>779</v>
      </c>
      <c r="C965" s="19" t="s">
        <v>1918</v>
      </c>
      <c r="D965" s="53"/>
      <c r="E965" s="54"/>
      <c r="F965" s="53">
        <v>4</v>
      </c>
      <c r="G965" s="54">
        <v>0</v>
      </c>
      <c r="H965" s="53"/>
      <c r="I965" s="55"/>
      <c r="J965"/>
      <c r="K965"/>
      <c r="L965"/>
      <c r="M965"/>
      <c r="N965"/>
      <c r="O965"/>
      <c r="P965"/>
      <c r="Q965"/>
    </row>
    <row r="966" spans="1:17" ht="15.6" x14ac:dyDescent="0.3">
      <c r="A966" s="19" t="s">
        <v>1760</v>
      </c>
      <c r="B966" s="19" t="s">
        <v>780</v>
      </c>
      <c r="C966" s="19" t="s">
        <v>1918</v>
      </c>
      <c r="D966" s="53"/>
      <c r="E966" s="54"/>
      <c r="F966" s="53">
        <v>7</v>
      </c>
      <c r="G966" s="54">
        <v>0</v>
      </c>
      <c r="H966" s="53"/>
      <c r="I966" s="55"/>
      <c r="J966"/>
      <c r="K966"/>
      <c r="L966"/>
      <c r="M966"/>
      <c r="N966"/>
      <c r="O966"/>
      <c r="P966"/>
      <c r="Q966"/>
    </row>
    <row r="967" spans="1:17" ht="15.6" x14ac:dyDescent="0.3">
      <c r="A967" s="19" t="s">
        <v>1761</v>
      </c>
      <c r="B967" s="19" t="s">
        <v>781</v>
      </c>
      <c r="C967" s="19" t="s">
        <v>1918</v>
      </c>
      <c r="D967" s="53"/>
      <c r="E967" s="54"/>
      <c r="F967" s="53">
        <v>2</v>
      </c>
      <c r="G967" s="54">
        <v>0</v>
      </c>
      <c r="H967" s="53"/>
      <c r="I967" s="55"/>
      <c r="J967"/>
      <c r="K967"/>
      <c r="L967"/>
      <c r="M967"/>
      <c r="N967"/>
      <c r="O967"/>
      <c r="P967"/>
      <c r="Q967"/>
    </row>
    <row r="968" spans="1:17" ht="15.6" x14ac:dyDescent="0.3">
      <c r="A968" s="47" t="s">
        <v>1762</v>
      </c>
      <c r="B968" s="47" t="s">
        <v>782</v>
      </c>
      <c r="C968" s="19" t="s">
        <v>1918</v>
      </c>
      <c r="D968" s="53"/>
      <c r="E968" s="54"/>
      <c r="F968" s="53">
        <v>1</v>
      </c>
      <c r="G968" s="54">
        <v>0</v>
      </c>
      <c r="H968" s="53"/>
      <c r="I968" s="55"/>
      <c r="J968"/>
      <c r="K968"/>
      <c r="L968"/>
      <c r="M968"/>
      <c r="N968"/>
      <c r="O968"/>
      <c r="P968"/>
      <c r="Q968"/>
    </row>
    <row r="969" spans="1:17" ht="15.6" x14ac:dyDescent="0.3">
      <c r="A969" s="48" t="s">
        <v>1762</v>
      </c>
      <c r="B969" s="48" t="s">
        <v>782</v>
      </c>
      <c r="C969" s="23" t="s">
        <v>911</v>
      </c>
      <c r="D969" s="56"/>
      <c r="E969" s="51"/>
      <c r="F969" s="56">
        <v>0</v>
      </c>
      <c r="G969" s="51">
        <v>1</v>
      </c>
      <c r="H969" s="56"/>
      <c r="I969" s="57"/>
      <c r="J969"/>
      <c r="K969"/>
      <c r="L969"/>
      <c r="M969"/>
      <c r="N969"/>
      <c r="O969"/>
      <c r="P969"/>
      <c r="Q969"/>
    </row>
    <row r="970" spans="1:17" ht="28.8" x14ac:dyDescent="0.3">
      <c r="A970" s="19" t="s">
        <v>1763</v>
      </c>
      <c r="B970" s="19" t="s">
        <v>783</v>
      </c>
      <c r="C970" s="19" t="s">
        <v>1918</v>
      </c>
      <c r="D970" s="53"/>
      <c r="E970" s="54"/>
      <c r="F970" s="53">
        <v>1</v>
      </c>
      <c r="G970" s="54">
        <v>0</v>
      </c>
      <c r="H970" s="53"/>
      <c r="I970" s="55"/>
      <c r="J970"/>
      <c r="K970"/>
      <c r="L970"/>
      <c r="M970"/>
      <c r="N970"/>
      <c r="O970"/>
      <c r="P970"/>
      <c r="Q970"/>
    </row>
    <row r="971" spans="1:17" ht="28.8" x14ac:dyDescent="0.3">
      <c r="A971" s="19" t="s">
        <v>1764</v>
      </c>
      <c r="B971" s="19" t="s">
        <v>784</v>
      </c>
      <c r="C971" s="19" t="s">
        <v>1918</v>
      </c>
      <c r="D971" s="53"/>
      <c r="E971" s="54"/>
      <c r="F971" s="53">
        <v>1</v>
      </c>
      <c r="G971" s="54">
        <v>0</v>
      </c>
      <c r="H971" s="53"/>
      <c r="I971" s="55"/>
      <c r="J971"/>
      <c r="K971"/>
      <c r="L971"/>
      <c r="M971"/>
      <c r="N971"/>
      <c r="O971"/>
      <c r="P971"/>
      <c r="Q971"/>
    </row>
    <row r="972" spans="1:17" ht="28.8" x14ac:dyDescent="0.3">
      <c r="A972" s="19" t="s">
        <v>1765</v>
      </c>
      <c r="B972" s="19" t="s">
        <v>785</v>
      </c>
      <c r="C972" s="19" t="s">
        <v>1918</v>
      </c>
      <c r="D972" s="53"/>
      <c r="E972" s="54"/>
      <c r="F972" s="53">
        <v>1</v>
      </c>
      <c r="G972" s="54">
        <v>0</v>
      </c>
      <c r="H972" s="53"/>
      <c r="I972" s="55"/>
      <c r="J972"/>
      <c r="K972"/>
      <c r="L972"/>
      <c r="M972"/>
      <c r="N972"/>
      <c r="O972"/>
      <c r="P972"/>
      <c r="Q972"/>
    </row>
    <row r="973" spans="1:17" ht="28.8" x14ac:dyDescent="0.3">
      <c r="A973" s="19" t="s">
        <v>1766</v>
      </c>
      <c r="B973" s="19" t="s">
        <v>786</v>
      </c>
      <c r="C973" s="19" t="s">
        <v>1918</v>
      </c>
      <c r="D973" s="53"/>
      <c r="E973" s="54"/>
      <c r="F973" s="53">
        <v>1</v>
      </c>
      <c r="G973" s="54">
        <v>0</v>
      </c>
      <c r="H973" s="53"/>
      <c r="I973" s="55"/>
    </row>
    <row r="974" spans="1:17" ht="28.8" x14ac:dyDescent="0.3">
      <c r="A974" s="19" t="s">
        <v>1767</v>
      </c>
      <c r="B974" s="19" t="s">
        <v>2494</v>
      </c>
      <c r="C974" s="19" t="s">
        <v>1918</v>
      </c>
      <c r="D974" s="53"/>
      <c r="E974" s="54"/>
      <c r="F974" s="53">
        <v>2</v>
      </c>
      <c r="G974" s="54">
        <v>0</v>
      </c>
      <c r="H974" s="53"/>
      <c r="I974" s="55"/>
    </row>
    <row r="975" spans="1:17" ht="15.6" x14ac:dyDescent="0.3">
      <c r="A975" s="19" t="s">
        <v>1768</v>
      </c>
      <c r="B975" s="19" t="s">
        <v>787</v>
      </c>
      <c r="C975" s="19" t="s">
        <v>1918</v>
      </c>
      <c r="D975" s="53"/>
      <c r="E975" s="54"/>
      <c r="F975" s="53">
        <v>1</v>
      </c>
      <c r="G975" s="54">
        <v>0</v>
      </c>
      <c r="H975" s="53"/>
      <c r="I975" s="55"/>
    </row>
    <row r="976" spans="1:17" ht="15.6" x14ac:dyDescent="0.3">
      <c r="A976" s="19" t="s">
        <v>1769</v>
      </c>
      <c r="B976" s="19" t="s">
        <v>788</v>
      </c>
      <c r="C976" s="19" t="s">
        <v>1918</v>
      </c>
      <c r="D976" s="53"/>
      <c r="E976" s="54"/>
      <c r="F976" s="53">
        <v>2</v>
      </c>
      <c r="G976" s="54">
        <v>0</v>
      </c>
      <c r="H976" s="53"/>
      <c r="I976" s="55"/>
    </row>
    <row r="977" spans="1:9" ht="15.6" x14ac:dyDescent="0.3">
      <c r="A977" s="19" t="s">
        <v>1770</v>
      </c>
      <c r="B977" s="19" t="s">
        <v>2495</v>
      </c>
      <c r="C977" s="19" t="s">
        <v>1918</v>
      </c>
      <c r="D977" s="53"/>
      <c r="E977" s="54"/>
      <c r="F977" s="53">
        <v>1</v>
      </c>
      <c r="G977" s="54">
        <v>0</v>
      </c>
      <c r="H977" s="53"/>
      <c r="I977" s="55"/>
    </row>
    <row r="978" spans="1:9" ht="15.6" x14ac:dyDescent="0.3">
      <c r="A978" s="47" t="s">
        <v>1771</v>
      </c>
      <c r="B978" s="47" t="s">
        <v>2496</v>
      </c>
      <c r="C978" s="19" t="s">
        <v>903</v>
      </c>
      <c r="D978" s="53"/>
      <c r="E978" s="54"/>
      <c r="F978" s="53"/>
      <c r="G978" s="54"/>
      <c r="H978" s="53">
        <v>7</v>
      </c>
      <c r="I978" s="55">
        <v>0</v>
      </c>
    </row>
    <row r="979" spans="1:9" ht="15.6" x14ac:dyDescent="0.3">
      <c r="A979" s="48" t="s">
        <v>1771</v>
      </c>
      <c r="B979" s="48" t="s">
        <v>2496</v>
      </c>
      <c r="C979" s="23" t="s">
        <v>1918</v>
      </c>
      <c r="D979" s="56"/>
      <c r="E979" s="51"/>
      <c r="F979" s="56">
        <v>7</v>
      </c>
      <c r="G979" s="51">
        <v>0</v>
      </c>
      <c r="H979" s="56"/>
      <c r="I979" s="57"/>
    </row>
    <row r="980" spans="1:9" ht="15.6" x14ac:dyDescent="0.3">
      <c r="A980" s="48" t="s">
        <v>1771</v>
      </c>
      <c r="B980" s="48" t="s">
        <v>2496</v>
      </c>
      <c r="C980" s="23" t="s">
        <v>904</v>
      </c>
      <c r="D980" s="56"/>
      <c r="E980" s="51"/>
      <c r="F980" s="56">
        <v>0</v>
      </c>
      <c r="G980" s="51">
        <v>7</v>
      </c>
      <c r="H980" s="56"/>
      <c r="I980" s="57"/>
    </row>
    <row r="981" spans="1:9" ht="15.6" x14ac:dyDescent="0.3">
      <c r="A981" s="19" t="s">
        <v>1772</v>
      </c>
      <c r="B981" s="19" t="s">
        <v>789</v>
      </c>
      <c r="C981" s="19" t="s">
        <v>1918</v>
      </c>
      <c r="D981" s="53"/>
      <c r="E981" s="54"/>
      <c r="F981" s="53">
        <v>2</v>
      </c>
      <c r="G981" s="54">
        <v>0</v>
      </c>
      <c r="H981" s="53"/>
      <c r="I981" s="55"/>
    </row>
    <row r="982" spans="1:9" ht="15.6" x14ac:dyDescent="0.3">
      <c r="A982" s="19" t="s">
        <v>1773</v>
      </c>
      <c r="B982" s="19" t="s">
        <v>790</v>
      </c>
      <c r="C982" s="19" t="s">
        <v>1918</v>
      </c>
      <c r="D982" s="53"/>
      <c r="E982" s="54"/>
      <c r="F982" s="53">
        <v>44</v>
      </c>
      <c r="G982" s="54">
        <v>0</v>
      </c>
      <c r="H982" s="53"/>
      <c r="I982" s="55"/>
    </row>
    <row r="983" spans="1:9" ht="15.6" x14ac:dyDescent="0.3">
      <c r="A983" s="19" t="s">
        <v>1774</v>
      </c>
      <c r="B983" s="19" t="s">
        <v>791</v>
      </c>
      <c r="C983" s="19" t="s">
        <v>1918</v>
      </c>
      <c r="D983" s="53"/>
      <c r="E983" s="54"/>
      <c r="F983" s="53">
        <v>18</v>
      </c>
      <c r="G983" s="54">
        <v>0</v>
      </c>
      <c r="H983" s="53"/>
      <c r="I983" s="55"/>
    </row>
    <row r="984" spans="1:9" ht="15.6" x14ac:dyDescent="0.3">
      <c r="A984" s="19" t="s">
        <v>1775</v>
      </c>
      <c r="B984" s="19" t="s">
        <v>792</v>
      </c>
      <c r="C984" s="19" t="s">
        <v>1918</v>
      </c>
      <c r="D984" s="53"/>
      <c r="E984" s="54"/>
      <c r="F984" s="53">
        <v>44</v>
      </c>
      <c r="G984" s="54">
        <v>0</v>
      </c>
      <c r="H984" s="53"/>
      <c r="I984" s="55"/>
    </row>
    <row r="985" spans="1:9" ht="15.6" x14ac:dyDescent="0.3">
      <c r="A985" s="19" t="s">
        <v>1776</v>
      </c>
      <c r="B985" s="19" t="s">
        <v>793</v>
      </c>
      <c r="C985" s="19" t="s">
        <v>1918</v>
      </c>
      <c r="D985" s="53"/>
      <c r="E985" s="54"/>
      <c r="F985" s="53">
        <v>12</v>
      </c>
      <c r="G985" s="54">
        <v>0</v>
      </c>
      <c r="H985" s="53"/>
      <c r="I985" s="55"/>
    </row>
    <row r="986" spans="1:9" ht="15.6" x14ac:dyDescent="0.3">
      <c r="A986" s="19" t="s">
        <v>1777</v>
      </c>
      <c r="B986" s="19" t="s">
        <v>794</v>
      </c>
      <c r="C986" s="19" t="s">
        <v>1918</v>
      </c>
      <c r="D986" s="53"/>
      <c r="E986" s="54"/>
      <c r="F986" s="53">
        <v>4</v>
      </c>
      <c r="G986" s="54">
        <v>0</v>
      </c>
      <c r="H986" s="53"/>
      <c r="I986" s="55"/>
    </row>
    <row r="987" spans="1:9" ht="15.6" x14ac:dyDescent="0.3">
      <c r="A987" s="47" t="s">
        <v>1778</v>
      </c>
      <c r="B987" s="47" t="s">
        <v>795</v>
      </c>
      <c r="C987" s="19" t="s">
        <v>903</v>
      </c>
      <c r="D987" s="53"/>
      <c r="E987" s="54"/>
      <c r="F987" s="53"/>
      <c r="G987" s="54"/>
      <c r="H987" s="53">
        <v>5</v>
      </c>
      <c r="I987" s="55">
        <v>0</v>
      </c>
    </row>
    <row r="988" spans="1:9" ht="15.6" x14ac:dyDescent="0.3">
      <c r="A988" s="48" t="s">
        <v>1778</v>
      </c>
      <c r="B988" s="48" t="s">
        <v>795</v>
      </c>
      <c r="C988" s="23" t="s">
        <v>1918</v>
      </c>
      <c r="D988" s="56"/>
      <c r="E988" s="51"/>
      <c r="F988" s="56">
        <v>9</v>
      </c>
      <c r="G988" s="51">
        <v>0</v>
      </c>
      <c r="H988" s="56"/>
      <c r="I988" s="57"/>
    </row>
    <row r="989" spans="1:9" ht="15.6" x14ac:dyDescent="0.3">
      <c r="A989" s="48" t="s">
        <v>1778</v>
      </c>
      <c r="B989" s="48" t="s">
        <v>795</v>
      </c>
      <c r="C989" s="23" t="s">
        <v>904</v>
      </c>
      <c r="D989" s="56"/>
      <c r="E989" s="51"/>
      <c r="F989" s="56">
        <v>0</v>
      </c>
      <c r="G989" s="51">
        <v>5</v>
      </c>
      <c r="H989" s="56"/>
      <c r="I989" s="57"/>
    </row>
    <row r="990" spans="1:9" ht="15.6" x14ac:dyDescent="0.3">
      <c r="A990" s="19" t="s">
        <v>1779</v>
      </c>
      <c r="B990" s="19" t="s">
        <v>796</v>
      </c>
      <c r="C990" s="19" t="s">
        <v>1918</v>
      </c>
      <c r="D990" s="53"/>
      <c r="E990" s="54"/>
      <c r="F990" s="53">
        <v>100</v>
      </c>
      <c r="G990" s="54">
        <v>0</v>
      </c>
      <c r="H990" s="53"/>
      <c r="I990" s="55"/>
    </row>
    <row r="991" spans="1:9" ht="15.6" x14ac:dyDescent="0.3">
      <c r="A991" s="19" t="s">
        <v>1780</v>
      </c>
      <c r="B991" s="19" t="s">
        <v>797</v>
      </c>
      <c r="C991" s="19" t="s">
        <v>1918</v>
      </c>
      <c r="D991" s="53"/>
      <c r="E991" s="54"/>
      <c r="F991" s="53">
        <v>8</v>
      </c>
      <c r="G991" s="54">
        <v>0</v>
      </c>
      <c r="H991" s="53"/>
      <c r="I991" s="55"/>
    </row>
    <row r="992" spans="1:9" ht="15.6" x14ac:dyDescent="0.3">
      <c r="A992" s="19" t="s">
        <v>1781</v>
      </c>
      <c r="B992" s="19" t="s">
        <v>798</v>
      </c>
      <c r="C992" s="19" t="s">
        <v>1918</v>
      </c>
      <c r="D992" s="53"/>
      <c r="E992" s="54"/>
      <c r="F992" s="53">
        <v>14</v>
      </c>
      <c r="G992" s="54">
        <v>0</v>
      </c>
      <c r="H992" s="53"/>
      <c r="I992" s="55"/>
    </row>
    <row r="993" spans="1:9" ht="15.6" x14ac:dyDescent="0.3">
      <c r="A993" s="19" t="s">
        <v>1782</v>
      </c>
      <c r="B993" s="19" t="s">
        <v>799</v>
      </c>
      <c r="C993" s="19" t="s">
        <v>1918</v>
      </c>
      <c r="D993" s="53"/>
      <c r="E993" s="54"/>
      <c r="F993" s="53">
        <v>7</v>
      </c>
      <c r="G993" s="54">
        <v>0</v>
      </c>
      <c r="H993" s="53"/>
      <c r="I993" s="55"/>
    </row>
    <row r="994" spans="1:9" ht="15.6" x14ac:dyDescent="0.3">
      <c r="A994" s="19" t="s">
        <v>1783</v>
      </c>
      <c r="B994" s="19" t="s">
        <v>800</v>
      </c>
      <c r="C994" s="19" t="s">
        <v>1918</v>
      </c>
      <c r="D994" s="53"/>
      <c r="E994" s="54"/>
      <c r="F994" s="53">
        <v>1</v>
      </c>
      <c r="G994" s="54">
        <v>0</v>
      </c>
      <c r="H994" s="53"/>
      <c r="I994" s="55"/>
    </row>
    <row r="995" spans="1:9" ht="15.6" x14ac:dyDescent="0.3">
      <c r="A995" s="19" t="s">
        <v>1784</v>
      </c>
      <c r="B995" s="19" t="s">
        <v>801</v>
      </c>
      <c r="C995" s="19" t="s">
        <v>1918</v>
      </c>
      <c r="D995" s="53"/>
      <c r="E995" s="54"/>
      <c r="F995" s="53">
        <v>1</v>
      </c>
      <c r="G995" s="54">
        <v>0</v>
      </c>
      <c r="H995" s="53"/>
      <c r="I995" s="55"/>
    </row>
    <row r="996" spans="1:9" ht="15.6" x14ac:dyDescent="0.3">
      <c r="A996" s="19" t="s">
        <v>1785</v>
      </c>
      <c r="B996" s="19" t="s">
        <v>2497</v>
      </c>
      <c r="C996" s="19" t="s">
        <v>1918</v>
      </c>
      <c r="D996" s="53"/>
      <c r="E996" s="54"/>
      <c r="F996" s="53">
        <v>9</v>
      </c>
      <c r="G996" s="54">
        <v>0</v>
      </c>
      <c r="H996" s="53"/>
      <c r="I996" s="55"/>
    </row>
    <row r="997" spans="1:9" ht="15.6" x14ac:dyDescent="0.3">
      <c r="A997" s="19" t="s">
        <v>1786</v>
      </c>
      <c r="B997" s="19" t="s">
        <v>2345</v>
      </c>
      <c r="C997" s="19" t="s">
        <v>1918</v>
      </c>
      <c r="D997" s="53"/>
      <c r="E997" s="54"/>
      <c r="F997" s="53">
        <v>1</v>
      </c>
      <c r="G997" s="54">
        <v>0</v>
      </c>
      <c r="H997" s="53"/>
      <c r="I997" s="55"/>
    </row>
    <row r="998" spans="1:9" ht="15.6" x14ac:dyDescent="0.3">
      <c r="A998" s="47" t="s">
        <v>1787</v>
      </c>
      <c r="B998" s="47" t="s">
        <v>802</v>
      </c>
      <c r="C998" s="19" t="s">
        <v>1918</v>
      </c>
      <c r="D998" s="53"/>
      <c r="E998" s="54"/>
      <c r="F998" s="53">
        <v>1</v>
      </c>
      <c r="G998" s="54">
        <v>0</v>
      </c>
      <c r="H998" s="53"/>
      <c r="I998" s="55"/>
    </row>
    <row r="999" spans="1:9" ht="15.6" x14ac:dyDescent="0.3">
      <c r="A999" s="48" t="s">
        <v>1787</v>
      </c>
      <c r="B999" s="48" t="s">
        <v>802</v>
      </c>
      <c r="C999" s="23" t="s">
        <v>910</v>
      </c>
      <c r="D999" s="56"/>
      <c r="E999" s="51"/>
      <c r="F999" s="56"/>
      <c r="G999" s="51"/>
      <c r="H999" s="56">
        <v>3</v>
      </c>
      <c r="I999" s="57">
        <v>0</v>
      </c>
    </row>
    <row r="1000" spans="1:9" ht="15.6" x14ac:dyDescent="0.3">
      <c r="A1000" s="19" t="s">
        <v>1788</v>
      </c>
      <c r="B1000" s="19" t="s">
        <v>2498</v>
      </c>
      <c r="C1000" s="19" t="s">
        <v>1918</v>
      </c>
      <c r="D1000" s="53"/>
      <c r="E1000" s="54"/>
      <c r="F1000" s="53">
        <v>1</v>
      </c>
      <c r="G1000" s="54">
        <v>0</v>
      </c>
      <c r="H1000" s="53"/>
      <c r="I1000" s="55"/>
    </row>
    <row r="1001" spans="1:9" ht="15.6" x14ac:dyDescent="0.3">
      <c r="A1001" s="19" t="s">
        <v>1789</v>
      </c>
      <c r="B1001" s="19" t="s">
        <v>803</v>
      </c>
      <c r="C1001" s="19" t="s">
        <v>1918</v>
      </c>
      <c r="D1001" s="53"/>
      <c r="E1001" s="54"/>
      <c r="F1001" s="53">
        <v>3</v>
      </c>
      <c r="G1001" s="54">
        <v>0</v>
      </c>
      <c r="H1001" s="53"/>
      <c r="I1001" s="55"/>
    </row>
    <row r="1002" spans="1:9" ht="15.6" x14ac:dyDescent="0.3">
      <c r="A1002" s="19" t="s">
        <v>1790</v>
      </c>
      <c r="B1002" s="19" t="s">
        <v>2499</v>
      </c>
      <c r="C1002" s="19" t="s">
        <v>1918</v>
      </c>
      <c r="D1002" s="53"/>
      <c r="E1002" s="54"/>
      <c r="F1002" s="53">
        <v>3</v>
      </c>
      <c r="G1002" s="54">
        <v>0</v>
      </c>
      <c r="H1002" s="53"/>
      <c r="I1002" s="55"/>
    </row>
    <row r="1003" spans="1:9" ht="15.6" x14ac:dyDescent="0.3">
      <c r="A1003" s="19" t="s">
        <v>1791</v>
      </c>
      <c r="B1003" s="19" t="s">
        <v>2341</v>
      </c>
      <c r="C1003" s="19" t="s">
        <v>1918</v>
      </c>
      <c r="D1003" s="53"/>
      <c r="E1003" s="54"/>
      <c r="F1003" s="53">
        <v>59</v>
      </c>
      <c r="G1003" s="54">
        <v>0</v>
      </c>
      <c r="H1003" s="53"/>
      <c r="I1003" s="55"/>
    </row>
    <row r="1004" spans="1:9" ht="15.6" x14ac:dyDescent="0.3">
      <c r="A1004" s="19" t="s">
        <v>1792</v>
      </c>
      <c r="B1004" s="19" t="s">
        <v>804</v>
      </c>
      <c r="C1004" s="19" t="s">
        <v>1918</v>
      </c>
      <c r="D1004" s="53"/>
      <c r="E1004" s="54"/>
      <c r="F1004" s="53">
        <v>40</v>
      </c>
      <c r="G1004" s="54">
        <v>0</v>
      </c>
      <c r="H1004" s="53"/>
      <c r="I1004" s="55"/>
    </row>
    <row r="1005" spans="1:9" ht="15.6" x14ac:dyDescent="0.3">
      <c r="A1005" s="47" t="s">
        <v>1793</v>
      </c>
      <c r="B1005" s="47" t="s">
        <v>805</v>
      </c>
      <c r="C1005" s="19" t="s">
        <v>1918</v>
      </c>
      <c r="D1005" s="53"/>
      <c r="E1005" s="54"/>
      <c r="F1005" s="53">
        <v>1</v>
      </c>
      <c r="G1005" s="54">
        <v>0</v>
      </c>
      <c r="H1005" s="53"/>
      <c r="I1005" s="55"/>
    </row>
    <row r="1006" spans="1:9" ht="15.6" x14ac:dyDescent="0.3">
      <c r="A1006" s="48" t="s">
        <v>1793</v>
      </c>
      <c r="B1006" s="48" t="s">
        <v>805</v>
      </c>
      <c r="C1006" s="23" t="s">
        <v>911</v>
      </c>
      <c r="D1006" s="56"/>
      <c r="E1006" s="51"/>
      <c r="F1006" s="56">
        <v>0</v>
      </c>
      <c r="G1006" s="51">
        <v>1</v>
      </c>
      <c r="H1006" s="56"/>
      <c r="I1006" s="57"/>
    </row>
    <row r="1007" spans="1:9" ht="15.6" x14ac:dyDescent="0.3">
      <c r="A1007" s="19" t="s">
        <v>1794</v>
      </c>
      <c r="B1007" s="19" t="s">
        <v>806</v>
      </c>
      <c r="C1007" s="19" t="s">
        <v>1918</v>
      </c>
      <c r="D1007" s="53"/>
      <c r="E1007" s="54"/>
      <c r="F1007" s="53">
        <v>7</v>
      </c>
      <c r="G1007" s="54">
        <v>0</v>
      </c>
      <c r="H1007" s="53"/>
      <c r="I1007" s="55"/>
    </row>
    <row r="1008" spans="1:9" ht="15.6" x14ac:dyDescent="0.3">
      <c r="A1008" s="19" t="s">
        <v>1795</v>
      </c>
      <c r="B1008" s="19" t="s">
        <v>807</v>
      </c>
      <c r="C1008" s="19" t="s">
        <v>1918</v>
      </c>
      <c r="D1008" s="53"/>
      <c r="E1008" s="54"/>
      <c r="F1008" s="53">
        <v>2</v>
      </c>
      <c r="G1008" s="54">
        <v>0</v>
      </c>
      <c r="H1008" s="53"/>
      <c r="I1008" s="55"/>
    </row>
    <row r="1009" spans="1:9" ht="15.6" x14ac:dyDescent="0.3">
      <c r="A1009" s="19" t="s">
        <v>1796</v>
      </c>
      <c r="B1009" s="19" t="s">
        <v>808</v>
      </c>
      <c r="C1009" s="19" t="s">
        <v>1918</v>
      </c>
      <c r="D1009" s="53"/>
      <c r="E1009" s="54"/>
      <c r="F1009" s="53">
        <v>2</v>
      </c>
      <c r="G1009" s="54">
        <v>0</v>
      </c>
      <c r="H1009" s="53"/>
      <c r="I1009" s="55"/>
    </row>
    <row r="1010" spans="1:9" ht="15.6" x14ac:dyDescent="0.3">
      <c r="A1010" s="19" t="s">
        <v>1797</v>
      </c>
      <c r="B1010" s="19" t="s">
        <v>809</v>
      </c>
      <c r="C1010" s="19" t="s">
        <v>1918</v>
      </c>
      <c r="D1010" s="53"/>
      <c r="E1010" s="54"/>
      <c r="F1010" s="53">
        <v>2</v>
      </c>
      <c r="G1010" s="54">
        <v>0</v>
      </c>
      <c r="H1010" s="53"/>
      <c r="I1010" s="55"/>
    </row>
    <row r="1011" spans="1:9" ht="15.6" x14ac:dyDescent="0.3">
      <c r="A1011" s="19" t="s">
        <v>1798</v>
      </c>
      <c r="B1011" s="19" t="s">
        <v>810</v>
      </c>
      <c r="C1011" s="19" t="s">
        <v>1918</v>
      </c>
      <c r="D1011" s="53"/>
      <c r="E1011" s="54"/>
      <c r="F1011" s="53">
        <v>1</v>
      </c>
      <c r="G1011" s="54">
        <v>0</v>
      </c>
      <c r="H1011" s="53"/>
      <c r="I1011" s="55"/>
    </row>
    <row r="1012" spans="1:9" ht="15.6" x14ac:dyDescent="0.3">
      <c r="A1012" s="19" t="s">
        <v>1799</v>
      </c>
      <c r="B1012" s="19" t="s">
        <v>811</v>
      </c>
      <c r="C1012" s="19" t="s">
        <v>1918</v>
      </c>
      <c r="D1012" s="53"/>
      <c r="E1012" s="54"/>
      <c r="F1012" s="53">
        <v>1</v>
      </c>
      <c r="G1012" s="54">
        <v>0</v>
      </c>
      <c r="H1012" s="53"/>
      <c r="I1012" s="55"/>
    </row>
    <row r="1013" spans="1:9" ht="15.6" x14ac:dyDescent="0.3">
      <c r="A1013" s="19" t="s">
        <v>1800</v>
      </c>
      <c r="B1013" s="19" t="s">
        <v>812</v>
      </c>
      <c r="C1013" s="19" t="s">
        <v>1918</v>
      </c>
      <c r="D1013" s="53"/>
      <c r="E1013" s="54"/>
      <c r="F1013" s="53">
        <v>5</v>
      </c>
      <c r="G1013" s="54">
        <v>0</v>
      </c>
      <c r="H1013" s="53"/>
      <c r="I1013" s="55"/>
    </row>
    <row r="1014" spans="1:9" ht="15.6" x14ac:dyDescent="0.3">
      <c r="A1014" s="19" t="s">
        <v>1801</v>
      </c>
      <c r="B1014" s="19" t="s">
        <v>813</v>
      </c>
      <c r="C1014" s="19" t="s">
        <v>1918</v>
      </c>
      <c r="D1014" s="53"/>
      <c r="E1014" s="54"/>
      <c r="F1014" s="53">
        <v>10</v>
      </c>
      <c r="G1014" s="54">
        <v>0</v>
      </c>
      <c r="H1014" s="53"/>
      <c r="I1014" s="55"/>
    </row>
    <row r="1015" spans="1:9" ht="15.6" x14ac:dyDescent="0.3">
      <c r="A1015" s="19" t="s">
        <v>1802</v>
      </c>
      <c r="B1015" s="19" t="s">
        <v>814</v>
      </c>
      <c r="C1015" s="19" t="s">
        <v>1918</v>
      </c>
      <c r="D1015" s="53"/>
      <c r="E1015" s="54"/>
      <c r="F1015" s="53">
        <v>3</v>
      </c>
      <c r="G1015" s="54">
        <v>0</v>
      </c>
      <c r="H1015" s="53"/>
      <c r="I1015" s="55"/>
    </row>
    <row r="1016" spans="1:9" ht="15.6" x14ac:dyDescent="0.3">
      <c r="A1016" s="19" t="s">
        <v>1803</v>
      </c>
      <c r="B1016" s="19" t="s">
        <v>2500</v>
      </c>
      <c r="C1016" s="19" t="s">
        <v>1918</v>
      </c>
      <c r="D1016" s="53"/>
      <c r="E1016" s="54"/>
      <c r="F1016" s="53">
        <v>1</v>
      </c>
      <c r="G1016" s="54">
        <v>0</v>
      </c>
      <c r="H1016" s="53"/>
      <c r="I1016" s="55"/>
    </row>
    <row r="1017" spans="1:9" ht="15.6" x14ac:dyDescent="0.3">
      <c r="A1017" s="19" t="s">
        <v>1804</v>
      </c>
      <c r="B1017" s="19" t="s">
        <v>815</v>
      </c>
      <c r="C1017" s="19" t="s">
        <v>1918</v>
      </c>
      <c r="D1017" s="53"/>
      <c r="E1017" s="54"/>
      <c r="F1017" s="53">
        <v>1</v>
      </c>
      <c r="G1017" s="54">
        <v>0</v>
      </c>
      <c r="H1017" s="53"/>
      <c r="I1017" s="55"/>
    </row>
    <row r="1018" spans="1:9" ht="15.6" x14ac:dyDescent="0.3">
      <c r="A1018" s="19" t="s">
        <v>1805</v>
      </c>
      <c r="B1018" s="19" t="s">
        <v>816</v>
      </c>
      <c r="C1018" s="19" t="s">
        <v>1918</v>
      </c>
      <c r="D1018" s="53"/>
      <c r="E1018" s="54"/>
      <c r="F1018" s="53">
        <v>1</v>
      </c>
      <c r="G1018" s="54">
        <v>0</v>
      </c>
      <c r="H1018" s="53"/>
      <c r="I1018" s="55"/>
    </row>
    <row r="1019" spans="1:9" ht="15.6" x14ac:dyDescent="0.3">
      <c r="A1019" s="19" t="s">
        <v>1806</v>
      </c>
      <c r="B1019" s="19" t="s">
        <v>817</v>
      </c>
      <c r="C1019" s="19" t="s">
        <v>1918</v>
      </c>
      <c r="D1019" s="53"/>
      <c r="E1019" s="54"/>
      <c r="F1019" s="53">
        <v>4</v>
      </c>
      <c r="G1019" s="54">
        <v>0</v>
      </c>
      <c r="H1019" s="53"/>
      <c r="I1019" s="55"/>
    </row>
    <row r="1020" spans="1:9" ht="28.8" x14ac:dyDescent="0.3">
      <c r="A1020" s="19" t="s">
        <v>1807</v>
      </c>
      <c r="B1020" s="19" t="s">
        <v>818</v>
      </c>
      <c r="C1020" s="19" t="s">
        <v>1918</v>
      </c>
      <c r="D1020" s="53"/>
      <c r="E1020" s="54"/>
      <c r="F1020" s="53">
        <v>1</v>
      </c>
      <c r="G1020" s="54">
        <v>0</v>
      </c>
      <c r="H1020" s="53"/>
      <c r="I1020" s="55"/>
    </row>
    <row r="1021" spans="1:9" ht="15.6" x14ac:dyDescent="0.3">
      <c r="A1021" s="19" t="s">
        <v>1808</v>
      </c>
      <c r="B1021" s="19" t="s">
        <v>819</v>
      </c>
      <c r="C1021" s="19" t="s">
        <v>1918</v>
      </c>
      <c r="D1021" s="53"/>
      <c r="E1021" s="54"/>
      <c r="F1021" s="53">
        <v>1</v>
      </c>
      <c r="G1021" s="54">
        <v>0</v>
      </c>
      <c r="H1021" s="53"/>
      <c r="I1021" s="55"/>
    </row>
    <row r="1022" spans="1:9" ht="15.6" x14ac:dyDescent="0.3">
      <c r="A1022" s="47" t="s">
        <v>1809</v>
      </c>
      <c r="B1022" s="47" t="s">
        <v>820</v>
      </c>
      <c r="C1022" s="19" t="s">
        <v>903</v>
      </c>
      <c r="D1022" s="53"/>
      <c r="E1022" s="54"/>
      <c r="F1022" s="53"/>
      <c r="G1022" s="54"/>
      <c r="H1022" s="53">
        <v>1</v>
      </c>
      <c r="I1022" s="55">
        <v>0</v>
      </c>
    </row>
    <row r="1023" spans="1:9" ht="15.6" x14ac:dyDescent="0.3">
      <c r="A1023" s="48" t="s">
        <v>1809</v>
      </c>
      <c r="B1023" s="48" t="s">
        <v>820</v>
      </c>
      <c r="C1023" s="23" t="s">
        <v>1918</v>
      </c>
      <c r="D1023" s="56"/>
      <c r="E1023" s="51"/>
      <c r="F1023" s="56">
        <v>1</v>
      </c>
      <c r="G1023" s="51">
        <v>0</v>
      </c>
      <c r="H1023" s="56"/>
      <c r="I1023" s="57"/>
    </row>
    <row r="1024" spans="1:9" ht="15.6" x14ac:dyDescent="0.3">
      <c r="A1024" s="48" t="s">
        <v>1809</v>
      </c>
      <c r="B1024" s="48" t="s">
        <v>820</v>
      </c>
      <c r="C1024" s="23" t="s">
        <v>904</v>
      </c>
      <c r="D1024" s="56"/>
      <c r="E1024" s="51"/>
      <c r="F1024" s="56">
        <v>0</v>
      </c>
      <c r="G1024" s="51">
        <v>1</v>
      </c>
      <c r="H1024" s="56"/>
      <c r="I1024" s="57"/>
    </row>
    <row r="1025" spans="1:9" ht="15.6" x14ac:dyDescent="0.3">
      <c r="A1025" s="47" t="s">
        <v>1810</v>
      </c>
      <c r="B1025" s="47" t="s">
        <v>821</v>
      </c>
      <c r="C1025" s="19" t="s">
        <v>1918</v>
      </c>
      <c r="D1025" s="53"/>
      <c r="E1025" s="54"/>
      <c r="F1025" s="53">
        <v>1</v>
      </c>
      <c r="G1025" s="54">
        <v>0</v>
      </c>
      <c r="H1025" s="53"/>
      <c r="I1025" s="55"/>
    </row>
    <row r="1026" spans="1:9" ht="15.6" x14ac:dyDescent="0.3">
      <c r="A1026" s="48" t="s">
        <v>1810</v>
      </c>
      <c r="B1026" s="48" t="s">
        <v>821</v>
      </c>
      <c r="C1026" s="23" t="s">
        <v>911</v>
      </c>
      <c r="D1026" s="56"/>
      <c r="E1026" s="51"/>
      <c r="F1026" s="56">
        <v>0</v>
      </c>
      <c r="G1026" s="51">
        <v>1</v>
      </c>
      <c r="H1026" s="56"/>
      <c r="I1026" s="57"/>
    </row>
    <row r="1027" spans="1:9" ht="15.6" x14ac:dyDescent="0.3">
      <c r="A1027" s="19" t="s">
        <v>1811</v>
      </c>
      <c r="B1027" s="19" t="s">
        <v>822</v>
      </c>
      <c r="C1027" s="19" t="s">
        <v>1918</v>
      </c>
      <c r="D1027" s="53"/>
      <c r="E1027" s="54"/>
      <c r="F1027" s="53">
        <v>1</v>
      </c>
      <c r="G1027" s="54">
        <v>0</v>
      </c>
      <c r="H1027" s="53"/>
      <c r="I1027" s="55"/>
    </row>
    <row r="1028" spans="1:9" ht="15.6" x14ac:dyDescent="0.3">
      <c r="A1028" s="19" t="s">
        <v>1812</v>
      </c>
      <c r="B1028" s="19" t="s">
        <v>823</v>
      </c>
      <c r="C1028" s="19" t="s">
        <v>1918</v>
      </c>
      <c r="D1028" s="53"/>
      <c r="E1028" s="54"/>
      <c r="F1028" s="53">
        <v>5</v>
      </c>
      <c r="G1028" s="54">
        <v>0</v>
      </c>
      <c r="H1028" s="53"/>
      <c r="I1028" s="55"/>
    </row>
    <row r="1029" spans="1:9" ht="15.6" x14ac:dyDescent="0.3">
      <c r="A1029" s="19" t="s">
        <v>1813</v>
      </c>
      <c r="B1029" s="19" t="s">
        <v>824</v>
      </c>
      <c r="C1029" s="19" t="s">
        <v>1918</v>
      </c>
      <c r="D1029" s="53"/>
      <c r="E1029" s="54"/>
      <c r="F1029" s="53">
        <v>9</v>
      </c>
      <c r="G1029" s="54">
        <v>0</v>
      </c>
      <c r="H1029" s="53"/>
      <c r="I1029" s="55"/>
    </row>
    <row r="1030" spans="1:9" ht="15.6" x14ac:dyDescent="0.3">
      <c r="A1030" s="19" t="s">
        <v>1814</v>
      </c>
      <c r="B1030" s="19" t="s">
        <v>825</v>
      </c>
      <c r="C1030" s="19" t="s">
        <v>1918</v>
      </c>
      <c r="D1030" s="53"/>
      <c r="E1030" s="54"/>
      <c r="F1030" s="53">
        <v>6</v>
      </c>
      <c r="G1030" s="54">
        <v>0</v>
      </c>
      <c r="H1030" s="53"/>
      <c r="I1030" s="55"/>
    </row>
    <row r="1031" spans="1:9" ht="15.6" x14ac:dyDescent="0.3">
      <c r="A1031" s="19" t="s">
        <v>1815</v>
      </c>
      <c r="B1031" s="19" t="s">
        <v>826</v>
      </c>
      <c r="C1031" s="19" t="s">
        <v>1918</v>
      </c>
      <c r="D1031" s="53"/>
      <c r="E1031" s="54"/>
      <c r="F1031" s="53">
        <v>6</v>
      </c>
      <c r="G1031" s="54">
        <v>0</v>
      </c>
      <c r="H1031" s="53"/>
      <c r="I1031" s="55"/>
    </row>
    <row r="1032" spans="1:9" ht="15.6" x14ac:dyDescent="0.3">
      <c r="A1032" s="19" t="s">
        <v>1816</v>
      </c>
      <c r="B1032" s="19" t="s">
        <v>827</v>
      </c>
      <c r="C1032" s="19" t="s">
        <v>1918</v>
      </c>
      <c r="D1032" s="53"/>
      <c r="E1032" s="54"/>
      <c r="F1032" s="53">
        <v>1</v>
      </c>
      <c r="G1032" s="54">
        <v>0</v>
      </c>
      <c r="H1032" s="53"/>
      <c r="I1032" s="55"/>
    </row>
    <row r="1033" spans="1:9" ht="15.6" x14ac:dyDescent="0.3">
      <c r="A1033" s="47" t="s">
        <v>1817</v>
      </c>
      <c r="B1033" s="47" t="s">
        <v>828</v>
      </c>
      <c r="C1033" s="19" t="s">
        <v>1918</v>
      </c>
      <c r="D1033" s="53"/>
      <c r="E1033" s="54"/>
      <c r="F1033" s="53">
        <v>1</v>
      </c>
      <c r="G1033" s="54">
        <v>0</v>
      </c>
      <c r="H1033" s="53"/>
      <c r="I1033" s="55"/>
    </row>
    <row r="1034" spans="1:9" ht="15.6" x14ac:dyDescent="0.3">
      <c r="A1034" s="48" t="s">
        <v>1817</v>
      </c>
      <c r="B1034" s="48" t="s">
        <v>828</v>
      </c>
      <c r="C1034" s="23" t="s">
        <v>911</v>
      </c>
      <c r="D1034" s="56"/>
      <c r="E1034" s="51"/>
      <c r="F1034" s="56">
        <v>0</v>
      </c>
      <c r="G1034" s="51">
        <v>1</v>
      </c>
      <c r="H1034" s="56"/>
      <c r="I1034" s="57"/>
    </row>
    <row r="1035" spans="1:9" ht="15.6" x14ac:dyDescent="0.3">
      <c r="A1035" s="19" t="s">
        <v>1818</v>
      </c>
      <c r="B1035" s="19" t="s">
        <v>829</v>
      </c>
      <c r="C1035" s="19" t="s">
        <v>1918</v>
      </c>
      <c r="D1035" s="53"/>
      <c r="E1035" s="54"/>
      <c r="F1035" s="53">
        <v>28</v>
      </c>
      <c r="G1035" s="54">
        <v>0</v>
      </c>
      <c r="H1035" s="53"/>
      <c r="I1035" s="55"/>
    </row>
    <row r="1036" spans="1:9" ht="15.6" x14ac:dyDescent="0.3">
      <c r="A1036" s="19" t="s">
        <v>1819</v>
      </c>
      <c r="B1036" s="19" t="s">
        <v>830</v>
      </c>
      <c r="C1036" s="19" t="s">
        <v>1918</v>
      </c>
      <c r="D1036" s="53"/>
      <c r="E1036" s="54"/>
      <c r="F1036" s="53">
        <v>2</v>
      </c>
      <c r="G1036" s="54">
        <v>0</v>
      </c>
      <c r="H1036" s="53"/>
      <c r="I1036" s="55"/>
    </row>
    <row r="1037" spans="1:9" ht="28.8" x14ac:dyDescent="0.3">
      <c r="A1037" s="19" t="s">
        <v>1820</v>
      </c>
      <c r="B1037" s="19" t="s">
        <v>831</v>
      </c>
      <c r="C1037" s="19" t="s">
        <v>1918</v>
      </c>
      <c r="D1037" s="53"/>
      <c r="E1037" s="54"/>
      <c r="F1037" s="53">
        <v>1</v>
      </c>
      <c r="G1037" s="54">
        <v>0</v>
      </c>
      <c r="H1037" s="53"/>
      <c r="I1037" s="55"/>
    </row>
    <row r="1038" spans="1:9" ht="15.6" x14ac:dyDescent="0.3">
      <c r="A1038" s="19" t="s">
        <v>1821</v>
      </c>
      <c r="B1038" s="19" t="s">
        <v>2597</v>
      </c>
      <c r="C1038" s="19" t="s">
        <v>1918</v>
      </c>
      <c r="D1038" s="53"/>
      <c r="E1038" s="54"/>
      <c r="F1038" s="53">
        <v>0</v>
      </c>
      <c r="G1038" s="54">
        <v>0</v>
      </c>
      <c r="H1038" s="53"/>
      <c r="I1038" s="55"/>
    </row>
    <row r="1039" spans="1:9" ht="15.6" x14ac:dyDescent="0.3">
      <c r="A1039" s="47" t="s">
        <v>1822</v>
      </c>
      <c r="B1039" s="47" t="s">
        <v>832</v>
      </c>
      <c r="C1039" s="19" t="s">
        <v>903</v>
      </c>
      <c r="D1039" s="53"/>
      <c r="E1039" s="54"/>
      <c r="F1039" s="53"/>
      <c r="G1039" s="54"/>
      <c r="H1039" s="53">
        <v>2</v>
      </c>
      <c r="I1039" s="55">
        <v>0</v>
      </c>
    </row>
    <row r="1040" spans="1:9" ht="15.6" x14ac:dyDescent="0.3">
      <c r="A1040" s="48" t="s">
        <v>1822</v>
      </c>
      <c r="B1040" s="48" t="s">
        <v>832</v>
      </c>
      <c r="C1040" s="23" t="s">
        <v>1918</v>
      </c>
      <c r="D1040" s="56"/>
      <c r="E1040" s="51"/>
      <c r="F1040" s="56">
        <v>16</v>
      </c>
      <c r="G1040" s="51">
        <v>0</v>
      </c>
      <c r="H1040" s="56"/>
      <c r="I1040" s="57"/>
    </row>
    <row r="1041" spans="1:9" ht="15.6" x14ac:dyDescent="0.3">
      <c r="A1041" s="48" t="s">
        <v>1822</v>
      </c>
      <c r="B1041" s="48" t="s">
        <v>832</v>
      </c>
      <c r="C1041" s="23" t="s">
        <v>904</v>
      </c>
      <c r="D1041" s="56"/>
      <c r="E1041" s="51"/>
      <c r="F1041" s="56">
        <v>0</v>
      </c>
      <c r="G1041" s="51">
        <v>2</v>
      </c>
      <c r="H1041" s="56"/>
      <c r="I1041" s="57"/>
    </row>
    <row r="1042" spans="1:9" ht="15.6" x14ac:dyDescent="0.3">
      <c r="A1042" s="47" t="s">
        <v>1823</v>
      </c>
      <c r="B1042" s="47" t="s">
        <v>2501</v>
      </c>
      <c r="C1042" s="19" t="s">
        <v>903</v>
      </c>
      <c r="D1042" s="53"/>
      <c r="E1042" s="54"/>
      <c r="F1042" s="53"/>
      <c r="G1042" s="54"/>
      <c r="H1042" s="53">
        <v>10</v>
      </c>
      <c r="I1042" s="55">
        <v>0</v>
      </c>
    </row>
    <row r="1043" spans="1:9" ht="15.6" x14ac:dyDescent="0.3">
      <c r="A1043" s="48" t="s">
        <v>1823</v>
      </c>
      <c r="B1043" s="48" t="s">
        <v>2501</v>
      </c>
      <c r="C1043" s="23" t="s">
        <v>1918</v>
      </c>
      <c r="D1043" s="56"/>
      <c r="E1043" s="51"/>
      <c r="F1043" s="56">
        <v>63</v>
      </c>
      <c r="G1043" s="51">
        <v>0</v>
      </c>
      <c r="H1043" s="56"/>
      <c r="I1043" s="57"/>
    </row>
    <row r="1044" spans="1:9" ht="15.6" x14ac:dyDescent="0.3">
      <c r="A1044" s="48" t="s">
        <v>1823</v>
      </c>
      <c r="B1044" s="48" t="s">
        <v>2501</v>
      </c>
      <c r="C1044" s="23" t="s">
        <v>904</v>
      </c>
      <c r="D1044" s="56"/>
      <c r="E1044" s="51"/>
      <c r="F1044" s="56">
        <v>0</v>
      </c>
      <c r="G1044" s="51">
        <v>10</v>
      </c>
      <c r="H1044" s="56"/>
      <c r="I1044" s="57"/>
    </row>
    <row r="1045" spans="1:9" ht="15.6" x14ac:dyDescent="0.3">
      <c r="A1045" s="19" t="s">
        <v>1824</v>
      </c>
      <c r="B1045" s="19" t="s">
        <v>833</v>
      </c>
      <c r="C1045" s="19" t="s">
        <v>1918</v>
      </c>
      <c r="D1045" s="53"/>
      <c r="E1045" s="54"/>
      <c r="F1045" s="53">
        <v>2</v>
      </c>
      <c r="G1045" s="54">
        <v>0</v>
      </c>
      <c r="H1045" s="53"/>
      <c r="I1045" s="55"/>
    </row>
    <row r="1046" spans="1:9" ht="15.6" x14ac:dyDescent="0.3">
      <c r="A1046" s="19" t="s">
        <v>1825</v>
      </c>
      <c r="B1046" s="19" t="s">
        <v>834</v>
      </c>
      <c r="C1046" s="19" t="s">
        <v>1918</v>
      </c>
      <c r="D1046" s="53"/>
      <c r="E1046" s="54"/>
      <c r="F1046" s="53">
        <v>2</v>
      </c>
      <c r="G1046" s="54">
        <v>0</v>
      </c>
      <c r="H1046" s="53"/>
      <c r="I1046" s="55"/>
    </row>
    <row r="1047" spans="1:9" ht="15.6" x14ac:dyDescent="0.3">
      <c r="A1047" s="19" t="s">
        <v>1826</v>
      </c>
      <c r="B1047" s="19" t="s">
        <v>835</v>
      </c>
      <c r="C1047" s="19" t="s">
        <v>1918</v>
      </c>
      <c r="D1047" s="53"/>
      <c r="E1047" s="54"/>
      <c r="F1047" s="53">
        <v>2</v>
      </c>
      <c r="G1047" s="54">
        <v>0</v>
      </c>
      <c r="H1047" s="53"/>
      <c r="I1047" s="55"/>
    </row>
    <row r="1048" spans="1:9" ht="15.6" x14ac:dyDescent="0.3">
      <c r="A1048" s="19" t="s">
        <v>1827</v>
      </c>
      <c r="B1048" s="19" t="s">
        <v>836</v>
      </c>
      <c r="C1048" s="19" t="s">
        <v>1918</v>
      </c>
      <c r="D1048" s="53"/>
      <c r="E1048" s="54"/>
      <c r="F1048" s="53">
        <v>1</v>
      </c>
      <c r="G1048" s="54">
        <v>0</v>
      </c>
      <c r="H1048" s="53"/>
      <c r="I1048" s="55"/>
    </row>
    <row r="1049" spans="1:9" ht="15.6" x14ac:dyDescent="0.3">
      <c r="A1049" s="19" t="s">
        <v>1828</v>
      </c>
      <c r="B1049" s="19" t="s">
        <v>837</v>
      </c>
      <c r="C1049" s="19" t="s">
        <v>1918</v>
      </c>
      <c r="D1049" s="53"/>
      <c r="E1049" s="54"/>
      <c r="F1049" s="53">
        <v>2</v>
      </c>
      <c r="G1049" s="54">
        <v>0</v>
      </c>
      <c r="H1049" s="53"/>
      <c r="I1049" s="55"/>
    </row>
    <row r="1050" spans="1:9" ht="15.6" x14ac:dyDescent="0.3">
      <c r="A1050" s="19" t="s">
        <v>1829</v>
      </c>
      <c r="B1050" s="19" t="s">
        <v>838</v>
      </c>
      <c r="C1050" s="19" t="s">
        <v>1918</v>
      </c>
      <c r="D1050" s="53"/>
      <c r="E1050" s="54"/>
      <c r="F1050" s="53">
        <v>1</v>
      </c>
      <c r="G1050" s="54">
        <v>0</v>
      </c>
      <c r="H1050" s="53"/>
      <c r="I1050" s="55"/>
    </row>
    <row r="1051" spans="1:9" ht="15.6" x14ac:dyDescent="0.3">
      <c r="A1051" s="19" t="s">
        <v>1830</v>
      </c>
      <c r="B1051" s="19" t="s">
        <v>839</v>
      </c>
      <c r="C1051" s="19" t="s">
        <v>1918</v>
      </c>
      <c r="D1051" s="53"/>
      <c r="E1051" s="54"/>
      <c r="F1051" s="53">
        <v>1</v>
      </c>
      <c r="G1051" s="54">
        <v>0</v>
      </c>
      <c r="H1051" s="53"/>
      <c r="I1051" s="55"/>
    </row>
    <row r="1052" spans="1:9" ht="15.6" x14ac:dyDescent="0.3">
      <c r="A1052" s="19" t="s">
        <v>1831</v>
      </c>
      <c r="B1052" s="19" t="s">
        <v>840</v>
      </c>
      <c r="C1052" s="19" t="s">
        <v>1918</v>
      </c>
      <c r="D1052" s="53"/>
      <c r="E1052" s="54"/>
      <c r="F1052" s="53">
        <v>1</v>
      </c>
      <c r="G1052" s="54">
        <v>0</v>
      </c>
      <c r="H1052" s="53"/>
      <c r="I1052" s="55"/>
    </row>
    <row r="1053" spans="1:9" ht="15.6" x14ac:dyDescent="0.3">
      <c r="A1053" s="19" t="s">
        <v>1832</v>
      </c>
      <c r="B1053" s="19" t="s">
        <v>841</v>
      </c>
      <c r="C1053" s="19" t="s">
        <v>1918</v>
      </c>
      <c r="D1053" s="53"/>
      <c r="E1053" s="54"/>
      <c r="F1053" s="53">
        <v>1</v>
      </c>
      <c r="G1053" s="54">
        <v>0</v>
      </c>
      <c r="H1053" s="53"/>
      <c r="I1053" s="55"/>
    </row>
    <row r="1054" spans="1:9" ht="15.6" x14ac:dyDescent="0.3">
      <c r="A1054" s="19" t="s">
        <v>1833</v>
      </c>
      <c r="B1054" s="19" t="s">
        <v>842</v>
      </c>
      <c r="C1054" s="19" t="s">
        <v>1918</v>
      </c>
      <c r="D1054" s="53"/>
      <c r="E1054" s="54"/>
      <c r="F1054" s="53">
        <v>1</v>
      </c>
      <c r="G1054" s="54">
        <v>0</v>
      </c>
      <c r="H1054" s="53"/>
      <c r="I1054" s="55"/>
    </row>
    <row r="1055" spans="1:9" ht="15.6" x14ac:dyDescent="0.3">
      <c r="A1055" s="19" t="s">
        <v>1834</v>
      </c>
      <c r="B1055" s="19" t="s">
        <v>843</v>
      </c>
      <c r="C1055" s="19" t="s">
        <v>1918</v>
      </c>
      <c r="D1055" s="53"/>
      <c r="E1055" s="54"/>
      <c r="F1055" s="53">
        <v>1</v>
      </c>
      <c r="G1055" s="54">
        <v>0</v>
      </c>
      <c r="H1055" s="53"/>
      <c r="I1055" s="55"/>
    </row>
    <row r="1056" spans="1:9" ht="15.6" x14ac:dyDescent="0.3">
      <c r="A1056" s="19" t="s">
        <v>1835</v>
      </c>
      <c r="B1056" s="19" t="s">
        <v>844</v>
      </c>
      <c r="C1056" s="19" t="s">
        <v>1918</v>
      </c>
      <c r="D1056" s="53"/>
      <c r="E1056" s="54"/>
      <c r="F1056" s="53">
        <v>1</v>
      </c>
      <c r="G1056" s="54">
        <v>0</v>
      </c>
      <c r="H1056" s="53"/>
      <c r="I1056" s="55"/>
    </row>
    <row r="1057" spans="1:9" ht="15.6" x14ac:dyDescent="0.3">
      <c r="A1057" s="19" t="s">
        <v>1836</v>
      </c>
      <c r="B1057" s="19" t="s">
        <v>845</v>
      </c>
      <c r="C1057" s="19" t="s">
        <v>1918</v>
      </c>
      <c r="D1057" s="53"/>
      <c r="E1057" s="54"/>
      <c r="F1057" s="53">
        <v>1</v>
      </c>
      <c r="G1057" s="54">
        <v>0</v>
      </c>
      <c r="H1057" s="53"/>
      <c r="I1057" s="55"/>
    </row>
    <row r="1058" spans="1:9" ht="15.6" x14ac:dyDescent="0.3">
      <c r="A1058" s="19" t="s">
        <v>1837</v>
      </c>
      <c r="B1058" s="19" t="s">
        <v>846</v>
      </c>
      <c r="C1058" s="19" t="s">
        <v>1918</v>
      </c>
      <c r="D1058" s="53"/>
      <c r="E1058" s="54"/>
      <c r="F1058" s="53">
        <v>1</v>
      </c>
      <c r="G1058" s="54">
        <v>0</v>
      </c>
      <c r="H1058" s="53"/>
      <c r="I1058" s="55"/>
    </row>
    <row r="1059" spans="1:9" ht="15.6" x14ac:dyDescent="0.3">
      <c r="A1059" s="19" t="s">
        <v>1838</v>
      </c>
      <c r="B1059" s="19" t="s">
        <v>847</v>
      </c>
      <c r="C1059" s="19" t="s">
        <v>1918</v>
      </c>
      <c r="D1059" s="53"/>
      <c r="E1059" s="54"/>
      <c r="F1059" s="53">
        <v>1</v>
      </c>
      <c r="G1059" s="54">
        <v>0</v>
      </c>
      <c r="H1059" s="53"/>
      <c r="I1059" s="55"/>
    </row>
    <row r="1060" spans="1:9" ht="15.6" x14ac:dyDescent="0.3">
      <c r="A1060" s="19" t="s">
        <v>1839</v>
      </c>
      <c r="B1060" s="19" t="s">
        <v>848</v>
      </c>
      <c r="C1060" s="19" t="s">
        <v>1918</v>
      </c>
      <c r="D1060" s="53"/>
      <c r="E1060" s="54"/>
      <c r="F1060" s="53">
        <v>1</v>
      </c>
      <c r="G1060" s="54">
        <v>0</v>
      </c>
      <c r="H1060" s="53"/>
      <c r="I1060" s="55"/>
    </row>
    <row r="1061" spans="1:9" ht="15.6" x14ac:dyDescent="0.3">
      <c r="A1061" s="19" t="s">
        <v>1840</v>
      </c>
      <c r="B1061" s="19" t="s">
        <v>849</v>
      </c>
      <c r="C1061" s="19" t="s">
        <v>1918</v>
      </c>
      <c r="D1061" s="53"/>
      <c r="E1061" s="54"/>
      <c r="F1061" s="53">
        <v>1</v>
      </c>
      <c r="G1061" s="54">
        <v>0</v>
      </c>
      <c r="H1061" s="53"/>
      <c r="I1061" s="55"/>
    </row>
    <row r="1062" spans="1:9" ht="15.6" x14ac:dyDescent="0.3">
      <c r="A1062" s="19" t="s">
        <v>1841</v>
      </c>
      <c r="B1062" s="19" t="s">
        <v>850</v>
      </c>
      <c r="C1062" s="19" t="s">
        <v>1918</v>
      </c>
      <c r="D1062" s="53"/>
      <c r="E1062" s="54"/>
      <c r="F1062" s="53">
        <v>2</v>
      </c>
      <c r="G1062" s="54">
        <v>0</v>
      </c>
      <c r="H1062" s="53"/>
      <c r="I1062" s="55"/>
    </row>
    <row r="1063" spans="1:9" ht="15.6" x14ac:dyDescent="0.3">
      <c r="A1063" s="19" t="s">
        <v>1842</v>
      </c>
      <c r="B1063" s="19" t="s">
        <v>2597</v>
      </c>
      <c r="C1063" s="19" t="s">
        <v>1918</v>
      </c>
      <c r="D1063" s="53"/>
      <c r="E1063" s="54"/>
      <c r="F1063" s="53">
        <v>0</v>
      </c>
      <c r="G1063" s="54">
        <v>0</v>
      </c>
      <c r="H1063" s="53"/>
      <c r="I1063" s="55"/>
    </row>
    <row r="1064" spans="1:9" ht="15.6" x14ac:dyDescent="0.3">
      <c r="A1064" s="47" t="s">
        <v>1843</v>
      </c>
      <c r="B1064" s="47" t="s">
        <v>2502</v>
      </c>
      <c r="C1064" s="19" t="s">
        <v>1918</v>
      </c>
      <c r="D1064" s="53"/>
      <c r="E1064" s="54"/>
      <c r="F1064" s="53">
        <v>3</v>
      </c>
      <c r="G1064" s="54">
        <v>0</v>
      </c>
      <c r="H1064" s="53"/>
      <c r="I1064" s="55"/>
    </row>
    <row r="1065" spans="1:9" ht="15.6" x14ac:dyDescent="0.3">
      <c r="A1065" s="48" t="s">
        <v>1843</v>
      </c>
      <c r="B1065" s="48" t="s">
        <v>2502</v>
      </c>
      <c r="C1065" s="23" t="s">
        <v>1897</v>
      </c>
      <c r="D1065" s="56"/>
      <c r="E1065" s="51"/>
      <c r="F1065" s="56">
        <v>4</v>
      </c>
      <c r="G1065" s="51">
        <v>0</v>
      </c>
      <c r="H1065" s="56"/>
      <c r="I1065" s="57"/>
    </row>
    <row r="1066" spans="1:9" ht="15.6" x14ac:dyDescent="0.3">
      <c r="A1066" s="47" t="s">
        <v>1844</v>
      </c>
      <c r="B1066" s="47" t="s">
        <v>851</v>
      </c>
      <c r="C1066" s="19" t="s">
        <v>903</v>
      </c>
      <c r="D1066" s="53"/>
      <c r="E1066" s="54"/>
      <c r="F1066" s="53"/>
      <c r="G1066" s="54"/>
      <c r="H1066" s="53">
        <v>3</v>
      </c>
      <c r="I1066" s="55">
        <v>0</v>
      </c>
    </row>
    <row r="1067" spans="1:9" ht="15.6" x14ac:dyDescent="0.3">
      <c r="A1067" s="48" t="s">
        <v>1844</v>
      </c>
      <c r="B1067" s="48" t="s">
        <v>851</v>
      </c>
      <c r="C1067" s="23" t="s">
        <v>1918</v>
      </c>
      <c r="D1067" s="56"/>
      <c r="E1067" s="51"/>
      <c r="F1067" s="56">
        <v>5</v>
      </c>
      <c r="G1067" s="51">
        <v>0</v>
      </c>
      <c r="H1067" s="56"/>
      <c r="I1067" s="57"/>
    </row>
    <row r="1068" spans="1:9" ht="15.6" x14ac:dyDescent="0.3">
      <c r="A1068" s="48" t="s">
        <v>1844</v>
      </c>
      <c r="B1068" s="48" t="s">
        <v>851</v>
      </c>
      <c r="C1068" s="23" t="s">
        <v>904</v>
      </c>
      <c r="D1068" s="56"/>
      <c r="E1068" s="51"/>
      <c r="F1068" s="56">
        <v>0</v>
      </c>
      <c r="G1068" s="51">
        <v>3</v>
      </c>
      <c r="H1068" s="56"/>
      <c r="I1068" s="57"/>
    </row>
    <row r="1069" spans="1:9" ht="15.6" x14ac:dyDescent="0.3">
      <c r="A1069" s="19" t="s">
        <v>1845</v>
      </c>
      <c r="B1069" s="19" t="s">
        <v>852</v>
      </c>
      <c r="C1069" s="19" t="s">
        <v>1918</v>
      </c>
      <c r="D1069" s="53"/>
      <c r="E1069" s="54"/>
      <c r="F1069" s="53">
        <v>1</v>
      </c>
      <c r="G1069" s="54">
        <v>0</v>
      </c>
      <c r="H1069" s="53"/>
      <c r="I1069" s="55"/>
    </row>
    <row r="1070" spans="1:9" ht="15.6" x14ac:dyDescent="0.3">
      <c r="A1070" s="19" t="s">
        <v>1846</v>
      </c>
      <c r="B1070" s="19" t="s">
        <v>853</v>
      </c>
      <c r="C1070" s="19" t="s">
        <v>1918</v>
      </c>
      <c r="D1070" s="53"/>
      <c r="E1070" s="54"/>
      <c r="F1070" s="53">
        <v>1</v>
      </c>
      <c r="G1070" s="54">
        <v>0</v>
      </c>
      <c r="H1070" s="53"/>
      <c r="I1070" s="55"/>
    </row>
    <row r="1071" spans="1:9" ht="15.6" x14ac:dyDescent="0.3">
      <c r="A1071" s="19" t="s">
        <v>1847</v>
      </c>
      <c r="B1071" s="19" t="s">
        <v>2503</v>
      </c>
      <c r="C1071" s="19" t="s">
        <v>1918</v>
      </c>
      <c r="D1071" s="53"/>
      <c r="E1071" s="54"/>
      <c r="F1071" s="53">
        <v>6</v>
      </c>
      <c r="G1071" s="54">
        <v>0</v>
      </c>
      <c r="H1071" s="53"/>
      <c r="I1071" s="55"/>
    </row>
    <row r="1072" spans="1:9" ht="15.6" x14ac:dyDescent="0.3">
      <c r="A1072" s="19" t="s">
        <v>1848</v>
      </c>
      <c r="B1072" s="19" t="s">
        <v>854</v>
      </c>
      <c r="C1072" s="19" t="s">
        <v>1918</v>
      </c>
      <c r="D1072" s="53"/>
      <c r="E1072" s="54"/>
      <c r="F1072" s="53">
        <v>2</v>
      </c>
      <c r="G1072" s="54">
        <v>0</v>
      </c>
      <c r="H1072" s="53"/>
      <c r="I1072" s="55"/>
    </row>
    <row r="1073" spans="1:9" ht="15.6" x14ac:dyDescent="0.3">
      <c r="A1073" s="47" t="s">
        <v>1849</v>
      </c>
      <c r="B1073" s="47" t="s">
        <v>855</v>
      </c>
      <c r="C1073" s="19" t="s">
        <v>903</v>
      </c>
      <c r="D1073" s="53"/>
      <c r="E1073" s="54"/>
      <c r="F1073" s="53"/>
      <c r="G1073" s="54"/>
      <c r="H1073" s="53">
        <v>1</v>
      </c>
      <c r="I1073" s="55">
        <v>0</v>
      </c>
    </row>
    <row r="1074" spans="1:9" ht="15.6" x14ac:dyDescent="0.3">
      <c r="A1074" s="48" t="s">
        <v>1849</v>
      </c>
      <c r="B1074" s="48" t="s">
        <v>855</v>
      </c>
      <c r="C1074" s="23" t="s">
        <v>1918</v>
      </c>
      <c r="D1074" s="56"/>
      <c r="E1074" s="51"/>
      <c r="F1074" s="56">
        <v>1</v>
      </c>
      <c r="G1074" s="51">
        <v>0</v>
      </c>
      <c r="H1074" s="56"/>
      <c r="I1074" s="57"/>
    </row>
    <row r="1075" spans="1:9" ht="15.6" x14ac:dyDescent="0.3">
      <c r="A1075" s="48" t="s">
        <v>1849</v>
      </c>
      <c r="B1075" s="48" t="s">
        <v>855</v>
      </c>
      <c r="C1075" s="23" t="s">
        <v>904</v>
      </c>
      <c r="D1075" s="56"/>
      <c r="E1075" s="51"/>
      <c r="F1075" s="56">
        <v>0</v>
      </c>
      <c r="G1075" s="51">
        <v>1</v>
      </c>
      <c r="H1075" s="56"/>
      <c r="I1075" s="57"/>
    </row>
    <row r="1076" spans="1:9" ht="15.6" x14ac:dyDescent="0.3">
      <c r="A1076" s="19" t="s">
        <v>1850</v>
      </c>
      <c r="B1076" s="19" t="s">
        <v>2504</v>
      </c>
      <c r="C1076" s="19" t="s">
        <v>1918</v>
      </c>
      <c r="D1076" s="53"/>
      <c r="E1076" s="54"/>
      <c r="F1076" s="53">
        <v>1</v>
      </c>
      <c r="G1076" s="54">
        <v>0</v>
      </c>
      <c r="H1076" s="53"/>
      <c r="I1076" s="55"/>
    </row>
    <row r="1077" spans="1:9" ht="15.6" x14ac:dyDescent="0.3">
      <c r="A1077" s="19" t="s">
        <v>1851</v>
      </c>
      <c r="B1077" s="19" t="s">
        <v>856</v>
      </c>
      <c r="C1077" s="19" t="s">
        <v>1918</v>
      </c>
      <c r="D1077" s="53"/>
      <c r="E1077" s="54"/>
      <c r="F1077" s="53">
        <v>1</v>
      </c>
      <c r="G1077" s="54">
        <v>0</v>
      </c>
      <c r="H1077" s="53"/>
      <c r="I1077" s="55"/>
    </row>
    <row r="1078" spans="1:9" ht="15.6" x14ac:dyDescent="0.3">
      <c r="A1078" s="47" t="s">
        <v>1852</v>
      </c>
      <c r="B1078" s="47" t="s">
        <v>857</v>
      </c>
      <c r="C1078" s="19" t="s">
        <v>903</v>
      </c>
      <c r="D1078" s="53"/>
      <c r="E1078" s="54"/>
      <c r="F1078" s="53"/>
      <c r="G1078" s="54"/>
      <c r="H1078" s="53">
        <v>1</v>
      </c>
      <c r="I1078" s="55">
        <v>0</v>
      </c>
    </row>
    <row r="1079" spans="1:9" ht="15.6" x14ac:dyDescent="0.3">
      <c r="A1079" s="48" t="s">
        <v>1852</v>
      </c>
      <c r="B1079" s="48" t="s">
        <v>857</v>
      </c>
      <c r="C1079" s="23" t="s">
        <v>1918</v>
      </c>
      <c r="D1079" s="56"/>
      <c r="E1079" s="51"/>
      <c r="F1079" s="56">
        <v>1</v>
      </c>
      <c r="G1079" s="51">
        <v>0</v>
      </c>
      <c r="H1079" s="56"/>
      <c r="I1079" s="57"/>
    </row>
    <row r="1080" spans="1:9" ht="15.6" x14ac:dyDescent="0.3">
      <c r="A1080" s="48" t="s">
        <v>1852</v>
      </c>
      <c r="B1080" s="48" t="s">
        <v>857</v>
      </c>
      <c r="C1080" s="23" t="s">
        <v>904</v>
      </c>
      <c r="D1080" s="56"/>
      <c r="E1080" s="51"/>
      <c r="F1080" s="56">
        <v>0</v>
      </c>
      <c r="G1080" s="51">
        <v>1</v>
      </c>
      <c r="H1080" s="56"/>
      <c r="I1080" s="57"/>
    </row>
    <row r="1081" spans="1:9" ht="15.6" x14ac:dyDescent="0.3">
      <c r="A1081" s="19" t="s">
        <v>1853</v>
      </c>
      <c r="B1081" s="19" t="s">
        <v>858</v>
      </c>
      <c r="C1081" s="19" t="s">
        <v>1918</v>
      </c>
      <c r="D1081" s="53"/>
      <c r="E1081" s="54"/>
      <c r="F1081" s="53">
        <v>1</v>
      </c>
      <c r="G1081" s="54">
        <v>0</v>
      </c>
      <c r="H1081" s="53"/>
      <c r="I1081" s="55"/>
    </row>
    <row r="1082" spans="1:9" ht="15.6" x14ac:dyDescent="0.3">
      <c r="A1082" s="47" t="s">
        <v>1854</v>
      </c>
      <c r="B1082" s="47" t="s">
        <v>859</v>
      </c>
      <c r="C1082" s="19" t="s">
        <v>903</v>
      </c>
      <c r="D1082" s="53"/>
      <c r="E1082" s="54"/>
      <c r="F1082" s="53"/>
      <c r="G1082" s="54"/>
      <c r="H1082" s="53">
        <v>1</v>
      </c>
      <c r="I1082" s="55">
        <v>0</v>
      </c>
    </row>
    <row r="1083" spans="1:9" ht="15.6" x14ac:dyDescent="0.3">
      <c r="A1083" s="48" t="s">
        <v>1854</v>
      </c>
      <c r="B1083" s="48" t="s">
        <v>859</v>
      </c>
      <c r="C1083" s="23" t="s">
        <v>1918</v>
      </c>
      <c r="D1083" s="56"/>
      <c r="E1083" s="51"/>
      <c r="F1083" s="56">
        <v>1</v>
      </c>
      <c r="G1083" s="51">
        <v>0</v>
      </c>
      <c r="H1083" s="56"/>
      <c r="I1083" s="57"/>
    </row>
    <row r="1084" spans="1:9" ht="15.6" x14ac:dyDescent="0.3">
      <c r="A1084" s="48" t="s">
        <v>1854</v>
      </c>
      <c r="B1084" s="48" t="s">
        <v>859</v>
      </c>
      <c r="C1084" s="23" t="s">
        <v>904</v>
      </c>
      <c r="D1084" s="56"/>
      <c r="E1084" s="51"/>
      <c r="F1084" s="56">
        <v>0</v>
      </c>
      <c r="G1084" s="51">
        <v>1</v>
      </c>
      <c r="H1084" s="56"/>
      <c r="I1084" s="57"/>
    </row>
    <row r="1085" spans="1:9" ht="15.6" x14ac:dyDescent="0.3">
      <c r="A1085" s="19" t="s">
        <v>1855</v>
      </c>
      <c r="B1085" s="19" t="s">
        <v>860</v>
      </c>
      <c r="C1085" s="19" t="s">
        <v>1918</v>
      </c>
      <c r="D1085" s="53"/>
      <c r="E1085" s="54"/>
      <c r="F1085" s="53">
        <v>1</v>
      </c>
      <c r="G1085" s="54">
        <v>0</v>
      </c>
      <c r="H1085" s="53"/>
      <c r="I1085" s="55"/>
    </row>
    <row r="1086" spans="1:9" ht="15.6" x14ac:dyDescent="0.3">
      <c r="A1086" s="47" t="s">
        <v>1856</v>
      </c>
      <c r="B1086" s="47" t="s">
        <v>861</v>
      </c>
      <c r="C1086" s="19" t="s">
        <v>905</v>
      </c>
      <c r="D1086" s="53"/>
      <c r="E1086" s="54"/>
      <c r="F1086" s="53">
        <v>0</v>
      </c>
      <c r="G1086" s="54">
        <v>1</v>
      </c>
      <c r="H1086" s="53"/>
      <c r="I1086" s="55"/>
    </row>
    <row r="1087" spans="1:9" ht="15.6" x14ac:dyDescent="0.3">
      <c r="A1087" s="48" t="s">
        <v>1856</v>
      </c>
      <c r="B1087" s="48" t="s">
        <v>861</v>
      </c>
      <c r="C1087" s="23" t="s">
        <v>903</v>
      </c>
      <c r="D1087" s="56">
        <v>1</v>
      </c>
      <c r="E1087" s="51">
        <v>0</v>
      </c>
      <c r="F1087" s="56"/>
      <c r="G1087" s="51"/>
      <c r="H1087" s="56"/>
      <c r="I1087" s="57"/>
    </row>
    <row r="1088" spans="1:9" ht="15.6" x14ac:dyDescent="0.3">
      <c r="A1088" s="48" t="s">
        <v>1856</v>
      </c>
      <c r="B1088" s="48" t="s">
        <v>861</v>
      </c>
      <c r="C1088" s="23" t="s">
        <v>1918</v>
      </c>
      <c r="D1088" s="56"/>
      <c r="E1088" s="51"/>
      <c r="F1088" s="56">
        <v>2</v>
      </c>
      <c r="G1088" s="51">
        <v>0</v>
      </c>
      <c r="H1088" s="56"/>
      <c r="I1088" s="57"/>
    </row>
    <row r="1089" spans="1:9" ht="15.6" x14ac:dyDescent="0.3">
      <c r="A1089" s="19" t="s">
        <v>1857</v>
      </c>
      <c r="B1089" s="19" t="s">
        <v>862</v>
      </c>
      <c r="C1089" s="19" t="s">
        <v>1918</v>
      </c>
      <c r="D1089" s="53"/>
      <c r="E1089" s="54"/>
      <c r="F1089" s="53">
        <v>1</v>
      </c>
      <c r="G1089" s="54">
        <v>0</v>
      </c>
      <c r="H1089" s="53"/>
      <c r="I1089" s="55"/>
    </row>
    <row r="1090" spans="1:9" ht="15.6" x14ac:dyDescent="0.3">
      <c r="A1090" s="19" t="s">
        <v>1858</v>
      </c>
      <c r="B1090" s="19" t="s">
        <v>863</v>
      </c>
      <c r="C1090" s="19" t="s">
        <v>1918</v>
      </c>
      <c r="D1090" s="53"/>
      <c r="E1090" s="54"/>
      <c r="F1090" s="53">
        <v>1</v>
      </c>
      <c r="G1090" s="54">
        <v>0</v>
      </c>
      <c r="H1090" s="53"/>
      <c r="I1090" s="55"/>
    </row>
    <row r="1091" spans="1:9" ht="15.6" x14ac:dyDescent="0.3">
      <c r="A1091" s="19" t="s">
        <v>1859</v>
      </c>
      <c r="B1091" s="19" t="s">
        <v>864</v>
      </c>
      <c r="C1091" s="19" t="s">
        <v>1918</v>
      </c>
      <c r="D1091" s="53"/>
      <c r="E1091" s="54"/>
      <c r="F1091" s="53">
        <v>3</v>
      </c>
      <c r="G1091" s="54">
        <v>0</v>
      </c>
      <c r="H1091" s="53"/>
      <c r="I1091" s="55"/>
    </row>
    <row r="1092" spans="1:9" ht="15.6" x14ac:dyDescent="0.3">
      <c r="A1092" s="19" t="s">
        <v>1860</v>
      </c>
      <c r="B1092" s="19" t="s">
        <v>865</v>
      </c>
      <c r="C1092" s="19" t="s">
        <v>1918</v>
      </c>
      <c r="D1092" s="53"/>
      <c r="E1092" s="54"/>
      <c r="F1092" s="53">
        <v>167</v>
      </c>
      <c r="G1092" s="54">
        <v>0</v>
      </c>
      <c r="H1092" s="53"/>
      <c r="I1092" s="55"/>
    </row>
    <row r="1093" spans="1:9" ht="15.6" x14ac:dyDescent="0.3">
      <c r="A1093" s="19" t="s">
        <v>1861</v>
      </c>
      <c r="B1093" s="19" t="s">
        <v>2597</v>
      </c>
      <c r="C1093" s="19" t="s">
        <v>1918</v>
      </c>
      <c r="D1093" s="53"/>
      <c r="E1093" s="54"/>
      <c r="F1093" s="53">
        <v>0</v>
      </c>
      <c r="G1093" s="54">
        <v>0</v>
      </c>
      <c r="H1093" s="53"/>
      <c r="I1093" s="55"/>
    </row>
    <row r="1094" spans="1:9" ht="15.6" x14ac:dyDescent="0.3">
      <c r="A1094" s="19" t="s">
        <v>1862</v>
      </c>
      <c r="B1094" s="19" t="s">
        <v>866</v>
      </c>
      <c r="C1094" s="19" t="s">
        <v>1918</v>
      </c>
      <c r="D1094" s="53"/>
      <c r="E1094" s="54"/>
      <c r="F1094" s="53">
        <v>1</v>
      </c>
      <c r="G1094" s="54">
        <v>0</v>
      </c>
      <c r="H1094" s="53"/>
      <c r="I1094" s="55"/>
    </row>
    <row r="1095" spans="1:9" ht="28.8" x14ac:dyDescent="0.3">
      <c r="A1095" s="19" t="s">
        <v>1863</v>
      </c>
      <c r="B1095" s="19" t="s">
        <v>867</v>
      </c>
      <c r="C1095" s="19" t="s">
        <v>1918</v>
      </c>
      <c r="D1095" s="53"/>
      <c r="E1095" s="54"/>
      <c r="F1095" s="53">
        <v>1</v>
      </c>
      <c r="G1095" s="54">
        <v>0</v>
      </c>
      <c r="H1095" s="53"/>
      <c r="I1095" s="55"/>
    </row>
    <row r="1096" spans="1:9" ht="15.6" x14ac:dyDescent="0.3">
      <c r="A1096" s="19" t="s">
        <v>1864</v>
      </c>
      <c r="B1096" s="19" t="s">
        <v>868</v>
      </c>
      <c r="C1096" s="19" t="s">
        <v>1918</v>
      </c>
      <c r="D1096" s="53"/>
      <c r="E1096" s="54"/>
      <c r="F1096" s="53">
        <v>2</v>
      </c>
      <c r="G1096" s="54">
        <v>0</v>
      </c>
      <c r="H1096" s="53"/>
      <c r="I1096" s="55"/>
    </row>
    <row r="1097" spans="1:9" ht="15.6" x14ac:dyDescent="0.3">
      <c r="A1097" s="19" t="s">
        <v>1865</v>
      </c>
      <c r="B1097" s="19" t="s">
        <v>869</v>
      </c>
      <c r="C1097" s="19" t="s">
        <v>1918</v>
      </c>
      <c r="D1097" s="53"/>
      <c r="E1097" s="54"/>
      <c r="F1097" s="53">
        <v>1</v>
      </c>
      <c r="G1097" s="54">
        <v>0</v>
      </c>
      <c r="H1097" s="53"/>
      <c r="I1097" s="55"/>
    </row>
    <row r="1098" spans="1:9" ht="15.6" x14ac:dyDescent="0.3">
      <c r="A1098" s="19" t="s">
        <v>1866</v>
      </c>
      <c r="B1098" s="19" t="s">
        <v>870</v>
      </c>
      <c r="C1098" s="19" t="s">
        <v>1918</v>
      </c>
      <c r="D1098" s="53"/>
      <c r="E1098" s="54"/>
      <c r="F1098" s="53">
        <v>1</v>
      </c>
      <c r="G1098" s="54">
        <v>0</v>
      </c>
      <c r="H1098" s="53"/>
      <c r="I1098" s="55"/>
    </row>
    <row r="1099" spans="1:9" ht="15.6" x14ac:dyDescent="0.3">
      <c r="A1099" s="19" t="s">
        <v>1867</v>
      </c>
      <c r="B1099" s="19" t="s">
        <v>2505</v>
      </c>
      <c r="C1099" s="19" t="s">
        <v>1918</v>
      </c>
      <c r="D1099" s="53"/>
      <c r="E1099" s="54"/>
      <c r="F1099" s="53">
        <v>1</v>
      </c>
      <c r="G1099" s="54">
        <v>0</v>
      </c>
      <c r="H1099" s="53"/>
      <c r="I1099" s="55"/>
    </row>
    <row r="1100" spans="1:9" ht="15.6" x14ac:dyDescent="0.3">
      <c r="A1100" s="19" t="s">
        <v>1868</v>
      </c>
      <c r="B1100" s="19" t="s">
        <v>871</v>
      </c>
      <c r="C1100" s="19" t="s">
        <v>1918</v>
      </c>
      <c r="D1100" s="53"/>
      <c r="E1100" s="54"/>
      <c r="F1100" s="53">
        <v>1</v>
      </c>
      <c r="G1100" s="54">
        <v>0</v>
      </c>
      <c r="H1100" s="53"/>
      <c r="I1100" s="55"/>
    </row>
    <row r="1101" spans="1:9" ht="15.6" x14ac:dyDescent="0.3">
      <c r="A1101" s="19" t="s">
        <v>1869</v>
      </c>
      <c r="B1101" s="19" t="s">
        <v>872</v>
      </c>
      <c r="C1101" s="19" t="s">
        <v>1918</v>
      </c>
      <c r="D1101" s="53"/>
      <c r="E1101" s="54"/>
      <c r="F1101" s="53">
        <v>1</v>
      </c>
      <c r="G1101" s="54">
        <v>0</v>
      </c>
      <c r="H1101" s="53"/>
      <c r="I1101" s="55"/>
    </row>
    <row r="1102" spans="1:9" ht="15.6" x14ac:dyDescent="0.3">
      <c r="A1102" s="19" t="s">
        <v>1870</v>
      </c>
      <c r="B1102" s="19" t="s">
        <v>873</v>
      </c>
      <c r="C1102" s="19" t="s">
        <v>1918</v>
      </c>
      <c r="D1102" s="53"/>
      <c r="E1102" s="54"/>
      <c r="F1102" s="53">
        <v>1</v>
      </c>
      <c r="G1102" s="54">
        <v>0</v>
      </c>
      <c r="H1102" s="53"/>
      <c r="I1102" s="55"/>
    </row>
    <row r="1103" spans="1:9" ht="15.6" x14ac:dyDescent="0.3">
      <c r="A1103" s="19" t="s">
        <v>1871</v>
      </c>
      <c r="B1103" s="19" t="s">
        <v>874</v>
      </c>
      <c r="C1103" s="19" t="s">
        <v>1918</v>
      </c>
      <c r="D1103" s="53"/>
      <c r="E1103" s="54"/>
      <c r="F1103" s="53">
        <v>6</v>
      </c>
      <c r="G1103" s="54">
        <v>0</v>
      </c>
      <c r="H1103" s="53"/>
      <c r="I1103" s="55"/>
    </row>
    <row r="1104" spans="1:9" ht="15.6" x14ac:dyDescent="0.3">
      <c r="A1104" s="47" t="s">
        <v>1872</v>
      </c>
      <c r="B1104" s="47" t="s">
        <v>875</v>
      </c>
      <c r="C1104" s="19" t="s">
        <v>905</v>
      </c>
      <c r="D1104" s="53"/>
      <c r="E1104" s="54"/>
      <c r="F1104" s="53">
        <v>0</v>
      </c>
      <c r="G1104" s="54">
        <v>2</v>
      </c>
      <c r="H1104" s="53"/>
      <c r="I1104" s="55"/>
    </row>
    <row r="1105" spans="1:9" ht="15.6" x14ac:dyDescent="0.3">
      <c r="A1105" s="48" t="s">
        <v>1872</v>
      </c>
      <c r="B1105" s="48" t="s">
        <v>875</v>
      </c>
      <c r="C1105" s="23" t="s">
        <v>903</v>
      </c>
      <c r="D1105" s="56">
        <v>2</v>
      </c>
      <c r="E1105" s="51">
        <v>0</v>
      </c>
      <c r="F1105" s="56"/>
      <c r="G1105" s="51"/>
      <c r="H1105" s="56"/>
      <c r="I1105" s="57"/>
    </row>
    <row r="1106" spans="1:9" ht="15.6" x14ac:dyDescent="0.3">
      <c r="A1106" s="48" t="s">
        <v>1872</v>
      </c>
      <c r="B1106" s="48" t="s">
        <v>875</v>
      </c>
      <c r="C1106" s="23" t="s">
        <v>1918</v>
      </c>
      <c r="D1106" s="56"/>
      <c r="E1106" s="51"/>
      <c r="F1106" s="56">
        <v>2</v>
      </c>
      <c r="G1106" s="51">
        <v>0</v>
      </c>
      <c r="H1106" s="56"/>
      <c r="I1106" s="57"/>
    </row>
    <row r="1107" spans="1:9" ht="15.6" x14ac:dyDescent="0.3">
      <c r="A1107" s="19" t="s">
        <v>1873</v>
      </c>
      <c r="B1107" s="19" t="s">
        <v>876</v>
      </c>
      <c r="C1107" s="19" t="s">
        <v>1918</v>
      </c>
      <c r="D1107" s="53"/>
      <c r="E1107" s="54"/>
      <c r="F1107" s="53">
        <v>1</v>
      </c>
      <c r="G1107" s="54">
        <v>0</v>
      </c>
      <c r="H1107" s="53"/>
      <c r="I1107" s="55"/>
    </row>
    <row r="1108" spans="1:9" ht="15.6" x14ac:dyDescent="0.3">
      <c r="A1108" s="19" t="s">
        <v>1874</v>
      </c>
      <c r="B1108" s="19" t="s">
        <v>2506</v>
      </c>
      <c r="C1108" s="19" t="s">
        <v>1918</v>
      </c>
      <c r="D1108" s="53"/>
      <c r="E1108" s="54"/>
      <c r="F1108" s="53">
        <v>1</v>
      </c>
      <c r="G1108" s="54">
        <v>0</v>
      </c>
      <c r="H1108" s="53"/>
      <c r="I1108" s="55"/>
    </row>
    <row r="1109" spans="1:9" ht="15.6" x14ac:dyDescent="0.3">
      <c r="A1109" s="19" t="s">
        <v>1875</v>
      </c>
      <c r="B1109" s="19" t="s">
        <v>877</v>
      </c>
      <c r="C1109" s="19" t="s">
        <v>1918</v>
      </c>
      <c r="D1109" s="53"/>
      <c r="E1109" s="54"/>
      <c r="F1109" s="53">
        <v>1</v>
      </c>
      <c r="G1109" s="54">
        <v>0</v>
      </c>
      <c r="H1109" s="53"/>
      <c r="I1109" s="55"/>
    </row>
    <row r="1110" spans="1:9" ht="15.6" x14ac:dyDescent="0.3">
      <c r="A1110" s="19" t="s">
        <v>1876</v>
      </c>
      <c r="B1110" s="19" t="s">
        <v>878</v>
      </c>
      <c r="C1110" s="19" t="s">
        <v>1918</v>
      </c>
      <c r="D1110" s="53"/>
      <c r="E1110" s="54"/>
      <c r="F1110" s="53">
        <v>1</v>
      </c>
      <c r="G1110" s="54">
        <v>0</v>
      </c>
      <c r="H1110" s="53"/>
      <c r="I1110" s="55"/>
    </row>
    <row r="1111" spans="1:9" ht="15.6" x14ac:dyDescent="0.3">
      <c r="A1111" s="19" t="s">
        <v>1877</v>
      </c>
      <c r="B1111" s="19" t="s">
        <v>879</v>
      </c>
      <c r="C1111" s="19" t="s">
        <v>1918</v>
      </c>
      <c r="D1111" s="53"/>
      <c r="E1111" s="54"/>
      <c r="F1111" s="53">
        <v>1</v>
      </c>
      <c r="G1111" s="54">
        <v>0</v>
      </c>
      <c r="H1111" s="53"/>
      <c r="I1111" s="55"/>
    </row>
    <row r="1112" spans="1:9" ht="15.6" x14ac:dyDescent="0.3">
      <c r="A1112" s="19" t="s">
        <v>1878</v>
      </c>
      <c r="B1112" s="19" t="s">
        <v>880</v>
      </c>
      <c r="C1112" s="19" t="s">
        <v>1918</v>
      </c>
      <c r="D1112" s="53"/>
      <c r="E1112" s="54"/>
      <c r="F1112" s="53">
        <v>1</v>
      </c>
      <c r="G1112" s="54">
        <v>0</v>
      </c>
      <c r="H1112" s="53"/>
      <c r="I1112" s="55"/>
    </row>
    <row r="1113" spans="1:9" ht="15.6" x14ac:dyDescent="0.3">
      <c r="A1113" s="19" t="s">
        <v>1879</v>
      </c>
      <c r="B1113" s="19" t="s">
        <v>2507</v>
      </c>
      <c r="C1113" s="19" t="s">
        <v>1918</v>
      </c>
      <c r="D1113" s="53"/>
      <c r="E1113" s="54"/>
      <c r="F1113" s="53">
        <v>1</v>
      </c>
      <c r="G1113" s="54">
        <v>0</v>
      </c>
      <c r="H1113" s="53"/>
      <c r="I1113" s="55"/>
    </row>
    <row r="1114" spans="1:9" ht="15.6" x14ac:dyDescent="0.3">
      <c r="A1114" s="19" t="s">
        <v>1880</v>
      </c>
      <c r="B1114" s="19" t="s">
        <v>881</v>
      </c>
      <c r="C1114" s="19" t="s">
        <v>1918</v>
      </c>
      <c r="D1114" s="53"/>
      <c r="E1114" s="54"/>
      <c r="F1114" s="53">
        <v>1</v>
      </c>
      <c r="G1114" s="54">
        <v>0</v>
      </c>
      <c r="H1114" s="53"/>
      <c r="I1114" s="55"/>
    </row>
    <row r="1115" spans="1:9" ht="15.6" x14ac:dyDescent="0.3">
      <c r="A1115" s="19" t="s">
        <v>1881</v>
      </c>
      <c r="B1115" s="19" t="s">
        <v>882</v>
      </c>
      <c r="C1115" s="19" t="s">
        <v>1918</v>
      </c>
      <c r="D1115" s="53"/>
      <c r="E1115" s="54"/>
      <c r="F1115" s="53">
        <v>1</v>
      </c>
      <c r="G1115" s="54">
        <v>0</v>
      </c>
      <c r="H1115" s="53"/>
      <c r="I1115" s="55"/>
    </row>
    <row r="1116" spans="1:9" ht="15.6" x14ac:dyDescent="0.3">
      <c r="A1116" s="19" t="s">
        <v>1882</v>
      </c>
      <c r="B1116" s="19" t="s">
        <v>2508</v>
      </c>
      <c r="C1116" s="19" t="s">
        <v>1918</v>
      </c>
      <c r="D1116" s="53"/>
      <c r="E1116" s="54"/>
      <c r="F1116" s="53">
        <v>1</v>
      </c>
      <c r="G1116" s="54">
        <v>0</v>
      </c>
      <c r="H1116" s="53"/>
      <c r="I1116" s="55"/>
    </row>
    <row r="1117" spans="1:9" ht="15.6" x14ac:dyDescent="0.3">
      <c r="A1117" s="19" t="s">
        <v>1883</v>
      </c>
      <c r="B1117" s="19" t="s">
        <v>2509</v>
      </c>
      <c r="C1117" s="19" t="s">
        <v>1918</v>
      </c>
      <c r="D1117" s="53"/>
      <c r="E1117" s="54"/>
      <c r="F1117" s="53">
        <v>1</v>
      </c>
      <c r="G1117" s="54">
        <v>0</v>
      </c>
      <c r="H1117" s="53"/>
      <c r="I1117" s="55"/>
    </row>
    <row r="1118" spans="1:9" ht="15.6" x14ac:dyDescent="0.3">
      <c r="A1118" s="19" t="s">
        <v>1884</v>
      </c>
      <c r="B1118" s="19" t="s">
        <v>2510</v>
      </c>
      <c r="C1118" s="19" t="s">
        <v>1918</v>
      </c>
      <c r="D1118" s="53"/>
      <c r="E1118" s="54"/>
      <c r="F1118" s="53">
        <v>1</v>
      </c>
      <c r="G1118" s="54">
        <v>0</v>
      </c>
      <c r="H1118" s="53"/>
      <c r="I1118" s="55"/>
    </row>
    <row r="1119" spans="1:9" ht="15.6" x14ac:dyDescent="0.3">
      <c r="A1119" s="19" t="s">
        <v>1885</v>
      </c>
      <c r="B1119" s="19" t="s">
        <v>883</v>
      </c>
      <c r="C1119" s="19" t="s">
        <v>1918</v>
      </c>
      <c r="D1119" s="53"/>
      <c r="E1119" s="54"/>
      <c r="F1119" s="53">
        <v>1</v>
      </c>
      <c r="G1119" s="54">
        <v>0</v>
      </c>
      <c r="H1119" s="53"/>
      <c r="I1119" s="55"/>
    </row>
    <row r="1120" spans="1:9" ht="15.6" x14ac:dyDescent="0.3">
      <c r="A1120" s="19" t="s">
        <v>1886</v>
      </c>
      <c r="B1120" s="19" t="s">
        <v>884</v>
      </c>
      <c r="C1120" s="19" t="s">
        <v>1918</v>
      </c>
      <c r="D1120" s="53"/>
      <c r="E1120" s="54"/>
      <c r="F1120" s="53">
        <v>1</v>
      </c>
      <c r="G1120" s="54">
        <v>0</v>
      </c>
      <c r="H1120" s="53"/>
      <c r="I1120" s="55"/>
    </row>
    <row r="1121" spans="1:9" ht="15.6" x14ac:dyDescent="0.3">
      <c r="A1121" s="19" t="s">
        <v>1887</v>
      </c>
      <c r="B1121" s="19" t="s">
        <v>885</v>
      </c>
      <c r="C1121" s="19" t="s">
        <v>1918</v>
      </c>
      <c r="D1121" s="53"/>
      <c r="E1121" s="54"/>
      <c r="F1121" s="53">
        <v>1</v>
      </c>
      <c r="G1121" s="54">
        <v>0</v>
      </c>
      <c r="H1121" s="53"/>
      <c r="I1121" s="55"/>
    </row>
    <row r="1122" spans="1:9" ht="15.6" x14ac:dyDescent="0.3">
      <c r="A1122" s="19" t="s">
        <v>1888</v>
      </c>
      <c r="B1122" s="19" t="s">
        <v>886</v>
      </c>
      <c r="C1122" s="19" t="s">
        <v>1918</v>
      </c>
      <c r="D1122" s="53"/>
      <c r="E1122" s="54"/>
      <c r="F1122" s="53">
        <v>1</v>
      </c>
      <c r="G1122" s="54">
        <v>0</v>
      </c>
      <c r="H1122" s="53"/>
      <c r="I1122" s="55"/>
    </row>
    <row r="1123" spans="1:9" ht="15.6" x14ac:dyDescent="0.3">
      <c r="A1123" s="19" t="s">
        <v>1889</v>
      </c>
      <c r="B1123" s="19" t="s">
        <v>887</v>
      </c>
      <c r="C1123" s="19" t="s">
        <v>1918</v>
      </c>
      <c r="D1123" s="53"/>
      <c r="E1123" s="54"/>
      <c r="F1123" s="53">
        <v>1</v>
      </c>
      <c r="G1123" s="54">
        <v>0</v>
      </c>
      <c r="H1123" s="53"/>
      <c r="I1123" s="55"/>
    </row>
    <row r="1124" spans="1:9" ht="15.6" x14ac:dyDescent="0.3">
      <c r="A1124" s="19" t="s">
        <v>1890</v>
      </c>
      <c r="B1124" s="19" t="s">
        <v>888</v>
      </c>
      <c r="C1124" s="19" t="s">
        <v>1918</v>
      </c>
      <c r="D1124" s="53"/>
      <c r="E1124" s="54"/>
      <c r="F1124" s="53">
        <v>1</v>
      </c>
      <c r="G1124" s="54">
        <v>0</v>
      </c>
      <c r="H1124" s="53"/>
      <c r="I1124" s="55"/>
    </row>
    <row r="1125" spans="1:9" ht="15.6" x14ac:dyDescent="0.3">
      <c r="A1125" s="19" t="s">
        <v>1891</v>
      </c>
      <c r="B1125" s="19" t="s">
        <v>2511</v>
      </c>
      <c r="C1125" s="19" t="s">
        <v>1918</v>
      </c>
      <c r="D1125" s="53"/>
      <c r="E1125" s="54"/>
      <c r="F1125" s="53">
        <v>1</v>
      </c>
      <c r="G1125" s="54">
        <v>0</v>
      </c>
      <c r="H1125" s="53"/>
      <c r="I1125" s="55"/>
    </row>
    <row r="1126" spans="1:9" ht="15.6" x14ac:dyDescent="0.3">
      <c r="A1126" s="47" t="s">
        <v>1892</v>
      </c>
      <c r="B1126" s="47" t="s">
        <v>889</v>
      </c>
      <c r="C1126" s="19" t="s">
        <v>903</v>
      </c>
      <c r="D1126" s="53"/>
      <c r="E1126" s="54"/>
      <c r="F1126" s="53"/>
      <c r="G1126" s="54"/>
      <c r="H1126" s="53">
        <v>1</v>
      </c>
      <c r="I1126" s="55">
        <v>0</v>
      </c>
    </row>
    <row r="1127" spans="1:9" ht="15.6" x14ac:dyDescent="0.3">
      <c r="A1127" s="48" t="s">
        <v>1892</v>
      </c>
      <c r="B1127" s="48" t="s">
        <v>889</v>
      </c>
      <c r="C1127" s="23" t="s">
        <v>1918</v>
      </c>
      <c r="D1127" s="56"/>
      <c r="E1127" s="51"/>
      <c r="F1127" s="56">
        <v>2</v>
      </c>
      <c r="G1127" s="51">
        <v>0</v>
      </c>
      <c r="H1127" s="56"/>
      <c r="I1127" s="57"/>
    </row>
    <row r="1128" spans="1:9" ht="15.6" x14ac:dyDescent="0.3">
      <c r="A1128" s="48" t="s">
        <v>1892</v>
      </c>
      <c r="B1128" s="48" t="s">
        <v>889</v>
      </c>
      <c r="C1128" s="23" t="s">
        <v>904</v>
      </c>
      <c r="D1128" s="56"/>
      <c r="E1128" s="51"/>
      <c r="F1128" s="56">
        <v>0</v>
      </c>
      <c r="G1128" s="51">
        <v>1</v>
      </c>
      <c r="H1128" s="56"/>
      <c r="I1128" s="57"/>
    </row>
    <row r="1129" spans="1:9" ht="15.6" x14ac:dyDescent="0.3">
      <c r="A1129" s="47" t="s">
        <v>1912</v>
      </c>
      <c r="B1129" s="47" t="s">
        <v>1913</v>
      </c>
      <c r="C1129" s="19" t="s">
        <v>903</v>
      </c>
      <c r="D1129" s="53"/>
      <c r="E1129" s="54"/>
      <c r="F1129" s="53">
        <v>0</v>
      </c>
      <c r="G1129" s="54">
        <v>1</v>
      </c>
      <c r="H1129" s="53"/>
      <c r="I1129" s="55"/>
    </row>
    <row r="1130" spans="1:9" ht="15.6" x14ac:dyDescent="0.3">
      <c r="A1130" s="48" t="s">
        <v>1912</v>
      </c>
      <c r="B1130" s="48" t="s">
        <v>1913</v>
      </c>
      <c r="C1130" s="23" t="s">
        <v>1897</v>
      </c>
      <c r="D1130" s="56"/>
      <c r="E1130" s="51"/>
      <c r="F1130" s="56">
        <v>1</v>
      </c>
      <c r="G1130" s="51">
        <v>0</v>
      </c>
      <c r="H1130" s="56"/>
      <c r="I1130" s="57"/>
    </row>
    <row r="1131" spans="1:9" ht="15.6" x14ac:dyDescent="0.3">
      <c r="A1131" s="19" t="s">
        <v>1910</v>
      </c>
      <c r="B1131" s="19" t="s">
        <v>1903</v>
      </c>
      <c r="C1131" s="19" t="s">
        <v>910</v>
      </c>
      <c r="D1131" s="53"/>
      <c r="E1131" s="54"/>
      <c r="F1131" s="53"/>
      <c r="G1131" s="54"/>
      <c r="H1131" s="53">
        <v>1</v>
      </c>
      <c r="I1131" s="55">
        <v>0</v>
      </c>
    </row>
    <row r="1132" spans="1:9" ht="28.8" x14ac:dyDescent="0.3">
      <c r="A1132" s="19" t="s">
        <v>1908</v>
      </c>
      <c r="B1132" s="19" t="s">
        <v>1902</v>
      </c>
      <c r="C1132" s="19" t="s">
        <v>910</v>
      </c>
      <c r="D1132" s="53"/>
      <c r="E1132" s="54"/>
      <c r="F1132" s="53"/>
      <c r="G1132" s="54"/>
      <c r="H1132" s="53">
        <v>1</v>
      </c>
      <c r="I1132" s="55">
        <v>0</v>
      </c>
    </row>
    <row r="1133" spans="1:9" ht="28.8" x14ac:dyDescent="0.3">
      <c r="A1133" s="19" t="s">
        <v>1911</v>
      </c>
      <c r="B1133" s="19" t="s">
        <v>1904</v>
      </c>
      <c r="C1133" s="19" t="s">
        <v>910</v>
      </c>
      <c r="D1133" s="53"/>
      <c r="E1133" s="54"/>
      <c r="F1133" s="53"/>
      <c r="G1133" s="54"/>
      <c r="H1133" s="53">
        <v>1</v>
      </c>
      <c r="I1133" s="55">
        <v>0</v>
      </c>
    </row>
    <row r="1134" spans="1:9" ht="15.6" x14ac:dyDescent="0.3">
      <c r="A1134" s="47" t="s">
        <v>1949</v>
      </c>
      <c r="B1134" s="47" t="s">
        <v>2512</v>
      </c>
      <c r="C1134" s="19" t="s">
        <v>905</v>
      </c>
      <c r="D1134" s="53"/>
      <c r="E1134" s="54"/>
      <c r="F1134" s="53">
        <v>0</v>
      </c>
      <c r="G1134" s="54">
        <v>20</v>
      </c>
      <c r="H1134" s="53"/>
      <c r="I1134" s="55"/>
    </row>
    <row r="1135" spans="1:9" ht="15.6" x14ac:dyDescent="0.3">
      <c r="A1135" s="48" t="s">
        <v>1949</v>
      </c>
      <c r="B1135" s="48" t="s">
        <v>2512</v>
      </c>
      <c r="C1135" s="23" t="s">
        <v>903</v>
      </c>
      <c r="D1135" s="56">
        <v>20</v>
      </c>
      <c r="E1135" s="51">
        <v>0</v>
      </c>
      <c r="F1135" s="56"/>
      <c r="G1135" s="51"/>
      <c r="H1135" s="56"/>
      <c r="I1135" s="57"/>
    </row>
    <row r="1136" spans="1:9" ht="15.6" x14ac:dyDescent="0.3">
      <c r="A1136" s="48" t="s">
        <v>1949</v>
      </c>
      <c r="B1136" s="48" t="s">
        <v>2512</v>
      </c>
      <c r="C1136" s="23" t="s">
        <v>1897</v>
      </c>
      <c r="D1136" s="56"/>
      <c r="E1136" s="51"/>
      <c r="F1136" s="56">
        <v>20</v>
      </c>
      <c r="G1136" s="51">
        <v>0</v>
      </c>
      <c r="H1136" s="56"/>
      <c r="I1136" s="57"/>
    </row>
    <row r="1137" spans="1:9" ht="15.6" x14ac:dyDescent="0.3">
      <c r="A1137" s="47" t="s">
        <v>1951</v>
      </c>
      <c r="B1137" s="47" t="s">
        <v>1931</v>
      </c>
      <c r="C1137" s="19" t="s">
        <v>905</v>
      </c>
      <c r="D1137" s="53"/>
      <c r="E1137" s="54"/>
      <c r="F1137" s="53">
        <v>0</v>
      </c>
      <c r="G1137" s="54">
        <v>3</v>
      </c>
      <c r="H1137" s="53"/>
      <c r="I1137" s="55"/>
    </row>
    <row r="1138" spans="1:9" ht="15.6" x14ac:dyDescent="0.3">
      <c r="A1138" s="48" t="s">
        <v>1951</v>
      </c>
      <c r="B1138" s="48" t="s">
        <v>1931</v>
      </c>
      <c r="C1138" s="23" t="s">
        <v>903</v>
      </c>
      <c r="D1138" s="56">
        <v>3</v>
      </c>
      <c r="E1138" s="51">
        <v>0</v>
      </c>
      <c r="F1138" s="56"/>
      <c r="G1138" s="51"/>
      <c r="H1138" s="56"/>
      <c r="I1138" s="57"/>
    </row>
    <row r="1139" spans="1:9" ht="15.6" x14ac:dyDescent="0.3">
      <c r="A1139" s="48" t="s">
        <v>1951</v>
      </c>
      <c r="B1139" s="48" t="s">
        <v>1931</v>
      </c>
      <c r="C1139" s="23" t="s">
        <v>1897</v>
      </c>
      <c r="D1139" s="56"/>
      <c r="E1139" s="51"/>
      <c r="F1139" s="56">
        <v>3</v>
      </c>
      <c r="G1139" s="51">
        <v>0</v>
      </c>
      <c r="H1139" s="56">
        <v>2</v>
      </c>
      <c r="I1139" s="57">
        <v>0</v>
      </c>
    </row>
    <row r="1140" spans="1:9" ht="15.6" x14ac:dyDescent="0.3">
      <c r="A1140" s="47" t="s">
        <v>1952</v>
      </c>
      <c r="B1140" s="47" t="s">
        <v>1932</v>
      </c>
      <c r="C1140" s="19" t="s">
        <v>905</v>
      </c>
      <c r="D1140" s="53"/>
      <c r="E1140" s="54"/>
      <c r="F1140" s="53">
        <v>0</v>
      </c>
      <c r="G1140" s="54">
        <v>6</v>
      </c>
      <c r="H1140" s="53"/>
      <c r="I1140" s="55"/>
    </row>
    <row r="1141" spans="1:9" ht="15.6" x14ac:dyDescent="0.3">
      <c r="A1141" s="48" t="s">
        <v>1952</v>
      </c>
      <c r="B1141" s="48" t="s">
        <v>1932</v>
      </c>
      <c r="C1141" s="23" t="s">
        <v>903</v>
      </c>
      <c r="D1141" s="56">
        <v>6</v>
      </c>
      <c r="E1141" s="51">
        <v>0</v>
      </c>
      <c r="F1141" s="56"/>
      <c r="G1141" s="51"/>
      <c r="H1141" s="56"/>
      <c r="I1141" s="57"/>
    </row>
    <row r="1142" spans="1:9" ht="15.6" x14ac:dyDescent="0.3">
      <c r="A1142" s="48" t="s">
        <v>1952</v>
      </c>
      <c r="B1142" s="48" t="s">
        <v>1932</v>
      </c>
      <c r="C1142" s="23" t="s">
        <v>1897</v>
      </c>
      <c r="D1142" s="56"/>
      <c r="E1142" s="51"/>
      <c r="F1142" s="56">
        <v>6</v>
      </c>
      <c r="G1142" s="51">
        <v>0</v>
      </c>
      <c r="H1142" s="56"/>
      <c r="I1142" s="57"/>
    </row>
    <row r="1143" spans="1:9" ht="15.6" x14ac:dyDescent="0.3">
      <c r="A1143" s="47" t="s">
        <v>1955</v>
      </c>
      <c r="B1143" s="47" t="s">
        <v>1935</v>
      </c>
      <c r="C1143" s="19" t="s">
        <v>905</v>
      </c>
      <c r="D1143" s="53"/>
      <c r="E1143" s="54"/>
      <c r="F1143" s="53">
        <v>0</v>
      </c>
      <c r="G1143" s="54">
        <v>1</v>
      </c>
      <c r="H1143" s="53"/>
      <c r="I1143" s="55"/>
    </row>
    <row r="1144" spans="1:9" ht="15.6" x14ac:dyDescent="0.3">
      <c r="A1144" s="48" t="s">
        <v>1955</v>
      </c>
      <c r="B1144" s="48" t="s">
        <v>1935</v>
      </c>
      <c r="C1144" s="23" t="s">
        <v>903</v>
      </c>
      <c r="D1144" s="56">
        <v>1</v>
      </c>
      <c r="E1144" s="51">
        <v>0</v>
      </c>
      <c r="F1144" s="56"/>
      <c r="G1144" s="51"/>
      <c r="H1144" s="56"/>
      <c r="I1144" s="57"/>
    </row>
    <row r="1145" spans="1:9" ht="15.6" x14ac:dyDescent="0.3">
      <c r="A1145" s="48" t="s">
        <v>1955</v>
      </c>
      <c r="B1145" s="48" t="s">
        <v>1935</v>
      </c>
      <c r="C1145" s="23" t="s">
        <v>1897</v>
      </c>
      <c r="D1145" s="56"/>
      <c r="E1145" s="51"/>
      <c r="F1145" s="56">
        <v>1</v>
      </c>
      <c r="G1145" s="51">
        <v>0</v>
      </c>
      <c r="H1145" s="56"/>
      <c r="I1145" s="57"/>
    </row>
    <row r="1146" spans="1:9" ht="15.6" x14ac:dyDescent="0.3">
      <c r="A1146" s="47" t="s">
        <v>1957</v>
      </c>
      <c r="B1146" s="47" t="s">
        <v>1937</v>
      </c>
      <c r="C1146" s="19" t="s">
        <v>1897</v>
      </c>
      <c r="D1146" s="53"/>
      <c r="E1146" s="54"/>
      <c r="F1146" s="53">
        <v>12</v>
      </c>
      <c r="G1146" s="54">
        <v>0</v>
      </c>
      <c r="H1146" s="53">
        <v>8</v>
      </c>
      <c r="I1146" s="55">
        <v>0</v>
      </c>
    </row>
    <row r="1147" spans="1:9" ht="15.6" x14ac:dyDescent="0.3">
      <c r="A1147" s="48" t="s">
        <v>1957</v>
      </c>
      <c r="B1147" s="48" t="s">
        <v>1937</v>
      </c>
      <c r="C1147" s="23" t="s">
        <v>911</v>
      </c>
      <c r="D1147" s="56"/>
      <c r="E1147" s="51"/>
      <c r="F1147" s="56">
        <v>0</v>
      </c>
      <c r="G1147" s="51">
        <v>12</v>
      </c>
      <c r="H1147" s="56"/>
      <c r="I1147" s="57"/>
    </row>
    <row r="1148" spans="1:9" ht="15.6" x14ac:dyDescent="0.3">
      <c r="A1148" s="47" t="s">
        <v>1959</v>
      </c>
      <c r="B1148" s="47" t="s">
        <v>1939</v>
      </c>
      <c r="C1148" s="19" t="s">
        <v>905</v>
      </c>
      <c r="D1148" s="53"/>
      <c r="E1148" s="54"/>
      <c r="F1148" s="53">
        <v>0</v>
      </c>
      <c r="G1148" s="54">
        <v>1</v>
      </c>
      <c r="H1148" s="53"/>
      <c r="I1148" s="55"/>
    </row>
    <row r="1149" spans="1:9" ht="15.6" x14ac:dyDescent="0.3">
      <c r="A1149" s="48" t="s">
        <v>1959</v>
      </c>
      <c r="B1149" s="48" t="s">
        <v>1939</v>
      </c>
      <c r="C1149" s="23" t="s">
        <v>903</v>
      </c>
      <c r="D1149" s="56">
        <v>1</v>
      </c>
      <c r="E1149" s="51">
        <v>0</v>
      </c>
      <c r="F1149" s="56"/>
      <c r="G1149" s="51"/>
      <c r="H1149" s="56"/>
      <c r="I1149" s="57"/>
    </row>
    <row r="1150" spans="1:9" ht="15.6" x14ac:dyDescent="0.3">
      <c r="A1150" s="48" t="s">
        <v>1959</v>
      </c>
      <c r="B1150" s="48" t="s">
        <v>1939</v>
      </c>
      <c r="C1150" s="23" t="s">
        <v>1897</v>
      </c>
      <c r="D1150" s="56"/>
      <c r="E1150" s="51"/>
      <c r="F1150" s="56">
        <v>1</v>
      </c>
      <c r="G1150" s="51">
        <v>0</v>
      </c>
      <c r="H1150" s="56"/>
      <c r="I1150" s="57"/>
    </row>
    <row r="1151" spans="1:9" ht="15.6" x14ac:dyDescent="0.3">
      <c r="A1151" s="19" t="s">
        <v>1943</v>
      </c>
      <c r="B1151" s="19" t="s">
        <v>1924</v>
      </c>
      <c r="C1151" s="19" t="s">
        <v>910</v>
      </c>
      <c r="D1151" s="53"/>
      <c r="E1151" s="54"/>
      <c r="F1151" s="53"/>
      <c r="G1151" s="54"/>
      <c r="H1151" s="53">
        <v>1</v>
      </c>
      <c r="I1151" s="55">
        <v>0</v>
      </c>
    </row>
    <row r="1152" spans="1:9" ht="15.6" x14ac:dyDescent="0.3">
      <c r="A1152" s="19" t="s">
        <v>1944</v>
      </c>
      <c r="B1152" s="19" t="s">
        <v>1925</v>
      </c>
      <c r="C1152" s="19" t="s">
        <v>1897</v>
      </c>
      <c r="D1152" s="53"/>
      <c r="E1152" s="54"/>
      <c r="F1152" s="53"/>
      <c r="G1152" s="54"/>
      <c r="H1152" s="53">
        <v>1</v>
      </c>
      <c r="I1152" s="55">
        <v>0</v>
      </c>
    </row>
    <row r="1153" spans="1:9" ht="28.8" x14ac:dyDescent="0.3">
      <c r="A1153" s="19" t="s">
        <v>1945</v>
      </c>
      <c r="B1153" s="19" t="s">
        <v>1926</v>
      </c>
      <c r="C1153" s="19" t="s">
        <v>1897</v>
      </c>
      <c r="D1153" s="53"/>
      <c r="E1153" s="54"/>
      <c r="F1153" s="53"/>
      <c r="G1153" s="54"/>
      <c r="H1153" s="53">
        <v>10</v>
      </c>
      <c r="I1153" s="55">
        <v>0</v>
      </c>
    </row>
    <row r="1154" spans="1:9" ht="28.8" x14ac:dyDescent="0.3">
      <c r="A1154" s="19" t="s">
        <v>1946</v>
      </c>
      <c r="B1154" s="19" t="s">
        <v>1927</v>
      </c>
      <c r="C1154" s="19" t="s">
        <v>1897</v>
      </c>
      <c r="D1154" s="53"/>
      <c r="E1154" s="54"/>
      <c r="F1154" s="53"/>
      <c r="G1154" s="54"/>
      <c r="H1154" s="53">
        <v>10</v>
      </c>
      <c r="I1154" s="55">
        <v>0</v>
      </c>
    </row>
    <row r="1155" spans="1:9" ht="15.6" x14ac:dyDescent="0.3">
      <c r="A1155" s="19" t="s">
        <v>1947</v>
      </c>
      <c r="B1155" s="19" t="s">
        <v>1928</v>
      </c>
      <c r="C1155" s="19" t="s">
        <v>1897</v>
      </c>
      <c r="D1155" s="53"/>
      <c r="E1155" s="54"/>
      <c r="F1155" s="53"/>
      <c r="G1155" s="54"/>
      <c r="H1155" s="53">
        <v>1</v>
      </c>
      <c r="I1155" s="55">
        <v>0</v>
      </c>
    </row>
    <row r="1156" spans="1:9" ht="15.6" x14ac:dyDescent="0.3">
      <c r="A1156" s="19" t="s">
        <v>1948</v>
      </c>
      <c r="B1156" s="19" t="s">
        <v>1929</v>
      </c>
      <c r="C1156" s="19" t="s">
        <v>1897</v>
      </c>
      <c r="D1156" s="53"/>
      <c r="E1156" s="54"/>
      <c r="F1156" s="53"/>
      <c r="G1156" s="54"/>
      <c r="H1156" s="53">
        <v>3</v>
      </c>
      <c r="I1156" s="55">
        <v>0</v>
      </c>
    </row>
    <row r="1157" spans="1:9" ht="15.6" x14ac:dyDescent="0.3">
      <c r="A1157" s="19" t="s">
        <v>1950</v>
      </c>
      <c r="B1157" s="19" t="s">
        <v>1930</v>
      </c>
      <c r="C1157" s="19" t="s">
        <v>1897</v>
      </c>
      <c r="D1157" s="53"/>
      <c r="E1157" s="54"/>
      <c r="F1157" s="53"/>
      <c r="G1157" s="54"/>
      <c r="H1157" s="53">
        <v>2</v>
      </c>
      <c r="I1157" s="55">
        <v>0</v>
      </c>
    </row>
    <row r="1158" spans="1:9" ht="15.6" x14ac:dyDescent="0.3">
      <c r="A1158" s="19" t="s">
        <v>1953</v>
      </c>
      <c r="B1158" s="19" t="s">
        <v>1933</v>
      </c>
      <c r="C1158" s="19" t="s">
        <v>1897</v>
      </c>
      <c r="D1158" s="53"/>
      <c r="E1158" s="54"/>
      <c r="F1158" s="53"/>
      <c r="G1158" s="54"/>
      <c r="H1158" s="53">
        <v>3</v>
      </c>
      <c r="I1158" s="55">
        <v>0</v>
      </c>
    </row>
    <row r="1159" spans="1:9" ht="15.6" x14ac:dyDescent="0.3">
      <c r="A1159" s="19" t="s">
        <v>1954</v>
      </c>
      <c r="B1159" s="19" t="s">
        <v>1934</v>
      </c>
      <c r="C1159" s="19" t="s">
        <v>1897</v>
      </c>
      <c r="D1159" s="53"/>
      <c r="E1159" s="54"/>
      <c r="F1159" s="53"/>
      <c r="G1159" s="54"/>
      <c r="H1159" s="53">
        <v>2</v>
      </c>
      <c r="I1159" s="55">
        <v>0</v>
      </c>
    </row>
    <row r="1160" spans="1:9" ht="15.6" x14ac:dyDescent="0.3">
      <c r="A1160" s="19" t="s">
        <v>1956</v>
      </c>
      <c r="B1160" s="19" t="s">
        <v>1936</v>
      </c>
      <c r="C1160" s="19" t="s">
        <v>1897</v>
      </c>
      <c r="D1160" s="53"/>
      <c r="E1160" s="54"/>
      <c r="F1160" s="53"/>
      <c r="G1160" s="54"/>
      <c r="H1160" s="53">
        <v>1</v>
      </c>
      <c r="I1160" s="55">
        <v>0</v>
      </c>
    </row>
    <row r="1161" spans="1:9" ht="28.8" x14ac:dyDescent="0.3">
      <c r="A1161" s="19" t="s">
        <v>1958</v>
      </c>
      <c r="B1161" s="19" t="s">
        <v>1938</v>
      </c>
      <c r="C1161" s="19" t="s">
        <v>1897</v>
      </c>
      <c r="D1161" s="53"/>
      <c r="E1161" s="54"/>
      <c r="F1161" s="53"/>
      <c r="G1161" s="54"/>
      <c r="H1161" s="53">
        <v>1</v>
      </c>
      <c r="I1161" s="55">
        <v>0</v>
      </c>
    </row>
    <row r="1162" spans="1:9" ht="15.6" x14ac:dyDescent="0.3">
      <c r="A1162" s="19" t="s">
        <v>1960</v>
      </c>
      <c r="B1162" s="19" t="s">
        <v>1940</v>
      </c>
      <c r="C1162" s="19" t="s">
        <v>1897</v>
      </c>
      <c r="D1162" s="53"/>
      <c r="E1162" s="54"/>
      <c r="F1162" s="53"/>
      <c r="G1162" s="54"/>
      <c r="H1162" s="53">
        <v>3</v>
      </c>
      <c r="I1162" s="55">
        <v>0</v>
      </c>
    </row>
    <row r="1163" spans="1:9" ht="15.6" x14ac:dyDescent="0.3">
      <c r="A1163" s="19" t="s">
        <v>1961</v>
      </c>
      <c r="B1163" s="19" t="s">
        <v>1941</v>
      </c>
      <c r="C1163" s="19" t="s">
        <v>1897</v>
      </c>
      <c r="D1163" s="53"/>
      <c r="E1163" s="54"/>
      <c r="F1163" s="53"/>
      <c r="G1163" s="54"/>
      <c r="H1163" s="53">
        <v>2</v>
      </c>
      <c r="I1163" s="55">
        <v>0</v>
      </c>
    </row>
    <row r="1164" spans="1:9" ht="15.6" x14ac:dyDescent="0.3">
      <c r="A1164" s="19" t="s">
        <v>1962</v>
      </c>
      <c r="B1164" s="19" t="s">
        <v>1942</v>
      </c>
      <c r="C1164" s="19" t="s">
        <v>1897</v>
      </c>
      <c r="D1164" s="53"/>
      <c r="E1164" s="54"/>
      <c r="F1164" s="53"/>
      <c r="G1164" s="54"/>
      <c r="H1164" s="53">
        <v>1</v>
      </c>
      <c r="I1164" s="55">
        <v>0</v>
      </c>
    </row>
    <row r="1165" spans="1:9" ht="15.6" x14ac:dyDescent="0.3">
      <c r="A1165" s="19" t="s">
        <v>1976</v>
      </c>
      <c r="B1165" s="19" t="s">
        <v>1963</v>
      </c>
      <c r="C1165" s="19" t="s">
        <v>1897</v>
      </c>
      <c r="D1165" s="53"/>
      <c r="E1165" s="54"/>
      <c r="F1165" s="53"/>
      <c r="G1165" s="54"/>
      <c r="H1165" s="53">
        <v>5</v>
      </c>
      <c r="I1165" s="55">
        <v>0</v>
      </c>
    </row>
    <row r="1166" spans="1:9" ht="15.6" x14ac:dyDescent="0.3">
      <c r="A1166" s="19" t="s">
        <v>1977</v>
      </c>
      <c r="B1166" s="19" t="s">
        <v>1964</v>
      </c>
      <c r="C1166" s="19" t="s">
        <v>1897</v>
      </c>
      <c r="D1166" s="53"/>
      <c r="E1166" s="54"/>
      <c r="F1166" s="53"/>
      <c r="G1166" s="54"/>
      <c r="H1166" s="53">
        <v>5</v>
      </c>
      <c r="I1166" s="55">
        <v>0</v>
      </c>
    </row>
    <row r="1167" spans="1:9" ht="15.6" x14ac:dyDescent="0.3">
      <c r="A1167" s="47" t="s">
        <v>1978</v>
      </c>
      <c r="B1167" s="47" t="s">
        <v>1965</v>
      </c>
      <c r="C1167" s="19" t="s">
        <v>1897</v>
      </c>
      <c r="D1167" s="53"/>
      <c r="E1167" s="54"/>
      <c r="F1167" s="53">
        <v>10</v>
      </c>
      <c r="G1167" s="54">
        <v>0</v>
      </c>
      <c r="H1167" s="53"/>
      <c r="I1167" s="55"/>
    </row>
    <row r="1168" spans="1:9" ht="15.6" x14ac:dyDescent="0.3">
      <c r="A1168" s="48" t="s">
        <v>1978</v>
      </c>
      <c r="B1168" s="48" t="s">
        <v>1965</v>
      </c>
      <c r="C1168" s="23" t="s">
        <v>911</v>
      </c>
      <c r="D1168" s="56"/>
      <c r="E1168" s="51"/>
      <c r="F1168" s="56">
        <v>0</v>
      </c>
      <c r="G1168" s="51">
        <v>8</v>
      </c>
      <c r="H1168" s="56"/>
      <c r="I1168" s="57"/>
    </row>
    <row r="1169" spans="1:9" ht="15.6" x14ac:dyDescent="0.3">
      <c r="A1169" s="47" t="s">
        <v>1979</v>
      </c>
      <c r="B1169" s="47" t="s">
        <v>1966</v>
      </c>
      <c r="C1169" s="19" t="s">
        <v>910</v>
      </c>
      <c r="D1169" s="53"/>
      <c r="E1169" s="54"/>
      <c r="F1169" s="53"/>
      <c r="G1169" s="54"/>
      <c r="H1169" s="53">
        <v>10</v>
      </c>
      <c r="I1169" s="55">
        <v>0</v>
      </c>
    </row>
    <row r="1170" spans="1:9" ht="15.6" x14ac:dyDescent="0.3">
      <c r="A1170" s="48" t="s">
        <v>1979</v>
      </c>
      <c r="B1170" s="48" t="s">
        <v>1966</v>
      </c>
      <c r="C1170" s="23" t="s">
        <v>1897</v>
      </c>
      <c r="D1170" s="56"/>
      <c r="E1170" s="51"/>
      <c r="F1170" s="56">
        <v>10</v>
      </c>
      <c r="G1170" s="51">
        <v>0</v>
      </c>
      <c r="H1170" s="56"/>
      <c r="I1170" s="57"/>
    </row>
    <row r="1171" spans="1:9" ht="15.6" x14ac:dyDescent="0.3">
      <c r="A1171" s="48" t="s">
        <v>1979</v>
      </c>
      <c r="B1171" s="48" t="s">
        <v>1966</v>
      </c>
      <c r="C1171" s="23" t="s">
        <v>911</v>
      </c>
      <c r="D1171" s="56"/>
      <c r="E1171" s="51"/>
      <c r="F1171" s="56">
        <v>0</v>
      </c>
      <c r="G1171" s="51">
        <v>6</v>
      </c>
      <c r="H1171" s="56"/>
      <c r="I1171" s="57"/>
    </row>
    <row r="1172" spans="1:9" ht="15.6" x14ac:dyDescent="0.3">
      <c r="A1172" s="47" t="s">
        <v>1980</v>
      </c>
      <c r="B1172" s="47" t="s">
        <v>1968</v>
      </c>
      <c r="C1172" s="19" t="s">
        <v>1897</v>
      </c>
      <c r="D1172" s="53"/>
      <c r="E1172" s="54"/>
      <c r="F1172" s="53">
        <v>2</v>
      </c>
      <c r="G1172" s="54">
        <v>0</v>
      </c>
      <c r="H1172" s="53"/>
      <c r="I1172" s="55"/>
    </row>
    <row r="1173" spans="1:9" ht="15.6" x14ac:dyDescent="0.3">
      <c r="A1173" s="48" t="s">
        <v>1980</v>
      </c>
      <c r="B1173" s="48" t="s">
        <v>1968</v>
      </c>
      <c r="C1173" s="23" t="s">
        <v>911</v>
      </c>
      <c r="D1173" s="56"/>
      <c r="E1173" s="51"/>
      <c r="F1173" s="56">
        <v>0</v>
      </c>
      <c r="G1173" s="51">
        <v>1</v>
      </c>
      <c r="H1173" s="56"/>
      <c r="I1173" s="57"/>
    </row>
    <row r="1174" spans="1:9" ht="15.6" x14ac:dyDescent="0.3">
      <c r="A1174" s="47" t="s">
        <v>1981</v>
      </c>
      <c r="B1174" s="47" t="s">
        <v>2513</v>
      </c>
      <c r="C1174" s="19" t="s">
        <v>910</v>
      </c>
      <c r="D1174" s="53"/>
      <c r="E1174" s="54"/>
      <c r="F1174" s="53">
        <v>8</v>
      </c>
      <c r="G1174" s="54">
        <v>0</v>
      </c>
      <c r="H1174" s="53">
        <v>6</v>
      </c>
      <c r="I1174" s="55">
        <v>0</v>
      </c>
    </row>
    <row r="1175" spans="1:9" ht="15.6" x14ac:dyDescent="0.3">
      <c r="A1175" s="48" t="s">
        <v>1981</v>
      </c>
      <c r="B1175" s="48" t="s">
        <v>2513</v>
      </c>
      <c r="C1175" s="23" t="s">
        <v>1897</v>
      </c>
      <c r="D1175" s="56"/>
      <c r="E1175" s="51"/>
      <c r="F1175" s="56">
        <v>2</v>
      </c>
      <c r="G1175" s="51">
        <v>0</v>
      </c>
      <c r="H1175" s="56"/>
      <c r="I1175" s="57"/>
    </row>
    <row r="1176" spans="1:9" ht="15.6" x14ac:dyDescent="0.3">
      <c r="A1176" s="48" t="s">
        <v>1981</v>
      </c>
      <c r="B1176" s="48" t="s">
        <v>2513</v>
      </c>
      <c r="C1176" s="23" t="s">
        <v>911</v>
      </c>
      <c r="D1176" s="56"/>
      <c r="E1176" s="51"/>
      <c r="F1176" s="56">
        <v>0</v>
      </c>
      <c r="G1176" s="51">
        <v>6</v>
      </c>
      <c r="H1176" s="56"/>
      <c r="I1176" s="57"/>
    </row>
    <row r="1177" spans="1:9" ht="15.6" x14ac:dyDescent="0.3">
      <c r="A1177" s="47" t="s">
        <v>1982</v>
      </c>
      <c r="B1177" s="47" t="s">
        <v>2514</v>
      </c>
      <c r="C1177" s="19" t="s">
        <v>910</v>
      </c>
      <c r="D1177" s="53"/>
      <c r="E1177" s="54"/>
      <c r="F1177" s="53"/>
      <c r="G1177" s="54"/>
      <c r="H1177" s="53">
        <v>100</v>
      </c>
      <c r="I1177" s="55">
        <v>0</v>
      </c>
    </row>
    <row r="1178" spans="1:9" ht="15.6" x14ac:dyDescent="0.3">
      <c r="A1178" s="48" t="s">
        <v>1982</v>
      </c>
      <c r="B1178" s="48" t="s">
        <v>2514</v>
      </c>
      <c r="C1178" s="23" t="s">
        <v>1897</v>
      </c>
      <c r="D1178" s="56"/>
      <c r="E1178" s="51"/>
      <c r="F1178" s="56">
        <v>20</v>
      </c>
      <c r="G1178" s="51">
        <v>0</v>
      </c>
      <c r="H1178" s="56"/>
      <c r="I1178" s="57"/>
    </row>
    <row r="1179" spans="1:9" ht="15.6" x14ac:dyDescent="0.3">
      <c r="A1179" s="48" t="s">
        <v>1982</v>
      </c>
      <c r="B1179" s="48" t="s">
        <v>2514</v>
      </c>
      <c r="C1179" s="23" t="s">
        <v>911</v>
      </c>
      <c r="D1179" s="56"/>
      <c r="E1179" s="51"/>
      <c r="F1179" s="56">
        <v>0</v>
      </c>
      <c r="G1179" s="51">
        <v>13</v>
      </c>
      <c r="H1179" s="56"/>
      <c r="I1179" s="57"/>
    </row>
    <row r="1180" spans="1:9" ht="15.6" x14ac:dyDescent="0.3">
      <c r="A1180" s="47" t="s">
        <v>1983</v>
      </c>
      <c r="B1180" s="47" t="s">
        <v>1969</v>
      </c>
      <c r="C1180" s="19" t="s">
        <v>910</v>
      </c>
      <c r="D1180" s="53">
        <v>3</v>
      </c>
      <c r="E1180" s="54">
        <v>0</v>
      </c>
      <c r="F1180" s="53"/>
      <c r="G1180" s="54"/>
      <c r="H1180" s="53"/>
      <c r="I1180" s="55"/>
    </row>
    <row r="1181" spans="1:9" ht="15.6" x14ac:dyDescent="0.3">
      <c r="A1181" s="48" t="s">
        <v>1983</v>
      </c>
      <c r="B1181" s="48" t="s">
        <v>1969</v>
      </c>
      <c r="C1181" s="23" t="s">
        <v>1897</v>
      </c>
      <c r="D1181" s="56"/>
      <c r="E1181" s="51"/>
      <c r="F1181" s="56">
        <v>5</v>
      </c>
      <c r="G1181" s="51">
        <v>0</v>
      </c>
      <c r="H1181" s="56"/>
      <c r="I1181" s="57"/>
    </row>
    <row r="1182" spans="1:9" ht="15.6" x14ac:dyDescent="0.3">
      <c r="A1182" s="19" t="s">
        <v>1984</v>
      </c>
      <c r="B1182" s="19" t="s">
        <v>1970</v>
      </c>
      <c r="C1182" s="19" t="s">
        <v>1897</v>
      </c>
      <c r="D1182" s="53"/>
      <c r="E1182" s="54"/>
      <c r="F1182" s="53">
        <v>4</v>
      </c>
      <c r="G1182" s="54">
        <v>0</v>
      </c>
      <c r="H1182" s="53"/>
      <c r="I1182" s="55"/>
    </row>
    <row r="1183" spans="1:9" ht="15.6" x14ac:dyDescent="0.3">
      <c r="A1183" s="19" t="s">
        <v>1985</v>
      </c>
      <c r="B1183" s="19" t="s">
        <v>1971</v>
      </c>
      <c r="C1183" s="19" t="s">
        <v>1897</v>
      </c>
      <c r="D1183" s="53"/>
      <c r="E1183" s="54"/>
      <c r="F1183" s="53">
        <v>2</v>
      </c>
      <c r="G1183" s="54">
        <v>0</v>
      </c>
      <c r="H1183" s="53"/>
      <c r="I1183" s="55"/>
    </row>
    <row r="1184" spans="1:9" ht="15.6" x14ac:dyDescent="0.3">
      <c r="A1184" s="19" t="s">
        <v>1986</v>
      </c>
      <c r="B1184" s="19" t="s">
        <v>1972</v>
      </c>
      <c r="C1184" s="19" t="s">
        <v>1897</v>
      </c>
      <c r="D1184" s="53"/>
      <c r="E1184" s="54"/>
      <c r="F1184" s="53">
        <v>3</v>
      </c>
      <c r="G1184" s="54">
        <v>0</v>
      </c>
      <c r="H1184" s="53"/>
      <c r="I1184" s="55"/>
    </row>
    <row r="1185" spans="1:9" ht="15.6" x14ac:dyDescent="0.3">
      <c r="A1185" s="19" t="s">
        <v>1987</v>
      </c>
      <c r="B1185" s="19" t="s">
        <v>1973</v>
      </c>
      <c r="C1185" s="19" t="s">
        <v>1897</v>
      </c>
      <c r="D1185" s="53"/>
      <c r="E1185" s="54"/>
      <c r="F1185" s="53">
        <v>3</v>
      </c>
      <c r="G1185" s="54">
        <v>0</v>
      </c>
      <c r="H1185" s="53"/>
      <c r="I1185" s="55"/>
    </row>
    <row r="1186" spans="1:9" ht="15.6" x14ac:dyDescent="0.3">
      <c r="A1186" s="19" t="s">
        <v>2001</v>
      </c>
      <c r="B1186" s="19" t="s">
        <v>1993</v>
      </c>
      <c r="C1186" s="19" t="s">
        <v>1897</v>
      </c>
      <c r="D1186" s="53"/>
      <c r="E1186" s="54"/>
      <c r="F1186" s="53">
        <v>2</v>
      </c>
      <c r="G1186" s="54">
        <v>0</v>
      </c>
      <c r="H1186" s="53"/>
      <c r="I1186" s="55"/>
    </row>
    <row r="1187" spans="1:9" ht="15.6" x14ac:dyDescent="0.3">
      <c r="A1187" s="19" t="s">
        <v>2002</v>
      </c>
      <c r="B1187" s="19" t="s">
        <v>1994</v>
      </c>
      <c r="C1187" s="19" t="s">
        <v>1897</v>
      </c>
      <c r="D1187" s="53"/>
      <c r="E1187" s="54"/>
      <c r="F1187" s="53">
        <v>1</v>
      </c>
      <c r="G1187" s="54">
        <v>0</v>
      </c>
      <c r="H1187" s="53"/>
      <c r="I1187" s="55"/>
    </row>
    <row r="1188" spans="1:9" ht="15.6" x14ac:dyDescent="0.3">
      <c r="A1188" s="19" t="s">
        <v>2003</v>
      </c>
      <c r="B1188" s="19" t="s">
        <v>1995</v>
      </c>
      <c r="C1188" s="19" t="s">
        <v>1897</v>
      </c>
      <c r="D1188" s="53"/>
      <c r="E1188" s="54"/>
      <c r="F1188" s="53">
        <v>2</v>
      </c>
      <c r="G1188" s="54">
        <v>0</v>
      </c>
      <c r="H1188" s="53"/>
      <c r="I1188" s="55"/>
    </row>
    <row r="1189" spans="1:9" ht="15.6" x14ac:dyDescent="0.3">
      <c r="A1189" s="19" t="s">
        <v>2004</v>
      </c>
      <c r="B1189" s="19" t="s">
        <v>1996</v>
      </c>
      <c r="C1189" s="19" t="s">
        <v>1897</v>
      </c>
      <c r="D1189" s="53"/>
      <c r="E1189" s="54"/>
      <c r="F1189" s="53">
        <v>2</v>
      </c>
      <c r="G1189" s="54">
        <v>0</v>
      </c>
      <c r="H1189" s="53"/>
      <c r="I1189" s="55"/>
    </row>
    <row r="1190" spans="1:9" ht="15.6" x14ac:dyDescent="0.3">
      <c r="A1190" s="47" t="s">
        <v>2006</v>
      </c>
      <c r="B1190" s="47" t="s">
        <v>1998</v>
      </c>
      <c r="C1190" s="19" t="s">
        <v>1897</v>
      </c>
      <c r="D1190" s="53"/>
      <c r="E1190" s="54"/>
      <c r="F1190" s="53">
        <v>2</v>
      </c>
      <c r="G1190" s="54">
        <v>0</v>
      </c>
      <c r="H1190" s="53"/>
      <c r="I1190" s="55"/>
    </row>
    <row r="1191" spans="1:9" ht="15.6" x14ac:dyDescent="0.3">
      <c r="A1191" s="48" t="s">
        <v>2006</v>
      </c>
      <c r="B1191" s="48" t="s">
        <v>1998</v>
      </c>
      <c r="C1191" s="23" t="s">
        <v>911</v>
      </c>
      <c r="D1191" s="56"/>
      <c r="E1191" s="51"/>
      <c r="F1191" s="56">
        <v>0</v>
      </c>
      <c r="G1191" s="51">
        <v>1</v>
      </c>
      <c r="H1191" s="56"/>
      <c r="I1191" s="57"/>
    </row>
    <row r="1192" spans="1:9" ht="15.6" x14ac:dyDescent="0.3">
      <c r="A1192" s="19" t="s">
        <v>2007</v>
      </c>
      <c r="B1192" s="19" t="s">
        <v>1999</v>
      </c>
      <c r="C1192" s="19" t="s">
        <v>1897</v>
      </c>
      <c r="D1192" s="53"/>
      <c r="E1192" s="54"/>
      <c r="F1192" s="53">
        <v>6</v>
      </c>
      <c r="G1192" s="54">
        <v>0</v>
      </c>
      <c r="H1192" s="53"/>
      <c r="I1192" s="55"/>
    </row>
    <row r="1193" spans="1:9" ht="15.6" x14ac:dyDescent="0.3">
      <c r="A1193" s="19" t="s">
        <v>2008</v>
      </c>
      <c r="B1193" s="19" t="s">
        <v>2000</v>
      </c>
      <c r="C1193" s="19" t="s">
        <v>1897</v>
      </c>
      <c r="D1193" s="53"/>
      <c r="E1193" s="54"/>
      <c r="F1193" s="53">
        <v>1</v>
      </c>
      <c r="G1193" s="54">
        <v>0</v>
      </c>
      <c r="H1193" s="53"/>
      <c r="I1193" s="55"/>
    </row>
    <row r="1194" spans="1:9" ht="15.6" x14ac:dyDescent="0.3">
      <c r="A1194" s="19" t="s">
        <v>2014</v>
      </c>
      <c r="B1194" s="19" t="s">
        <v>2011</v>
      </c>
      <c r="C1194" s="19" t="s">
        <v>1897</v>
      </c>
      <c r="D1194" s="53"/>
      <c r="E1194" s="54"/>
      <c r="F1194" s="53">
        <v>1</v>
      </c>
      <c r="G1194" s="54">
        <v>0</v>
      </c>
      <c r="H1194" s="53"/>
      <c r="I1194" s="55"/>
    </row>
    <row r="1195" spans="1:9" ht="15.6" x14ac:dyDescent="0.3">
      <c r="A1195" s="19" t="s">
        <v>2015</v>
      </c>
      <c r="B1195" s="19" t="s">
        <v>2013</v>
      </c>
      <c r="C1195" s="19" t="s">
        <v>1897</v>
      </c>
      <c r="D1195" s="53"/>
      <c r="E1195" s="54"/>
      <c r="F1195" s="53">
        <v>1</v>
      </c>
      <c r="G1195" s="54">
        <v>0</v>
      </c>
      <c r="H1195" s="53"/>
      <c r="I1195" s="55"/>
    </row>
    <row r="1196" spans="1:9" ht="15.6" x14ac:dyDescent="0.3">
      <c r="A1196" s="19" t="s">
        <v>2016</v>
      </c>
      <c r="B1196" s="19" t="s">
        <v>2012</v>
      </c>
      <c r="C1196" s="19" t="s">
        <v>1897</v>
      </c>
      <c r="D1196" s="53"/>
      <c r="E1196" s="54"/>
      <c r="F1196" s="53">
        <v>1</v>
      </c>
      <c r="G1196" s="54">
        <v>0</v>
      </c>
      <c r="H1196" s="53"/>
      <c r="I1196" s="55"/>
    </row>
    <row r="1197" spans="1:9" ht="15.6" x14ac:dyDescent="0.3">
      <c r="A1197" s="19" t="s">
        <v>2017</v>
      </c>
      <c r="B1197" s="19" t="s">
        <v>2515</v>
      </c>
      <c r="C1197" s="19" t="s">
        <v>1897</v>
      </c>
      <c r="D1197" s="53"/>
      <c r="E1197" s="54"/>
      <c r="F1197" s="53">
        <v>1</v>
      </c>
      <c r="G1197" s="54">
        <v>0</v>
      </c>
      <c r="H1197" s="53"/>
      <c r="I1197" s="55"/>
    </row>
    <row r="1198" spans="1:9" ht="15.6" x14ac:dyDescent="0.3">
      <c r="A1198" s="19" t="s">
        <v>2038</v>
      </c>
      <c r="B1198" s="19" t="s">
        <v>2022</v>
      </c>
      <c r="C1198" s="19" t="s">
        <v>910</v>
      </c>
      <c r="D1198" s="53"/>
      <c r="E1198" s="54"/>
      <c r="F1198" s="53">
        <v>12</v>
      </c>
      <c r="G1198" s="54">
        <v>0</v>
      </c>
      <c r="H1198" s="53"/>
      <c r="I1198" s="55"/>
    </row>
    <row r="1199" spans="1:9" ht="15.6" x14ac:dyDescent="0.3">
      <c r="A1199" s="19" t="s">
        <v>2039</v>
      </c>
      <c r="B1199" s="19" t="s">
        <v>2023</v>
      </c>
      <c r="C1199" s="19" t="s">
        <v>910</v>
      </c>
      <c r="D1199" s="53"/>
      <c r="E1199" s="54"/>
      <c r="F1199" s="53">
        <v>24</v>
      </c>
      <c r="G1199" s="54">
        <v>0</v>
      </c>
      <c r="H1199" s="53"/>
      <c r="I1199" s="55"/>
    </row>
    <row r="1200" spans="1:9" ht="15.6" x14ac:dyDescent="0.3">
      <c r="A1200" s="19" t="s">
        <v>2040</v>
      </c>
      <c r="B1200" s="19" t="s">
        <v>2024</v>
      </c>
      <c r="C1200" s="19" t="s">
        <v>910</v>
      </c>
      <c r="D1200" s="53"/>
      <c r="E1200" s="54"/>
      <c r="F1200" s="53">
        <v>12</v>
      </c>
      <c r="G1200" s="54">
        <v>0</v>
      </c>
      <c r="H1200" s="53"/>
      <c r="I1200" s="55"/>
    </row>
    <row r="1201" spans="1:9" ht="15.6" x14ac:dyDescent="0.3">
      <c r="A1201" s="19" t="s">
        <v>2041</v>
      </c>
      <c r="B1201" s="19" t="s">
        <v>2037</v>
      </c>
      <c r="C1201" s="19" t="s">
        <v>910</v>
      </c>
      <c r="D1201" s="53"/>
      <c r="E1201" s="54"/>
      <c r="F1201" s="53">
        <v>37</v>
      </c>
      <c r="G1201" s="54">
        <v>0</v>
      </c>
      <c r="H1201" s="53"/>
      <c r="I1201" s="55"/>
    </row>
    <row r="1202" spans="1:9" ht="15.6" x14ac:dyDescent="0.3">
      <c r="A1202" s="19" t="s">
        <v>2042</v>
      </c>
      <c r="B1202" s="19" t="s">
        <v>2025</v>
      </c>
      <c r="C1202" s="19" t="s">
        <v>910</v>
      </c>
      <c r="D1202" s="53"/>
      <c r="E1202" s="54"/>
      <c r="F1202" s="53">
        <v>13</v>
      </c>
      <c r="G1202" s="54">
        <v>0</v>
      </c>
      <c r="H1202" s="53"/>
      <c r="I1202" s="55"/>
    </row>
    <row r="1203" spans="1:9" ht="15.6" x14ac:dyDescent="0.3">
      <c r="A1203" s="19" t="s">
        <v>2043</v>
      </c>
      <c r="B1203" s="19" t="s">
        <v>2026</v>
      </c>
      <c r="C1203" s="19" t="s">
        <v>910</v>
      </c>
      <c r="D1203" s="53"/>
      <c r="E1203" s="54"/>
      <c r="F1203" s="53">
        <v>2</v>
      </c>
      <c r="G1203" s="54">
        <v>0</v>
      </c>
      <c r="H1203" s="53"/>
      <c r="I1203" s="55"/>
    </row>
    <row r="1204" spans="1:9" ht="15.6" x14ac:dyDescent="0.3">
      <c r="A1204" s="19" t="s">
        <v>2044</v>
      </c>
      <c r="B1204" s="19" t="s">
        <v>2027</v>
      </c>
      <c r="C1204" s="19" t="s">
        <v>910</v>
      </c>
      <c r="D1204" s="53"/>
      <c r="E1204" s="54"/>
      <c r="F1204" s="53">
        <v>2</v>
      </c>
      <c r="G1204" s="54">
        <v>0</v>
      </c>
      <c r="H1204" s="53"/>
      <c r="I1204" s="55"/>
    </row>
    <row r="1205" spans="1:9" ht="15.6" x14ac:dyDescent="0.3">
      <c r="A1205" s="19" t="s">
        <v>2045</v>
      </c>
      <c r="B1205" s="19" t="s">
        <v>2028</v>
      </c>
      <c r="C1205" s="19" t="s">
        <v>910</v>
      </c>
      <c r="D1205" s="53"/>
      <c r="E1205" s="54"/>
      <c r="F1205" s="53">
        <v>1</v>
      </c>
      <c r="G1205" s="54">
        <v>0</v>
      </c>
      <c r="H1205" s="53"/>
      <c r="I1205" s="55"/>
    </row>
    <row r="1206" spans="1:9" ht="15.6" x14ac:dyDescent="0.3">
      <c r="A1206" s="19" t="s">
        <v>2046</v>
      </c>
      <c r="B1206" s="19" t="s">
        <v>2029</v>
      </c>
      <c r="C1206" s="19" t="s">
        <v>910</v>
      </c>
      <c r="D1206" s="53"/>
      <c r="E1206" s="54"/>
      <c r="F1206" s="53">
        <v>1</v>
      </c>
      <c r="G1206" s="54">
        <v>0</v>
      </c>
      <c r="H1206" s="53"/>
      <c r="I1206" s="55"/>
    </row>
    <row r="1207" spans="1:9" ht="15.6" x14ac:dyDescent="0.3">
      <c r="A1207" s="19" t="s">
        <v>2047</v>
      </c>
      <c r="B1207" s="19" t="s">
        <v>2155</v>
      </c>
      <c r="C1207" s="19" t="s">
        <v>910</v>
      </c>
      <c r="D1207" s="53"/>
      <c r="E1207" s="54"/>
      <c r="F1207" s="53">
        <v>8</v>
      </c>
      <c r="G1207" s="54">
        <v>0</v>
      </c>
      <c r="H1207" s="53"/>
      <c r="I1207" s="55"/>
    </row>
    <row r="1208" spans="1:9" ht="15.6" x14ac:dyDescent="0.3">
      <c r="A1208" s="47" t="s">
        <v>2048</v>
      </c>
      <c r="B1208" s="47" t="s">
        <v>2030</v>
      </c>
      <c r="C1208" s="19" t="s">
        <v>910</v>
      </c>
      <c r="D1208" s="53"/>
      <c r="E1208" s="54"/>
      <c r="F1208" s="53">
        <v>26</v>
      </c>
      <c r="G1208" s="54">
        <v>0</v>
      </c>
      <c r="H1208" s="53"/>
      <c r="I1208" s="55"/>
    </row>
    <row r="1209" spans="1:9" ht="15.6" x14ac:dyDescent="0.3">
      <c r="A1209" s="48" t="s">
        <v>2048</v>
      </c>
      <c r="B1209" s="48" t="s">
        <v>2030</v>
      </c>
      <c r="C1209" s="23" t="s">
        <v>1897</v>
      </c>
      <c r="D1209" s="56"/>
      <c r="E1209" s="51"/>
      <c r="F1209" s="56"/>
      <c r="G1209" s="51"/>
      <c r="H1209" s="56">
        <v>1</v>
      </c>
      <c r="I1209" s="57">
        <v>0</v>
      </c>
    </row>
    <row r="1210" spans="1:9" ht="15.6" x14ac:dyDescent="0.3">
      <c r="A1210" s="48" t="s">
        <v>2048</v>
      </c>
      <c r="B1210" s="48" t="s">
        <v>2030</v>
      </c>
      <c r="C1210" s="23" t="s">
        <v>911</v>
      </c>
      <c r="D1210" s="56"/>
      <c r="E1210" s="51"/>
      <c r="F1210" s="56">
        <v>0</v>
      </c>
      <c r="G1210" s="51">
        <v>1</v>
      </c>
      <c r="H1210" s="56"/>
      <c r="I1210" s="57"/>
    </row>
    <row r="1211" spans="1:9" ht="15.6" x14ac:dyDescent="0.3">
      <c r="A1211" s="19" t="s">
        <v>2049</v>
      </c>
      <c r="B1211" s="19" t="s">
        <v>2031</v>
      </c>
      <c r="C1211" s="19" t="s">
        <v>910</v>
      </c>
      <c r="D1211" s="53"/>
      <c r="E1211" s="54"/>
      <c r="F1211" s="53">
        <v>1</v>
      </c>
      <c r="G1211" s="54">
        <v>0</v>
      </c>
      <c r="H1211" s="53"/>
      <c r="I1211" s="55"/>
    </row>
    <row r="1212" spans="1:9" ht="15.6" x14ac:dyDescent="0.3">
      <c r="A1212" s="19" t="s">
        <v>2050</v>
      </c>
      <c r="B1212" s="19" t="s">
        <v>2032</v>
      </c>
      <c r="C1212" s="19" t="s">
        <v>910</v>
      </c>
      <c r="D1212" s="53"/>
      <c r="E1212" s="54"/>
      <c r="F1212" s="53">
        <v>4</v>
      </c>
      <c r="G1212" s="54">
        <v>0</v>
      </c>
      <c r="H1212" s="53"/>
      <c r="I1212" s="55"/>
    </row>
    <row r="1213" spans="1:9" ht="15.6" x14ac:dyDescent="0.3">
      <c r="A1213" s="19" t="s">
        <v>2051</v>
      </c>
      <c r="B1213" s="19" t="s">
        <v>2033</v>
      </c>
      <c r="C1213" s="19" t="s">
        <v>910</v>
      </c>
      <c r="D1213" s="53"/>
      <c r="E1213" s="54"/>
      <c r="F1213" s="53">
        <v>2</v>
      </c>
      <c r="G1213" s="54">
        <v>0</v>
      </c>
      <c r="H1213" s="53"/>
      <c r="I1213" s="55"/>
    </row>
    <row r="1214" spans="1:9" ht="15.6" x14ac:dyDescent="0.3">
      <c r="A1214" s="19" t="s">
        <v>2052</v>
      </c>
      <c r="B1214" s="19" t="s">
        <v>1967</v>
      </c>
      <c r="C1214" s="19" t="s">
        <v>910</v>
      </c>
      <c r="D1214" s="53"/>
      <c r="E1214" s="54"/>
      <c r="F1214" s="53">
        <v>4</v>
      </c>
      <c r="G1214" s="54">
        <v>0</v>
      </c>
      <c r="H1214" s="53"/>
      <c r="I1214" s="55"/>
    </row>
    <row r="1215" spans="1:9" ht="15.6" x14ac:dyDescent="0.3">
      <c r="A1215" s="47" t="s">
        <v>2053</v>
      </c>
      <c r="B1215" s="47" t="s">
        <v>2516</v>
      </c>
      <c r="C1215" s="19" t="s">
        <v>903</v>
      </c>
      <c r="D1215" s="53"/>
      <c r="E1215" s="54"/>
      <c r="F1215" s="53"/>
      <c r="G1215" s="54"/>
      <c r="H1215" s="53">
        <v>1</v>
      </c>
      <c r="I1215" s="55">
        <v>0</v>
      </c>
    </row>
    <row r="1216" spans="1:9" ht="15.6" x14ac:dyDescent="0.3">
      <c r="A1216" s="48" t="s">
        <v>2053</v>
      </c>
      <c r="B1216" s="48" t="s">
        <v>2516</v>
      </c>
      <c r="C1216" s="23" t="s">
        <v>904</v>
      </c>
      <c r="D1216" s="56"/>
      <c r="E1216" s="51"/>
      <c r="F1216" s="56">
        <v>0</v>
      </c>
      <c r="G1216" s="51">
        <v>1</v>
      </c>
      <c r="H1216" s="56"/>
      <c r="I1216" s="57"/>
    </row>
    <row r="1217" spans="1:9" ht="15.6" x14ac:dyDescent="0.3">
      <c r="A1217" s="48" t="s">
        <v>2053</v>
      </c>
      <c r="B1217" s="48" t="s">
        <v>2516</v>
      </c>
      <c r="C1217" s="23" t="s">
        <v>910</v>
      </c>
      <c r="D1217" s="56"/>
      <c r="E1217" s="51"/>
      <c r="F1217" s="56">
        <v>1</v>
      </c>
      <c r="G1217" s="51">
        <v>0</v>
      </c>
      <c r="H1217" s="56"/>
      <c r="I1217" s="57"/>
    </row>
    <row r="1218" spans="1:9" ht="15.6" x14ac:dyDescent="0.3">
      <c r="A1218" s="47" t="s">
        <v>2054</v>
      </c>
      <c r="B1218" s="47" t="s">
        <v>2034</v>
      </c>
      <c r="C1218" s="19" t="s">
        <v>903</v>
      </c>
      <c r="D1218" s="53"/>
      <c r="E1218" s="54"/>
      <c r="F1218" s="53"/>
      <c r="G1218" s="54"/>
      <c r="H1218" s="53">
        <v>1</v>
      </c>
      <c r="I1218" s="55">
        <v>0</v>
      </c>
    </row>
    <row r="1219" spans="1:9" ht="15.6" x14ac:dyDescent="0.3">
      <c r="A1219" s="48" t="s">
        <v>2054</v>
      </c>
      <c r="B1219" s="48" t="s">
        <v>2034</v>
      </c>
      <c r="C1219" s="23" t="s">
        <v>904</v>
      </c>
      <c r="D1219" s="56"/>
      <c r="E1219" s="51"/>
      <c r="F1219" s="56">
        <v>0</v>
      </c>
      <c r="G1219" s="51">
        <v>1</v>
      </c>
      <c r="H1219" s="56"/>
      <c r="I1219" s="57"/>
    </row>
    <row r="1220" spans="1:9" ht="15.6" x14ac:dyDescent="0.3">
      <c r="A1220" s="48" t="s">
        <v>2054</v>
      </c>
      <c r="B1220" s="48" t="s">
        <v>2034</v>
      </c>
      <c r="C1220" s="23" t="s">
        <v>910</v>
      </c>
      <c r="D1220" s="56"/>
      <c r="E1220" s="51"/>
      <c r="F1220" s="56">
        <v>1</v>
      </c>
      <c r="G1220" s="51">
        <v>0</v>
      </c>
      <c r="H1220" s="56">
        <v>3</v>
      </c>
      <c r="I1220" s="57">
        <v>0</v>
      </c>
    </row>
    <row r="1221" spans="1:9" ht="15.6" x14ac:dyDescent="0.3">
      <c r="A1221" s="19" t="s">
        <v>2055</v>
      </c>
      <c r="B1221" s="19" t="s">
        <v>2035</v>
      </c>
      <c r="C1221" s="19" t="s">
        <v>910</v>
      </c>
      <c r="D1221" s="53"/>
      <c r="E1221" s="54"/>
      <c r="F1221" s="53">
        <v>2</v>
      </c>
      <c r="G1221" s="54">
        <v>0</v>
      </c>
      <c r="H1221" s="53"/>
      <c r="I1221" s="55"/>
    </row>
    <row r="1222" spans="1:9" ht="15.6" x14ac:dyDescent="0.3">
      <c r="A1222" s="19" t="s">
        <v>2056</v>
      </c>
      <c r="B1222" s="19" t="s">
        <v>2036</v>
      </c>
      <c r="C1222" s="19" t="s">
        <v>910</v>
      </c>
      <c r="D1222" s="53"/>
      <c r="E1222" s="54"/>
      <c r="F1222" s="53">
        <v>2</v>
      </c>
      <c r="G1222" s="54">
        <v>0</v>
      </c>
      <c r="H1222" s="53"/>
      <c r="I1222" s="55"/>
    </row>
    <row r="1223" spans="1:9" ht="15.6" x14ac:dyDescent="0.3">
      <c r="A1223" s="19" t="s">
        <v>2058</v>
      </c>
      <c r="B1223" s="19" t="s">
        <v>2057</v>
      </c>
      <c r="C1223" s="19" t="s">
        <v>910</v>
      </c>
      <c r="D1223" s="53"/>
      <c r="E1223" s="54"/>
      <c r="F1223" s="53">
        <v>1</v>
      </c>
      <c r="G1223" s="54">
        <v>0</v>
      </c>
      <c r="H1223" s="53"/>
      <c r="I1223" s="55"/>
    </row>
    <row r="1224" spans="1:9" ht="15.6" x14ac:dyDescent="0.3">
      <c r="A1224" s="19" t="s">
        <v>2059</v>
      </c>
      <c r="B1224" s="19" t="s">
        <v>2068</v>
      </c>
      <c r="C1224" s="19" t="s">
        <v>910</v>
      </c>
      <c r="D1224" s="53"/>
      <c r="E1224" s="54"/>
      <c r="F1224" s="53">
        <v>2</v>
      </c>
      <c r="G1224" s="54">
        <v>0</v>
      </c>
      <c r="H1224" s="53"/>
      <c r="I1224" s="55"/>
    </row>
    <row r="1225" spans="1:9" ht="15.6" x14ac:dyDescent="0.3">
      <c r="A1225" s="19" t="s">
        <v>2078</v>
      </c>
      <c r="B1225" s="19" t="s">
        <v>2071</v>
      </c>
      <c r="C1225" s="19" t="s">
        <v>910</v>
      </c>
      <c r="D1225" s="53"/>
      <c r="E1225" s="54"/>
      <c r="F1225" s="53">
        <v>3</v>
      </c>
      <c r="G1225" s="54">
        <v>0</v>
      </c>
      <c r="H1225" s="53">
        <v>1</v>
      </c>
      <c r="I1225" s="55">
        <v>0</v>
      </c>
    </row>
    <row r="1226" spans="1:9" ht="15.6" x14ac:dyDescent="0.3">
      <c r="A1226" s="19" t="s">
        <v>2079</v>
      </c>
      <c r="B1226" s="19" t="s">
        <v>2072</v>
      </c>
      <c r="C1226" s="19" t="s">
        <v>910</v>
      </c>
      <c r="D1226" s="53"/>
      <c r="E1226" s="54"/>
      <c r="F1226" s="53">
        <v>2</v>
      </c>
      <c r="G1226" s="54">
        <v>0</v>
      </c>
      <c r="H1226" s="53"/>
      <c r="I1226" s="55"/>
    </row>
    <row r="1227" spans="1:9" ht="15.6" x14ac:dyDescent="0.3">
      <c r="A1227" s="19" t="s">
        <v>2080</v>
      </c>
      <c r="B1227" s="19" t="s">
        <v>2073</v>
      </c>
      <c r="C1227" s="19" t="s">
        <v>910</v>
      </c>
      <c r="D1227" s="53"/>
      <c r="E1227" s="54"/>
      <c r="F1227" s="53">
        <v>3</v>
      </c>
      <c r="G1227" s="54">
        <v>0</v>
      </c>
      <c r="H1227" s="53"/>
      <c r="I1227" s="55"/>
    </row>
    <row r="1228" spans="1:9" ht="15.6" x14ac:dyDescent="0.3">
      <c r="A1228" s="47" t="s">
        <v>2081</v>
      </c>
      <c r="B1228" s="47" t="s">
        <v>2074</v>
      </c>
      <c r="C1228" s="19" t="s">
        <v>903</v>
      </c>
      <c r="D1228" s="53"/>
      <c r="E1228" s="54"/>
      <c r="F1228" s="53"/>
      <c r="G1228" s="54"/>
      <c r="H1228" s="53">
        <v>2</v>
      </c>
      <c r="I1228" s="55">
        <v>0</v>
      </c>
    </row>
    <row r="1229" spans="1:9" ht="15.6" x14ac:dyDescent="0.3">
      <c r="A1229" s="48" t="s">
        <v>2081</v>
      </c>
      <c r="B1229" s="48" t="s">
        <v>2074</v>
      </c>
      <c r="C1229" s="23" t="s">
        <v>904</v>
      </c>
      <c r="D1229" s="56"/>
      <c r="E1229" s="51"/>
      <c r="F1229" s="56">
        <v>0</v>
      </c>
      <c r="G1229" s="51">
        <v>2</v>
      </c>
      <c r="H1229" s="56"/>
      <c r="I1229" s="57"/>
    </row>
    <row r="1230" spans="1:9" ht="15.6" x14ac:dyDescent="0.3">
      <c r="A1230" s="48" t="s">
        <v>2081</v>
      </c>
      <c r="B1230" s="48" t="s">
        <v>2074</v>
      </c>
      <c r="C1230" s="23" t="s">
        <v>910</v>
      </c>
      <c r="D1230" s="56"/>
      <c r="E1230" s="51"/>
      <c r="F1230" s="56">
        <v>10</v>
      </c>
      <c r="G1230" s="51">
        <v>0</v>
      </c>
      <c r="H1230" s="56"/>
      <c r="I1230" s="57"/>
    </row>
    <row r="1231" spans="1:9" ht="15.6" x14ac:dyDescent="0.3">
      <c r="A1231" s="19" t="s">
        <v>2082</v>
      </c>
      <c r="B1231" s="19" t="s">
        <v>2075</v>
      </c>
      <c r="C1231" s="19" t="s">
        <v>910</v>
      </c>
      <c r="D1231" s="53"/>
      <c r="E1231" s="54"/>
      <c r="F1231" s="53">
        <v>2</v>
      </c>
      <c r="G1231" s="54">
        <v>0</v>
      </c>
      <c r="H1231" s="53"/>
      <c r="I1231" s="55"/>
    </row>
    <row r="1232" spans="1:9" ht="15.6" x14ac:dyDescent="0.3">
      <c r="A1232" s="19" t="s">
        <v>2083</v>
      </c>
      <c r="B1232" s="19" t="s">
        <v>2076</v>
      </c>
      <c r="C1232" s="19" t="s">
        <v>910</v>
      </c>
      <c r="D1232" s="53"/>
      <c r="E1232" s="54"/>
      <c r="F1232" s="53">
        <v>1</v>
      </c>
      <c r="G1232" s="54">
        <v>0</v>
      </c>
      <c r="H1232" s="53"/>
      <c r="I1232" s="55"/>
    </row>
    <row r="1233" spans="1:9" ht="15.6" x14ac:dyDescent="0.3">
      <c r="A1233" s="19" t="s">
        <v>2084</v>
      </c>
      <c r="B1233" s="19" t="s">
        <v>2517</v>
      </c>
      <c r="C1233" s="19" t="s">
        <v>910</v>
      </c>
      <c r="D1233" s="53"/>
      <c r="E1233" s="54"/>
      <c r="F1233" s="53">
        <v>1</v>
      </c>
      <c r="G1233" s="54">
        <v>0</v>
      </c>
      <c r="H1233" s="53"/>
      <c r="I1233" s="55"/>
    </row>
    <row r="1234" spans="1:9" ht="15.6" x14ac:dyDescent="0.3">
      <c r="A1234" s="19" t="s">
        <v>2085</v>
      </c>
      <c r="B1234" s="19" t="s">
        <v>2077</v>
      </c>
      <c r="C1234" s="19" t="s">
        <v>910</v>
      </c>
      <c r="D1234" s="53">
        <v>1</v>
      </c>
      <c r="E1234" s="54">
        <v>0</v>
      </c>
      <c r="F1234" s="53"/>
      <c r="G1234" s="54"/>
      <c r="H1234" s="53"/>
      <c r="I1234" s="55"/>
    </row>
    <row r="1235" spans="1:9" ht="15.6" x14ac:dyDescent="0.3">
      <c r="A1235" s="47" t="s">
        <v>1988</v>
      </c>
      <c r="B1235" s="47" t="s">
        <v>1974</v>
      </c>
      <c r="C1235" s="19" t="s">
        <v>910</v>
      </c>
      <c r="D1235" s="53"/>
      <c r="E1235" s="54"/>
      <c r="F1235" s="53">
        <v>1</v>
      </c>
      <c r="G1235" s="54">
        <v>0</v>
      </c>
      <c r="H1235" s="53"/>
      <c r="I1235" s="55"/>
    </row>
    <row r="1236" spans="1:9" ht="15.6" x14ac:dyDescent="0.3">
      <c r="A1236" s="48" t="s">
        <v>1988</v>
      </c>
      <c r="B1236" s="48" t="s">
        <v>1974</v>
      </c>
      <c r="C1236" s="23" t="s">
        <v>1897</v>
      </c>
      <c r="D1236" s="56"/>
      <c r="E1236" s="51"/>
      <c r="F1236" s="56"/>
      <c r="G1236" s="51"/>
      <c r="H1236" s="56">
        <v>1</v>
      </c>
      <c r="I1236" s="57">
        <v>0</v>
      </c>
    </row>
    <row r="1237" spans="1:9" ht="15.6" x14ac:dyDescent="0.3">
      <c r="A1237" s="19" t="s">
        <v>1989</v>
      </c>
      <c r="B1237" s="19" t="s">
        <v>1975</v>
      </c>
      <c r="C1237" s="19" t="s">
        <v>1897</v>
      </c>
      <c r="D1237" s="53"/>
      <c r="E1237" s="54"/>
      <c r="F1237" s="53"/>
      <c r="G1237" s="54"/>
      <c r="H1237" s="53">
        <v>1</v>
      </c>
      <c r="I1237" s="55">
        <v>0</v>
      </c>
    </row>
    <row r="1238" spans="1:9" ht="15.6" x14ac:dyDescent="0.3">
      <c r="A1238" s="19" t="s">
        <v>2005</v>
      </c>
      <c r="B1238" s="19" t="s">
        <v>1997</v>
      </c>
      <c r="C1238" s="19" t="s">
        <v>1897</v>
      </c>
      <c r="D1238" s="53"/>
      <c r="E1238" s="54"/>
      <c r="F1238" s="53"/>
      <c r="G1238" s="54"/>
      <c r="H1238" s="53">
        <v>3</v>
      </c>
      <c r="I1238" s="55">
        <v>0</v>
      </c>
    </row>
    <row r="1239" spans="1:9" ht="15.6" x14ac:dyDescent="0.3">
      <c r="A1239" s="19" t="s">
        <v>2021</v>
      </c>
      <c r="B1239" s="19" t="s">
        <v>2020</v>
      </c>
      <c r="C1239" s="19" t="s">
        <v>1918</v>
      </c>
      <c r="D1239" s="53"/>
      <c r="E1239" s="54"/>
      <c r="F1239" s="53"/>
      <c r="G1239" s="54"/>
      <c r="H1239" s="53">
        <v>1</v>
      </c>
      <c r="I1239" s="55">
        <v>0</v>
      </c>
    </row>
    <row r="1240" spans="1:9" ht="15.6" x14ac:dyDescent="0.3">
      <c r="A1240" s="47" t="s">
        <v>2087</v>
      </c>
      <c r="B1240" s="47" t="s">
        <v>2086</v>
      </c>
      <c r="C1240" s="19" t="s">
        <v>903</v>
      </c>
      <c r="D1240" s="53"/>
      <c r="E1240" s="54"/>
      <c r="F1240" s="53"/>
      <c r="G1240" s="54"/>
      <c r="H1240" s="53">
        <v>2</v>
      </c>
      <c r="I1240" s="55">
        <v>0</v>
      </c>
    </row>
    <row r="1241" spans="1:9" ht="15.6" x14ac:dyDescent="0.3">
      <c r="A1241" s="48" t="s">
        <v>2087</v>
      </c>
      <c r="B1241" s="48" t="s">
        <v>2086</v>
      </c>
      <c r="C1241" s="23" t="s">
        <v>1918</v>
      </c>
      <c r="D1241" s="56"/>
      <c r="E1241" s="51"/>
      <c r="F1241" s="56">
        <v>2</v>
      </c>
      <c r="G1241" s="51">
        <v>0</v>
      </c>
      <c r="H1241" s="56"/>
      <c r="I1241" s="57"/>
    </row>
    <row r="1242" spans="1:9" ht="15.6" x14ac:dyDescent="0.3">
      <c r="A1242" s="48" t="s">
        <v>2087</v>
      </c>
      <c r="B1242" s="48" t="s">
        <v>2086</v>
      </c>
      <c r="C1242" s="23" t="s">
        <v>904</v>
      </c>
      <c r="D1242" s="56"/>
      <c r="E1242" s="51"/>
      <c r="F1242" s="56">
        <v>0</v>
      </c>
      <c r="G1242" s="51">
        <v>2</v>
      </c>
      <c r="H1242" s="56"/>
      <c r="I1242" s="57"/>
    </row>
    <row r="1243" spans="1:9" ht="15.6" x14ac:dyDescent="0.3">
      <c r="A1243" s="19" t="s">
        <v>2090</v>
      </c>
      <c r="B1243" s="19" t="s">
        <v>2088</v>
      </c>
      <c r="C1243" s="19" t="s">
        <v>1897</v>
      </c>
      <c r="D1243" s="53"/>
      <c r="E1243" s="54"/>
      <c r="F1243" s="53">
        <v>3.5</v>
      </c>
      <c r="G1243" s="54">
        <v>0</v>
      </c>
      <c r="H1243" s="53">
        <v>6</v>
      </c>
      <c r="I1243" s="55">
        <v>0</v>
      </c>
    </row>
    <row r="1244" spans="1:9" ht="15.6" x14ac:dyDescent="0.3">
      <c r="A1244" s="19" t="s">
        <v>2091</v>
      </c>
      <c r="B1244" s="19" t="s">
        <v>2089</v>
      </c>
      <c r="C1244" s="19" t="s">
        <v>1897</v>
      </c>
      <c r="D1244" s="53"/>
      <c r="E1244" s="54"/>
      <c r="F1244" s="53">
        <v>1</v>
      </c>
      <c r="G1244" s="54">
        <v>0</v>
      </c>
      <c r="H1244" s="53"/>
      <c r="I1244" s="55"/>
    </row>
    <row r="1245" spans="1:9" ht="15.6" x14ac:dyDescent="0.3">
      <c r="A1245" s="19" t="s">
        <v>2093</v>
      </c>
      <c r="B1245" s="19" t="s">
        <v>2092</v>
      </c>
      <c r="C1245" s="19" t="s">
        <v>1897</v>
      </c>
      <c r="D1245" s="53"/>
      <c r="E1245" s="54"/>
      <c r="F1245" s="53">
        <v>4</v>
      </c>
      <c r="G1245" s="54">
        <v>0</v>
      </c>
      <c r="H1245" s="53"/>
      <c r="I1245" s="55"/>
    </row>
    <row r="1246" spans="1:9" ht="15.6" x14ac:dyDescent="0.3">
      <c r="A1246" s="19" t="s">
        <v>2110</v>
      </c>
      <c r="B1246" s="19" t="s">
        <v>2101</v>
      </c>
      <c r="C1246" s="19" t="s">
        <v>910</v>
      </c>
      <c r="D1246" s="53">
        <v>20</v>
      </c>
      <c r="E1246" s="54">
        <v>0</v>
      </c>
      <c r="F1246" s="53"/>
      <c r="G1246" s="54"/>
      <c r="H1246" s="53"/>
      <c r="I1246" s="55"/>
    </row>
    <row r="1247" spans="1:9" ht="15.6" x14ac:dyDescent="0.3">
      <c r="A1247" s="19" t="s">
        <v>2111</v>
      </c>
      <c r="B1247" s="19" t="s">
        <v>2102</v>
      </c>
      <c r="C1247" s="19" t="s">
        <v>910</v>
      </c>
      <c r="D1247" s="53">
        <v>4</v>
      </c>
      <c r="E1247" s="54">
        <v>0</v>
      </c>
      <c r="F1247" s="53"/>
      <c r="G1247" s="54"/>
      <c r="H1247" s="53"/>
      <c r="I1247" s="55"/>
    </row>
    <row r="1248" spans="1:9" ht="15.6" x14ac:dyDescent="0.3">
      <c r="A1248" s="19" t="s">
        <v>2112</v>
      </c>
      <c r="B1248" s="19" t="s">
        <v>2103</v>
      </c>
      <c r="C1248" s="19" t="s">
        <v>910</v>
      </c>
      <c r="D1248" s="53">
        <v>100</v>
      </c>
      <c r="E1248" s="54">
        <v>0</v>
      </c>
      <c r="F1248" s="53"/>
      <c r="G1248" s="54"/>
      <c r="H1248" s="53"/>
      <c r="I1248" s="55"/>
    </row>
    <row r="1249" spans="1:9" ht="15.6" x14ac:dyDescent="0.3">
      <c r="A1249" s="19" t="s">
        <v>2113</v>
      </c>
      <c r="B1249" s="19" t="s">
        <v>2104</v>
      </c>
      <c r="C1249" s="19" t="s">
        <v>910</v>
      </c>
      <c r="D1249" s="53">
        <v>100</v>
      </c>
      <c r="E1249" s="54">
        <v>0</v>
      </c>
      <c r="F1249" s="53"/>
      <c r="G1249" s="54"/>
      <c r="H1249" s="53"/>
      <c r="I1249" s="55"/>
    </row>
    <row r="1250" spans="1:9" ht="15.6" x14ac:dyDescent="0.3">
      <c r="A1250" s="19" t="s">
        <v>2114</v>
      </c>
      <c r="B1250" s="19" t="s">
        <v>2105</v>
      </c>
      <c r="C1250" s="19" t="s">
        <v>910</v>
      </c>
      <c r="D1250" s="53">
        <v>10</v>
      </c>
      <c r="E1250" s="54">
        <v>0</v>
      </c>
      <c r="F1250" s="53"/>
      <c r="G1250" s="54"/>
      <c r="H1250" s="53"/>
      <c r="I1250" s="55"/>
    </row>
    <row r="1251" spans="1:9" ht="15.6" x14ac:dyDescent="0.3">
      <c r="A1251" s="19" t="s">
        <v>2115</v>
      </c>
      <c r="B1251" s="19" t="s">
        <v>2106</v>
      </c>
      <c r="C1251" s="19" t="s">
        <v>910</v>
      </c>
      <c r="D1251" s="53">
        <v>20</v>
      </c>
      <c r="E1251" s="54">
        <v>0</v>
      </c>
      <c r="F1251" s="53"/>
      <c r="G1251" s="54"/>
      <c r="H1251" s="53"/>
      <c r="I1251" s="55"/>
    </row>
    <row r="1252" spans="1:9" ht="15.6" x14ac:dyDescent="0.3">
      <c r="A1252" s="19" t="s">
        <v>2116</v>
      </c>
      <c r="B1252" s="19" t="s">
        <v>2107</v>
      </c>
      <c r="C1252" s="19" t="s">
        <v>910</v>
      </c>
      <c r="D1252" s="53">
        <v>1</v>
      </c>
      <c r="E1252" s="54">
        <v>0</v>
      </c>
      <c r="F1252" s="53"/>
      <c r="G1252" s="54"/>
      <c r="H1252" s="53"/>
      <c r="I1252" s="55"/>
    </row>
    <row r="1253" spans="1:9" ht="15.6" x14ac:dyDescent="0.3">
      <c r="A1253" s="19" t="s">
        <v>2117</v>
      </c>
      <c r="B1253" s="19" t="s">
        <v>2108</v>
      </c>
      <c r="C1253" s="19" t="s">
        <v>910</v>
      </c>
      <c r="D1253" s="53">
        <v>10</v>
      </c>
      <c r="E1253" s="54">
        <v>0</v>
      </c>
      <c r="F1253" s="53"/>
      <c r="G1253" s="54"/>
      <c r="H1253" s="53"/>
      <c r="I1253" s="55"/>
    </row>
    <row r="1254" spans="1:9" ht="15.6" x14ac:dyDescent="0.3">
      <c r="A1254" s="19" t="s">
        <v>2118</v>
      </c>
      <c r="B1254" s="19" t="s">
        <v>2109</v>
      </c>
      <c r="C1254" s="19" t="s">
        <v>910</v>
      </c>
      <c r="D1254" s="53">
        <v>20</v>
      </c>
      <c r="E1254" s="54">
        <v>0</v>
      </c>
      <c r="F1254" s="53"/>
      <c r="G1254" s="54"/>
      <c r="H1254" s="53"/>
      <c r="I1254" s="55"/>
    </row>
    <row r="1255" spans="1:9" ht="15.6" x14ac:dyDescent="0.3">
      <c r="A1255" s="19" t="s">
        <v>2095</v>
      </c>
      <c r="B1255" s="19" t="s">
        <v>2094</v>
      </c>
      <c r="C1255" s="19" t="s">
        <v>1897</v>
      </c>
      <c r="D1255" s="53"/>
      <c r="E1255" s="54"/>
      <c r="F1255" s="53"/>
      <c r="G1255" s="54"/>
      <c r="H1255" s="53">
        <v>2</v>
      </c>
      <c r="I1255" s="55">
        <v>0</v>
      </c>
    </row>
    <row r="1256" spans="1:9" ht="15.6" x14ac:dyDescent="0.3">
      <c r="A1256" s="19" t="s">
        <v>2096</v>
      </c>
      <c r="B1256" s="19" t="s">
        <v>2097</v>
      </c>
      <c r="C1256" s="19" t="s">
        <v>1897</v>
      </c>
      <c r="D1256" s="53"/>
      <c r="E1256" s="54"/>
      <c r="F1256" s="53"/>
      <c r="G1256" s="54"/>
      <c r="H1256" s="53">
        <v>1</v>
      </c>
      <c r="I1256" s="55">
        <v>0</v>
      </c>
    </row>
    <row r="1257" spans="1:9" ht="15.6" x14ac:dyDescent="0.3">
      <c r="A1257" s="19" t="s">
        <v>2099</v>
      </c>
      <c r="B1257" s="19" t="s">
        <v>2098</v>
      </c>
      <c r="C1257" s="19" t="s">
        <v>1897</v>
      </c>
      <c r="D1257" s="53"/>
      <c r="E1257" s="54"/>
      <c r="F1257" s="53"/>
      <c r="G1257" s="54"/>
      <c r="H1257" s="53">
        <v>1.5</v>
      </c>
      <c r="I1257" s="55">
        <v>0</v>
      </c>
    </row>
    <row r="1258" spans="1:9" ht="15.6" x14ac:dyDescent="0.3">
      <c r="A1258" s="19" t="s">
        <v>2128</v>
      </c>
      <c r="B1258" s="19" t="s">
        <v>2119</v>
      </c>
      <c r="C1258" s="19" t="s">
        <v>1897</v>
      </c>
      <c r="D1258" s="53"/>
      <c r="E1258" s="54"/>
      <c r="F1258" s="53"/>
      <c r="G1258" s="54"/>
      <c r="H1258" s="53">
        <v>1</v>
      </c>
      <c r="I1258" s="55">
        <v>0</v>
      </c>
    </row>
    <row r="1259" spans="1:9" ht="15.6" x14ac:dyDescent="0.3">
      <c r="A1259" s="19" t="s">
        <v>2129</v>
      </c>
      <c r="B1259" s="19" t="s">
        <v>2518</v>
      </c>
      <c r="C1259" s="19" t="s">
        <v>1897</v>
      </c>
      <c r="D1259" s="53"/>
      <c r="E1259" s="54"/>
      <c r="F1259" s="53"/>
      <c r="G1259" s="54"/>
      <c r="H1259" s="53">
        <v>1</v>
      </c>
      <c r="I1259" s="55">
        <v>0</v>
      </c>
    </row>
    <row r="1260" spans="1:9" ht="15.6" x14ac:dyDescent="0.3">
      <c r="A1260" s="19" t="s">
        <v>2130</v>
      </c>
      <c r="B1260" s="19" t="s">
        <v>2120</v>
      </c>
      <c r="C1260" s="19" t="s">
        <v>1897</v>
      </c>
      <c r="D1260" s="53"/>
      <c r="E1260" s="54"/>
      <c r="F1260" s="53"/>
      <c r="G1260" s="54"/>
      <c r="H1260" s="53">
        <v>2</v>
      </c>
      <c r="I1260" s="55">
        <v>0</v>
      </c>
    </row>
    <row r="1261" spans="1:9" ht="15.6" x14ac:dyDescent="0.3">
      <c r="A1261" s="19" t="s">
        <v>2131</v>
      </c>
      <c r="B1261" s="19" t="s">
        <v>2121</v>
      </c>
      <c r="C1261" s="19" t="s">
        <v>1897</v>
      </c>
      <c r="D1261" s="53"/>
      <c r="E1261" s="54"/>
      <c r="F1261" s="53"/>
      <c r="G1261" s="54"/>
      <c r="H1261" s="53">
        <v>1</v>
      </c>
      <c r="I1261" s="55">
        <v>0</v>
      </c>
    </row>
    <row r="1262" spans="1:9" ht="15.6" x14ac:dyDescent="0.3">
      <c r="A1262" s="19" t="s">
        <v>2132</v>
      </c>
      <c r="B1262" s="19" t="s">
        <v>2122</v>
      </c>
      <c r="C1262" s="19" t="s">
        <v>1897</v>
      </c>
      <c r="D1262" s="53"/>
      <c r="E1262" s="54"/>
      <c r="F1262" s="53"/>
      <c r="G1262" s="54"/>
      <c r="H1262" s="53">
        <v>6</v>
      </c>
      <c r="I1262" s="55">
        <v>0</v>
      </c>
    </row>
    <row r="1263" spans="1:9" ht="15.6" x14ac:dyDescent="0.3">
      <c r="A1263" s="19" t="s">
        <v>2133</v>
      </c>
      <c r="B1263" s="19" t="s">
        <v>2123</v>
      </c>
      <c r="C1263" s="19" t="s">
        <v>1897</v>
      </c>
      <c r="D1263" s="53"/>
      <c r="E1263" s="54"/>
      <c r="F1263" s="53"/>
      <c r="G1263" s="54"/>
      <c r="H1263" s="53">
        <v>1</v>
      </c>
      <c r="I1263" s="55">
        <v>0</v>
      </c>
    </row>
    <row r="1264" spans="1:9" ht="15.6" x14ac:dyDescent="0.3">
      <c r="A1264" s="19" t="s">
        <v>2134</v>
      </c>
      <c r="B1264" s="19" t="s">
        <v>2124</v>
      </c>
      <c r="C1264" s="19" t="s">
        <v>1897</v>
      </c>
      <c r="D1264" s="53"/>
      <c r="E1264" s="54"/>
      <c r="F1264" s="53"/>
      <c r="G1264" s="54"/>
      <c r="H1264" s="53">
        <v>1</v>
      </c>
      <c r="I1264" s="55">
        <v>0</v>
      </c>
    </row>
    <row r="1265" spans="1:9" ht="15.6" x14ac:dyDescent="0.3">
      <c r="A1265" s="19" t="s">
        <v>2135</v>
      </c>
      <c r="B1265" s="19" t="s">
        <v>2125</v>
      </c>
      <c r="C1265" s="19" t="s">
        <v>1897</v>
      </c>
      <c r="D1265" s="53"/>
      <c r="E1265" s="54"/>
      <c r="F1265" s="53"/>
      <c r="G1265" s="54"/>
      <c r="H1265" s="53">
        <v>10</v>
      </c>
      <c r="I1265" s="55">
        <v>0</v>
      </c>
    </row>
    <row r="1266" spans="1:9" ht="15.6" x14ac:dyDescent="0.3">
      <c r="A1266" s="19" t="s">
        <v>2136</v>
      </c>
      <c r="B1266" s="19" t="s">
        <v>2140</v>
      </c>
      <c r="C1266" s="19" t="s">
        <v>1897</v>
      </c>
      <c r="D1266" s="53"/>
      <c r="E1266" s="54"/>
      <c r="F1266" s="53"/>
      <c r="G1266" s="54"/>
      <c r="H1266" s="53">
        <v>1</v>
      </c>
      <c r="I1266" s="55">
        <v>0</v>
      </c>
    </row>
    <row r="1267" spans="1:9" ht="15.6" x14ac:dyDescent="0.3">
      <c r="A1267" s="19" t="s">
        <v>2137</v>
      </c>
      <c r="B1267" s="19" t="s">
        <v>2126</v>
      </c>
      <c r="C1267" s="19" t="s">
        <v>1897</v>
      </c>
      <c r="D1267" s="53"/>
      <c r="E1267" s="54"/>
      <c r="F1267" s="53"/>
      <c r="G1267" s="54"/>
      <c r="H1267" s="53">
        <v>1</v>
      </c>
      <c r="I1267" s="55">
        <v>0</v>
      </c>
    </row>
    <row r="1268" spans="1:9" ht="15.6" x14ac:dyDescent="0.3">
      <c r="A1268" s="19" t="s">
        <v>2138</v>
      </c>
      <c r="B1268" s="19" t="s">
        <v>2127</v>
      </c>
      <c r="C1268" s="19" t="s">
        <v>1897</v>
      </c>
      <c r="D1268" s="53"/>
      <c r="E1268" s="54"/>
      <c r="F1268" s="53"/>
      <c r="G1268" s="54"/>
      <c r="H1268" s="53">
        <v>5</v>
      </c>
      <c r="I1268" s="55">
        <v>0</v>
      </c>
    </row>
    <row r="1269" spans="1:9" ht="15.6" x14ac:dyDescent="0.3">
      <c r="A1269" s="19" t="s">
        <v>2139</v>
      </c>
      <c r="B1269" s="19" t="s">
        <v>2519</v>
      </c>
      <c r="C1269" s="19" t="s">
        <v>1897</v>
      </c>
      <c r="D1269" s="53"/>
      <c r="E1269" s="54"/>
      <c r="F1269" s="53"/>
      <c r="G1269" s="54"/>
      <c r="H1269" s="53">
        <v>12</v>
      </c>
      <c r="I1269" s="55">
        <v>0</v>
      </c>
    </row>
    <row r="1270" spans="1:9" ht="15.6" x14ac:dyDescent="0.3">
      <c r="A1270" s="47" t="s">
        <v>2143</v>
      </c>
      <c r="B1270" s="47" t="s">
        <v>2142</v>
      </c>
      <c r="C1270" s="19" t="s">
        <v>903</v>
      </c>
      <c r="D1270" s="53"/>
      <c r="E1270" s="54"/>
      <c r="F1270" s="53"/>
      <c r="G1270" s="54"/>
      <c r="H1270" s="53">
        <v>1</v>
      </c>
      <c r="I1270" s="55">
        <v>0</v>
      </c>
    </row>
    <row r="1271" spans="1:9" ht="15.6" x14ac:dyDescent="0.3">
      <c r="A1271" s="48" t="s">
        <v>2143</v>
      </c>
      <c r="B1271" s="48" t="s">
        <v>2142</v>
      </c>
      <c r="C1271" s="23" t="s">
        <v>1918</v>
      </c>
      <c r="D1271" s="56"/>
      <c r="E1271" s="51"/>
      <c r="F1271" s="56">
        <v>1</v>
      </c>
      <c r="G1271" s="51">
        <v>0</v>
      </c>
      <c r="H1271" s="56"/>
      <c r="I1271" s="57"/>
    </row>
    <row r="1272" spans="1:9" ht="15.6" x14ac:dyDescent="0.3">
      <c r="A1272" s="48" t="s">
        <v>2143</v>
      </c>
      <c r="B1272" s="48" t="s">
        <v>2142</v>
      </c>
      <c r="C1272" s="23" t="s">
        <v>904</v>
      </c>
      <c r="D1272" s="56"/>
      <c r="E1272" s="51"/>
      <c r="F1272" s="56">
        <v>0</v>
      </c>
      <c r="G1272" s="51">
        <v>1</v>
      </c>
      <c r="H1272" s="56"/>
      <c r="I1272" s="57"/>
    </row>
    <row r="1273" spans="1:9" ht="15.6" x14ac:dyDescent="0.3">
      <c r="A1273" s="47" t="s">
        <v>2146</v>
      </c>
      <c r="B1273" s="47" t="s">
        <v>2148</v>
      </c>
      <c r="C1273" s="19" t="s">
        <v>910</v>
      </c>
      <c r="D1273" s="53"/>
      <c r="E1273" s="54"/>
      <c r="F1273" s="53"/>
      <c r="G1273" s="54"/>
      <c r="H1273" s="53">
        <v>5</v>
      </c>
      <c r="I1273" s="55">
        <v>0</v>
      </c>
    </row>
    <row r="1274" spans="1:9" ht="15.6" x14ac:dyDescent="0.3">
      <c r="A1274" s="48" t="s">
        <v>2146</v>
      </c>
      <c r="B1274" s="48" t="s">
        <v>2148</v>
      </c>
      <c r="C1274" s="23" t="s">
        <v>911</v>
      </c>
      <c r="D1274" s="56"/>
      <c r="E1274" s="51"/>
      <c r="F1274" s="56"/>
      <c r="G1274" s="51"/>
      <c r="H1274" s="56">
        <v>0</v>
      </c>
      <c r="I1274" s="57">
        <v>5</v>
      </c>
    </row>
    <row r="1275" spans="1:9" ht="15.6" x14ac:dyDescent="0.3">
      <c r="A1275" s="19" t="s">
        <v>2157</v>
      </c>
      <c r="B1275" s="19" t="s">
        <v>2158</v>
      </c>
      <c r="C1275" s="19" t="s">
        <v>910</v>
      </c>
      <c r="D1275" s="53"/>
      <c r="E1275" s="54"/>
      <c r="F1275" s="53">
        <v>5</v>
      </c>
      <c r="G1275" s="54">
        <v>0</v>
      </c>
      <c r="H1275" s="53"/>
      <c r="I1275" s="55"/>
    </row>
    <row r="1276" spans="1:9" ht="15.6" x14ac:dyDescent="0.3">
      <c r="A1276" s="19" t="s">
        <v>2154</v>
      </c>
      <c r="B1276" s="19" t="s">
        <v>2151</v>
      </c>
      <c r="C1276" s="19" t="s">
        <v>910</v>
      </c>
      <c r="D1276" s="53"/>
      <c r="E1276" s="54"/>
      <c r="F1276" s="53">
        <v>11</v>
      </c>
      <c r="G1276" s="54">
        <v>0</v>
      </c>
      <c r="H1276" s="53">
        <v>25</v>
      </c>
      <c r="I1276" s="55">
        <v>0</v>
      </c>
    </row>
    <row r="1277" spans="1:9" ht="15.6" x14ac:dyDescent="0.3">
      <c r="A1277" s="19" t="s">
        <v>2161</v>
      </c>
      <c r="B1277" s="19" t="s">
        <v>2520</v>
      </c>
      <c r="C1277" s="19" t="s">
        <v>910</v>
      </c>
      <c r="D1277" s="53"/>
      <c r="E1277" s="54"/>
      <c r="F1277" s="53">
        <v>1</v>
      </c>
      <c r="G1277" s="54">
        <v>0</v>
      </c>
      <c r="H1277" s="53"/>
      <c r="I1277" s="55"/>
    </row>
    <row r="1278" spans="1:9" ht="15.6" x14ac:dyDescent="0.3">
      <c r="A1278" s="19" t="s">
        <v>2162</v>
      </c>
      <c r="B1278" s="19" t="s">
        <v>2521</v>
      </c>
      <c r="C1278" s="19" t="s">
        <v>910</v>
      </c>
      <c r="D1278" s="53"/>
      <c r="E1278" s="54"/>
      <c r="F1278" s="53">
        <v>1</v>
      </c>
      <c r="G1278" s="54">
        <v>0</v>
      </c>
      <c r="H1278" s="53"/>
      <c r="I1278" s="55"/>
    </row>
    <row r="1279" spans="1:9" ht="15.6" x14ac:dyDescent="0.3">
      <c r="A1279" s="19" t="s">
        <v>2163</v>
      </c>
      <c r="B1279" s="19" t="s">
        <v>2160</v>
      </c>
      <c r="C1279" s="19" t="s">
        <v>910</v>
      </c>
      <c r="D1279" s="53"/>
      <c r="E1279" s="54"/>
      <c r="F1279" s="53">
        <v>2</v>
      </c>
      <c r="G1279" s="54">
        <v>0</v>
      </c>
      <c r="H1279" s="53"/>
      <c r="I1279" s="55"/>
    </row>
    <row r="1280" spans="1:9" ht="15.6" x14ac:dyDescent="0.3">
      <c r="A1280" s="19" t="s">
        <v>2156</v>
      </c>
      <c r="B1280" s="19" t="s">
        <v>2165</v>
      </c>
      <c r="C1280" s="19" t="s">
        <v>1897</v>
      </c>
      <c r="D1280" s="53"/>
      <c r="E1280" s="54"/>
      <c r="F1280" s="53"/>
      <c r="G1280" s="54"/>
      <c r="H1280" s="53">
        <v>3</v>
      </c>
      <c r="I1280" s="55">
        <v>0</v>
      </c>
    </row>
    <row r="1281" spans="1:9" ht="15.6" x14ac:dyDescent="0.3">
      <c r="A1281" s="19" t="s">
        <v>2173</v>
      </c>
      <c r="B1281" s="19" t="s">
        <v>2166</v>
      </c>
      <c r="C1281" s="19" t="s">
        <v>1897</v>
      </c>
      <c r="D1281" s="53"/>
      <c r="E1281" s="54"/>
      <c r="F1281" s="53"/>
      <c r="G1281" s="54"/>
      <c r="H1281" s="53">
        <v>1</v>
      </c>
      <c r="I1281" s="55">
        <v>0</v>
      </c>
    </row>
    <row r="1282" spans="1:9" ht="15.6" x14ac:dyDescent="0.3">
      <c r="A1282" s="19" t="s">
        <v>2174</v>
      </c>
      <c r="B1282" s="19" t="s">
        <v>2167</v>
      </c>
      <c r="C1282" s="19" t="s">
        <v>1897</v>
      </c>
      <c r="D1282" s="53"/>
      <c r="E1282" s="54"/>
      <c r="F1282" s="53"/>
      <c r="G1282" s="54"/>
      <c r="H1282" s="53">
        <v>1</v>
      </c>
      <c r="I1282" s="55">
        <v>0</v>
      </c>
    </row>
    <row r="1283" spans="1:9" ht="15.6" x14ac:dyDescent="0.3">
      <c r="A1283" s="19" t="s">
        <v>2175</v>
      </c>
      <c r="B1283" s="19" t="s">
        <v>2168</v>
      </c>
      <c r="C1283" s="19" t="s">
        <v>1897</v>
      </c>
      <c r="D1283" s="53"/>
      <c r="E1283" s="54"/>
      <c r="F1283" s="53"/>
      <c r="G1283" s="54"/>
      <c r="H1283" s="53">
        <v>1</v>
      </c>
      <c r="I1283" s="55">
        <v>0</v>
      </c>
    </row>
    <row r="1284" spans="1:9" ht="15.6" x14ac:dyDescent="0.3">
      <c r="A1284" s="19" t="s">
        <v>2176</v>
      </c>
      <c r="B1284" s="19" t="s">
        <v>2172</v>
      </c>
      <c r="C1284" s="19" t="s">
        <v>1897</v>
      </c>
      <c r="D1284" s="53"/>
      <c r="E1284" s="54"/>
      <c r="F1284" s="53"/>
      <c r="G1284" s="54"/>
      <c r="H1284" s="53">
        <v>1</v>
      </c>
      <c r="I1284" s="55">
        <v>0</v>
      </c>
    </row>
    <row r="1285" spans="1:9" ht="15.6" x14ac:dyDescent="0.3">
      <c r="A1285" s="19" t="s">
        <v>2177</v>
      </c>
      <c r="B1285" s="19" t="s">
        <v>2169</v>
      </c>
      <c r="C1285" s="19" t="s">
        <v>1897</v>
      </c>
      <c r="D1285" s="53"/>
      <c r="E1285" s="54"/>
      <c r="F1285" s="53"/>
      <c r="G1285" s="54"/>
      <c r="H1285" s="53">
        <v>1</v>
      </c>
      <c r="I1285" s="55">
        <v>0</v>
      </c>
    </row>
    <row r="1286" spans="1:9" ht="15.6" x14ac:dyDescent="0.3">
      <c r="A1286" s="47" t="s">
        <v>2178</v>
      </c>
      <c r="B1286" s="47" t="s">
        <v>2170</v>
      </c>
      <c r="C1286" s="19" t="s">
        <v>910</v>
      </c>
      <c r="D1286" s="53"/>
      <c r="E1286" s="54"/>
      <c r="F1286" s="53">
        <v>1</v>
      </c>
      <c r="G1286" s="54">
        <v>0</v>
      </c>
      <c r="H1286" s="53">
        <v>2</v>
      </c>
      <c r="I1286" s="55">
        <v>0</v>
      </c>
    </row>
    <row r="1287" spans="1:9" ht="15.6" x14ac:dyDescent="0.3">
      <c r="A1287" s="48" t="s">
        <v>2178</v>
      </c>
      <c r="B1287" s="48" t="s">
        <v>2170</v>
      </c>
      <c r="C1287" s="23" t="s">
        <v>1897</v>
      </c>
      <c r="D1287" s="56"/>
      <c r="E1287" s="51"/>
      <c r="F1287" s="56"/>
      <c r="G1287" s="51"/>
      <c r="H1287" s="56">
        <v>1</v>
      </c>
      <c r="I1287" s="57">
        <v>0</v>
      </c>
    </row>
    <row r="1288" spans="1:9" ht="15.6" x14ac:dyDescent="0.3">
      <c r="A1288" s="19" t="s">
        <v>2179</v>
      </c>
      <c r="B1288" s="19" t="s">
        <v>2171</v>
      </c>
      <c r="C1288" s="19" t="s">
        <v>1897</v>
      </c>
      <c r="D1288" s="53"/>
      <c r="E1288" s="54"/>
      <c r="F1288" s="53"/>
      <c r="G1288" s="54"/>
      <c r="H1288" s="53">
        <v>1</v>
      </c>
      <c r="I1288" s="55">
        <v>0</v>
      </c>
    </row>
    <row r="1289" spans="1:9" ht="15.6" x14ac:dyDescent="0.3">
      <c r="A1289" s="19" t="s">
        <v>2189</v>
      </c>
      <c r="B1289" s="19" t="s">
        <v>2180</v>
      </c>
      <c r="C1289" s="19" t="s">
        <v>1897</v>
      </c>
      <c r="D1289" s="53"/>
      <c r="E1289" s="54"/>
      <c r="F1289" s="53"/>
      <c r="G1289" s="54"/>
      <c r="H1289" s="53">
        <v>3</v>
      </c>
      <c r="I1289" s="55">
        <v>0</v>
      </c>
    </row>
    <row r="1290" spans="1:9" ht="15.6" x14ac:dyDescent="0.3">
      <c r="A1290" s="19" t="s">
        <v>2190</v>
      </c>
      <c r="B1290" s="19" t="s">
        <v>2181</v>
      </c>
      <c r="C1290" s="19" t="s">
        <v>1897</v>
      </c>
      <c r="D1290" s="53"/>
      <c r="E1290" s="54"/>
      <c r="F1290" s="53"/>
      <c r="G1290" s="54"/>
      <c r="H1290" s="53">
        <v>1</v>
      </c>
      <c r="I1290" s="55">
        <v>0</v>
      </c>
    </row>
    <row r="1291" spans="1:9" ht="15.6" x14ac:dyDescent="0.3">
      <c r="A1291" s="19" t="s">
        <v>2191</v>
      </c>
      <c r="B1291" s="19" t="s">
        <v>2182</v>
      </c>
      <c r="C1291" s="19" t="s">
        <v>1897</v>
      </c>
      <c r="D1291" s="53"/>
      <c r="E1291" s="54"/>
      <c r="F1291" s="53"/>
      <c r="G1291" s="54"/>
      <c r="H1291" s="53">
        <v>1</v>
      </c>
      <c r="I1291" s="55">
        <v>0</v>
      </c>
    </row>
    <row r="1292" spans="1:9" ht="15.6" x14ac:dyDescent="0.3">
      <c r="A1292" s="19" t="s">
        <v>2192</v>
      </c>
      <c r="B1292" s="19" t="s">
        <v>2183</v>
      </c>
      <c r="C1292" s="19" t="s">
        <v>1897</v>
      </c>
      <c r="D1292" s="53"/>
      <c r="E1292" s="54"/>
      <c r="F1292" s="53"/>
      <c r="G1292" s="54"/>
      <c r="H1292" s="53">
        <v>1</v>
      </c>
      <c r="I1292" s="55">
        <v>0</v>
      </c>
    </row>
    <row r="1293" spans="1:9" ht="15.6" x14ac:dyDescent="0.3">
      <c r="A1293" s="19" t="s">
        <v>2193</v>
      </c>
      <c r="B1293" s="19" t="s">
        <v>2184</v>
      </c>
      <c r="C1293" s="19" t="s">
        <v>1897</v>
      </c>
      <c r="D1293" s="53"/>
      <c r="E1293" s="54"/>
      <c r="F1293" s="53"/>
      <c r="G1293" s="54"/>
      <c r="H1293" s="53">
        <v>1</v>
      </c>
      <c r="I1293" s="55">
        <v>0</v>
      </c>
    </row>
    <row r="1294" spans="1:9" ht="15.6" x14ac:dyDescent="0.3">
      <c r="A1294" s="19" t="s">
        <v>2194</v>
      </c>
      <c r="B1294" s="19" t="s">
        <v>2185</v>
      </c>
      <c r="C1294" s="19" t="s">
        <v>1897</v>
      </c>
      <c r="D1294" s="53"/>
      <c r="E1294" s="54"/>
      <c r="F1294" s="53"/>
      <c r="G1294" s="54"/>
      <c r="H1294" s="53">
        <v>1</v>
      </c>
      <c r="I1294" s="55">
        <v>0</v>
      </c>
    </row>
    <row r="1295" spans="1:9" ht="15.6" x14ac:dyDescent="0.3">
      <c r="A1295" s="19" t="s">
        <v>2195</v>
      </c>
      <c r="B1295" s="19" t="s">
        <v>2186</v>
      </c>
      <c r="C1295" s="19" t="s">
        <v>1897</v>
      </c>
      <c r="D1295" s="53"/>
      <c r="E1295" s="54"/>
      <c r="F1295" s="53"/>
      <c r="G1295" s="54"/>
      <c r="H1295" s="53">
        <v>1</v>
      </c>
      <c r="I1295" s="55">
        <v>0</v>
      </c>
    </row>
    <row r="1296" spans="1:9" ht="15.6" x14ac:dyDescent="0.3">
      <c r="A1296" s="19" t="s">
        <v>2196</v>
      </c>
      <c r="B1296" s="19" t="s">
        <v>2187</v>
      </c>
      <c r="C1296" s="19" t="s">
        <v>1897</v>
      </c>
      <c r="D1296" s="53"/>
      <c r="E1296" s="54"/>
      <c r="F1296" s="53"/>
      <c r="G1296" s="54"/>
      <c r="H1296" s="53">
        <v>3</v>
      </c>
      <c r="I1296" s="55">
        <v>0</v>
      </c>
    </row>
    <row r="1297" spans="1:9" ht="15.6" x14ac:dyDescent="0.3">
      <c r="A1297" s="19" t="s">
        <v>2197</v>
      </c>
      <c r="B1297" s="19" t="s">
        <v>2188</v>
      </c>
      <c r="C1297" s="19" t="s">
        <v>1897</v>
      </c>
      <c r="D1297" s="53"/>
      <c r="E1297" s="54"/>
      <c r="F1297" s="53"/>
      <c r="G1297" s="54"/>
      <c r="H1297" s="53">
        <v>3</v>
      </c>
      <c r="I1297" s="55">
        <v>0</v>
      </c>
    </row>
    <row r="1298" spans="1:9" ht="15.6" x14ac:dyDescent="0.3">
      <c r="A1298" s="19" t="s">
        <v>2205</v>
      </c>
      <c r="B1298" s="19" t="s">
        <v>2204</v>
      </c>
      <c r="C1298" s="19" t="s">
        <v>1897</v>
      </c>
      <c r="D1298" s="53"/>
      <c r="E1298" s="54"/>
      <c r="F1298" s="53">
        <v>1</v>
      </c>
      <c r="G1298" s="54">
        <v>0</v>
      </c>
      <c r="H1298" s="53"/>
      <c r="I1298" s="55"/>
    </row>
    <row r="1299" spans="1:9" ht="15.6" x14ac:dyDescent="0.3">
      <c r="A1299" s="19" t="s">
        <v>2209</v>
      </c>
      <c r="B1299" s="19" t="s">
        <v>2208</v>
      </c>
      <c r="C1299" s="19" t="s">
        <v>1897</v>
      </c>
      <c r="D1299" s="53"/>
      <c r="E1299" s="54"/>
      <c r="F1299" s="53">
        <v>50</v>
      </c>
      <c r="G1299" s="54">
        <v>0</v>
      </c>
      <c r="H1299" s="53"/>
      <c r="I1299" s="55"/>
    </row>
    <row r="1300" spans="1:9" ht="15.6" x14ac:dyDescent="0.3">
      <c r="A1300" s="19" t="s">
        <v>2198</v>
      </c>
      <c r="B1300" s="19" t="s">
        <v>2199</v>
      </c>
      <c r="C1300" s="19" t="s">
        <v>1897</v>
      </c>
      <c r="D1300" s="53"/>
      <c r="E1300" s="54"/>
      <c r="F1300" s="53"/>
      <c r="G1300" s="54"/>
      <c r="H1300" s="53">
        <v>1</v>
      </c>
      <c r="I1300" s="55">
        <v>0</v>
      </c>
    </row>
    <row r="1301" spans="1:9" ht="15.6" x14ac:dyDescent="0.3">
      <c r="A1301" s="19" t="s">
        <v>2201</v>
      </c>
      <c r="B1301" s="19" t="s">
        <v>2200</v>
      </c>
      <c r="C1301" s="19" t="s">
        <v>1897</v>
      </c>
      <c r="D1301" s="53"/>
      <c r="E1301" s="54"/>
      <c r="F1301" s="53"/>
      <c r="G1301" s="54"/>
      <c r="H1301" s="53">
        <v>1</v>
      </c>
      <c r="I1301" s="55">
        <v>0</v>
      </c>
    </row>
    <row r="1302" spans="1:9" ht="15.6" x14ac:dyDescent="0.3">
      <c r="A1302" s="19" t="s">
        <v>2203</v>
      </c>
      <c r="B1302" s="19" t="s">
        <v>2202</v>
      </c>
      <c r="C1302" s="19" t="s">
        <v>1897</v>
      </c>
      <c r="D1302" s="53"/>
      <c r="E1302" s="54"/>
      <c r="F1302" s="53"/>
      <c r="G1302" s="54"/>
      <c r="H1302" s="53">
        <v>2</v>
      </c>
      <c r="I1302" s="55">
        <v>0</v>
      </c>
    </row>
    <row r="1303" spans="1:9" ht="15.6" x14ac:dyDescent="0.3">
      <c r="A1303" s="19" t="s">
        <v>2207</v>
      </c>
      <c r="B1303" s="19" t="s">
        <v>2206</v>
      </c>
      <c r="C1303" s="19" t="s">
        <v>1897</v>
      </c>
      <c r="D1303" s="53"/>
      <c r="E1303" s="54"/>
      <c r="F1303" s="53"/>
      <c r="G1303" s="54"/>
      <c r="H1303" s="53">
        <v>2</v>
      </c>
      <c r="I1303" s="55">
        <v>0</v>
      </c>
    </row>
    <row r="1304" spans="1:9" ht="15.6" x14ac:dyDescent="0.3">
      <c r="A1304" s="19" t="s">
        <v>2211</v>
      </c>
      <c r="B1304" s="19" t="s">
        <v>2210</v>
      </c>
      <c r="C1304" s="19" t="s">
        <v>1897</v>
      </c>
      <c r="D1304" s="53"/>
      <c r="E1304" s="54"/>
      <c r="F1304" s="53"/>
      <c r="G1304" s="54"/>
      <c r="H1304" s="53">
        <v>3</v>
      </c>
      <c r="I1304" s="55">
        <v>0</v>
      </c>
    </row>
    <row r="1305" spans="1:9" ht="15.6" x14ac:dyDescent="0.3">
      <c r="A1305" s="19" t="s">
        <v>2213</v>
      </c>
      <c r="B1305" s="19" t="s">
        <v>2212</v>
      </c>
      <c r="C1305" s="19" t="s">
        <v>1897</v>
      </c>
      <c r="D1305" s="53"/>
      <c r="E1305" s="54"/>
      <c r="F1305" s="53"/>
      <c r="G1305" s="54"/>
      <c r="H1305" s="53">
        <v>1</v>
      </c>
      <c r="I1305" s="55">
        <v>0</v>
      </c>
    </row>
    <row r="1306" spans="1:9" ht="15.6" x14ac:dyDescent="0.3">
      <c r="A1306" s="47" t="s">
        <v>2219</v>
      </c>
      <c r="B1306" s="47" t="s">
        <v>2522</v>
      </c>
      <c r="C1306" s="19" t="s">
        <v>910</v>
      </c>
      <c r="D1306" s="53"/>
      <c r="E1306" s="54"/>
      <c r="F1306" s="53"/>
      <c r="G1306" s="54"/>
      <c r="H1306" s="53">
        <v>40</v>
      </c>
      <c r="I1306" s="55">
        <v>0</v>
      </c>
    </row>
    <row r="1307" spans="1:9" ht="15.6" x14ac:dyDescent="0.3">
      <c r="A1307" s="48" t="s">
        <v>2219</v>
      </c>
      <c r="B1307" s="48" t="s">
        <v>2522</v>
      </c>
      <c r="C1307" s="23" t="s">
        <v>1897</v>
      </c>
      <c r="D1307" s="56"/>
      <c r="E1307" s="51"/>
      <c r="F1307" s="56"/>
      <c r="G1307" s="51"/>
      <c r="H1307" s="56">
        <v>5</v>
      </c>
      <c r="I1307" s="57">
        <v>0</v>
      </c>
    </row>
    <row r="1308" spans="1:9" ht="15.6" x14ac:dyDescent="0.3">
      <c r="A1308" s="19" t="s">
        <v>2220</v>
      </c>
      <c r="B1308" s="19" t="s">
        <v>2215</v>
      </c>
      <c r="C1308" s="19" t="s">
        <v>1897</v>
      </c>
      <c r="D1308" s="53"/>
      <c r="E1308" s="54"/>
      <c r="F1308" s="53"/>
      <c r="G1308" s="54"/>
      <c r="H1308" s="53">
        <v>30</v>
      </c>
      <c r="I1308" s="55">
        <v>0</v>
      </c>
    </row>
    <row r="1309" spans="1:9" ht="15.6" x14ac:dyDescent="0.3">
      <c r="A1309" s="19" t="s">
        <v>2221</v>
      </c>
      <c r="B1309" s="19" t="s">
        <v>2216</v>
      </c>
      <c r="C1309" s="19" t="s">
        <v>1897</v>
      </c>
      <c r="D1309" s="53"/>
      <c r="E1309" s="54"/>
      <c r="F1309" s="53"/>
      <c r="G1309" s="54"/>
      <c r="H1309" s="53">
        <v>3</v>
      </c>
      <c r="I1309" s="55">
        <v>0</v>
      </c>
    </row>
    <row r="1310" spans="1:9" ht="15.6" x14ac:dyDescent="0.3">
      <c r="A1310" s="19" t="s">
        <v>2222</v>
      </c>
      <c r="B1310" s="19" t="s">
        <v>2217</v>
      </c>
      <c r="C1310" s="19" t="s">
        <v>1897</v>
      </c>
      <c r="D1310" s="53"/>
      <c r="E1310" s="54"/>
      <c r="F1310" s="53"/>
      <c r="G1310" s="54"/>
      <c r="H1310" s="53">
        <v>2</v>
      </c>
      <c r="I1310" s="55">
        <v>0</v>
      </c>
    </row>
    <row r="1311" spans="1:9" ht="15.6" x14ac:dyDescent="0.3">
      <c r="A1311" s="19" t="s">
        <v>2223</v>
      </c>
      <c r="B1311" s="19" t="s">
        <v>2218</v>
      </c>
      <c r="C1311" s="19" t="s">
        <v>1897</v>
      </c>
      <c r="D1311" s="53"/>
      <c r="E1311" s="54"/>
      <c r="F1311" s="53"/>
      <c r="G1311" s="54"/>
      <c r="H1311" s="53">
        <v>1</v>
      </c>
      <c r="I1311" s="55">
        <v>0</v>
      </c>
    </row>
    <row r="1312" spans="1:9" ht="28.8" x14ac:dyDescent="0.3">
      <c r="A1312" s="19" t="s">
        <v>2224</v>
      </c>
      <c r="B1312" s="19" t="s">
        <v>2225</v>
      </c>
      <c r="C1312" s="19" t="s">
        <v>910</v>
      </c>
      <c r="D1312" s="53"/>
      <c r="E1312" s="54"/>
      <c r="F1312" s="53"/>
      <c r="G1312" s="54"/>
      <c r="H1312" s="53">
        <v>1</v>
      </c>
      <c r="I1312" s="55">
        <v>0</v>
      </c>
    </row>
    <row r="1313" spans="1:9" ht="15.6" x14ac:dyDescent="0.3">
      <c r="A1313" s="19" t="s">
        <v>2227</v>
      </c>
      <c r="B1313" s="19" t="s">
        <v>2226</v>
      </c>
      <c r="C1313" s="19" t="s">
        <v>910</v>
      </c>
      <c r="D1313" s="53"/>
      <c r="E1313" s="54"/>
      <c r="F1313" s="53">
        <v>1</v>
      </c>
      <c r="G1313" s="54">
        <v>0</v>
      </c>
      <c r="H1313" s="53"/>
      <c r="I1313" s="55"/>
    </row>
    <row r="1314" spans="1:9" ht="15.6" x14ac:dyDescent="0.3">
      <c r="A1314" s="19" t="s">
        <v>2230</v>
      </c>
      <c r="B1314" s="19" t="s">
        <v>2228</v>
      </c>
      <c r="C1314" s="19" t="s">
        <v>910</v>
      </c>
      <c r="D1314" s="53"/>
      <c r="E1314" s="54"/>
      <c r="F1314" s="53">
        <v>1</v>
      </c>
      <c r="G1314" s="54">
        <v>0</v>
      </c>
      <c r="H1314" s="53"/>
      <c r="I1314" s="55"/>
    </row>
    <row r="1315" spans="1:9" ht="15.6" x14ac:dyDescent="0.3">
      <c r="A1315" s="19" t="s">
        <v>2231</v>
      </c>
      <c r="B1315" s="19" t="s">
        <v>2229</v>
      </c>
      <c r="C1315" s="19" t="s">
        <v>910</v>
      </c>
      <c r="D1315" s="53"/>
      <c r="E1315" s="54"/>
      <c r="F1315" s="53">
        <v>1</v>
      </c>
      <c r="G1315" s="54">
        <v>0</v>
      </c>
      <c r="H1315" s="53"/>
      <c r="I1315" s="55"/>
    </row>
    <row r="1316" spans="1:9" ht="15.6" x14ac:dyDescent="0.3">
      <c r="A1316" s="19" t="s">
        <v>2153</v>
      </c>
      <c r="B1316" s="19" t="s">
        <v>2150</v>
      </c>
      <c r="C1316" s="19" t="s">
        <v>910</v>
      </c>
      <c r="D1316" s="53"/>
      <c r="E1316" s="54"/>
      <c r="F1316" s="53">
        <v>4</v>
      </c>
      <c r="G1316" s="54">
        <v>0</v>
      </c>
      <c r="H1316" s="53"/>
      <c r="I1316" s="55"/>
    </row>
    <row r="1317" spans="1:9" ht="15.6" x14ac:dyDescent="0.3">
      <c r="A1317" s="19" t="s">
        <v>2234</v>
      </c>
      <c r="B1317" s="19" t="s">
        <v>2232</v>
      </c>
      <c r="C1317" s="19" t="s">
        <v>910</v>
      </c>
      <c r="D1317" s="53"/>
      <c r="E1317" s="54"/>
      <c r="F1317" s="53">
        <v>3</v>
      </c>
      <c r="G1317" s="54">
        <v>0</v>
      </c>
      <c r="H1317" s="53"/>
      <c r="I1317" s="55"/>
    </row>
    <row r="1318" spans="1:9" ht="15.6" x14ac:dyDescent="0.3">
      <c r="A1318" s="19" t="s">
        <v>2235</v>
      </c>
      <c r="B1318" s="19" t="s">
        <v>2233</v>
      </c>
      <c r="C1318" s="19" t="s">
        <v>910</v>
      </c>
      <c r="D1318" s="53"/>
      <c r="E1318" s="54"/>
      <c r="F1318" s="53">
        <v>2</v>
      </c>
      <c r="G1318" s="54">
        <v>0</v>
      </c>
      <c r="H1318" s="53"/>
      <c r="I1318" s="55"/>
    </row>
    <row r="1319" spans="1:9" ht="15.6" x14ac:dyDescent="0.3">
      <c r="A1319" s="19" t="s">
        <v>2237</v>
      </c>
      <c r="B1319" s="19" t="s">
        <v>2236</v>
      </c>
      <c r="C1319" s="19" t="s">
        <v>910</v>
      </c>
      <c r="D1319" s="53"/>
      <c r="E1319" s="54"/>
      <c r="F1319" s="53">
        <v>2</v>
      </c>
      <c r="G1319" s="54">
        <v>0</v>
      </c>
      <c r="H1319" s="53"/>
      <c r="I1319" s="55"/>
    </row>
    <row r="1320" spans="1:9" ht="15.6" x14ac:dyDescent="0.3">
      <c r="A1320" s="19" t="s">
        <v>2239</v>
      </c>
      <c r="B1320" s="19" t="s">
        <v>2238</v>
      </c>
      <c r="C1320" s="19" t="s">
        <v>910</v>
      </c>
      <c r="D1320" s="53"/>
      <c r="E1320" s="54"/>
      <c r="F1320" s="53">
        <v>1</v>
      </c>
      <c r="G1320" s="54">
        <v>0</v>
      </c>
      <c r="H1320" s="53"/>
      <c r="I1320" s="55"/>
    </row>
    <row r="1321" spans="1:9" ht="15.6" x14ac:dyDescent="0.3">
      <c r="A1321" s="19" t="s">
        <v>2241</v>
      </c>
      <c r="B1321" s="19" t="s">
        <v>2240</v>
      </c>
      <c r="C1321" s="19" t="s">
        <v>910</v>
      </c>
      <c r="D1321" s="53"/>
      <c r="E1321" s="54"/>
      <c r="F1321" s="53">
        <v>1</v>
      </c>
      <c r="G1321" s="54">
        <v>0</v>
      </c>
      <c r="H1321" s="53"/>
      <c r="I1321" s="55"/>
    </row>
    <row r="1322" spans="1:9" ht="15.6" x14ac:dyDescent="0.3">
      <c r="A1322" s="19" t="s">
        <v>2243</v>
      </c>
      <c r="B1322" s="19" t="s">
        <v>2242</v>
      </c>
      <c r="C1322" s="19" t="s">
        <v>910</v>
      </c>
      <c r="D1322" s="53"/>
      <c r="E1322" s="54"/>
      <c r="F1322" s="53">
        <v>1</v>
      </c>
      <c r="G1322" s="54">
        <v>0</v>
      </c>
      <c r="H1322" s="53"/>
      <c r="I1322" s="55"/>
    </row>
    <row r="1323" spans="1:9" ht="15.6" x14ac:dyDescent="0.3">
      <c r="A1323" s="19" t="s">
        <v>2247</v>
      </c>
      <c r="B1323" s="19" t="s">
        <v>2245</v>
      </c>
      <c r="C1323" s="19" t="s">
        <v>910</v>
      </c>
      <c r="D1323" s="53"/>
      <c r="E1323" s="54"/>
      <c r="F1323" s="53"/>
      <c r="G1323" s="54"/>
      <c r="H1323" s="53">
        <v>1</v>
      </c>
      <c r="I1323" s="55">
        <v>0</v>
      </c>
    </row>
    <row r="1324" spans="1:9" ht="15.6" x14ac:dyDescent="0.3">
      <c r="A1324" s="19" t="s">
        <v>2248</v>
      </c>
      <c r="B1324" s="19" t="s">
        <v>2246</v>
      </c>
      <c r="C1324" s="19" t="s">
        <v>910</v>
      </c>
      <c r="D1324" s="53"/>
      <c r="E1324" s="54"/>
      <c r="F1324" s="53"/>
      <c r="G1324" s="54"/>
      <c r="H1324" s="53">
        <v>2</v>
      </c>
      <c r="I1324" s="55">
        <v>0</v>
      </c>
    </row>
    <row r="1325" spans="1:9" ht="15.6" x14ac:dyDescent="0.3">
      <c r="A1325" s="19" t="s">
        <v>2249</v>
      </c>
      <c r="B1325" s="19" t="s">
        <v>2523</v>
      </c>
      <c r="C1325" s="19" t="s">
        <v>910</v>
      </c>
      <c r="D1325" s="53"/>
      <c r="E1325" s="54"/>
      <c r="F1325" s="53">
        <v>6</v>
      </c>
      <c r="G1325" s="54">
        <v>0</v>
      </c>
      <c r="H1325" s="53">
        <v>3</v>
      </c>
      <c r="I1325" s="55">
        <v>0</v>
      </c>
    </row>
    <row r="1326" spans="1:9" ht="15.6" x14ac:dyDescent="0.3">
      <c r="A1326" s="19" t="s">
        <v>2251</v>
      </c>
      <c r="B1326" s="19" t="s">
        <v>2250</v>
      </c>
      <c r="C1326" s="19" t="s">
        <v>910</v>
      </c>
      <c r="D1326" s="53"/>
      <c r="E1326" s="54"/>
      <c r="F1326" s="53"/>
      <c r="G1326" s="54"/>
      <c r="H1326" s="53">
        <v>5</v>
      </c>
      <c r="I1326" s="55">
        <v>0</v>
      </c>
    </row>
    <row r="1327" spans="1:9" ht="15.6" x14ac:dyDescent="0.3">
      <c r="A1327" s="19" t="s">
        <v>2257</v>
      </c>
      <c r="B1327" s="19" t="s">
        <v>2252</v>
      </c>
      <c r="C1327" s="19" t="s">
        <v>910</v>
      </c>
      <c r="D1327" s="53"/>
      <c r="E1327" s="54"/>
      <c r="F1327" s="53"/>
      <c r="G1327" s="54"/>
      <c r="H1327" s="53">
        <v>10</v>
      </c>
      <c r="I1327" s="55">
        <v>0</v>
      </c>
    </row>
    <row r="1328" spans="1:9" ht="15.6" x14ac:dyDescent="0.3">
      <c r="A1328" s="19" t="s">
        <v>2258</v>
      </c>
      <c r="B1328" s="19" t="s">
        <v>2253</v>
      </c>
      <c r="C1328" s="19" t="s">
        <v>910</v>
      </c>
      <c r="D1328" s="53"/>
      <c r="E1328" s="54"/>
      <c r="F1328" s="53"/>
      <c r="G1328" s="54"/>
      <c r="H1328" s="53">
        <v>5</v>
      </c>
      <c r="I1328" s="55">
        <v>0</v>
      </c>
    </row>
    <row r="1329" spans="1:9" ht="15.6" x14ac:dyDescent="0.3">
      <c r="A1329" s="19" t="s">
        <v>2259</v>
      </c>
      <c r="B1329" s="19" t="s">
        <v>2254</v>
      </c>
      <c r="C1329" s="19" t="s">
        <v>910</v>
      </c>
      <c r="D1329" s="53"/>
      <c r="E1329" s="54"/>
      <c r="F1329" s="53"/>
      <c r="G1329" s="54"/>
      <c r="H1329" s="53">
        <v>30</v>
      </c>
      <c r="I1329" s="55">
        <v>0</v>
      </c>
    </row>
    <row r="1330" spans="1:9" ht="15.6" x14ac:dyDescent="0.3">
      <c r="A1330" s="19" t="s">
        <v>2260</v>
      </c>
      <c r="B1330" s="19" t="s">
        <v>2255</v>
      </c>
      <c r="C1330" s="19" t="s">
        <v>910</v>
      </c>
      <c r="D1330" s="53"/>
      <c r="E1330" s="54"/>
      <c r="F1330" s="53"/>
      <c r="G1330" s="54"/>
      <c r="H1330" s="53">
        <v>1</v>
      </c>
      <c r="I1330" s="55">
        <v>0</v>
      </c>
    </row>
    <row r="1331" spans="1:9" ht="15.6" x14ac:dyDescent="0.3">
      <c r="A1331" s="19" t="s">
        <v>2261</v>
      </c>
      <c r="B1331" s="19" t="s">
        <v>2256</v>
      </c>
      <c r="C1331" s="19" t="s">
        <v>910</v>
      </c>
      <c r="D1331" s="53"/>
      <c r="E1331" s="54"/>
      <c r="F1331" s="53"/>
      <c r="G1331" s="54"/>
      <c r="H1331" s="53">
        <v>35</v>
      </c>
      <c r="I1331" s="55">
        <v>0</v>
      </c>
    </row>
    <row r="1332" spans="1:9" ht="15.6" x14ac:dyDescent="0.3">
      <c r="A1332" s="19" t="s">
        <v>2267</v>
      </c>
      <c r="B1332" s="19" t="s">
        <v>2262</v>
      </c>
      <c r="C1332" s="19" t="s">
        <v>910</v>
      </c>
      <c r="D1332" s="53"/>
      <c r="E1332" s="54"/>
      <c r="F1332" s="53"/>
      <c r="G1332" s="54"/>
      <c r="H1332" s="53">
        <v>5</v>
      </c>
      <c r="I1332" s="55">
        <v>0</v>
      </c>
    </row>
    <row r="1333" spans="1:9" ht="15.6" x14ac:dyDescent="0.3">
      <c r="A1333" s="19" t="s">
        <v>2268</v>
      </c>
      <c r="B1333" s="19" t="s">
        <v>2263</v>
      </c>
      <c r="C1333" s="19" t="s">
        <v>910</v>
      </c>
      <c r="D1333" s="53"/>
      <c r="E1333" s="54"/>
      <c r="F1333" s="53"/>
      <c r="G1333" s="54"/>
      <c r="H1333" s="53">
        <v>2</v>
      </c>
      <c r="I1333" s="55">
        <v>0</v>
      </c>
    </row>
    <row r="1334" spans="1:9" ht="15.6" x14ac:dyDescent="0.3">
      <c r="A1334" s="19" t="s">
        <v>2269</v>
      </c>
      <c r="B1334" s="19" t="s">
        <v>2264</v>
      </c>
      <c r="C1334" s="19" t="s">
        <v>910</v>
      </c>
      <c r="D1334" s="53"/>
      <c r="E1334" s="54"/>
      <c r="F1334" s="53"/>
      <c r="G1334" s="54"/>
      <c r="H1334" s="53">
        <v>25</v>
      </c>
      <c r="I1334" s="55">
        <v>0</v>
      </c>
    </row>
    <row r="1335" spans="1:9" ht="15.6" x14ac:dyDescent="0.3">
      <c r="A1335" s="19" t="s">
        <v>2270</v>
      </c>
      <c r="B1335" s="19" t="s">
        <v>2265</v>
      </c>
      <c r="C1335" s="19" t="s">
        <v>910</v>
      </c>
      <c r="D1335" s="53"/>
      <c r="E1335" s="54"/>
      <c r="F1335" s="53"/>
      <c r="G1335" s="54"/>
      <c r="H1335" s="53">
        <v>10</v>
      </c>
      <c r="I1335" s="55">
        <v>0</v>
      </c>
    </row>
    <row r="1336" spans="1:9" ht="15.6" x14ac:dyDescent="0.3">
      <c r="A1336" s="19" t="s">
        <v>2271</v>
      </c>
      <c r="B1336" s="19" t="s">
        <v>2266</v>
      </c>
      <c r="C1336" s="19" t="s">
        <v>910</v>
      </c>
      <c r="D1336" s="53"/>
      <c r="E1336" s="54"/>
      <c r="F1336" s="53"/>
      <c r="G1336" s="54"/>
      <c r="H1336" s="53">
        <v>1</v>
      </c>
      <c r="I1336" s="55">
        <v>0</v>
      </c>
    </row>
    <row r="1337" spans="1:9" ht="15.6" x14ac:dyDescent="0.3">
      <c r="A1337" s="19" t="s">
        <v>2273</v>
      </c>
      <c r="B1337" s="19" t="s">
        <v>2272</v>
      </c>
      <c r="C1337" s="19" t="s">
        <v>910</v>
      </c>
      <c r="D1337" s="53"/>
      <c r="E1337" s="54"/>
      <c r="F1337" s="53"/>
      <c r="G1337" s="54"/>
      <c r="H1337" s="53">
        <v>15</v>
      </c>
      <c r="I1337" s="55">
        <v>0</v>
      </c>
    </row>
    <row r="1338" spans="1:9" ht="15.6" x14ac:dyDescent="0.3">
      <c r="A1338" s="19" t="s">
        <v>2275</v>
      </c>
      <c r="B1338" s="19" t="s">
        <v>2274</v>
      </c>
      <c r="C1338" s="19" t="s">
        <v>1897</v>
      </c>
      <c r="D1338" s="53"/>
      <c r="E1338" s="54"/>
      <c r="F1338" s="53">
        <v>1</v>
      </c>
      <c r="G1338" s="54">
        <v>0</v>
      </c>
      <c r="H1338" s="53"/>
      <c r="I1338" s="55"/>
    </row>
    <row r="1339" spans="1:9" ht="15.6" x14ac:dyDescent="0.3">
      <c r="A1339" s="19" t="s">
        <v>2280</v>
      </c>
      <c r="B1339" s="19" t="s">
        <v>2279</v>
      </c>
      <c r="C1339" s="19" t="s">
        <v>1897</v>
      </c>
      <c r="D1339" s="53"/>
      <c r="E1339" s="54"/>
      <c r="F1339" s="53"/>
      <c r="G1339" s="54"/>
      <c r="H1339" s="53">
        <v>3</v>
      </c>
      <c r="I1339" s="55">
        <v>0</v>
      </c>
    </row>
    <row r="1340" spans="1:9" ht="15.6" x14ac:dyDescent="0.3">
      <c r="A1340" s="19" t="s">
        <v>2284</v>
      </c>
      <c r="B1340" s="19" t="s">
        <v>2283</v>
      </c>
      <c r="C1340" s="19" t="s">
        <v>910</v>
      </c>
      <c r="D1340" s="53"/>
      <c r="E1340" s="54"/>
      <c r="F1340" s="53"/>
      <c r="G1340" s="54"/>
      <c r="H1340" s="53">
        <v>180</v>
      </c>
      <c r="I1340" s="55">
        <v>0</v>
      </c>
    </row>
    <row r="1341" spans="1:9" ht="15.6" x14ac:dyDescent="0.3">
      <c r="A1341" s="19" t="s">
        <v>2286</v>
      </c>
      <c r="B1341" s="19" t="s">
        <v>2524</v>
      </c>
      <c r="C1341" s="19" t="s">
        <v>1897</v>
      </c>
      <c r="D1341" s="53">
        <v>1</v>
      </c>
      <c r="E1341" s="54">
        <v>0</v>
      </c>
      <c r="F1341" s="53"/>
      <c r="G1341" s="54"/>
      <c r="H1341" s="53"/>
      <c r="I1341" s="55"/>
    </row>
    <row r="1342" spans="1:9" ht="15.6" x14ac:dyDescent="0.3">
      <c r="A1342" s="19" t="s">
        <v>2287</v>
      </c>
      <c r="B1342" s="19" t="s">
        <v>2285</v>
      </c>
      <c r="C1342" s="19" t="s">
        <v>1897</v>
      </c>
      <c r="D1342" s="53">
        <v>1</v>
      </c>
      <c r="E1342" s="54">
        <v>0</v>
      </c>
      <c r="F1342" s="53"/>
      <c r="G1342" s="54"/>
      <c r="H1342" s="53"/>
      <c r="I1342" s="55"/>
    </row>
    <row r="1343" spans="1:9" ht="15.6" x14ac:dyDescent="0.3">
      <c r="A1343" s="19" t="s">
        <v>2293</v>
      </c>
      <c r="B1343" s="19" t="s">
        <v>2525</v>
      </c>
      <c r="C1343" s="19" t="s">
        <v>910</v>
      </c>
      <c r="D1343" s="53"/>
      <c r="E1343" s="54"/>
      <c r="F1343" s="53">
        <v>10</v>
      </c>
      <c r="G1343" s="54">
        <v>0</v>
      </c>
      <c r="H1343" s="53"/>
      <c r="I1343" s="55"/>
    </row>
    <row r="1344" spans="1:9" ht="15.6" x14ac:dyDescent="0.3">
      <c r="A1344" s="19" t="s">
        <v>2294</v>
      </c>
      <c r="B1344" s="19" t="s">
        <v>2526</v>
      </c>
      <c r="C1344" s="19" t="s">
        <v>910</v>
      </c>
      <c r="D1344" s="53"/>
      <c r="E1344" s="54"/>
      <c r="F1344" s="53">
        <v>2</v>
      </c>
      <c r="G1344" s="54">
        <v>0</v>
      </c>
      <c r="H1344" s="53"/>
      <c r="I1344" s="55"/>
    </row>
    <row r="1345" spans="1:9" ht="15.6" x14ac:dyDescent="0.3">
      <c r="A1345" s="19" t="s">
        <v>2295</v>
      </c>
      <c r="B1345" s="19" t="s">
        <v>2290</v>
      </c>
      <c r="C1345" s="19" t="s">
        <v>910</v>
      </c>
      <c r="D1345" s="53"/>
      <c r="E1345" s="54"/>
      <c r="F1345" s="53">
        <v>1</v>
      </c>
      <c r="G1345" s="54">
        <v>0</v>
      </c>
      <c r="H1345" s="53"/>
      <c r="I1345" s="55"/>
    </row>
    <row r="1346" spans="1:9" ht="15.6" x14ac:dyDescent="0.3">
      <c r="A1346" s="19" t="s">
        <v>2296</v>
      </c>
      <c r="B1346" s="19" t="s">
        <v>2291</v>
      </c>
      <c r="C1346" s="19" t="s">
        <v>910</v>
      </c>
      <c r="D1346" s="53"/>
      <c r="E1346" s="54"/>
      <c r="F1346" s="53">
        <v>1</v>
      </c>
      <c r="G1346" s="54">
        <v>0</v>
      </c>
      <c r="H1346" s="53">
        <v>1</v>
      </c>
      <c r="I1346" s="55">
        <v>0</v>
      </c>
    </row>
    <row r="1347" spans="1:9" ht="15.6" x14ac:dyDescent="0.3">
      <c r="A1347" s="19" t="s">
        <v>2297</v>
      </c>
      <c r="B1347" s="19" t="s">
        <v>2292</v>
      </c>
      <c r="C1347" s="19" t="s">
        <v>910</v>
      </c>
      <c r="D1347" s="53"/>
      <c r="E1347" s="54"/>
      <c r="F1347" s="53">
        <v>2</v>
      </c>
      <c r="G1347" s="54">
        <v>0</v>
      </c>
      <c r="H1347" s="53"/>
      <c r="I1347" s="55"/>
    </row>
    <row r="1348" spans="1:9" ht="15.6" x14ac:dyDescent="0.3">
      <c r="A1348" s="47" t="s">
        <v>2327</v>
      </c>
      <c r="B1348" s="47" t="s">
        <v>2326</v>
      </c>
      <c r="C1348" s="19" t="s">
        <v>910</v>
      </c>
      <c r="D1348" s="53"/>
      <c r="E1348" s="54"/>
      <c r="F1348" s="53">
        <v>2</v>
      </c>
      <c r="G1348" s="54">
        <v>0</v>
      </c>
      <c r="H1348" s="53">
        <v>6</v>
      </c>
      <c r="I1348" s="55">
        <v>0</v>
      </c>
    </row>
    <row r="1349" spans="1:9" ht="15.6" x14ac:dyDescent="0.3">
      <c r="A1349" s="48" t="s">
        <v>2327</v>
      </c>
      <c r="B1349" s="48" t="s">
        <v>2326</v>
      </c>
      <c r="C1349" s="23" t="s">
        <v>1897</v>
      </c>
      <c r="D1349" s="56"/>
      <c r="E1349" s="51"/>
      <c r="F1349" s="56">
        <v>6</v>
      </c>
      <c r="G1349" s="51">
        <v>0</v>
      </c>
      <c r="H1349" s="56"/>
      <c r="I1349" s="57"/>
    </row>
    <row r="1350" spans="1:9" ht="28.8" x14ac:dyDescent="0.3">
      <c r="A1350" s="19" t="s">
        <v>2311</v>
      </c>
      <c r="B1350" s="19" t="s">
        <v>2298</v>
      </c>
      <c r="C1350" s="19" t="s">
        <v>910</v>
      </c>
      <c r="D1350" s="53"/>
      <c r="E1350" s="54"/>
      <c r="F1350" s="53"/>
      <c r="G1350" s="54"/>
      <c r="H1350" s="53">
        <v>25</v>
      </c>
      <c r="I1350" s="55">
        <v>0</v>
      </c>
    </row>
    <row r="1351" spans="1:9" ht="15.6" x14ac:dyDescent="0.3">
      <c r="A1351" s="19" t="s">
        <v>2312</v>
      </c>
      <c r="B1351" s="19" t="s">
        <v>2299</v>
      </c>
      <c r="C1351" s="19" t="s">
        <v>910</v>
      </c>
      <c r="D1351" s="53"/>
      <c r="E1351" s="54"/>
      <c r="F1351" s="53"/>
      <c r="G1351" s="54"/>
      <c r="H1351" s="53">
        <v>8</v>
      </c>
      <c r="I1351" s="55">
        <v>0</v>
      </c>
    </row>
    <row r="1352" spans="1:9" ht="15.6" x14ac:dyDescent="0.3">
      <c r="A1352" s="19" t="s">
        <v>2313</v>
      </c>
      <c r="B1352" s="19" t="s">
        <v>2300</v>
      </c>
      <c r="C1352" s="19" t="s">
        <v>910</v>
      </c>
      <c r="D1352" s="53"/>
      <c r="E1352" s="54"/>
      <c r="F1352" s="53"/>
      <c r="G1352" s="54"/>
      <c r="H1352" s="53">
        <v>3</v>
      </c>
      <c r="I1352" s="55">
        <v>0</v>
      </c>
    </row>
    <row r="1353" spans="1:9" ht="15.6" x14ac:dyDescent="0.3">
      <c r="A1353" s="19" t="s">
        <v>2314</v>
      </c>
      <c r="B1353" s="19" t="s">
        <v>2301</v>
      </c>
      <c r="C1353" s="19" t="s">
        <v>910</v>
      </c>
      <c r="D1353" s="53"/>
      <c r="E1353" s="54"/>
      <c r="F1353" s="53"/>
      <c r="G1353" s="54"/>
      <c r="H1353" s="53">
        <v>3</v>
      </c>
      <c r="I1353" s="55">
        <v>0</v>
      </c>
    </row>
    <row r="1354" spans="1:9" ht="15.6" x14ac:dyDescent="0.3">
      <c r="A1354" s="19" t="s">
        <v>2315</v>
      </c>
      <c r="B1354" s="19" t="s">
        <v>2302</v>
      </c>
      <c r="C1354" s="19" t="s">
        <v>910</v>
      </c>
      <c r="D1354" s="53"/>
      <c r="E1354" s="54"/>
      <c r="F1354" s="53"/>
      <c r="G1354" s="54"/>
      <c r="H1354" s="53">
        <v>1</v>
      </c>
      <c r="I1354" s="55">
        <v>0</v>
      </c>
    </row>
    <row r="1355" spans="1:9" ht="15.6" x14ac:dyDescent="0.3">
      <c r="A1355" s="19" t="s">
        <v>2316</v>
      </c>
      <c r="B1355" s="19" t="s">
        <v>2303</v>
      </c>
      <c r="C1355" s="19" t="s">
        <v>910</v>
      </c>
      <c r="D1355" s="53"/>
      <c r="E1355" s="54"/>
      <c r="F1355" s="53"/>
      <c r="G1355" s="54"/>
      <c r="H1355" s="53">
        <v>3</v>
      </c>
      <c r="I1355" s="55">
        <v>0</v>
      </c>
    </row>
    <row r="1356" spans="1:9" ht="15.6" x14ac:dyDescent="0.3">
      <c r="A1356" s="19" t="s">
        <v>2317</v>
      </c>
      <c r="B1356" s="19" t="s">
        <v>2304</v>
      </c>
      <c r="C1356" s="19" t="s">
        <v>910</v>
      </c>
      <c r="D1356" s="53"/>
      <c r="E1356" s="54"/>
      <c r="F1356" s="53"/>
      <c r="G1356" s="54"/>
      <c r="H1356" s="53">
        <v>3</v>
      </c>
      <c r="I1356" s="55">
        <v>0</v>
      </c>
    </row>
    <row r="1357" spans="1:9" ht="15.6" x14ac:dyDescent="0.3">
      <c r="A1357" s="19" t="s">
        <v>2318</v>
      </c>
      <c r="B1357" s="19" t="s">
        <v>2305</v>
      </c>
      <c r="C1357" s="19" t="s">
        <v>910</v>
      </c>
      <c r="D1357" s="53"/>
      <c r="E1357" s="54"/>
      <c r="F1357" s="53"/>
      <c r="G1357" s="54"/>
      <c r="H1357" s="53">
        <v>1</v>
      </c>
      <c r="I1357" s="55">
        <v>0</v>
      </c>
    </row>
    <row r="1358" spans="1:9" ht="15.6" x14ac:dyDescent="0.3">
      <c r="A1358" s="19" t="s">
        <v>2319</v>
      </c>
      <c r="B1358" s="19" t="s">
        <v>2306</v>
      </c>
      <c r="C1358" s="19" t="s">
        <v>910</v>
      </c>
      <c r="D1358" s="53"/>
      <c r="E1358" s="54"/>
      <c r="F1358" s="53"/>
      <c r="G1358" s="54"/>
      <c r="H1358" s="53">
        <v>1</v>
      </c>
      <c r="I1358" s="55">
        <v>0</v>
      </c>
    </row>
    <row r="1359" spans="1:9" ht="15.6" x14ac:dyDescent="0.3">
      <c r="A1359" s="19" t="s">
        <v>2320</v>
      </c>
      <c r="B1359" s="19" t="s">
        <v>2307</v>
      </c>
      <c r="C1359" s="19" t="s">
        <v>910</v>
      </c>
      <c r="D1359" s="53"/>
      <c r="E1359" s="54"/>
      <c r="F1359" s="53"/>
      <c r="G1359" s="54"/>
      <c r="H1359" s="53">
        <v>30</v>
      </c>
      <c r="I1359" s="55">
        <v>0</v>
      </c>
    </row>
    <row r="1360" spans="1:9" ht="15.6" x14ac:dyDescent="0.3">
      <c r="A1360" s="19" t="s">
        <v>2321</v>
      </c>
      <c r="B1360" s="19" t="s">
        <v>2308</v>
      </c>
      <c r="C1360" s="19" t="s">
        <v>910</v>
      </c>
      <c r="D1360" s="53"/>
      <c r="E1360" s="54"/>
      <c r="F1360" s="53"/>
      <c r="G1360" s="54"/>
      <c r="H1360" s="53">
        <v>1</v>
      </c>
      <c r="I1360" s="55">
        <v>0</v>
      </c>
    </row>
    <row r="1361" spans="1:9" ht="15.6" x14ac:dyDescent="0.3">
      <c r="A1361" s="19" t="s">
        <v>2322</v>
      </c>
      <c r="B1361" s="19" t="s">
        <v>2309</v>
      </c>
      <c r="C1361" s="19" t="s">
        <v>910</v>
      </c>
      <c r="D1361" s="53"/>
      <c r="E1361" s="54"/>
      <c r="F1361" s="53"/>
      <c r="G1361" s="54"/>
      <c r="H1361" s="53">
        <v>1</v>
      </c>
      <c r="I1361" s="55">
        <v>0</v>
      </c>
    </row>
    <row r="1362" spans="1:9" ht="15.6" x14ac:dyDescent="0.3">
      <c r="A1362" s="19" t="s">
        <v>2323</v>
      </c>
      <c r="B1362" s="19" t="s">
        <v>2310</v>
      </c>
      <c r="C1362" s="19" t="s">
        <v>910</v>
      </c>
      <c r="D1362" s="53"/>
      <c r="E1362" s="54"/>
      <c r="F1362" s="53"/>
      <c r="G1362" s="54"/>
      <c r="H1362" s="53">
        <v>1</v>
      </c>
      <c r="I1362" s="55">
        <v>0</v>
      </c>
    </row>
    <row r="1363" spans="1:9" ht="15.6" x14ac:dyDescent="0.3">
      <c r="A1363" s="19" t="s">
        <v>2325</v>
      </c>
      <c r="B1363" s="19" t="s">
        <v>2324</v>
      </c>
      <c r="C1363" s="19" t="s">
        <v>1897</v>
      </c>
      <c r="D1363" s="53"/>
      <c r="E1363" s="54"/>
      <c r="F1363" s="53"/>
      <c r="G1363" s="54"/>
      <c r="H1363" s="53">
        <v>2</v>
      </c>
      <c r="I1363" s="55">
        <v>0</v>
      </c>
    </row>
    <row r="1364" spans="1:9" ht="15.6" x14ac:dyDescent="0.3">
      <c r="A1364" s="19" t="s">
        <v>2328</v>
      </c>
      <c r="B1364" s="19" t="s">
        <v>2244</v>
      </c>
      <c r="C1364" s="19" t="s">
        <v>1897</v>
      </c>
      <c r="D1364" s="53"/>
      <c r="E1364" s="54"/>
      <c r="F1364" s="53"/>
      <c r="G1364" s="54"/>
      <c r="H1364" s="53">
        <v>6</v>
      </c>
      <c r="I1364" s="55">
        <v>0</v>
      </c>
    </row>
    <row r="1365" spans="1:9" ht="15.6" x14ac:dyDescent="0.3">
      <c r="A1365" s="19" t="s">
        <v>2152</v>
      </c>
      <c r="B1365" s="19" t="s">
        <v>2149</v>
      </c>
      <c r="C1365" s="19" t="s">
        <v>910</v>
      </c>
      <c r="D1365" s="53"/>
      <c r="E1365" s="54"/>
      <c r="F1365" s="53">
        <v>1</v>
      </c>
      <c r="G1365" s="54">
        <v>0</v>
      </c>
      <c r="H1365" s="53"/>
      <c r="I1365" s="55"/>
    </row>
    <row r="1366" spans="1:9" ht="15.6" x14ac:dyDescent="0.3">
      <c r="A1366" s="19" t="s">
        <v>2069</v>
      </c>
      <c r="B1366" s="19" t="s">
        <v>2070</v>
      </c>
      <c r="C1366" s="19" t="s">
        <v>910</v>
      </c>
      <c r="D1366" s="53">
        <v>2</v>
      </c>
      <c r="E1366" s="54">
        <v>0</v>
      </c>
      <c r="F1366" s="53"/>
      <c r="G1366" s="54"/>
      <c r="H1366" s="53"/>
      <c r="I1366" s="55"/>
    </row>
    <row r="1367" spans="1:9" ht="15.6" x14ac:dyDescent="0.3">
      <c r="A1367" s="19" t="s">
        <v>2351</v>
      </c>
      <c r="B1367" s="19" t="s">
        <v>2537</v>
      </c>
      <c r="C1367" s="19" t="s">
        <v>910</v>
      </c>
      <c r="D1367" s="53"/>
      <c r="E1367" s="54"/>
      <c r="F1367" s="53"/>
      <c r="G1367" s="54"/>
      <c r="H1367" s="53">
        <v>40</v>
      </c>
      <c r="I1367" s="55">
        <v>0</v>
      </c>
    </row>
    <row r="1368" spans="1:9" ht="15.6" x14ac:dyDescent="0.3">
      <c r="A1368" s="19" t="s">
        <v>2352</v>
      </c>
      <c r="B1368" s="19" t="s">
        <v>2546</v>
      </c>
      <c r="C1368" s="19" t="s">
        <v>910</v>
      </c>
      <c r="D1368" s="53"/>
      <c r="E1368" s="54"/>
      <c r="F1368" s="53"/>
      <c r="G1368" s="54"/>
      <c r="H1368" s="53">
        <v>20</v>
      </c>
      <c r="I1368" s="55">
        <v>0</v>
      </c>
    </row>
    <row r="1369" spans="1:9" ht="15.6" x14ac:dyDescent="0.3">
      <c r="A1369" s="19" t="s">
        <v>2354</v>
      </c>
      <c r="B1369" s="19" t="s">
        <v>2547</v>
      </c>
      <c r="C1369" s="19" t="s">
        <v>910</v>
      </c>
      <c r="D1369" s="53"/>
      <c r="E1369" s="54"/>
      <c r="F1369" s="53"/>
      <c r="G1369" s="54"/>
      <c r="H1369" s="53">
        <v>100</v>
      </c>
      <c r="I1369" s="55">
        <v>0</v>
      </c>
    </row>
    <row r="1370" spans="1:9" ht="15.6" x14ac:dyDescent="0.3">
      <c r="A1370" s="19" t="s">
        <v>2355</v>
      </c>
      <c r="B1370" s="19" t="s">
        <v>2548</v>
      </c>
      <c r="C1370" s="19" t="s">
        <v>910</v>
      </c>
      <c r="D1370" s="53"/>
      <c r="E1370" s="54"/>
      <c r="F1370" s="53"/>
      <c r="G1370" s="54"/>
      <c r="H1370" s="53">
        <v>1</v>
      </c>
      <c r="I1370" s="55">
        <v>0</v>
      </c>
    </row>
    <row r="1371" spans="1:9" ht="15.6" x14ac:dyDescent="0.3">
      <c r="A1371" s="19" t="s">
        <v>2356</v>
      </c>
      <c r="B1371" s="19" t="s">
        <v>2549</v>
      </c>
      <c r="C1371" s="19" t="s">
        <v>910</v>
      </c>
      <c r="D1371" s="53"/>
      <c r="E1371" s="54"/>
      <c r="F1371" s="53"/>
      <c r="G1371" s="54"/>
      <c r="H1371" s="53">
        <v>2</v>
      </c>
      <c r="I1371" s="55">
        <v>0</v>
      </c>
    </row>
    <row r="1372" spans="1:9" ht="15.6" x14ac:dyDescent="0.3">
      <c r="A1372" s="19" t="s">
        <v>2357</v>
      </c>
      <c r="B1372" s="19" t="s">
        <v>2550</v>
      </c>
      <c r="C1372" s="19" t="s">
        <v>910</v>
      </c>
      <c r="D1372" s="53"/>
      <c r="E1372" s="54"/>
      <c r="F1372" s="53"/>
      <c r="G1372" s="54"/>
      <c r="H1372" s="53">
        <v>2</v>
      </c>
      <c r="I1372" s="55">
        <v>0</v>
      </c>
    </row>
    <row r="1373" spans="1:9" ht="15.6" x14ac:dyDescent="0.3">
      <c r="A1373" s="19" t="s">
        <v>2358</v>
      </c>
      <c r="B1373" s="19" t="s">
        <v>2551</v>
      </c>
      <c r="C1373" s="19" t="s">
        <v>910</v>
      </c>
      <c r="D1373" s="53"/>
      <c r="E1373" s="54"/>
      <c r="F1373" s="53"/>
      <c r="G1373" s="54"/>
      <c r="H1373" s="53">
        <v>1</v>
      </c>
      <c r="I1373" s="55">
        <v>0</v>
      </c>
    </row>
    <row r="1374" spans="1:9" ht="15.6" x14ac:dyDescent="0.3">
      <c r="A1374" s="19" t="s">
        <v>2359</v>
      </c>
      <c r="B1374" s="19" t="s">
        <v>2552</v>
      </c>
      <c r="C1374" s="19" t="s">
        <v>910</v>
      </c>
      <c r="D1374" s="53"/>
      <c r="E1374" s="54"/>
      <c r="F1374" s="53"/>
      <c r="G1374" s="54"/>
      <c r="H1374" s="53">
        <v>1</v>
      </c>
      <c r="I1374" s="55">
        <v>0</v>
      </c>
    </row>
    <row r="1375" spans="1:9" ht="15.6" x14ac:dyDescent="0.3">
      <c r="A1375" s="19" t="s">
        <v>2360</v>
      </c>
      <c r="B1375" s="19" t="s">
        <v>2553</v>
      </c>
      <c r="C1375" s="19" t="s">
        <v>910</v>
      </c>
      <c r="D1375" s="53"/>
      <c r="E1375" s="54"/>
      <c r="F1375" s="53"/>
      <c r="G1375" s="54"/>
      <c r="H1375" s="53">
        <v>5</v>
      </c>
      <c r="I1375" s="55">
        <v>0</v>
      </c>
    </row>
    <row r="1376" spans="1:9" ht="15.6" x14ac:dyDescent="0.3">
      <c r="A1376" s="19" t="s">
        <v>2361</v>
      </c>
      <c r="B1376" s="19" t="s">
        <v>2554</v>
      </c>
      <c r="C1376" s="19" t="s">
        <v>910</v>
      </c>
      <c r="D1376" s="53"/>
      <c r="E1376" s="54"/>
      <c r="F1376" s="53"/>
      <c r="G1376" s="54"/>
      <c r="H1376" s="53">
        <v>3</v>
      </c>
      <c r="I1376" s="55">
        <v>0</v>
      </c>
    </row>
    <row r="1377" spans="1:9" ht="15.6" x14ac:dyDescent="0.3">
      <c r="A1377" s="19" t="s">
        <v>2362</v>
      </c>
      <c r="B1377" s="19" t="s">
        <v>2556</v>
      </c>
      <c r="C1377" s="19" t="s">
        <v>910</v>
      </c>
      <c r="D1377" s="53"/>
      <c r="E1377" s="54"/>
      <c r="F1377" s="53"/>
      <c r="G1377" s="54"/>
      <c r="H1377" s="53">
        <v>2</v>
      </c>
      <c r="I1377" s="55">
        <v>0</v>
      </c>
    </row>
    <row r="1378" spans="1:9" ht="15.6" x14ac:dyDescent="0.3">
      <c r="A1378" s="19" t="s">
        <v>2363</v>
      </c>
      <c r="B1378" s="19" t="s">
        <v>2557</v>
      </c>
      <c r="C1378" s="19" t="s">
        <v>910</v>
      </c>
      <c r="D1378" s="53"/>
      <c r="E1378" s="54"/>
      <c r="F1378" s="53"/>
      <c r="G1378" s="54"/>
      <c r="H1378" s="53">
        <v>1</v>
      </c>
      <c r="I1378" s="55">
        <v>0</v>
      </c>
    </row>
    <row r="1379" spans="1:9" ht="15.6" x14ac:dyDescent="0.3">
      <c r="A1379" s="19" t="s">
        <v>2364</v>
      </c>
      <c r="B1379" s="19" t="s">
        <v>2558</v>
      </c>
      <c r="C1379" s="19" t="s">
        <v>910</v>
      </c>
      <c r="D1379" s="53"/>
      <c r="E1379" s="54"/>
      <c r="F1379" s="53"/>
      <c r="G1379" s="54"/>
      <c r="H1379" s="53">
        <v>1</v>
      </c>
      <c r="I1379" s="55">
        <v>0</v>
      </c>
    </row>
    <row r="1380" spans="1:9" ht="15.6" x14ac:dyDescent="0.3">
      <c r="A1380" s="19" t="s">
        <v>2365</v>
      </c>
      <c r="B1380" s="19" t="s">
        <v>2559</v>
      </c>
      <c r="C1380" s="19" t="s">
        <v>910</v>
      </c>
      <c r="D1380" s="53"/>
      <c r="E1380" s="54"/>
      <c r="F1380" s="53"/>
      <c r="G1380" s="54"/>
      <c r="H1380" s="53">
        <v>5</v>
      </c>
      <c r="I1380" s="55">
        <v>0</v>
      </c>
    </row>
    <row r="1381" spans="1:9" ht="15.6" x14ac:dyDescent="0.3">
      <c r="A1381" s="19" t="s">
        <v>2366</v>
      </c>
      <c r="B1381" s="19" t="s">
        <v>2561</v>
      </c>
      <c r="C1381" s="19" t="s">
        <v>910</v>
      </c>
      <c r="D1381" s="53"/>
      <c r="E1381" s="54"/>
      <c r="F1381" s="53"/>
      <c r="G1381" s="54"/>
      <c r="H1381" s="53">
        <v>5</v>
      </c>
      <c r="I1381" s="55">
        <v>0</v>
      </c>
    </row>
    <row r="1382" spans="1:9" ht="15.6" x14ac:dyDescent="0.3">
      <c r="A1382" s="19" t="s">
        <v>2371</v>
      </c>
      <c r="B1382" s="19" t="s">
        <v>2532</v>
      </c>
      <c r="C1382" s="19" t="s">
        <v>910</v>
      </c>
      <c r="D1382" s="53"/>
      <c r="E1382" s="54"/>
      <c r="F1382" s="53"/>
      <c r="G1382" s="54"/>
      <c r="H1382" s="53">
        <v>3</v>
      </c>
      <c r="I1382" s="55">
        <v>0</v>
      </c>
    </row>
    <row r="1383" spans="1:9" ht="15.6" x14ac:dyDescent="0.3">
      <c r="A1383" s="19" t="s">
        <v>2372</v>
      </c>
      <c r="B1383" s="19" t="s">
        <v>2533</v>
      </c>
      <c r="C1383" s="19" t="s">
        <v>910</v>
      </c>
      <c r="D1383" s="53"/>
      <c r="E1383" s="54"/>
      <c r="F1383" s="53"/>
      <c r="G1383" s="54"/>
      <c r="H1383" s="53">
        <v>1</v>
      </c>
      <c r="I1383" s="55">
        <v>0</v>
      </c>
    </row>
    <row r="1384" spans="1:9" ht="15.6" x14ac:dyDescent="0.3">
      <c r="A1384" s="19" t="s">
        <v>2373</v>
      </c>
      <c r="B1384" s="19" t="s">
        <v>2534</v>
      </c>
      <c r="C1384" s="19" t="s">
        <v>910</v>
      </c>
      <c r="D1384" s="53"/>
      <c r="E1384" s="54"/>
      <c r="F1384" s="53"/>
      <c r="G1384" s="54"/>
      <c r="H1384" s="53">
        <v>3</v>
      </c>
      <c r="I1384" s="55">
        <v>0</v>
      </c>
    </row>
    <row r="1385" spans="1:9" ht="15.6" x14ac:dyDescent="0.3">
      <c r="A1385" s="19" t="s">
        <v>2374</v>
      </c>
      <c r="B1385" s="19" t="s">
        <v>2535</v>
      </c>
      <c r="C1385" s="19" t="s">
        <v>910</v>
      </c>
      <c r="D1385" s="53"/>
      <c r="E1385" s="54"/>
      <c r="F1385" s="53"/>
      <c r="G1385" s="54"/>
      <c r="H1385" s="53">
        <v>2</v>
      </c>
      <c r="I1385" s="55">
        <v>0</v>
      </c>
    </row>
    <row r="1386" spans="1:9" ht="15.6" x14ac:dyDescent="0.3">
      <c r="A1386" s="19" t="s">
        <v>2375</v>
      </c>
      <c r="B1386" s="19" t="s">
        <v>2536</v>
      </c>
      <c r="C1386" s="19" t="s">
        <v>910</v>
      </c>
      <c r="D1386" s="53"/>
      <c r="E1386" s="54"/>
      <c r="F1386" s="53"/>
      <c r="G1386" s="54"/>
      <c r="H1386" s="53">
        <v>2</v>
      </c>
      <c r="I1386" s="55">
        <v>0</v>
      </c>
    </row>
    <row r="1387" spans="1:9" ht="15.6" x14ac:dyDescent="0.3">
      <c r="A1387" s="19" t="s">
        <v>2376</v>
      </c>
      <c r="B1387" s="19" t="s">
        <v>2539</v>
      </c>
      <c r="C1387" s="19" t="s">
        <v>910</v>
      </c>
      <c r="D1387" s="53"/>
      <c r="E1387" s="54"/>
      <c r="F1387" s="53"/>
      <c r="G1387" s="54"/>
      <c r="H1387" s="53">
        <v>5</v>
      </c>
      <c r="I1387" s="55">
        <v>0</v>
      </c>
    </row>
    <row r="1388" spans="1:9" ht="15.6" x14ac:dyDescent="0.3">
      <c r="A1388" s="19" t="s">
        <v>2377</v>
      </c>
      <c r="B1388" s="19" t="s">
        <v>2540</v>
      </c>
      <c r="C1388" s="19" t="s">
        <v>910</v>
      </c>
      <c r="D1388" s="53"/>
      <c r="E1388" s="54"/>
      <c r="F1388" s="53"/>
      <c r="G1388" s="54"/>
      <c r="H1388" s="53">
        <v>2</v>
      </c>
      <c r="I1388" s="55">
        <v>0</v>
      </c>
    </row>
    <row r="1389" spans="1:9" ht="15.6" x14ac:dyDescent="0.3">
      <c r="A1389" s="19" t="s">
        <v>2378</v>
      </c>
      <c r="B1389" s="19" t="s">
        <v>2541</v>
      </c>
      <c r="C1389" s="19" t="s">
        <v>910</v>
      </c>
      <c r="D1389" s="53"/>
      <c r="E1389" s="54"/>
      <c r="F1389" s="53"/>
      <c r="G1389" s="54"/>
      <c r="H1389" s="53">
        <v>1</v>
      </c>
      <c r="I1389" s="55">
        <v>0</v>
      </c>
    </row>
    <row r="1390" spans="1:9" ht="15.6" x14ac:dyDescent="0.3">
      <c r="A1390" s="19" t="s">
        <v>2379</v>
      </c>
      <c r="B1390" s="19" t="s">
        <v>2542</v>
      </c>
      <c r="C1390" s="19" t="s">
        <v>910</v>
      </c>
      <c r="D1390" s="53"/>
      <c r="E1390" s="54"/>
      <c r="F1390" s="53"/>
      <c r="G1390" s="54"/>
      <c r="H1390" s="53">
        <v>1</v>
      </c>
      <c r="I1390" s="55">
        <v>0</v>
      </c>
    </row>
    <row r="1391" spans="1:9" ht="15.6" x14ac:dyDescent="0.3">
      <c r="A1391" s="19" t="s">
        <v>2380</v>
      </c>
      <c r="B1391" s="19" t="s">
        <v>2543</v>
      </c>
      <c r="C1391" s="19" t="s">
        <v>910</v>
      </c>
      <c r="D1391" s="53"/>
      <c r="E1391" s="54"/>
      <c r="F1391" s="53"/>
      <c r="G1391" s="54"/>
      <c r="H1391" s="53">
        <v>8</v>
      </c>
      <c r="I1391" s="55">
        <v>0</v>
      </c>
    </row>
    <row r="1392" spans="1:9" ht="15.6" x14ac:dyDescent="0.3">
      <c r="A1392" s="19" t="s">
        <v>2381</v>
      </c>
      <c r="B1392" s="19" t="s">
        <v>2544</v>
      </c>
      <c r="C1392" s="19" t="s">
        <v>910</v>
      </c>
      <c r="D1392" s="53"/>
      <c r="E1392" s="54"/>
      <c r="F1392" s="53"/>
      <c r="G1392" s="54"/>
      <c r="H1392" s="53">
        <v>1</v>
      </c>
      <c r="I1392" s="55">
        <v>0</v>
      </c>
    </row>
    <row r="1393" spans="1:9" ht="15.6" x14ac:dyDescent="0.3">
      <c r="A1393" s="19" t="s">
        <v>2382</v>
      </c>
      <c r="B1393" s="19" t="s">
        <v>2545</v>
      </c>
      <c r="C1393" s="19" t="s">
        <v>910</v>
      </c>
      <c r="D1393" s="53"/>
      <c r="E1393" s="54"/>
      <c r="F1393" s="53"/>
      <c r="G1393" s="54"/>
      <c r="H1393" s="53">
        <v>10</v>
      </c>
      <c r="I1393" s="55">
        <v>0</v>
      </c>
    </row>
    <row r="1394" spans="1:9" ht="15.6" x14ac:dyDescent="0.3">
      <c r="A1394" s="19" t="s">
        <v>2427</v>
      </c>
      <c r="B1394" s="19" t="s">
        <v>2562</v>
      </c>
      <c r="C1394" s="19" t="s">
        <v>1897</v>
      </c>
      <c r="D1394" s="53"/>
      <c r="E1394" s="54"/>
      <c r="F1394" s="53"/>
      <c r="G1394" s="54"/>
      <c r="H1394" s="53">
        <v>3</v>
      </c>
      <c r="I1394" s="55">
        <v>0</v>
      </c>
    </row>
    <row r="1395" spans="1:9" ht="15.6" x14ac:dyDescent="0.3">
      <c r="A1395" s="19" t="s">
        <v>2432</v>
      </c>
      <c r="B1395" s="19" t="s">
        <v>2527</v>
      </c>
      <c r="C1395" s="19" t="s">
        <v>910</v>
      </c>
      <c r="D1395" s="53"/>
      <c r="E1395" s="54"/>
      <c r="F1395" s="53"/>
      <c r="G1395" s="54"/>
      <c r="H1395" s="53">
        <v>3</v>
      </c>
      <c r="I1395" s="55">
        <v>0</v>
      </c>
    </row>
    <row r="1396" spans="1:9" ht="15.6" x14ac:dyDescent="0.3">
      <c r="A1396" s="19" t="s">
        <v>2433</v>
      </c>
      <c r="B1396" s="19" t="s">
        <v>2528</v>
      </c>
      <c r="C1396" s="19" t="s">
        <v>910</v>
      </c>
      <c r="D1396" s="53"/>
      <c r="E1396" s="54"/>
      <c r="F1396" s="53"/>
      <c r="G1396" s="54"/>
      <c r="H1396" s="53">
        <v>1</v>
      </c>
      <c r="I1396" s="55">
        <v>0</v>
      </c>
    </row>
    <row r="1397" spans="1:9" ht="15.6" x14ac:dyDescent="0.3">
      <c r="A1397" s="19" t="s">
        <v>2434</v>
      </c>
      <c r="B1397" s="19" t="s">
        <v>2529</v>
      </c>
      <c r="C1397" s="19" t="s">
        <v>910</v>
      </c>
      <c r="D1397" s="53"/>
      <c r="E1397" s="54"/>
      <c r="F1397" s="53"/>
      <c r="G1397" s="54"/>
      <c r="H1397" s="53">
        <v>1</v>
      </c>
      <c r="I1397" s="55">
        <v>0</v>
      </c>
    </row>
    <row r="1398" spans="1:9" ht="15.6" x14ac:dyDescent="0.3">
      <c r="A1398" s="19" t="s">
        <v>2435</v>
      </c>
      <c r="B1398" s="19" t="s">
        <v>2530</v>
      </c>
      <c r="C1398" s="19" t="s">
        <v>910</v>
      </c>
      <c r="D1398" s="53"/>
      <c r="E1398" s="54"/>
      <c r="F1398" s="53"/>
      <c r="G1398" s="54"/>
      <c r="H1398" s="53">
        <v>20</v>
      </c>
      <c r="I1398" s="55">
        <v>0</v>
      </c>
    </row>
    <row r="1399" spans="1:9" ht="15.6" x14ac:dyDescent="0.3">
      <c r="A1399" s="19" t="s">
        <v>2436</v>
      </c>
      <c r="B1399" s="19" t="s">
        <v>2531</v>
      </c>
      <c r="C1399" s="19" t="s">
        <v>910</v>
      </c>
      <c r="D1399" s="53"/>
      <c r="E1399" s="54"/>
      <c r="F1399" s="53"/>
      <c r="G1399" s="54"/>
      <c r="H1399" s="53">
        <v>6</v>
      </c>
      <c r="I1399" s="55">
        <v>0</v>
      </c>
    </row>
    <row r="1400" spans="1:9" ht="15.6" x14ac:dyDescent="0.3">
      <c r="A1400" s="19" t="s">
        <v>2438</v>
      </c>
      <c r="B1400" s="19" t="s">
        <v>2564</v>
      </c>
      <c r="C1400" s="19" t="s">
        <v>1897</v>
      </c>
      <c r="D1400" s="53"/>
      <c r="E1400" s="54"/>
      <c r="F1400" s="53"/>
      <c r="G1400" s="54"/>
      <c r="H1400" s="53">
        <v>1</v>
      </c>
      <c r="I1400" s="55">
        <v>0</v>
      </c>
    </row>
    <row r="1401" spans="1:9" ht="15.6" x14ac:dyDescent="0.3">
      <c r="A1401" s="19" t="s">
        <v>2440</v>
      </c>
      <c r="B1401" s="19" t="s">
        <v>2566</v>
      </c>
      <c r="C1401" s="19" t="s">
        <v>1897</v>
      </c>
      <c r="D1401" s="53"/>
      <c r="E1401" s="54"/>
      <c r="F1401" s="53"/>
      <c r="G1401" s="54"/>
      <c r="H1401" s="53">
        <v>3</v>
      </c>
      <c r="I1401" s="55">
        <v>0</v>
      </c>
    </row>
    <row r="1402" spans="1:9" ht="15.6" x14ac:dyDescent="0.3">
      <c r="A1402" s="19" t="s">
        <v>2442</v>
      </c>
      <c r="B1402" s="19" t="s">
        <v>2567</v>
      </c>
      <c r="C1402" s="19" t="s">
        <v>1897</v>
      </c>
      <c r="D1402" s="53"/>
      <c r="E1402" s="54"/>
      <c r="F1402" s="53"/>
      <c r="G1402" s="54"/>
      <c r="H1402" s="53">
        <v>3</v>
      </c>
      <c r="I1402" s="55">
        <v>0</v>
      </c>
    </row>
    <row r="1403" spans="1:9" ht="15.6" x14ac:dyDescent="0.3">
      <c r="A1403" s="19" t="s">
        <v>2443</v>
      </c>
      <c r="B1403" s="19" t="s">
        <v>2568</v>
      </c>
      <c r="C1403" s="19" t="s">
        <v>1897</v>
      </c>
      <c r="D1403" s="53"/>
      <c r="E1403" s="54"/>
      <c r="F1403" s="53"/>
      <c r="G1403" s="54"/>
      <c r="H1403" s="53">
        <v>8</v>
      </c>
      <c r="I1403" s="55">
        <v>0</v>
      </c>
    </row>
    <row r="1404" spans="1:9" ht="15.6" x14ac:dyDescent="0.3">
      <c r="A1404" s="19" t="s">
        <v>2444</v>
      </c>
      <c r="B1404" s="19" t="s">
        <v>2569</v>
      </c>
      <c r="C1404" s="19" t="s">
        <v>1897</v>
      </c>
      <c r="D1404" s="53"/>
      <c r="E1404" s="54"/>
      <c r="F1404" s="53"/>
      <c r="G1404" s="54"/>
      <c r="H1404" s="53">
        <v>8</v>
      </c>
      <c r="I1404" s="55">
        <v>0</v>
      </c>
    </row>
    <row r="1405" spans="1:9" ht="15.6" x14ac:dyDescent="0.3">
      <c r="A1405" s="19" t="s">
        <v>2445</v>
      </c>
      <c r="B1405" s="19" t="s">
        <v>2570</v>
      </c>
      <c r="C1405" s="19" t="s">
        <v>1897</v>
      </c>
      <c r="D1405" s="53"/>
      <c r="E1405" s="54"/>
      <c r="F1405" s="53"/>
      <c r="G1405" s="54"/>
      <c r="H1405" s="53">
        <v>165</v>
      </c>
      <c r="I1405" s="55">
        <v>0</v>
      </c>
    </row>
    <row r="1406" spans="1:9" ht="15.6" x14ac:dyDescent="0.3">
      <c r="A1406" s="19" t="s">
        <v>2447</v>
      </c>
      <c r="B1406" s="19" t="s">
        <v>2571</v>
      </c>
      <c r="C1406" s="19" t="s">
        <v>1897</v>
      </c>
      <c r="D1406" s="53"/>
      <c r="E1406" s="54"/>
      <c r="F1406" s="53"/>
      <c r="G1406" s="54"/>
      <c r="H1406" s="53">
        <v>110</v>
      </c>
      <c r="I1406" s="55">
        <v>0</v>
      </c>
    </row>
    <row r="1407" spans="1:9" ht="15.6" x14ac:dyDescent="0.3">
      <c r="A1407" s="19" t="s">
        <v>2448</v>
      </c>
      <c r="B1407" s="19" t="s">
        <v>2572</v>
      </c>
      <c r="C1407" s="19" t="s">
        <v>1897</v>
      </c>
      <c r="D1407" s="53"/>
      <c r="E1407" s="54"/>
      <c r="F1407" s="53"/>
      <c r="G1407" s="54"/>
      <c r="H1407" s="53">
        <v>80</v>
      </c>
      <c r="I1407" s="55">
        <v>0</v>
      </c>
    </row>
    <row r="1408" spans="1:9" ht="15.6" x14ac:dyDescent="0.3">
      <c r="A1408" s="19" t="s">
        <v>2449</v>
      </c>
      <c r="B1408" s="19" t="s">
        <v>2573</v>
      </c>
      <c r="C1408" s="19" t="s">
        <v>1897</v>
      </c>
      <c r="D1408" s="53"/>
      <c r="E1408" s="54"/>
      <c r="F1408" s="53"/>
      <c r="G1408" s="54"/>
      <c r="H1408" s="53">
        <v>1.6</v>
      </c>
      <c r="I1408" s="55">
        <v>0</v>
      </c>
    </row>
    <row r="1409" spans="1:9" ht="15.6" x14ac:dyDescent="0.3">
      <c r="A1409" s="19" t="s">
        <v>2450</v>
      </c>
      <c r="B1409" s="19" t="s">
        <v>2574</v>
      </c>
      <c r="C1409" s="19" t="s">
        <v>1897</v>
      </c>
      <c r="D1409" s="53"/>
      <c r="E1409" s="54"/>
      <c r="F1409" s="53"/>
      <c r="G1409" s="54"/>
      <c r="H1409" s="53">
        <v>25</v>
      </c>
      <c r="I1409" s="55">
        <v>0</v>
      </c>
    </row>
    <row r="1410" spans="1:9" ht="15.6" x14ac:dyDescent="0.3">
      <c r="A1410" s="19" t="s">
        <v>2451</v>
      </c>
      <c r="B1410" s="19" t="s">
        <v>2575</v>
      </c>
      <c r="C1410" s="19" t="s">
        <v>1897</v>
      </c>
      <c r="D1410" s="53"/>
      <c r="E1410" s="54"/>
      <c r="F1410" s="53"/>
      <c r="G1410" s="54"/>
      <c r="H1410" s="53">
        <v>10</v>
      </c>
      <c r="I1410" s="55">
        <v>0</v>
      </c>
    </row>
    <row r="1411" spans="1:9" ht="15.6" x14ac:dyDescent="0.3">
      <c r="A1411" s="19" t="s">
        <v>2452</v>
      </c>
      <c r="B1411" s="19" t="s">
        <v>2576</v>
      </c>
      <c r="C1411" s="19" t="s">
        <v>1897</v>
      </c>
      <c r="D1411" s="53"/>
      <c r="E1411" s="54"/>
      <c r="F1411" s="53"/>
      <c r="G1411" s="54"/>
      <c r="H1411" s="53">
        <v>12</v>
      </c>
      <c r="I1411" s="55">
        <v>0</v>
      </c>
    </row>
    <row r="1412" spans="1:9" ht="15.6" x14ac:dyDescent="0.3">
      <c r="A1412" s="19" t="s">
        <v>2453</v>
      </c>
      <c r="B1412" s="19" t="s">
        <v>2577</v>
      </c>
      <c r="C1412" s="19" t="s">
        <v>1897</v>
      </c>
      <c r="D1412" s="53"/>
      <c r="E1412" s="54"/>
      <c r="F1412" s="53"/>
      <c r="G1412" s="54"/>
      <c r="H1412" s="53">
        <v>80</v>
      </c>
      <c r="I1412" s="55">
        <v>0</v>
      </c>
    </row>
    <row r="1413" spans="1:9" ht="15.6" x14ac:dyDescent="0.3">
      <c r="A1413" s="19" t="s">
        <v>2454</v>
      </c>
      <c r="B1413" s="19" t="s">
        <v>2565</v>
      </c>
      <c r="C1413" s="19" t="s">
        <v>1897</v>
      </c>
      <c r="D1413" s="53"/>
      <c r="E1413" s="54"/>
      <c r="F1413" s="53"/>
      <c r="G1413" s="54"/>
      <c r="H1413" s="53">
        <v>2</v>
      </c>
      <c r="I1413" s="55">
        <v>0</v>
      </c>
    </row>
    <row r="1414" spans="1:9" ht="15.6" x14ac:dyDescent="0.3">
      <c r="A1414" s="19" t="s">
        <v>2599</v>
      </c>
      <c r="B1414" s="19" t="s">
        <v>2538</v>
      </c>
      <c r="C1414" s="19" t="s">
        <v>910</v>
      </c>
      <c r="D1414" s="53"/>
      <c r="E1414" s="54"/>
      <c r="F1414" s="53"/>
      <c r="G1414" s="54"/>
      <c r="H1414" s="53">
        <v>3</v>
      </c>
      <c r="I1414" s="55">
        <v>0</v>
      </c>
    </row>
    <row r="1415" spans="1:9" ht="15.6" x14ac:dyDescent="0.3">
      <c r="A1415" s="19" t="s">
        <v>2600</v>
      </c>
      <c r="B1415" s="19" t="s">
        <v>2555</v>
      </c>
      <c r="C1415" s="19" t="s">
        <v>910</v>
      </c>
      <c r="D1415" s="53"/>
      <c r="E1415" s="54"/>
      <c r="F1415" s="53"/>
      <c r="G1415" s="54"/>
      <c r="H1415" s="53">
        <v>3</v>
      </c>
      <c r="I1415" s="55">
        <v>0</v>
      </c>
    </row>
    <row r="1416" spans="1:9" ht="15.6" x14ac:dyDescent="0.3">
      <c r="A1416" s="19" t="s">
        <v>2601</v>
      </c>
      <c r="B1416" s="19" t="s">
        <v>2560</v>
      </c>
      <c r="C1416" s="19" t="s">
        <v>910</v>
      </c>
      <c r="D1416" s="53"/>
      <c r="E1416" s="54"/>
      <c r="F1416" s="53"/>
      <c r="G1416" s="54"/>
      <c r="H1416" s="53">
        <v>1</v>
      </c>
      <c r="I1416" s="55">
        <v>0</v>
      </c>
    </row>
    <row r="1417" spans="1:9" ht="15.6" x14ac:dyDescent="0.3">
      <c r="A1417" s="19" t="s">
        <v>2602</v>
      </c>
      <c r="B1417" s="19" t="s">
        <v>2563</v>
      </c>
      <c r="C1417" s="19" t="s">
        <v>910</v>
      </c>
      <c r="D1417" s="53"/>
      <c r="E1417" s="54"/>
      <c r="F1417" s="53"/>
      <c r="G1417" s="54"/>
      <c r="H1417" s="53">
        <v>6</v>
      </c>
      <c r="I1417" s="55">
        <v>0</v>
      </c>
    </row>
    <row r="1418" spans="1:9" ht="15.6" x14ac:dyDescent="0.3">
      <c r="A1418" s="19" t="s">
        <v>2604</v>
      </c>
      <c r="B1418" s="19" t="s">
        <v>2603</v>
      </c>
      <c r="C1418" s="19" t="s">
        <v>910</v>
      </c>
      <c r="D1418" s="53"/>
      <c r="E1418" s="54"/>
      <c r="F1418" s="53"/>
      <c r="G1418" s="54"/>
      <c r="H1418" s="53">
        <v>390</v>
      </c>
      <c r="I1418" s="55">
        <v>0</v>
      </c>
    </row>
    <row r="1419" spans="1:9" ht="15.6" x14ac:dyDescent="0.3">
      <c r="A1419" s="19" t="s">
        <v>2612</v>
      </c>
      <c r="B1419" s="19" t="s">
        <v>2606</v>
      </c>
      <c r="C1419" s="19" t="s">
        <v>910</v>
      </c>
      <c r="D1419" s="53"/>
      <c r="E1419" s="54"/>
      <c r="F1419" s="53"/>
      <c r="G1419" s="54"/>
      <c r="H1419" s="53">
        <v>2</v>
      </c>
      <c r="I1419" s="55">
        <v>0</v>
      </c>
    </row>
    <row r="1420" spans="1:9" ht="15.6" x14ac:dyDescent="0.3">
      <c r="A1420" s="19" t="s">
        <v>2613</v>
      </c>
      <c r="B1420" s="19" t="s">
        <v>2607</v>
      </c>
      <c r="C1420" s="19" t="s">
        <v>910</v>
      </c>
      <c r="D1420" s="53"/>
      <c r="E1420" s="54"/>
      <c r="F1420" s="53"/>
      <c r="G1420" s="54"/>
      <c r="H1420" s="53">
        <v>1</v>
      </c>
      <c r="I1420" s="55">
        <v>0</v>
      </c>
    </row>
    <row r="1421" spans="1:9" ht="15.6" x14ac:dyDescent="0.3">
      <c r="A1421" s="19" t="s">
        <v>2614</v>
      </c>
      <c r="B1421" s="19" t="s">
        <v>2608</v>
      </c>
      <c r="C1421" s="19" t="s">
        <v>910</v>
      </c>
      <c r="D1421" s="53"/>
      <c r="E1421" s="54"/>
      <c r="F1421" s="53"/>
      <c r="G1421" s="54"/>
      <c r="H1421" s="53">
        <v>1</v>
      </c>
      <c r="I1421" s="55">
        <v>0</v>
      </c>
    </row>
    <row r="1422" spans="1:9" ht="15.6" x14ac:dyDescent="0.3">
      <c r="A1422" s="19" t="s">
        <v>2615</v>
      </c>
      <c r="B1422" s="19" t="s">
        <v>2609</v>
      </c>
      <c r="C1422" s="19" t="s">
        <v>910</v>
      </c>
      <c r="D1422" s="53"/>
      <c r="E1422" s="54"/>
      <c r="F1422" s="53"/>
      <c r="G1422" s="54"/>
      <c r="H1422" s="53">
        <v>1</v>
      </c>
      <c r="I1422" s="55">
        <v>0</v>
      </c>
    </row>
    <row r="1423" spans="1:9" ht="15.6" x14ac:dyDescent="0.3">
      <c r="A1423" s="19" t="s">
        <v>2616</v>
      </c>
      <c r="B1423" s="19" t="s">
        <v>2610</v>
      </c>
      <c r="C1423" s="19" t="s">
        <v>910</v>
      </c>
      <c r="D1423" s="53"/>
      <c r="E1423" s="54"/>
      <c r="F1423" s="53"/>
      <c r="G1423" s="54"/>
      <c r="H1423" s="53">
        <v>1</v>
      </c>
      <c r="I1423" s="55">
        <v>0</v>
      </c>
    </row>
    <row r="1424" spans="1:9" ht="15.6" x14ac:dyDescent="0.3">
      <c r="A1424" s="19" t="s">
        <v>2617</v>
      </c>
      <c r="B1424" s="19" t="s">
        <v>2611</v>
      </c>
      <c r="C1424" s="19" t="s">
        <v>910</v>
      </c>
      <c r="D1424" s="53"/>
      <c r="E1424" s="54"/>
      <c r="F1424" s="53"/>
      <c r="G1424" s="54"/>
      <c r="H1424" s="53">
        <v>2</v>
      </c>
      <c r="I1424" s="55">
        <v>0</v>
      </c>
    </row>
    <row r="1425" spans="1:9" ht="15.6" x14ac:dyDescent="0.3">
      <c r="A1425" s="19" t="s">
        <v>2622</v>
      </c>
      <c r="B1425" s="19" t="s">
        <v>2618</v>
      </c>
      <c r="C1425" s="19" t="s">
        <v>910</v>
      </c>
      <c r="D1425" s="53"/>
      <c r="E1425" s="54"/>
      <c r="F1425" s="53"/>
      <c r="G1425" s="54"/>
      <c r="H1425" s="53">
        <v>0.5</v>
      </c>
      <c r="I1425" s="55">
        <v>0</v>
      </c>
    </row>
    <row r="1426" spans="1:9" ht="15.6" x14ac:dyDescent="0.3">
      <c r="A1426" s="19" t="s">
        <v>2623</v>
      </c>
      <c r="B1426" s="19" t="s">
        <v>2619</v>
      </c>
      <c r="C1426" s="19" t="s">
        <v>910</v>
      </c>
      <c r="D1426" s="53"/>
      <c r="E1426" s="54"/>
      <c r="F1426" s="53"/>
      <c r="G1426" s="54"/>
      <c r="H1426" s="53">
        <v>5.9649999999999999</v>
      </c>
      <c r="I1426" s="55">
        <v>0</v>
      </c>
    </row>
    <row r="1427" spans="1:9" ht="15.6" x14ac:dyDescent="0.3">
      <c r="A1427" s="19" t="s">
        <v>2624</v>
      </c>
      <c r="B1427" s="19" t="s">
        <v>2620</v>
      </c>
      <c r="C1427" s="19" t="s">
        <v>910</v>
      </c>
      <c r="D1427" s="53"/>
      <c r="E1427" s="54"/>
      <c r="F1427" s="53"/>
      <c r="G1427" s="54"/>
      <c r="H1427" s="53">
        <v>9.9550000000000001</v>
      </c>
      <c r="I1427" s="55">
        <v>0</v>
      </c>
    </row>
    <row r="1428" spans="1:9" ht="15.6" x14ac:dyDescent="0.3">
      <c r="A1428" s="19" t="s">
        <v>2625</v>
      </c>
      <c r="B1428" s="19" t="s">
        <v>2621</v>
      </c>
      <c r="C1428" s="19" t="s">
        <v>910</v>
      </c>
      <c r="D1428" s="53"/>
      <c r="E1428" s="54"/>
      <c r="F1428" s="53"/>
      <c r="G1428" s="54"/>
      <c r="H1428" s="53">
        <v>6.48</v>
      </c>
      <c r="I1428" s="55">
        <v>0</v>
      </c>
    </row>
    <row r="1429" spans="1:9" ht="15.6" x14ac:dyDescent="0.3">
      <c r="A1429" s="19" t="s">
        <v>2631</v>
      </c>
      <c r="B1429" s="19" t="s">
        <v>2629</v>
      </c>
      <c r="C1429" s="19" t="s">
        <v>1897</v>
      </c>
      <c r="D1429" s="53"/>
      <c r="E1429" s="54"/>
      <c r="F1429" s="53"/>
      <c r="G1429" s="54"/>
      <c r="H1429" s="53">
        <v>7</v>
      </c>
      <c r="I1429" s="55">
        <v>0</v>
      </c>
    </row>
    <row r="1430" spans="1:9" ht="15.6" x14ac:dyDescent="0.3">
      <c r="A1430" s="19" t="s">
        <v>2632</v>
      </c>
      <c r="B1430" s="19" t="s">
        <v>2630</v>
      </c>
      <c r="C1430" s="19" t="s">
        <v>1897</v>
      </c>
      <c r="D1430" s="53"/>
      <c r="E1430" s="54"/>
      <c r="F1430" s="53"/>
      <c r="G1430" s="54"/>
      <c r="H1430" s="53">
        <v>1</v>
      </c>
      <c r="I1430" s="55">
        <v>0</v>
      </c>
    </row>
    <row r="1431" spans="1:9" ht="15.6" x14ac:dyDescent="0.3">
      <c r="A1431" s="19" t="s">
        <v>2634</v>
      </c>
      <c r="B1431" s="19" t="s">
        <v>2633</v>
      </c>
      <c r="C1431" s="19" t="s">
        <v>1918</v>
      </c>
      <c r="D1431" s="53">
        <v>1</v>
      </c>
      <c r="E1431" s="54">
        <v>0</v>
      </c>
      <c r="F1431" s="53"/>
      <c r="G1431" s="54"/>
      <c r="H1431" s="53"/>
      <c r="I1431" s="55"/>
    </row>
    <row r="1432" spans="1:9" ht="15.6" x14ac:dyDescent="0.3">
      <c r="A1432" s="19" t="s">
        <v>2637</v>
      </c>
      <c r="B1432" s="19" t="s">
        <v>2635</v>
      </c>
      <c r="C1432" s="19" t="s">
        <v>1897</v>
      </c>
      <c r="D1432" s="53">
        <v>1</v>
      </c>
      <c r="E1432" s="54">
        <v>0</v>
      </c>
      <c r="F1432" s="53"/>
      <c r="G1432" s="54"/>
      <c r="H1432" s="53"/>
      <c r="I1432" s="55"/>
    </row>
    <row r="1433" spans="1:9" ht="28.8" x14ac:dyDescent="0.3">
      <c r="A1433" s="25" t="s">
        <v>2638</v>
      </c>
      <c r="B1433" s="25" t="s">
        <v>2636</v>
      </c>
      <c r="C1433" s="25" t="s">
        <v>1897</v>
      </c>
      <c r="D1433" s="58">
        <v>1</v>
      </c>
      <c r="E1433" s="59">
        <v>0</v>
      </c>
      <c r="F1433" s="58"/>
      <c r="G1433" s="59"/>
      <c r="H1433" s="58"/>
      <c r="I1433" s="60"/>
    </row>
    <row r="1434" spans="1:9" ht="15.6" x14ac:dyDescent="0.3">
      <c r="A1434"/>
      <c r="B1434"/>
      <c r="C1434"/>
      <c r="D1434"/>
      <c r="E1434"/>
      <c r="F1434"/>
    </row>
    <row r="1435" spans="1:9" ht="15.6" x14ac:dyDescent="0.3">
      <c r="A1435"/>
      <c r="B1435"/>
      <c r="C1435"/>
      <c r="D1435"/>
      <c r="E1435"/>
      <c r="F1435"/>
    </row>
    <row r="1436" spans="1:9" ht="15.6" x14ac:dyDescent="0.3">
      <c r="A1436"/>
      <c r="B1436"/>
      <c r="C1436"/>
      <c r="D1436"/>
      <c r="E1436"/>
      <c r="F1436"/>
    </row>
    <row r="1437" spans="1:9" ht="15.6" x14ac:dyDescent="0.3">
      <c r="A1437"/>
      <c r="B1437"/>
      <c r="C1437"/>
      <c r="D1437"/>
      <c r="E1437"/>
      <c r="F1437"/>
    </row>
    <row r="1438" spans="1:9" ht="15.6" x14ac:dyDescent="0.3">
      <c r="A1438"/>
      <c r="B1438"/>
      <c r="C1438"/>
      <c r="D1438"/>
      <c r="E1438"/>
      <c r="F1438"/>
    </row>
    <row r="1439" spans="1:9" ht="15.6" x14ac:dyDescent="0.3">
      <c r="A1439"/>
      <c r="B1439"/>
      <c r="C1439"/>
      <c r="D1439"/>
      <c r="E1439"/>
      <c r="F1439"/>
    </row>
    <row r="1440" spans="1:9" ht="15.6" x14ac:dyDescent="0.3">
      <c r="A1440"/>
      <c r="B1440"/>
      <c r="C1440"/>
      <c r="D1440"/>
      <c r="E1440"/>
      <c r="F1440"/>
    </row>
    <row r="1441" spans="1:6" ht="15.6" x14ac:dyDescent="0.3">
      <c r="A1441"/>
      <c r="B1441"/>
      <c r="C1441"/>
      <c r="D1441"/>
      <c r="E1441"/>
      <c r="F1441"/>
    </row>
    <row r="1442" spans="1:6" ht="15.6" x14ac:dyDescent="0.3">
      <c r="A1442"/>
      <c r="B1442"/>
      <c r="C1442"/>
      <c r="D1442"/>
      <c r="E1442"/>
      <c r="F1442"/>
    </row>
    <row r="1443" spans="1:6" ht="15.6" x14ac:dyDescent="0.3">
      <c r="A1443"/>
      <c r="B1443"/>
      <c r="C1443"/>
      <c r="D1443"/>
      <c r="E1443"/>
      <c r="F1443"/>
    </row>
    <row r="1444" spans="1:6" ht="15.6" x14ac:dyDescent="0.3">
      <c r="A1444"/>
      <c r="B1444"/>
      <c r="C1444"/>
      <c r="D1444"/>
      <c r="E1444"/>
      <c r="F1444"/>
    </row>
    <row r="1445" spans="1:6" ht="15.6" x14ac:dyDescent="0.3">
      <c r="A1445"/>
      <c r="B1445"/>
      <c r="C1445"/>
      <c r="D1445"/>
      <c r="E1445"/>
      <c r="F1445"/>
    </row>
    <row r="1446" spans="1:6" ht="15.6" x14ac:dyDescent="0.3">
      <c r="A1446"/>
      <c r="B1446"/>
      <c r="C1446"/>
      <c r="D1446"/>
      <c r="E1446"/>
      <c r="F1446"/>
    </row>
    <row r="1447" spans="1:6" ht="15.6" x14ac:dyDescent="0.3">
      <c r="A1447"/>
      <c r="B1447"/>
      <c r="C1447"/>
      <c r="D1447"/>
      <c r="E1447"/>
      <c r="F1447"/>
    </row>
    <row r="1448" spans="1:6" ht="15.6" x14ac:dyDescent="0.3">
      <c r="A1448"/>
      <c r="B1448"/>
      <c r="C1448"/>
      <c r="D1448"/>
      <c r="E1448"/>
      <c r="F1448"/>
    </row>
    <row r="1449" spans="1:6" ht="15.6" x14ac:dyDescent="0.3">
      <c r="A1449"/>
      <c r="B1449"/>
      <c r="C1449"/>
      <c r="D1449"/>
      <c r="E1449"/>
      <c r="F1449"/>
    </row>
    <row r="1450" spans="1:6" ht="15.6" x14ac:dyDescent="0.3">
      <c r="A1450"/>
      <c r="B1450"/>
      <c r="C1450"/>
      <c r="D1450"/>
      <c r="E1450"/>
      <c r="F1450"/>
    </row>
    <row r="1451" spans="1:6" ht="15.6" x14ac:dyDescent="0.3">
      <c r="A1451"/>
      <c r="B1451"/>
      <c r="C1451"/>
      <c r="D1451"/>
      <c r="E1451"/>
      <c r="F1451"/>
    </row>
    <row r="1452" spans="1:6" ht="15.6" x14ac:dyDescent="0.3">
      <c r="A1452"/>
      <c r="B1452"/>
      <c r="C1452"/>
      <c r="D1452"/>
      <c r="E1452"/>
      <c r="F1452"/>
    </row>
    <row r="1453" spans="1:6" ht="15.6" x14ac:dyDescent="0.3">
      <c r="A1453"/>
      <c r="B1453"/>
      <c r="C1453"/>
      <c r="D1453"/>
      <c r="E1453"/>
      <c r="F1453"/>
    </row>
    <row r="1454" spans="1:6" ht="15.6" x14ac:dyDescent="0.3">
      <c r="A1454"/>
      <c r="B1454"/>
      <c r="C1454"/>
      <c r="D1454"/>
      <c r="E1454"/>
      <c r="F1454"/>
    </row>
    <row r="1455" spans="1:6" ht="15.6" x14ac:dyDescent="0.3">
      <c r="A1455"/>
      <c r="B1455"/>
      <c r="C1455"/>
      <c r="D1455"/>
      <c r="E1455"/>
      <c r="F1455"/>
    </row>
    <row r="1456" spans="1:6" ht="15.6" x14ac:dyDescent="0.3">
      <c r="A1456"/>
      <c r="B1456"/>
      <c r="C1456"/>
      <c r="D1456"/>
      <c r="E1456"/>
      <c r="F1456"/>
    </row>
    <row r="1457" spans="1:6" ht="15.6" x14ac:dyDescent="0.3">
      <c r="A1457"/>
      <c r="B1457"/>
      <c r="C1457"/>
      <c r="D1457"/>
      <c r="E1457"/>
      <c r="F1457"/>
    </row>
    <row r="1458" spans="1:6" ht="15.6" x14ac:dyDescent="0.3">
      <c r="A1458"/>
      <c r="B1458"/>
      <c r="C1458"/>
      <c r="D1458"/>
      <c r="E1458"/>
      <c r="F1458"/>
    </row>
    <row r="1459" spans="1:6" ht="15.6" x14ac:dyDescent="0.3">
      <c r="A1459"/>
      <c r="B1459"/>
      <c r="C1459"/>
      <c r="D1459"/>
      <c r="E1459"/>
      <c r="F1459"/>
    </row>
    <row r="1460" spans="1:6" ht="15.6" x14ac:dyDescent="0.3">
      <c r="A1460"/>
      <c r="B1460"/>
      <c r="C1460"/>
      <c r="D1460"/>
      <c r="E1460"/>
      <c r="F1460"/>
    </row>
    <row r="1461" spans="1:6" ht="15.6" x14ac:dyDescent="0.3">
      <c r="A1461"/>
      <c r="B1461"/>
      <c r="C1461"/>
      <c r="D1461"/>
      <c r="E1461"/>
      <c r="F1461"/>
    </row>
    <row r="1462" spans="1:6" ht="15.6" x14ac:dyDescent="0.3">
      <c r="A1462"/>
      <c r="B1462"/>
      <c r="C1462"/>
      <c r="D1462"/>
      <c r="E1462"/>
      <c r="F1462"/>
    </row>
    <row r="1463" spans="1:6" ht="15.6" x14ac:dyDescent="0.3">
      <c r="A1463"/>
      <c r="B1463"/>
      <c r="C1463"/>
      <c r="D1463"/>
      <c r="E1463"/>
      <c r="F1463"/>
    </row>
    <row r="1464" spans="1:6" ht="15.6" x14ac:dyDescent="0.3">
      <c r="A1464"/>
      <c r="B1464"/>
      <c r="C1464"/>
      <c r="D1464"/>
      <c r="E1464"/>
      <c r="F1464"/>
    </row>
    <row r="1465" spans="1:6" ht="15.6" x14ac:dyDescent="0.3">
      <c r="A1465"/>
      <c r="B1465"/>
      <c r="C1465"/>
      <c r="D1465"/>
      <c r="E1465"/>
      <c r="F1465"/>
    </row>
    <row r="1466" spans="1:6" ht="15.6" x14ac:dyDescent="0.3">
      <c r="A1466"/>
      <c r="B1466"/>
      <c r="C1466"/>
      <c r="D1466"/>
      <c r="E1466"/>
      <c r="F1466"/>
    </row>
    <row r="1467" spans="1:6" ht="15.6" x14ac:dyDescent="0.3">
      <c r="A1467"/>
      <c r="B1467"/>
      <c r="C1467"/>
      <c r="D1467"/>
      <c r="E1467"/>
      <c r="F1467"/>
    </row>
    <row r="1468" spans="1:6" ht="15.6" x14ac:dyDescent="0.3">
      <c r="A1468"/>
      <c r="B1468"/>
      <c r="C1468"/>
      <c r="D1468"/>
      <c r="E1468"/>
      <c r="F1468"/>
    </row>
    <row r="1469" spans="1:6" ht="15.6" x14ac:dyDescent="0.3">
      <c r="A1469"/>
      <c r="B1469"/>
      <c r="C1469"/>
      <c r="D1469"/>
      <c r="E1469"/>
      <c r="F1469"/>
    </row>
    <row r="1470" spans="1:6" ht="15.6" x14ac:dyDescent="0.3">
      <c r="A1470"/>
      <c r="B1470"/>
      <c r="C1470"/>
      <c r="D1470"/>
      <c r="E1470"/>
      <c r="F1470"/>
    </row>
    <row r="1471" spans="1:6" ht="15.6" x14ac:dyDescent="0.3">
      <c r="A1471"/>
      <c r="B1471"/>
      <c r="C1471"/>
      <c r="D1471"/>
      <c r="E1471"/>
      <c r="F1471"/>
    </row>
    <row r="1472" spans="1:6" ht="15.6" x14ac:dyDescent="0.3">
      <c r="A1472"/>
      <c r="B1472"/>
      <c r="C1472"/>
      <c r="D1472"/>
      <c r="E1472"/>
      <c r="F1472"/>
    </row>
    <row r="1473" spans="1:6" ht="15.6" x14ac:dyDescent="0.3">
      <c r="A1473"/>
      <c r="B1473"/>
      <c r="C1473"/>
      <c r="D1473"/>
      <c r="E1473"/>
      <c r="F1473"/>
    </row>
    <row r="1474" spans="1:6" ht="15.6" x14ac:dyDescent="0.3">
      <c r="A1474"/>
      <c r="B1474"/>
      <c r="C1474"/>
      <c r="D1474"/>
      <c r="E1474"/>
      <c r="F1474"/>
    </row>
    <row r="1475" spans="1:6" ht="15.6" x14ac:dyDescent="0.3">
      <c r="A1475"/>
      <c r="B1475"/>
      <c r="C1475"/>
      <c r="D1475"/>
      <c r="E1475"/>
      <c r="F1475"/>
    </row>
    <row r="1476" spans="1:6" ht="15.6" x14ac:dyDescent="0.3">
      <c r="A1476"/>
      <c r="B1476"/>
      <c r="C1476"/>
      <c r="D1476"/>
      <c r="E1476"/>
      <c r="F1476"/>
    </row>
    <row r="1477" spans="1:6" ht="15.6" x14ac:dyDescent="0.3">
      <c r="A1477"/>
      <c r="B1477"/>
      <c r="C1477"/>
      <c r="D1477"/>
      <c r="E1477"/>
      <c r="F1477"/>
    </row>
    <row r="1478" spans="1:6" ht="15.6" x14ac:dyDescent="0.3">
      <c r="A1478"/>
      <c r="B1478"/>
      <c r="C1478"/>
      <c r="D1478"/>
      <c r="E1478"/>
      <c r="F1478"/>
    </row>
    <row r="1479" spans="1:6" ht="15.6" x14ac:dyDescent="0.3">
      <c r="A1479"/>
      <c r="B1479"/>
      <c r="C1479"/>
      <c r="D1479"/>
      <c r="E1479"/>
      <c r="F1479"/>
    </row>
    <row r="1480" spans="1:6" ht="15.6" x14ac:dyDescent="0.3">
      <c r="A1480"/>
      <c r="B1480"/>
      <c r="C1480"/>
      <c r="D1480"/>
      <c r="E1480"/>
      <c r="F1480"/>
    </row>
    <row r="1481" spans="1:6" ht="15.6" x14ac:dyDescent="0.3">
      <c r="A1481"/>
      <c r="B1481"/>
      <c r="C1481"/>
      <c r="D1481"/>
      <c r="E1481"/>
      <c r="F1481"/>
    </row>
    <row r="1482" spans="1:6" ht="15.6" x14ac:dyDescent="0.3">
      <c r="A1482"/>
      <c r="B1482"/>
      <c r="C1482"/>
      <c r="D1482"/>
      <c r="E1482"/>
      <c r="F1482"/>
    </row>
    <row r="1483" spans="1:6" ht="15.6" x14ac:dyDescent="0.3">
      <c r="A1483"/>
      <c r="B1483"/>
      <c r="C1483"/>
      <c r="D1483"/>
      <c r="E1483"/>
      <c r="F1483"/>
    </row>
    <row r="1484" spans="1:6" ht="15.6" x14ac:dyDescent="0.3">
      <c r="A1484"/>
      <c r="B1484"/>
      <c r="C1484"/>
      <c r="D1484"/>
      <c r="E1484"/>
      <c r="F1484"/>
    </row>
    <row r="1485" spans="1:6" ht="15.6" x14ac:dyDescent="0.3">
      <c r="A1485"/>
      <c r="B1485"/>
      <c r="C1485"/>
      <c r="D1485"/>
      <c r="E1485"/>
      <c r="F1485"/>
    </row>
    <row r="1486" spans="1:6" ht="15.6" x14ac:dyDescent="0.3">
      <c r="A1486"/>
      <c r="B1486"/>
      <c r="C1486"/>
      <c r="D1486"/>
      <c r="E1486"/>
      <c r="F1486"/>
    </row>
    <row r="1487" spans="1:6" ht="15.6" x14ac:dyDescent="0.3">
      <c r="A1487"/>
      <c r="B1487"/>
      <c r="C1487"/>
      <c r="D1487"/>
      <c r="E1487"/>
      <c r="F1487"/>
    </row>
    <row r="1488" spans="1:6" ht="15.6" x14ac:dyDescent="0.3">
      <c r="A1488"/>
      <c r="B1488"/>
      <c r="C1488"/>
      <c r="D1488"/>
      <c r="E1488"/>
      <c r="F1488"/>
    </row>
    <row r="1489" spans="1:6" ht="15.6" x14ac:dyDescent="0.3">
      <c r="A1489"/>
      <c r="B1489"/>
      <c r="C1489"/>
      <c r="D1489"/>
      <c r="E1489"/>
      <c r="F1489"/>
    </row>
    <row r="1490" spans="1:6" ht="15.6" x14ac:dyDescent="0.3">
      <c r="A1490"/>
      <c r="B1490"/>
      <c r="C1490"/>
      <c r="D1490"/>
      <c r="E1490"/>
      <c r="F1490"/>
    </row>
    <row r="1491" spans="1:6" ht="15.6" x14ac:dyDescent="0.3">
      <c r="A1491"/>
      <c r="B1491"/>
      <c r="C1491"/>
      <c r="D1491"/>
      <c r="E1491"/>
      <c r="F1491"/>
    </row>
    <row r="1492" spans="1:6" ht="15.6" x14ac:dyDescent="0.3">
      <c r="A1492"/>
      <c r="B1492"/>
      <c r="C1492"/>
      <c r="D1492"/>
      <c r="E1492"/>
      <c r="F1492"/>
    </row>
    <row r="1493" spans="1:6" ht="15.6" x14ac:dyDescent="0.3">
      <c r="A1493"/>
      <c r="B1493"/>
      <c r="C1493"/>
      <c r="D1493"/>
      <c r="E1493"/>
      <c r="F1493"/>
    </row>
    <row r="1494" spans="1:6" ht="15.6" x14ac:dyDescent="0.3">
      <c r="A1494"/>
      <c r="B1494"/>
      <c r="C1494"/>
      <c r="D1494"/>
      <c r="E1494"/>
      <c r="F1494"/>
    </row>
    <row r="1495" spans="1:6" ht="15.6" x14ac:dyDescent="0.3">
      <c r="A1495"/>
      <c r="B1495"/>
      <c r="C1495"/>
      <c r="D1495"/>
      <c r="E1495"/>
      <c r="F1495"/>
    </row>
    <row r="1496" spans="1:6" ht="15.6" x14ac:dyDescent="0.3">
      <c r="A1496"/>
      <c r="B1496"/>
      <c r="C1496"/>
      <c r="D1496"/>
      <c r="E1496"/>
      <c r="F1496"/>
    </row>
    <row r="1497" spans="1:6" ht="15.6" x14ac:dyDescent="0.3">
      <c r="A1497"/>
      <c r="B1497"/>
      <c r="C1497"/>
      <c r="D1497"/>
      <c r="E1497"/>
      <c r="F1497"/>
    </row>
    <row r="1498" spans="1:6" ht="15.6" x14ac:dyDescent="0.3">
      <c r="A1498"/>
      <c r="B1498"/>
      <c r="C1498"/>
      <c r="D1498"/>
      <c r="E1498"/>
      <c r="F1498"/>
    </row>
    <row r="1499" spans="1:6" ht="15.6" x14ac:dyDescent="0.3">
      <c r="A1499"/>
      <c r="B1499"/>
      <c r="C1499"/>
      <c r="D1499"/>
      <c r="E1499"/>
      <c r="F1499"/>
    </row>
    <row r="1500" spans="1:6" ht="15.6" x14ac:dyDescent="0.3">
      <c r="A1500"/>
      <c r="B1500"/>
      <c r="C1500"/>
      <c r="D1500"/>
      <c r="E1500"/>
      <c r="F1500"/>
    </row>
    <row r="1501" spans="1:6" ht="15.6" x14ac:dyDescent="0.3">
      <c r="A1501"/>
      <c r="B1501"/>
      <c r="C1501"/>
      <c r="D1501"/>
      <c r="E1501"/>
      <c r="F1501"/>
    </row>
    <row r="1502" spans="1:6" ht="15.6" x14ac:dyDescent="0.3">
      <c r="A1502"/>
      <c r="B1502"/>
      <c r="C1502"/>
      <c r="D1502"/>
      <c r="E1502"/>
      <c r="F1502"/>
    </row>
    <row r="1503" spans="1:6" ht="15.6" x14ac:dyDescent="0.3">
      <c r="A1503"/>
      <c r="B1503"/>
      <c r="C1503"/>
      <c r="D1503"/>
      <c r="E1503"/>
      <c r="F1503"/>
    </row>
    <row r="1504" spans="1:6" ht="15.6" x14ac:dyDescent="0.3">
      <c r="A1504"/>
      <c r="B1504"/>
      <c r="C1504"/>
      <c r="D1504"/>
      <c r="E1504"/>
      <c r="F1504"/>
    </row>
    <row r="1505" spans="1:6" ht="15.6" x14ac:dyDescent="0.3">
      <c r="A1505"/>
      <c r="B1505"/>
      <c r="C1505"/>
      <c r="D1505"/>
      <c r="E1505"/>
      <c r="F1505"/>
    </row>
    <row r="1506" spans="1:6" ht="15.6" x14ac:dyDescent="0.3">
      <c r="A1506"/>
      <c r="B1506"/>
      <c r="C1506"/>
      <c r="D1506"/>
      <c r="E1506"/>
      <c r="F1506"/>
    </row>
    <row r="1507" spans="1:6" ht="15.6" x14ac:dyDescent="0.3">
      <c r="A1507"/>
      <c r="B1507"/>
      <c r="C1507"/>
      <c r="D1507"/>
      <c r="E1507"/>
      <c r="F1507"/>
    </row>
    <row r="1508" spans="1:6" ht="15.6" x14ac:dyDescent="0.3">
      <c r="A1508"/>
      <c r="B1508"/>
      <c r="C1508"/>
      <c r="D1508"/>
      <c r="E1508"/>
      <c r="F1508"/>
    </row>
    <row r="1509" spans="1:6" ht="15.6" x14ac:dyDescent="0.3">
      <c r="A1509"/>
      <c r="B1509"/>
      <c r="C1509"/>
      <c r="D1509"/>
      <c r="E1509"/>
      <c r="F1509"/>
    </row>
    <row r="1510" spans="1:6" ht="15.6" x14ac:dyDescent="0.3">
      <c r="A1510"/>
      <c r="B1510"/>
      <c r="C1510"/>
      <c r="D1510"/>
      <c r="E1510"/>
      <c r="F1510"/>
    </row>
    <row r="1511" spans="1:6" ht="15.6" x14ac:dyDescent="0.3">
      <c r="A1511"/>
      <c r="B1511"/>
      <c r="C1511"/>
      <c r="D1511"/>
      <c r="E1511"/>
      <c r="F1511"/>
    </row>
    <row r="1512" spans="1:6" ht="15.6" x14ac:dyDescent="0.3">
      <c r="A1512"/>
      <c r="B1512"/>
      <c r="C1512"/>
      <c r="D1512"/>
      <c r="E1512"/>
      <c r="F1512"/>
    </row>
    <row r="1513" spans="1:6" ht="15.6" x14ac:dyDescent="0.3">
      <c r="A1513"/>
      <c r="B1513"/>
      <c r="C1513"/>
      <c r="D1513"/>
      <c r="E1513"/>
      <c r="F1513"/>
    </row>
    <row r="1514" spans="1:6" ht="15.6" x14ac:dyDescent="0.3">
      <c r="A1514"/>
      <c r="B1514"/>
      <c r="C1514"/>
      <c r="D1514"/>
      <c r="E1514"/>
      <c r="F1514"/>
    </row>
    <row r="1515" spans="1:6" ht="15.6" x14ac:dyDescent="0.3">
      <c r="A1515"/>
      <c r="B1515"/>
      <c r="C1515"/>
      <c r="D1515"/>
      <c r="E1515"/>
      <c r="F1515"/>
    </row>
    <row r="1516" spans="1:6" ht="15.6" x14ac:dyDescent="0.3">
      <c r="A1516"/>
      <c r="B1516"/>
      <c r="C1516"/>
      <c r="D1516"/>
      <c r="E1516"/>
      <c r="F1516"/>
    </row>
    <row r="1517" spans="1:6" ht="15.6" x14ac:dyDescent="0.3">
      <c r="A1517"/>
      <c r="B1517"/>
      <c r="C1517"/>
      <c r="D1517"/>
      <c r="E1517"/>
      <c r="F1517"/>
    </row>
    <row r="1518" spans="1:6" ht="15.6" x14ac:dyDescent="0.3">
      <c r="A1518"/>
      <c r="B1518"/>
      <c r="C1518"/>
      <c r="D1518"/>
      <c r="E1518"/>
      <c r="F1518"/>
    </row>
    <row r="1519" spans="1:6" ht="15.6" x14ac:dyDescent="0.3">
      <c r="A1519"/>
      <c r="B1519"/>
      <c r="C1519"/>
      <c r="D1519"/>
      <c r="E1519"/>
      <c r="F1519"/>
    </row>
    <row r="1520" spans="1:6" ht="15.6" x14ac:dyDescent="0.3">
      <c r="A1520"/>
      <c r="B1520"/>
      <c r="C1520"/>
      <c r="D1520"/>
      <c r="E1520"/>
      <c r="F1520"/>
    </row>
    <row r="1521" spans="1:6" ht="15.6" x14ac:dyDescent="0.3">
      <c r="A1521"/>
      <c r="B1521"/>
      <c r="C1521"/>
      <c r="D1521"/>
      <c r="E1521"/>
      <c r="F1521"/>
    </row>
    <row r="1522" spans="1:6" ht="15.6" x14ac:dyDescent="0.3">
      <c r="A1522"/>
      <c r="B1522"/>
      <c r="C1522"/>
      <c r="D1522"/>
      <c r="E1522"/>
      <c r="F1522"/>
    </row>
    <row r="1523" spans="1:6" ht="15.6" x14ac:dyDescent="0.3">
      <c r="A1523"/>
      <c r="B1523"/>
      <c r="C1523"/>
      <c r="D1523"/>
      <c r="E1523"/>
      <c r="F1523"/>
    </row>
    <row r="1524" spans="1:6" ht="15.6" x14ac:dyDescent="0.3">
      <c r="A1524"/>
      <c r="B1524"/>
      <c r="C1524"/>
      <c r="D1524"/>
      <c r="E1524"/>
      <c r="F1524"/>
    </row>
    <row r="1525" spans="1:6" ht="15.6" x14ac:dyDescent="0.3">
      <c r="A1525"/>
      <c r="B1525"/>
      <c r="C1525"/>
      <c r="D1525"/>
      <c r="E1525"/>
      <c r="F1525"/>
    </row>
    <row r="1526" spans="1:6" ht="15.6" x14ac:dyDescent="0.3">
      <c r="A1526"/>
      <c r="B1526"/>
      <c r="C1526"/>
      <c r="D1526"/>
      <c r="E1526"/>
      <c r="F1526"/>
    </row>
    <row r="1527" spans="1:6" ht="15.6" x14ac:dyDescent="0.3">
      <c r="A1527"/>
      <c r="B1527"/>
      <c r="C1527"/>
      <c r="D1527"/>
      <c r="E1527"/>
      <c r="F1527"/>
    </row>
    <row r="1528" spans="1:6" ht="15.6" x14ac:dyDescent="0.3">
      <c r="A1528"/>
      <c r="B1528"/>
      <c r="C1528"/>
      <c r="D1528"/>
      <c r="E1528"/>
      <c r="F1528"/>
    </row>
    <row r="1529" spans="1:6" ht="15.6" x14ac:dyDescent="0.3">
      <c r="A1529"/>
      <c r="B1529"/>
      <c r="C1529"/>
      <c r="D1529"/>
      <c r="E1529"/>
      <c r="F1529"/>
    </row>
    <row r="1530" spans="1:6" ht="15.6" x14ac:dyDescent="0.3">
      <c r="A1530"/>
      <c r="B1530"/>
      <c r="C1530"/>
      <c r="D1530"/>
      <c r="E1530"/>
      <c r="F1530"/>
    </row>
    <row r="1531" spans="1:6" ht="15.6" x14ac:dyDescent="0.3">
      <c r="A1531"/>
      <c r="B1531"/>
      <c r="C1531"/>
      <c r="D1531"/>
      <c r="E1531"/>
      <c r="F1531"/>
    </row>
    <row r="1532" spans="1:6" ht="15.6" x14ac:dyDescent="0.3">
      <c r="A1532"/>
      <c r="B1532"/>
      <c r="C1532"/>
      <c r="D1532"/>
      <c r="E1532"/>
      <c r="F1532"/>
    </row>
    <row r="1533" spans="1:6" ht="15.6" x14ac:dyDescent="0.3">
      <c r="A1533"/>
      <c r="B1533"/>
      <c r="C1533"/>
      <c r="D1533"/>
      <c r="E1533"/>
      <c r="F1533"/>
    </row>
    <row r="1534" spans="1:6" ht="15.6" x14ac:dyDescent="0.3">
      <c r="A1534"/>
      <c r="B1534"/>
      <c r="C1534"/>
      <c r="D1534"/>
      <c r="E1534"/>
      <c r="F1534"/>
    </row>
    <row r="1535" spans="1:6" ht="15.6" x14ac:dyDescent="0.3">
      <c r="A1535"/>
      <c r="B1535"/>
      <c r="C1535"/>
      <c r="D1535"/>
      <c r="E1535"/>
      <c r="F1535"/>
    </row>
    <row r="1536" spans="1:6" ht="15.6" x14ac:dyDescent="0.3">
      <c r="A1536"/>
      <c r="B1536"/>
      <c r="C1536"/>
      <c r="D1536"/>
      <c r="E1536"/>
      <c r="F1536"/>
    </row>
    <row r="1537" spans="1:6" ht="15.6" x14ac:dyDescent="0.3">
      <c r="A1537"/>
      <c r="B1537"/>
      <c r="C1537"/>
      <c r="D1537"/>
      <c r="E1537"/>
      <c r="F1537"/>
    </row>
    <row r="1538" spans="1:6" ht="15.6" x14ac:dyDescent="0.3">
      <c r="A1538"/>
      <c r="B1538"/>
      <c r="C1538"/>
      <c r="D1538"/>
      <c r="E1538"/>
      <c r="F1538"/>
    </row>
    <row r="1539" spans="1:6" ht="15.6" x14ac:dyDescent="0.3">
      <c r="A1539"/>
      <c r="B1539"/>
      <c r="C1539"/>
      <c r="D1539"/>
      <c r="E1539"/>
      <c r="F1539"/>
    </row>
    <row r="1540" spans="1:6" ht="15.6" x14ac:dyDescent="0.3">
      <c r="A1540"/>
      <c r="B1540"/>
      <c r="C1540"/>
      <c r="D1540"/>
      <c r="E1540"/>
      <c r="F1540"/>
    </row>
    <row r="1541" spans="1:6" ht="15.6" x14ac:dyDescent="0.3">
      <c r="A1541"/>
      <c r="B1541"/>
      <c r="C1541"/>
      <c r="D1541"/>
      <c r="E1541"/>
      <c r="F1541"/>
    </row>
    <row r="1542" spans="1:6" ht="15.6" x14ac:dyDescent="0.3">
      <c r="A1542"/>
      <c r="B1542"/>
      <c r="C1542"/>
      <c r="D1542"/>
      <c r="E1542"/>
      <c r="F1542"/>
    </row>
    <row r="1543" spans="1:6" ht="15.6" x14ac:dyDescent="0.3">
      <c r="A1543"/>
      <c r="B1543"/>
      <c r="C1543"/>
      <c r="D1543"/>
      <c r="E1543"/>
      <c r="F1543"/>
    </row>
    <row r="1544" spans="1:6" ht="15.6" x14ac:dyDescent="0.3">
      <c r="A1544"/>
      <c r="B1544"/>
      <c r="C1544"/>
      <c r="D1544"/>
      <c r="E1544"/>
      <c r="F1544"/>
    </row>
    <row r="1545" spans="1:6" ht="15.6" x14ac:dyDescent="0.3">
      <c r="A1545"/>
      <c r="B1545"/>
      <c r="C1545"/>
      <c r="D1545"/>
      <c r="E1545"/>
      <c r="F1545"/>
    </row>
    <row r="1546" spans="1:6" ht="15.6" x14ac:dyDescent="0.3">
      <c r="A1546"/>
      <c r="B1546"/>
      <c r="C1546"/>
      <c r="D1546"/>
      <c r="E1546"/>
      <c r="F1546"/>
    </row>
    <row r="1547" spans="1:6" ht="15.6" x14ac:dyDescent="0.3">
      <c r="A1547"/>
      <c r="B1547"/>
      <c r="C1547"/>
      <c r="D1547"/>
      <c r="E1547"/>
      <c r="F1547"/>
    </row>
    <row r="1548" spans="1:6" ht="15.6" x14ac:dyDescent="0.3">
      <c r="A1548"/>
      <c r="B1548"/>
      <c r="C1548"/>
      <c r="D1548"/>
      <c r="E1548"/>
      <c r="F1548"/>
    </row>
    <row r="1549" spans="1:6" ht="15.6" x14ac:dyDescent="0.3">
      <c r="A1549"/>
      <c r="B1549"/>
      <c r="C1549"/>
      <c r="D1549"/>
      <c r="E1549"/>
      <c r="F1549"/>
    </row>
    <row r="1550" spans="1:6" ht="15.6" x14ac:dyDescent="0.3">
      <c r="A1550"/>
      <c r="B1550"/>
      <c r="C1550"/>
      <c r="D1550"/>
      <c r="E1550"/>
      <c r="F1550"/>
    </row>
    <row r="1551" spans="1:6" ht="15.6" x14ac:dyDescent="0.3">
      <c r="A1551"/>
      <c r="B1551"/>
      <c r="C1551"/>
      <c r="D1551"/>
      <c r="E1551"/>
      <c r="F1551"/>
    </row>
    <row r="1552" spans="1:6" ht="15.6" x14ac:dyDescent="0.3">
      <c r="A1552"/>
      <c r="B1552"/>
      <c r="C1552"/>
      <c r="D1552"/>
      <c r="E1552"/>
      <c r="F1552"/>
    </row>
    <row r="1553" spans="1:6" ht="15.6" x14ac:dyDescent="0.3">
      <c r="A1553"/>
      <c r="B1553"/>
      <c r="C1553"/>
      <c r="D1553"/>
      <c r="E1553"/>
      <c r="F1553"/>
    </row>
    <row r="1554" spans="1:6" ht="15.6" x14ac:dyDescent="0.3">
      <c r="A1554"/>
      <c r="B1554"/>
      <c r="C1554"/>
      <c r="D1554"/>
      <c r="E1554"/>
      <c r="F1554"/>
    </row>
    <row r="1555" spans="1:6" ht="15.6" x14ac:dyDescent="0.3">
      <c r="A1555"/>
      <c r="B1555"/>
      <c r="C1555"/>
      <c r="D1555"/>
      <c r="E1555"/>
      <c r="F1555"/>
    </row>
    <row r="1556" spans="1:6" ht="15.6" x14ac:dyDescent="0.3">
      <c r="A1556"/>
      <c r="B1556"/>
      <c r="C1556"/>
      <c r="D1556"/>
      <c r="E1556"/>
      <c r="F1556"/>
    </row>
    <row r="1557" spans="1:6" ht="15.6" x14ac:dyDescent="0.3">
      <c r="A1557"/>
      <c r="B1557"/>
      <c r="C1557"/>
      <c r="D1557"/>
      <c r="E1557"/>
      <c r="F1557"/>
    </row>
    <row r="1558" spans="1:6" ht="15.6" x14ac:dyDescent="0.3">
      <c r="A1558"/>
      <c r="B1558"/>
      <c r="C1558"/>
      <c r="D1558"/>
      <c r="E1558"/>
      <c r="F1558"/>
    </row>
    <row r="1559" spans="1:6" ht="15.6" x14ac:dyDescent="0.3">
      <c r="A1559"/>
      <c r="B1559"/>
      <c r="C1559"/>
      <c r="D1559"/>
      <c r="E1559"/>
      <c r="F1559"/>
    </row>
    <row r="1560" spans="1:6" ht="15.6" x14ac:dyDescent="0.3">
      <c r="A1560"/>
      <c r="B1560"/>
      <c r="C1560"/>
      <c r="D1560"/>
      <c r="E1560"/>
      <c r="F1560"/>
    </row>
    <row r="1561" spans="1:6" ht="15.6" x14ac:dyDescent="0.3">
      <c r="A1561"/>
      <c r="B1561"/>
      <c r="C1561"/>
      <c r="D1561"/>
      <c r="E1561"/>
      <c r="F1561"/>
    </row>
    <row r="1562" spans="1:6" ht="15.6" x14ac:dyDescent="0.3">
      <c r="A1562"/>
      <c r="B1562"/>
      <c r="C1562"/>
      <c r="D1562"/>
      <c r="E1562"/>
      <c r="F1562"/>
    </row>
    <row r="1563" spans="1:6" ht="15.6" x14ac:dyDescent="0.3">
      <c r="A1563"/>
      <c r="B1563"/>
      <c r="C1563"/>
      <c r="D1563"/>
      <c r="E1563"/>
      <c r="F1563"/>
    </row>
    <row r="1564" spans="1:6" ht="15.6" x14ac:dyDescent="0.3">
      <c r="A1564"/>
      <c r="B1564"/>
      <c r="C1564"/>
      <c r="D1564"/>
      <c r="E1564"/>
      <c r="F1564"/>
    </row>
    <row r="1565" spans="1:6" ht="15.6" x14ac:dyDescent="0.3">
      <c r="A1565"/>
      <c r="B1565"/>
      <c r="C1565"/>
      <c r="D1565"/>
      <c r="E1565"/>
      <c r="F1565"/>
    </row>
    <row r="1566" spans="1:6" ht="15.6" x14ac:dyDescent="0.3">
      <c r="A1566"/>
      <c r="B1566"/>
      <c r="C1566"/>
      <c r="D1566"/>
      <c r="E1566"/>
      <c r="F1566"/>
    </row>
    <row r="1567" spans="1:6" ht="15.6" x14ac:dyDescent="0.3">
      <c r="A1567"/>
      <c r="B1567"/>
      <c r="C1567"/>
      <c r="D1567"/>
      <c r="E1567"/>
      <c r="F1567"/>
    </row>
    <row r="1568" spans="1:6" ht="15.6" x14ac:dyDescent="0.3">
      <c r="A1568"/>
      <c r="B1568"/>
      <c r="C1568"/>
      <c r="D1568"/>
      <c r="E1568"/>
      <c r="F1568"/>
    </row>
    <row r="1569" spans="1:6" ht="15.6" x14ac:dyDescent="0.3">
      <c r="A1569"/>
      <c r="B1569"/>
      <c r="C1569"/>
      <c r="D1569"/>
      <c r="E1569"/>
      <c r="F1569"/>
    </row>
    <row r="1570" spans="1:6" ht="15.6" x14ac:dyDescent="0.3">
      <c r="A1570"/>
      <c r="B1570"/>
      <c r="C1570"/>
      <c r="D1570"/>
      <c r="E1570"/>
      <c r="F1570"/>
    </row>
    <row r="1571" spans="1:6" ht="15.6" x14ac:dyDescent="0.3">
      <c r="A1571"/>
      <c r="B1571"/>
      <c r="C1571"/>
      <c r="D1571"/>
      <c r="E1571"/>
      <c r="F1571"/>
    </row>
    <row r="1572" spans="1:6" ht="15.6" x14ac:dyDescent="0.3">
      <c r="A1572"/>
      <c r="B1572"/>
      <c r="C1572"/>
      <c r="D1572"/>
      <c r="E1572"/>
      <c r="F1572"/>
    </row>
    <row r="1573" spans="1:6" ht="15.6" x14ac:dyDescent="0.3">
      <c r="A1573"/>
      <c r="B1573"/>
      <c r="C1573"/>
      <c r="D1573"/>
      <c r="E1573"/>
      <c r="F1573"/>
    </row>
    <row r="1574" spans="1:6" ht="15.6" x14ac:dyDescent="0.3">
      <c r="A1574"/>
      <c r="B1574"/>
      <c r="C1574"/>
      <c r="D1574"/>
      <c r="E1574"/>
      <c r="F1574"/>
    </row>
    <row r="1575" spans="1:6" ht="15.6" x14ac:dyDescent="0.3">
      <c r="A1575"/>
      <c r="B1575"/>
      <c r="C1575"/>
      <c r="D1575"/>
      <c r="E1575"/>
      <c r="F1575"/>
    </row>
    <row r="1576" spans="1:6" ht="15.6" x14ac:dyDescent="0.3">
      <c r="A1576"/>
      <c r="B1576"/>
      <c r="C1576"/>
      <c r="D1576"/>
      <c r="E1576"/>
      <c r="F1576"/>
    </row>
    <row r="1577" spans="1:6" ht="15.6" x14ac:dyDescent="0.3">
      <c r="A1577"/>
      <c r="B1577"/>
      <c r="C1577"/>
      <c r="D1577"/>
      <c r="E1577"/>
      <c r="F1577"/>
    </row>
    <row r="1578" spans="1:6" ht="15.6" x14ac:dyDescent="0.3">
      <c r="A1578"/>
      <c r="B1578"/>
      <c r="C1578"/>
      <c r="D1578"/>
      <c r="E1578"/>
      <c r="F1578"/>
    </row>
    <row r="1579" spans="1:6" ht="15.6" x14ac:dyDescent="0.3">
      <c r="A1579"/>
      <c r="B1579"/>
      <c r="C1579"/>
      <c r="D1579"/>
      <c r="E1579"/>
      <c r="F1579"/>
    </row>
    <row r="1580" spans="1:6" ht="15.6" x14ac:dyDescent="0.3">
      <c r="A1580"/>
      <c r="B1580"/>
      <c r="C1580"/>
      <c r="D1580"/>
      <c r="E1580"/>
      <c r="F1580"/>
    </row>
    <row r="1581" spans="1:6" ht="15.6" x14ac:dyDescent="0.3">
      <c r="A1581"/>
      <c r="B1581"/>
      <c r="C1581"/>
      <c r="D1581"/>
      <c r="E1581"/>
      <c r="F1581"/>
    </row>
    <row r="1582" spans="1:6" ht="15.6" x14ac:dyDescent="0.3">
      <c r="A1582"/>
      <c r="B1582"/>
      <c r="C1582"/>
      <c r="D1582"/>
      <c r="E1582"/>
      <c r="F1582"/>
    </row>
    <row r="1583" spans="1:6" ht="15.6" x14ac:dyDescent="0.3">
      <c r="A1583"/>
      <c r="B1583"/>
      <c r="C1583"/>
      <c r="D1583"/>
      <c r="E1583"/>
      <c r="F1583"/>
    </row>
    <row r="1584" spans="1:6" ht="15.6" x14ac:dyDescent="0.3">
      <c r="A1584"/>
      <c r="B1584"/>
      <c r="C1584"/>
      <c r="D1584"/>
      <c r="E1584"/>
      <c r="F1584"/>
    </row>
    <row r="1585" spans="1:6" ht="15.6" x14ac:dyDescent="0.3">
      <c r="A1585"/>
      <c r="B1585"/>
      <c r="C1585"/>
      <c r="D1585"/>
      <c r="E1585"/>
      <c r="F1585"/>
    </row>
    <row r="1586" spans="1:6" ht="15.6" x14ac:dyDescent="0.3">
      <c r="A1586"/>
      <c r="B1586"/>
      <c r="C1586"/>
      <c r="D1586"/>
      <c r="E1586"/>
      <c r="F1586"/>
    </row>
    <row r="1587" spans="1:6" ht="15.6" x14ac:dyDescent="0.3">
      <c r="A1587"/>
      <c r="B1587"/>
      <c r="C1587"/>
      <c r="D1587"/>
      <c r="E1587"/>
      <c r="F1587"/>
    </row>
    <row r="1588" spans="1:6" ht="15.6" x14ac:dyDescent="0.3">
      <c r="A1588"/>
      <c r="B1588"/>
      <c r="C1588"/>
      <c r="D1588"/>
      <c r="E1588"/>
      <c r="F1588"/>
    </row>
    <row r="1589" spans="1:6" ht="15.6" x14ac:dyDescent="0.3">
      <c r="A1589"/>
      <c r="B1589"/>
      <c r="C1589"/>
      <c r="D1589"/>
      <c r="E1589"/>
      <c r="F1589"/>
    </row>
    <row r="1590" spans="1:6" ht="15.6" x14ac:dyDescent="0.3">
      <c r="A1590"/>
      <c r="B1590"/>
      <c r="C1590"/>
      <c r="D1590"/>
      <c r="E1590"/>
      <c r="F1590"/>
    </row>
    <row r="1591" spans="1:6" ht="15.6" x14ac:dyDescent="0.3">
      <c r="A1591"/>
      <c r="B1591"/>
      <c r="C1591"/>
      <c r="D1591"/>
      <c r="E1591"/>
      <c r="F1591"/>
    </row>
    <row r="1592" spans="1:6" ht="15.6" x14ac:dyDescent="0.3">
      <c r="A1592"/>
      <c r="B1592"/>
      <c r="C1592"/>
      <c r="D1592"/>
      <c r="E1592"/>
      <c r="F1592"/>
    </row>
    <row r="1593" spans="1:6" ht="15.6" x14ac:dyDescent="0.3">
      <c r="A1593"/>
      <c r="B1593"/>
      <c r="C1593"/>
      <c r="D1593"/>
      <c r="E1593"/>
      <c r="F1593"/>
    </row>
    <row r="1594" spans="1:6" ht="15.6" x14ac:dyDescent="0.3">
      <c r="A1594"/>
      <c r="B1594"/>
      <c r="C1594"/>
      <c r="D1594"/>
      <c r="E1594"/>
      <c r="F1594"/>
    </row>
    <row r="1595" spans="1:6" ht="15.6" x14ac:dyDescent="0.3">
      <c r="A1595"/>
      <c r="B1595"/>
      <c r="C1595"/>
      <c r="D1595"/>
      <c r="E1595"/>
      <c r="F1595"/>
    </row>
    <row r="1596" spans="1:6" ht="15.6" x14ac:dyDescent="0.3">
      <c r="A1596"/>
      <c r="B1596"/>
      <c r="C1596"/>
      <c r="D1596"/>
      <c r="E1596"/>
      <c r="F1596"/>
    </row>
    <row r="1597" spans="1:6" ht="15.6" x14ac:dyDescent="0.3">
      <c r="A1597"/>
      <c r="B1597"/>
      <c r="C1597"/>
      <c r="D1597"/>
      <c r="E1597"/>
      <c r="F1597"/>
    </row>
    <row r="1598" spans="1:6" ht="15.6" x14ac:dyDescent="0.3">
      <c r="A1598"/>
      <c r="B1598"/>
      <c r="C1598"/>
      <c r="D1598"/>
      <c r="E1598"/>
      <c r="F1598"/>
    </row>
    <row r="1599" spans="1:6" ht="15.6" x14ac:dyDescent="0.3">
      <c r="A1599"/>
      <c r="B1599"/>
      <c r="C1599"/>
      <c r="D1599"/>
      <c r="E1599"/>
      <c r="F1599"/>
    </row>
    <row r="1600" spans="1:6" ht="15.6" x14ac:dyDescent="0.3">
      <c r="A1600"/>
      <c r="B1600"/>
      <c r="C1600"/>
      <c r="D1600"/>
      <c r="E1600"/>
      <c r="F1600"/>
    </row>
    <row r="1601" spans="1:6" ht="15.6" x14ac:dyDescent="0.3">
      <c r="A1601"/>
      <c r="B1601"/>
      <c r="C1601"/>
      <c r="D1601"/>
      <c r="E1601"/>
      <c r="F1601"/>
    </row>
    <row r="1602" spans="1:6" ht="15.6" x14ac:dyDescent="0.3">
      <c r="A1602"/>
      <c r="B1602"/>
      <c r="C1602"/>
      <c r="D1602"/>
      <c r="E1602"/>
      <c r="F1602"/>
    </row>
    <row r="1603" spans="1:6" ht="15.6" x14ac:dyDescent="0.3">
      <c r="A1603"/>
      <c r="B1603"/>
      <c r="C1603"/>
      <c r="D1603"/>
      <c r="E1603"/>
      <c r="F1603"/>
    </row>
    <row r="1604" spans="1:6" ht="15.6" x14ac:dyDescent="0.3">
      <c r="A1604"/>
      <c r="B1604"/>
      <c r="C1604"/>
      <c r="D1604"/>
      <c r="E1604"/>
      <c r="F1604"/>
    </row>
    <row r="1605" spans="1:6" ht="15.6" x14ac:dyDescent="0.3">
      <c r="A1605"/>
      <c r="B1605"/>
      <c r="C1605"/>
      <c r="D1605"/>
      <c r="E1605"/>
      <c r="F1605"/>
    </row>
    <row r="1606" spans="1:6" ht="15.6" x14ac:dyDescent="0.3">
      <c r="A1606"/>
      <c r="B1606"/>
      <c r="C1606"/>
      <c r="D1606"/>
      <c r="E1606"/>
      <c r="F1606"/>
    </row>
    <row r="1607" spans="1:6" ht="15.6" x14ac:dyDescent="0.3">
      <c r="A1607"/>
      <c r="B1607"/>
      <c r="C1607"/>
      <c r="D1607"/>
      <c r="E1607"/>
      <c r="F1607"/>
    </row>
    <row r="1608" spans="1:6" ht="15.6" x14ac:dyDescent="0.3">
      <c r="A1608"/>
      <c r="B1608"/>
      <c r="C1608"/>
      <c r="D1608"/>
      <c r="E1608"/>
      <c r="F1608"/>
    </row>
    <row r="1609" spans="1:6" ht="15.6" x14ac:dyDescent="0.3">
      <c r="A1609"/>
      <c r="B1609"/>
      <c r="C1609"/>
      <c r="D1609"/>
      <c r="E1609"/>
      <c r="F1609"/>
    </row>
    <row r="1610" spans="1:6" ht="15.6" x14ac:dyDescent="0.3">
      <c r="A1610"/>
      <c r="B1610"/>
      <c r="C1610"/>
      <c r="D1610"/>
      <c r="E1610"/>
      <c r="F1610"/>
    </row>
    <row r="1611" spans="1:6" ht="15.6" x14ac:dyDescent="0.3">
      <c r="A1611"/>
      <c r="B1611"/>
      <c r="C1611"/>
      <c r="D1611"/>
      <c r="E1611"/>
      <c r="F1611"/>
    </row>
    <row r="1612" spans="1:6" ht="15.6" x14ac:dyDescent="0.3">
      <c r="A1612"/>
      <c r="B1612"/>
      <c r="C1612"/>
      <c r="D1612"/>
      <c r="E1612"/>
      <c r="F1612"/>
    </row>
    <row r="1613" spans="1:6" ht="15.6" x14ac:dyDescent="0.3">
      <c r="A1613"/>
      <c r="B1613"/>
      <c r="C1613"/>
      <c r="D1613"/>
      <c r="E1613"/>
      <c r="F1613"/>
    </row>
    <row r="1614" spans="1:6" ht="15.6" x14ac:dyDescent="0.3">
      <c r="A1614"/>
      <c r="B1614"/>
      <c r="C1614"/>
      <c r="D1614"/>
      <c r="E1614"/>
      <c r="F1614"/>
    </row>
    <row r="1615" spans="1:6" ht="15.6" x14ac:dyDescent="0.3">
      <c r="A1615"/>
      <c r="B1615"/>
      <c r="C1615"/>
      <c r="D1615"/>
      <c r="E1615"/>
      <c r="F1615"/>
    </row>
    <row r="1616" spans="1:6" ht="15.6" x14ac:dyDescent="0.3">
      <c r="A1616"/>
      <c r="B1616"/>
      <c r="C1616"/>
      <c r="D1616"/>
      <c r="E1616"/>
      <c r="F1616"/>
    </row>
    <row r="1617" spans="1:6" ht="15.6" x14ac:dyDescent="0.3">
      <c r="A1617"/>
      <c r="B1617"/>
      <c r="C1617"/>
      <c r="D1617"/>
      <c r="E1617"/>
      <c r="F1617"/>
    </row>
    <row r="1618" spans="1:6" ht="15.6" x14ac:dyDescent="0.3">
      <c r="A1618"/>
      <c r="B1618"/>
      <c r="C1618"/>
      <c r="D1618"/>
      <c r="E1618"/>
      <c r="F1618"/>
    </row>
    <row r="1619" spans="1:6" ht="15.6" x14ac:dyDescent="0.3">
      <c r="A1619"/>
      <c r="B1619"/>
      <c r="C1619"/>
      <c r="D1619"/>
      <c r="E1619"/>
      <c r="F1619"/>
    </row>
    <row r="1620" spans="1:6" ht="15.6" x14ac:dyDescent="0.3">
      <c r="A1620"/>
      <c r="B1620"/>
      <c r="C1620"/>
      <c r="D1620"/>
      <c r="E1620"/>
      <c r="F1620"/>
    </row>
    <row r="1621" spans="1:6" ht="15.6" x14ac:dyDescent="0.3">
      <c r="A1621"/>
      <c r="B1621"/>
      <c r="C1621"/>
      <c r="D1621"/>
      <c r="E1621"/>
      <c r="F1621"/>
    </row>
    <row r="1622" spans="1:6" ht="15.6" x14ac:dyDescent="0.3">
      <c r="A1622"/>
      <c r="B1622"/>
      <c r="C1622"/>
      <c r="D1622"/>
      <c r="E1622"/>
      <c r="F1622"/>
    </row>
    <row r="1623" spans="1:6" ht="15.6" x14ac:dyDescent="0.3">
      <c r="A1623"/>
      <c r="B1623"/>
      <c r="C1623"/>
      <c r="D1623"/>
      <c r="E1623"/>
      <c r="F1623"/>
    </row>
    <row r="1624" spans="1:6" ht="15.6" x14ac:dyDescent="0.3">
      <c r="A1624"/>
      <c r="B1624"/>
      <c r="C1624"/>
      <c r="D1624"/>
      <c r="E1624"/>
      <c r="F1624"/>
    </row>
    <row r="1625" spans="1:6" ht="15.6" x14ac:dyDescent="0.3">
      <c r="A1625"/>
      <c r="B1625"/>
      <c r="C1625"/>
      <c r="D1625"/>
      <c r="E1625"/>
      <c r="F1625"/>
    </row>
    <row r="1626" spans="1:6" ht="15.6" x14ac:dyDescent="0.3">
      <c r="A1626"/>
      <c r="B1626"/>
      <c r="C1626"/>
      <c r="D1626"/>
      <c r="E1626"/>
      <c r="F1626"/>
    </row>
    <row r="1627" spans="1:6" ht="15.6" x14ac:dyDescent="0.3">
      <c r="A1627"/>
      <c r="B1627"/>
      <c r="C1627"/>
      <c r="D1627"/>
      <c r="E1627"/>
      <c r="F1627"/>
    </row>
    <row r="1628" spans="1:6" ht="15.6" x14ac:dyDescent="0.3">
      <c r="A1628"/>
      <c r="B1628"/>
      <c r="C1628"/>
      <c r="D1628"/>
      <c r="E1628"/>
      <c r="F1628"/>
    </row>
    <row r="1629" spans="1:6" ht="15.6" x14ac:dyDescent="0.3">
      <c r="A1629"/>
      <c r="B1629"/>
      <c r="C1629"/>
      <c r="D1629"/>
      <c r="E1629"/>
      <c r="F1629"/>
    </row>
    <row r="1630" spans="1:6" ht="15.6" x14ac:dyDescent="0.3">
      <c r="A1630"/>
      <c r="B1630"/>
      <c r="C1630"/>
      <c r="D1630"/>
      <c r="E1630"/>
      <c r="F1630"/>
    </row>
    <row r="1631" spans="1:6" ht="15.6" x14ac:dyDescent="0.3">
      <c r="A1631"/>
      <c r="B1631"/>
      <c r="C1631"/>
      <c r="D1631"/>
      <c r="E1631"/>
      <c r="F1631"/>
    </row>
    <row r="1632" spans="1:6" ht="15.6" x14ac:dyDescent="0.3">
      <c r="A1632"/>
      <c r="B1632"/>
      <c r="C1632"/>
      <c r="D1632"/>
      <c r="E1632"/>
      <c r="F1632"/>
    </row>
    <row r="1633" spans="1:6" ht="15.6" x14ac:dyDescent="0.3">
      <c r="A1633"/>
      <c r="B1633"/>
      <c r="C1633"/>
      <c r="D1633"/>
      <c r="E1633"/>
      <c r="F1633"/>
    </row>
    <row r="1634" spans="1:6" ht="15.6" x14ac:dyDescent="0.3">
      <c r="A1634"/>
      <c r="B1634"/>
      <c r="C1634"/>
      <c r="D1634"/>
      <c r="E1634"/>
      <c r="F1634"/>
    </row>
    <row r="1635" spans="1:6" ht="15.6" x14ac:dyDescent="0.3">
      <c r="A1635"/>
      <c r="B1635"/>
      <c r="C1635"/>
      <c r="D1635"/>
      <c r="E1635"/>
      <c r="F1635"/>
    </row>
    <row r="1636" spans="1:6" ht="15.6" x14ac:dyDescent="0.3">
      <c r="A1636"/>
      <c r="B1636"/>
      <c r="C1636"/>
      <c r="D1636"/>
      <c r="E1636"/>
      <c r="F1636"/>
    </row>
    <row r="1637" spans="1:6" ht="15.6" x14ac:dyDescent="0.3">
      <c r="A1637"/>
      <c r="B1637"/>
      <c r="C1637"/>
      <c r="D1637"/>
      <c r="E1637"/>
      <c r="F1637"/>
    </row>
    <row r="1638" spans="1:6" ht="15.6" x14ac:dyDescent="0.3">
      <c r="A1638"/>
      <c r="B1638"/>
      <c r="C1638"/>
      <c r="D1638"/>
      <c r="E1638"/>
      <c r="F1638"/>
    </row>
    <row r="1639" spans="1:6" ht="15.6" x14ac:dyDescent="0.3">
      <c r="A1639"/>
      <c r="B1639"/>
      <c r="C1639"/>
      <c r="D1639"/>
      <c r="E1639"/>
      <c r="F1639"/>
    </row>
    <row r="1640" spans="1:6" ht="15.6" x14ac:dyDescent="0.3">
      <c r="A1640"/>
      <c r="B1640"/>
      <c r="C1640"/>
      <c r="D1640"/>
      <c r="E1640"/>
      <c r="F1640"/>
    </row>
    <row r="1641" spans="1:6" ht="15.6" x14ac:dyDescent="0.3">
      <c r="A1641"/>
      <c r="B1641"/>
      <c r="C1641"/>
      <c r="D1641"/>
      <c r="E1641"/>
      <c r="F1641"/>
    </row>
    <row r="1642" spans="1:6" ht="15.6" x14ac:dyDescent="0.3">
      <c r="A1642"/>
      <c r="B1642"/>
      <c r="C1642"/>
      <c r="D1642"/>
      <c r="E1642"/>
      <c r="F1642"/>
    </row>
    <row r="1643" spans="1:6" ht="15.6" x14ac:dyDescent="0.3">
      <c r="A1643"/>
      <c r="B1643"/>
      <c r="C1643"/>
      <c r="D1643"/>
      <c r="E1643"/>
      <c r="F1643"/>
    </row>
    <row r="1644" spans="1:6" ht="15.6" x14ac:dyDescent="0.3">
      <c r="A1644"/>
      <c r="B1644"/>
      <c r="C1644"/>
      <c r="D1644"/>
      <c r="E1644"/>
      <c r="F1644"/>
    </row>
    <row r="1645" spans="1:6" ht="15.6" x14ac:dyDescent="0.3">
      <c r="A1645"/>
      <c r="B1645"/>
      <c r="C1645"/>
      <c r="D1645"/>
      <c r="E1645"/>
      <c r="F1645"/>
    </row>
    <row r="1646" spans="1:6" ht="15.6" x14ac:dyDescent="0.3">
      <c r="A1646"/>
      <c r="B1646"/>
      <c r="C1646"/>
      <c r="D1646"/>
      <c r="E1646"/>
      <c r="F1646"/>
    </row>
    <row r="1647" spans="1:6" ht="15.6" x14ac:dyDescent="0.3">
      <c r="A1647"/>
      <c r="B1647"/>
      <c r="C1647"/>
      <c r="D1647"/>
      <c r="E1647"/>
      <c r="F1647"/>
    </row>
    <row r="1648" spans="1:6" ht="15.6" x14ac:dyDescent="0.3">
      <c r="A1648"/>
      <c r="B1648"/>
      <c r="C1648"/>
      <c r="D1648"/>
      <c r="E1648"/>
      <c r="F1648"/>
    </row>
    <row r="1649" spans="1:6" ht="15.6" x14ac:dyDescent="0.3">
      <c r="A1649"/>
      <c r="B1649"/>
      <c r="C1649"/>
      <c r="D1649"/>
      <c r="E1649"/>
      <c r="F1649"/>
    </row>
    <row r="1650" spans="1:6" ht="15.6" x14ac:dyDescent="0.3">
      <c r="A1650"/>
      <c r="B1650"/>
      <c r="C1650"/>
      <c r="D1650"/>
      <c r="E1650"/>
      <c r="F1650"/>
    </row>
    <row r="1651" spans="1:6" ht="15.6" x14ac:dyDescent="0.3">
      <c r="A1651"/>
      <c r="B1651"/>
      <c r="C1651"/>
      <c r="D1651"/>
      <c r="E1651"/>
      <c r="F1651"/>
    </row>
    <row r="1652" spans="1:6" ht="15.6" x14ac:dyDescent="0.3">
      <c r="A1652"/>
      <c r="B1652"/>
      <c r="C1652"/>
      <c r="D1652"/>
      <c r="E1652"/>
      <c r="F1652"/>
    </row>
    <row r="1653" spans="1:6" ht="15.6" x14ac:dyDescent="0.3">
      <c r="A1653"/>
      <c r="B1653"/>
      <c r="C1653"/>
      <c r="D1653"/>
      <c r="E1653"/>
      <c r="F1653"/>
    </row>
    <row r="1654" spans="1:6" ht="15.6" x14ac:dyDescent="0.3">
      <c r="A1654"/>
      <c r="B1654"/>
      <c r="C1654"/>
      <c r="D1654"/>
      <c r="E1654"/>
      <c r="F1654"/>
    </row>
    <row r="1655" spans="1:6" ht="15.6" x14ac:dyDescent="0.3">
      <c r="A1655"/>
      <c r="B1655"/>
      <c r="C1655"/>
      <c r="D1655"/>
      <c r="E1655"/>
      <c r="F1655"/>
    </row>
    <row r="1656" spans="1:6" ht="15.6" x14ac:dyDescent="0.3">
      <c r="A1656"/>
      <c r="B1656"/>
      <c r="C1656"/>
      <c r="D1656"/>
      <c r="E1656"/>
      <c r="F1656"/>
    </row>
    <row r="1657" spans="1:6" ht="15.6" x14ac:dyDescent="0.3">
      <c r="A1657"/>
      <c r="B1657"/>
      <c r="C1657"/>
      <c r="D1657"/>
      <c r="E1657"/>
      <c r="F1657"/>
    </row>
    <row r="1658" spans="1:6" ht="15.6" x14ac:dyDescent="0.3">
      <c r="A1658"/>
      <c r="B1658"/>
      <c r="C1658"/>
      <c r="D1658"/>
      <c r="E1658"/>
      <c r="F1658"/>
    </row>
    <row r="1659" spans="1:6" ht="15.6" x14ac:dyDescent="0.3">
      <c r="A1659"/>
      <c r="B1659"/>
      <c r="C1659"/>
      <c r="D1659"/>
      <c r="E1659"/>
      <c r="F1659"/>
    </row>
    <row r="1660" spans="1:6" ht="15.6" x14ac:dyDescent="0.3">
      <c r="A1660"/>
      <c r="B1660"/>
      <c r="C1660"/>
      <c r="D1660"/>
      <c r="E1660"/>
      <c r="F1660"/>
    </row>
    <row r="1661" spans="1:6" ht="15.6" x14ac:dyDescent="0.3">
      <c r="A1661"/>
      <c r="B1661"/>
      <c r="C1661"/>
      <c r="D1661"/>
      <c r="E1661"/>
      <c r="F1661"/>
    </row>
    <row r="1662" spans="1:6" ht="15.6" x14ac:dyDescent="0.3">
      <c r="A1662"/>
      <c r="B1662"/>
      <c r="C1662"/>
      <c r="D1662"/>
      <c r="E1662"/>
      <c r="F1662"/>
    </row>
    <row r="1663" spans="1:6" ht="15.6" x14ac:dyDescent="0.3">
      <c r="A1663"/>
      <c r="B1663"/>
      <c r="C1663"/>
      <c r="D1663"/>
      <c r="E1663"/>
      <c r="F1663"/>
    </row>
    <row r="1664" spans="1:6" ht="15.6" x14ac:dyDescent="0.3">
      <c r="A1664"/>
      <c r="B1664"/>
      <c r="C1664"/>
      <c r="D1664"/>
      <c r="E1664"/>
      <c r="F1664"/>
    </row>
    <row r="1665" spans="1:6" ht="15.6" x14ac:dyDescent="0.3">
      <c r="A1665"/>
      <c r="B1665"/>
      <c r="C1665"/>
      <c r="D1665"/>
      <c r="E1665"/>
      <c r="F1665"/>
    </row>
    <row r="1666" spans="1:6" ht="15.6" x14ac:dyDescent="0.3">
      <c r="A1666"/>
      <c r="B1666"/>
      <c r="C1666"/>
      <c r="D1666"/>
      <c r="E1666"/>
      <c r="F1666"/>
    </row>
    <row r="1667" spans="1:6" ht="15.6" x14ac:dyDescent="0.3">
      <c r="A1667"/>
      <c r="B1667"/>
      <c r="C1667"/>
      <c r="D1667"/>
      <c r="E1667"/>
      <c r="F1667"/>
    </row>
    <row r="1668" spans="1:6" ht="15.6" x14ac:dyDescent="0.3">
      <c r="A1668"/>
      <c r="B1668"/>
      <c r="C1668"/>
      <c r="D1668"/>
      <c r="E1668"/>
      <c r="F1668"/>
    </row>
    <row r="1669" spans="1:6" ht="15.6" x14ac:dyDescent="0.3">
      <c r="A1669"/>
      <c r="B1669"/>
      <c r="C1669"/>
      <c r="D1669"/>
      <c r="E1669"/>
      <c r="F1669"/>
    </row>
    <row r="1670" spans="1:6" ht="15.6" x14ac:dyDescent="0.3">
      <c r="A1670"/>
      <c r="B1670"/>
      <c r="C1670"/>
      <c r="D1670"/>
      <c r="E1670"/>
      <c r="F1670"/>
    </row>
    <row r="1671" spans="1:6" ht="15.6" x14ac:dyDescent="0.3">
      <c r="A1671"/>
      <c r="B1671"/>
      <c r="C1671"/>
      <c r="D1671"/>
      <c r="E1671"/>
      <c r="F1671"/>
    </row>
    <row r="1672" spans="1:6" ht="15.6" x14ac:dyDescent="0.3">
      <c r="A1672"/>
      <c r="B1672"/>
      <c r="C1672"/>
      <c r="D1672"/>
      <c r="E1672"/>
      <c r="F1672"/>
    </row>
    <row r="1673" spans="1:6" ht="15.6" x14ac:dyDescent="0.3">
      <c r="A1673"/>
      <c r="B1673"/>
      <c r="C1673"/>
      <c r="D1673"/>
      <c r="E1673"/>
      <c r="F1673"/>
    </row>
    <row r="1674" spans="1:6" ht="15.6" x14ac:dyDescent="0.3">
      <c r="A1674"/>
      <c r="B1674"/>
      <c r="C1674"/>
      <c r="D1674"/>
      <c r="E1674"/>
      <c r="F1674"/>
    </row>
    <row r="1675" spans="1:6" ht="15.6" x14ac:dyDescent="0.3">
      <c r="A1675"/>
      <c r="B1675"/>
      <c r="C1675"/>
      <c r="D1675"/>
      <c r="E1675"/>
      <c r="F1675"/>
    </row>
    <row r="1676" spans="1:6" ht="15.6" x14ac:dyDescent="0.3">
      <c r="A1676"/>
      <c r="B1676"/>
      <c r="C1676"/>
      <c r="D1676"/>
      <c r="E1676"/>
      <c r="F1676"/>
    </row>
    <row r="1677" spans="1:6" ht="15.6" x14ac:dyDescent="0.3">
      <c r="A1677"/>
      <c r="B1677"/>
      <c r="C1677"/>
      <c r="D1677"/>
      <c r="E1677"/>
      <c r="F1677"/>
    </row>
    <row r="1678" spans="1:6" ht="15.6" x14ac:dyDescent="0.3">
      <c r="A1678"/>
      <c r="B1678"/>
      <c r="C1678"/>
      <c r="D1678"/>
      <c r="E1678"/>
      <c r="F1678"/>
    </row>
    <row r="1679" spans="1:6" ht="15.6" x14ac:dyDescent="0.3">
      <c r="A1679"/>
      <c r="B1679"/>
      <c r="C1679"/>
      <c r="D1679"/>
      <c r="E1679"/>
      <c r="F1679"/>
    </row>
    <row r="1680" spans="1:6" ht="15.6" x14ac:dyDescent="0.3">
      <c r="A1680"/>
      <c r="B1680"/>
      <c r="C1680"/>
      <c r="D1680"/>
      <c r="E1680"/>
      <c r="F1680"/>
    </row>
    <row r="1681" spans="1:6" ht="15.6" x14ac:dyDescent="0.3">
      <c r="A1681"/>
      <c r="B1681"/>
      <c r="C1681"/>
      <c r="D1681"/>
      <c r="E1681"/>
      <c r="F1681"/>
    </row>
    <row r="1682" spans="1:6" ht="15.6" x14ac:dyDescent="0.3">
      <c r="A1682"/>
      <c r="B1682"/>
      <c r="C1682"/>
      <c r="D1682"/>
      <c r="E1682"/>
      <c r="F1682"/>
    </row>
    <row r="1683" spans="1:6" ht="15.6" x14ac:dyDescent="0.3">
      <c r="A1683"/>
      <c r="B1683"/>
      <c r="C1683"/>
      <c r="D1683"/>
      <c r="E1683"/>
      <c r="F1683"/>
    </row>
    <row r="1684" spans="1:6" ht="15.6" x14ac:dyDescent="0.3">
      <c r="A1684"/>
      <c r="B1684"/>
      <c r="C1684"/>
      <c r="D1684"/>
      <c r="E1684"/>
      <c r="F1684"/>
    </row>
    <row r="1685" spans="1:6" ht="15.6" x14ac:dyDescent="0.3">
      <c r="A1685"/>
      <c r="B1685"/>
      <c r="C1685"/>
      <c r="D1685"/>
      <c r="E1685"/>
      <c r="F1685"/>
    </row>
    <row r="1686" spans="1:6" ht="15.6" x14ac:dyDescent="0.3">
      <c r="A1686"/>
      <c r="B1686"/>
      <c r="C1686"/>
      <c r="D1686"/>
      <c r="E1686"/>
      <c r="F1686"/>
    </row>
    <row r="1687" spans="1:6" ht="15.6" x14ac:dyDescent="0.3">
      <c r="A1687"/>
      <c r="B1687"/>
      <c r="C1687"/>
      <c r="D1687"/>
      <c r="E1687"/>
      <c r="F1687"/>
    </row>
    <row r="1688" spans="1:6" ht="15.6" x14ac:dyDescent="0.3">
      <c r="A1688"/>
      <c r="B1688"/>
      <c r="C1688"/>
      <c r="D1688"/>
      <c r="E1688"/>
      <c r="F1688"/>
    </row>
    <row r="1689" spans="1:6" ht="15.6" x14ac:dyDescent="0.3">
      <c r="A1689"/>
      <c r="B1689"/>
      <c r="C1689"/>
      <c r="D1689"/>
      <c r="E1689"/>
      <c r="F1689"/>
    </row>
    <row r="1690" spans="1:6" ht="15.6" x14ac:dyDescent="0.3">
      <c r="A1690"/>
      <c r="B1690"/>
      <c r="C1690"/>
      <c r="D1690"/>
      <c r="E1690"/>
      <c r="F1690"/>
    </row>
    <row r="1691" spans="1:6" ht="15.6" x14ac:dyDescent="0.3">
      <c r="A1691"/>
      <c r="B1691"/>
      <c r="C1691"/>
      <c r="D1691"/>
      <c r="E1691"/>
      <c r="F1691"/>
    </row>
    <row r="1692" spans="1:6" ht="15.6" x14ac:dyDescent="0.3">
      <c r="A1692"/>
      <c r="B1692"/>
      <c r="C1692"/>
      <c r="D1692"/>
      <c r="E1692"/>
      <c r="F1692"/>
    </row>
    <row r="1693" spans="1:6" ht="15.6" x14ac:dyDescent="0.3">
      <c r="A1693"/>
      <c r="B1693"/>
      <c r="C1693"/>
      <c r="D1693"/>
      <c r="E1693"/>
      <c r="F1693"/>
    </row>
    <row r="1694" spans="1:6" ht="15.6" x14ac:dyDescent="0.3">
      <c r="A1694"/>
      <c r="B1694"/>
      <c r="C1694"/>
      <c r="D1694"/>
      <c r="E1694"/>
      <c r="F1694"/>
    </row>
    <row r="1695" spans="1:6" ht="15.6" x14ac:dyDescent="0.3">
      <c r="A1695"/>
      <c r="B1695"/>
      <c r="C1695"/>
      <c r="D1695"/>
      <c r="E1695"/>
      <c r="F1695"/>
    </row>
    <row r="1696" spans="1:6" ht="15.6" x14ac:dyDescent="0.3">
      <c r="A1696"/>
      <c r="B1696"/>
      <c r="C1696"/>
      <c r="D1696"/>
      <c r="E1696"/>
      <c r="F1696"/>
    </row>
    <row r="1697" spans="1:6" ht="15.6" x14ac:dyDescent="0.3">
      <c r="A1697"/>
      <c r="B1697"/>
      <c r="C1697"/>
      <c r="D1697"/>
      <c r="E1697"/>
      <c r="F1697"/>
    </row>
    <row r="1698" spans="1:6" ht="15.6" x14ac:dyDescent="0.3">
      <c r="A1698"/>
      <c r="B1698"/>
      <c r="C1698"/>
      <c r="D1698"/>
      <c r="E1698"/>
      <c r="F1698"/>
    </row>
    <row r="1699" spans="1:6" ht="15.6" x14ac:dyDescent="0.3">
      <c r="A1699"/>
      <c r="B1699"/>
      <c r="C1699"/>
      <c r="D1699"/>
      <c r="E1699"/>
      <c r="F1699"/>
    </row>
    <row r="1700" spans="1:6" ht="15.6" x14ac:dyDescent="0.3">
      <c r="A1700"/>
      <c r="B1700"/>
      <c r="C1700"/>
      <c r="D1700"/>
      <c r="E1700"/>
      <c r="F1700"/>
    </row>
    <row r="1701" spans="1:6" ht="15.6" x14ac:dyDescent="0.3">
      <c r="A1701"/>
      <c r="B1701"/>
      <c r="C1701"/>
      <c r="D1701"/>
      <c r="E1701"/>
      <c r="F1701"/>
    </row>
    <row r="1702" spans="1:6" ht="15.6" x14ac:dyDescent="0.3">
      <c r="A1702"/>
      <c r="B1702"/>
      <c r="C1702"/>
      <c r="D1702"/>
      <c r="E1702"/>
      <c r="F1702"/>
    </row>
    <row r="1703" spans="1:6" ht="15.6" x14ac:dyDescent="0.3">
      <c r="A1703"/>
      <c r="B1703"/>
      <c r="C1703"/>
      <c r="D1703"/>
      <c r="E1703"/>
      <c r="F1703"/>
    </row>
    <row r="1704" spans="1:6" ht="15.6" x14ac:dyDescent="0.3">
      <c r="A1704"/>
      <c r="B1704"/>
      <c r="C1704"/>
      <c r="D1704"/>
      <c r="E1704"/>
      <c r="F1704"/>
    </row>
    <row r="1705" spans="1:6" ht="15.6" x14ac:dyDescent="0.3">
      <c r="A1705"/>
      <c r="B1705"/>
      <c r="C1705"/>
      <c r="D1705"/>
      <c r="E1705"/>
      <c r="F1705"/>
    </row>
    <row r="1706" spans="1:6" ht="15.6" x14ac:dyDescent="0.3">
      <c r="A1706"/>
      <c r="B1706"/>
      <c r="C1706"/>
      <c r="D1706"/>
      <c r="E1706"/>
      <c r="F1706"/>
    </row>
    <row r="1707" spans="1:6" ht="15.6" x14ac:dyDescent="0.3">
      <c r="A1707"/>
      <c r="B1707"/>
      <c r="C1707"/>
      <c r="D1707"/>
      <c r="E1707"/>
      <c r="F1707"/>
    </row>
    <row r="1708" spans="1:6" ht="15.6" x14ac:dyDescent="0.3">
      <c r="A1708"/>
      <c r="B1708"/>
      <c r="C1708"/>
      <c r="D1708"/>
      <c r="E1708"/>
      <c r="F1708"/>
    </row>
    <row r="1709" spans="1:6" ht="15.6" x14ac:dyDescent="0.3">
      <c r="A1709"/>
      <c r="B1709"/>
      <c r="C1709"/>
      <c r="D1709"/>
      <c r="E1709"/>
      <c r="F1709"/>
    </row>
    <row r="1710" spans="1:6" ht="15.6" x14ac:dyDescent="0.3">
      <c r="A1710"/>
      <c r="B1710"/>
      <c r="C1710"/>
      <c r="D1710"/>
      <c r="E1710"/>
      <c r="F1710"/>
    </row>
    <row r="1711" spans="1:6" ht="15.6" x14ac:dyDescent="0.3">
      <c r="A1711"/>
      <c r="B1711"/>
      <c r="C1711"/>
      <c r="D1711"/>
      <c r="E1711"/>
      <c r="F1711"/>
    </row>
    <row r="1712" spans="1:6" ht="15.6" x14ac:dyDescent="0.3">
      <c r="A1712"/>
      <c r="B1712"/>
      <c r="C1712"/>
      <c r="D1712"/>
      <c r="E1712"/>
      <c r="F1712"/>
    </row>
    <row r="1713" spans="1:6" ht="15.6" x14ac:dyDescent="0.3">
      <c r="A1713"/>
      <c r="B1713"/>
      <c r="C1713"/>
      <c r="D1713"/>
      <c r="E1713"/>
      <c r="F1713"/>
    </row>
    <row r="1714" spans="1:6" ht="15.6" x14ac:dyDescent="0.3">
      <c r="A1714"/>
      <c r="B1714"/>
      <c r="C1714"/>
      <c r="D1714"/>
      <c r="E1714"/>
      <c r="F1714"/>
    </row>
    <row r="1715" spans="1:6" ht="15.6" x14ac:dyDescent="0.3">
      <c r="A1715"/>
      <c r="B1715"/>
      <c r="C1715"/>
      <c r="D1715"/>
      <c r="E1715"/>
      <c r="F1715"/>
    </row>
    <row r="1716" spans="1:6" ht="15.6" x14ac:dyDescent="0.3">
      <c r="A1716"/>
      <c r="B1716"/>
      <c r="C1716"/>
      <c r="D1716"/>
      <c r="E1716"/>
      <c r="F1716"/>
    </row>
    <row r="1717" spans="1:6" ht="15.6" x14ac:dyDescent="0.3">
      <c r="A1717"/>
      <c r="B1717"/>
      <c r="C1717"/>
      <c r="D1717"/>
      <c r="E1717"/>
      <c r="F1717"/>
    </row>
    <row r="1718" spans="1:6" ht="15.6" x14ac:dyDescent="0.3">
      <c r="A1718"/>
      <c r="B1718"/>
      <c r="C1718"/>
      <c r="D1718"/>
      <c r="E1718"/>
      <c r="F1718"/>
    </row>
    <row r="1719" spans="1:6" ht="15.6" x14ac:dyDescent="0.3">
      <c r="A1719"/>
      <c r="B1719"/>
      <c r="C1719"/>
      <c r="D1719"/>
      <c r="E1719"/>
      <c r="F1719"/>
    </row>
    <row r="1720" spans="1:6" ht="15.6" x14ac:dyDescent="0.3">
      <c r="A1720"/>
      <c r="B1720"/>
      <c r="C1720"/>
      <c r="D1720"/>
      <c r="E1720"/>
      <c r="F1720"/>
    </row>
    <row r="1721" spans="1:6" ht="15.6" x14ac:dyDescent="0.3">
      <c r="A1721"/>
      <c r="B1721"/>
      <c r="C1721"/>
      <c r="D1721"/>
      <c r="E1721"/>
      <c r="F1721"/>
    </row>
    <row r="1722" spans="1:6" ht="15.6" x14ac:dyDescent="0.3">
      <c r="A1722"/>
      <c r="B1722"/>
      <c r="C1722"/>
      <c r="D1722"/>
      <c r="E1722"/>
      <c r="F1722"/>
    </row>
    <row r="1723" spans="1:6" ht="15.6" x14ac:dyDescent="0.3">
      <c r="A1723"/>
      <c r="B1723"/>
      <c r="C1723"/>
      <c r="D1723"/>
      <c r="E1723"/>
      <c r="F1723"/>
    </row>
    <row r="1724" spans="1:6" ht="15.6" x14ac:dyDescent="0.3">
      <c r="A1724"/>
      <c r="B1724"/>
      <c r="C1724"/>
      <c r="D1724"/>
      <c r="E1724"/>
      <c r="F1724"/>
    </row>
    <row r="1725" spans="1:6" ht="15.6" x14ac:dyDescent="0.3">
      <c r="A1725"/>
      <c r="B1725"/>
      <c r="C1725"/>
      <c r="D1725"/>
      <c r="E1725"/>
      <c r="F1725"/>
    </row>
    <row r="1726" spans="1:6" ht="15.6" x14ac:dyDescent="0.3">
      <c r="A1726"/>
      <c r="B1726"/>
      <c r="C1726"/>
      <c r="D1726"/>
      <c r="E1726"/>
      <c r="F1726"/>
    </row>
    <row r="1727" spans="1:6" ht="15.6" x14ac:dyDescent="0.3">
      <c r="A1727"/>
      <c r="B1727"/>
      <c r="C1727"/>
      <c r="D1727"/>
      <c r="E1727"/>
      <c r="F1727"/>
    </row>
    <row r="1728" spans="1:6" ht="15.6" x14ac:dyDescent="0.3">
      <c r="A1728"/>
      <c r="B1728"/>
      <c r="C1728"/>
      <c r="D1728"/>
      <c r="E1728"/>
      <c r="F1728"/>
    </row>
    <row r="1729" spans="1:6" ht="15.6" x14ac:dyDescent="0.3">
      <c r="A1729"/>
      <c r="B1729"/>
      <c r="C1729"/>
      <c r="D1729"/>
      <c r="E1729"/>
      <c r="F1729"/>
    </row>
    <row r="1730" spans="1:6" ht="15.6" x14ac:dyDescent="0.3">
      <c r="A1730"/>
      <c r="B1730"/>
      <c r="C1730"/>
      <c r="D1730"/>
      <c r="E1730"/>
      <c r="F1730"/>
    </row>
    <row r="1731" spans="1:6" ht="15.6" x14ac:dyDescent="0.3">
      <c r="A1731"/>
      <c r="B1731"/>
      <c r="C1731"/>
      <c r="D1731"/>
      <c r="E1731"/>
      <c r="F1731"/>
    </row>
    <row r="1732" spans="1:6" ht="15.6" x14ac:dyDescent="0.3">
      <c r="A1732"/>
      <c r="B1732"/>
      <c r="C1732"/>
      <c r="D1732"/>
      <c r="E1732"/>
      <c r="F1732"/>
    </row>
    <row r="1733" spans="1:6" ht="15.6" x14ac:dyDescent="0.3">
      <c r="A1733"/>
      <c r="B1733"/>
      <c r="C1733"/>
      <c r="D1733"/>
      <c r="E1733"/>
      <c r="F1733"/>
    </row>
    <row r="1734" spans="1:6" ht="15.6" x14ac:dyDescent="0.3">
      <c r="A1734"/>
      <c r="B1734"/>
      <c r="C1734"/>
      <c r="D1734"/>
      <c r="E1734"/>
      <c r="F1734"/>
    </row>
    <row r="1735" spans="1:6" ht="15.6" x14ac:dyDescent="0.3">
      <c r="A1735"/>
      <c r="B1735"/>
      <c r="C1735"/>
      <c r="D1735"/>
      <c r="E1735"/>
      <c r="F1735"/>
    </row>
    <row r="1736" spans="1:6" ht="15.6" x14ac:dyDescent="0.3">
      <c r="A1736"/>
      <c r="B1736"/>
      <c r="C1736"/>
      <c r="D1736"/>
      <c r="E1736"/>
      <c r="F1736"/>
    </row>
    <row r="1737" spans="1:6" ht="15.6" x14ac:dyDescent="0.3">
      <c r="A1737"/>
      <c r="B1737"/>
      <c r="C1737"/>
      <c r="D1737"/>
      <c r="E1737"/>
      <c r="F1737"/>
    </row>
    <row r="1738" spans="1:6" ht="15.6" x14ac:dyDescent="0.3">
      <c r="A1738"/>
      <c r="B1738"/>
      <c r="C1738"/>
      <c r="D1738"/>
      <c r="E1738"/>
      <c r="F1738"/>
    </row>
    <row r="1739" spans="1:6" ht="15.6" x14ac:dyDescent="0.3">
      <c r="A1739"/>
      <c r="B1739"/>
      <c r="C1739"/>
      <c r="D1739"/>
      <c r="E1739"/>
      <c r="F1739"/>
    </row>
    <row r="1740" spans="1:6" ht="15.6" x14ac:dyDescent="0.3">
      <c r="A1740"/>
      <c r="B1740"/>
      <c r="C1740"/>
      <c r="D1740"/>
      <c r="E1740"/>
      <c r="F1740"/>
    </row>
    <row r="1741" spans="1:6" ht="15.6" x14ac:dyDescent="0.3">
      <c r="A1741"/>
      <c r="B1741"/>
      <c r="C1741"/>
      <c r="D1741"/>
      <c r="E1741"/>
      <c r="F1741"/>
    </row>
    <row r="1742" spans="1:6" ht="15.6" x14ac:dyDescent="0.3">
      <c r="A1742"/>
      <c r="B1742"/>
      <c r="C1742"/>
      <c r="D1742"/>
      <c r="E1742"/>
      <c r="F1742"/>
    </row>
    <row r="1743" spans="1:6" ht="15.6" x14ac:dyDescent="0.3">
      <c r="A1743"/>
      <c r="B1743"/>
      <c r="C1743"/>
      <c r="D1743"/>
      <c r="E1743"/>
      <c r="F1743"/>
    </row>
    <row r="1744" spans="1:6" ht="15.6" x14ac:dyDescent="0.3">
      <c r="A1744"/>
      <c r="B1744"/>
      <c r="C1744"/>
      <c r="D1744"/>
      <c r="E1744"/>
      <c r="F1744"/>
    </row>
    <row r="1745" spans="1:6" ht="15.6" x14ac:dyDescent="0.3">
      <c r="A1745"/>
      <c r="B1745"/>
      <c r="C1745"/>
      <c r="D1745"/>
      <c r="E1745"/>
      <c r="F1745"/>
    </row>
    <row r="1746" spans="1:6" ht="15.6" x14ac:dyDescent="0.3">
      <c r="A1746"/>
      <c r="B1746"/>
      <c r="C1746"/>
      <c r="D1746"/>
      <c r="E1746"/>
      <c r="F1746"/>
    </row>
    <row r="1747" spans="1:6" ht="15.6" x14ac:dyDescent="0.3">
      <c r="A1747"/>
      <c r="B1747"/>
      <c r="C1747"/>
      <c r="D1747"/>
      <c r="E1747"/>
      <c r="F1747"/>
    </row>
    <row r="1748" spans="1:6" ht="15.6" x14ac:dyDescent="0.3">
      <c r="A1748"/>
      <c r="B1748"/>
      <c r="C1748"/>
      <c r="D1748"/>
      <c r="E1748"/>
      <c r="F1748"/>
    </row>
    <row r="1749" spans="1:6" ht="15.6" x14ac:dyDescent="0.3">
      <c r="A1749"/>
      <c r="B1749"/>
      <c r="C1749"/>
      <c r="D1749"/>
      <c r="E1749"/>
      <c r="F1749"/>
    </row>
    <row r="1750" spans="1:6" ht="15.6" x14ac:dyDescent="0.3">
      <c r="A1750"/>
      <c r="B1750"/>
      <c r="C1750"/>
      <c r="D1750"/>
      <c r="E1750"/>
      <c r="F1750"/>
    </row>
    <row r="1751" spans="1:6" ht="15.6" x14ac:dyDescent="0.3">
      <c r="A1751"/>
      <c r="B1751"/>
      <c r="C1751"/>
      <c r="D1751"/>
      <c r="E1751"/>
      <c r="F1751"/>
    </row>
    <row r="1752" spans="1:6" ht="15.6" x14ac:dyDescent="0.3">
      <c r="A1752"/>
      <c r="B1752"/>
      <c r="C1752"/>
      <c r="D1752"/>
      <c r="E1752"/>
      <c r="F1752"/>
    </row>
    <row r="1753" spans="1:6" ht="15.6" x14ac:dyDescent="0.3">
      <c r="A1753"/>
      <c r="B1753"/>
      <c r="C1753"/>
      <c r="D1753"/>
      <c r="E1753"/>
      <c r="F1753"/>
    </row>
    <row r="1754" spans="1:6" ht="15.6" x14ac:dyDescent="0.3">
      <c r="A1754"/>
      <c r="B1754"/>
      <c r="C1754"/>
      <c r="D1754"/>
      <c r="E1754"/>
      <c r="F1754"/>
    </row>
    <row r="1755" spans="1:6" ht="15.6" x14ac:dyDescent="0.3">
      <c r="A1755"/>
      <c r="B1755"/>
      <c r="C1755"/>
      <c r="D1755"/>
      <c r="E1755"/>
      <c r="F1755"/>
    </row>
    <row r="1756" spans="1:6" ht="15.6" x14ac:dyDescent="0.3">
      <c r="A1756"/>
      <c r="B1756"/>
      <c r="C1756"/>
      <c r="D1756"/>
      <c r="E1756"/>
      <c r="F1756"/>
    </row>
    <row r="1757" spans="1:6" ht="15.6" x14ac:dyDescent="0.3">
      <c r="A1757"/>
      <c r="B1757"/>
      <c r="C1757"/>
      <c r="D1757"/>
      <c r="E1757"/>
      <c r="F1757"/>
    </row>
    <row r="1758" spans="1:6" ht="15.6" x14ac:dyDescent="0.3">
      <c r="A1758"/>
      <c r="B1758"/>
      <c r="C1758"/>
      <c r="D1758"/>
      <c r="E1758"/>
      <c r="F1758"/>
    </row>
    <row r="1759" spans="1:6" ht="15.6" x14ac:dyDescent="0.3">
      <c r="A1759"/>
      <c r="B1759"/>
      <c r="C1759"/>
      <c r="D1759"/>
      <c r="E1759"/>
      <c r="F1759"/>
    </row>
    <row r="1760" spans="1:6" ht="15.6" x14ac:dyDescent="0.3">
      <c r="A1760"/>
      <c r="B1760"/>
      <c r="C1760"/>
      <c r="D1760"/>
      <c r="E1760"/>
      <c r="F1760"/>
    </row>
    <row r="1761" spans="1:6" ht="15.6" x14ac:dyDescent="0.3">
      <c r="A1761"/>
      <c r="B1761"/>
      <c r="C1761"/>
      <c r="D1761"/>
      <c r="E1761"/>
      <c r="F1761"/>
    </row>
    <row r="1762" spans="1:6" ht="15.6" x14ac:dyDescent="0.3">
      <c r="A1762"/>
      <c r="B1762"/>
      <c r="C1762"/>
      <c r="D1762"/>
      <c r="E1762"/>
      <c r="F1762"/>
    </row>
    <row r="1763" spans="1:6" ht="15.6" x14ac:dyDescent="0.3">
      <c r="A1763"/>
      <c r="B1763"/>
      <c r="C1763"/>
      <c r="D1763"/>
      <c r="E1763"/>
      <c r="F1763"/>
    </row>
    <row r="1764" spans="1:6" ht="15.6" x14ac:dyDescent="0.3">
      <c r="A1764"/>
      <c r="B1764"/>
      <c r="C1764"/>
      <c r="D1764"/>
      <c r="E1764"/>
      <c r="F1764"/>
    </row>
    <row r="1765" spans="1:6" ht="15.6" x14ac:dyDescent="0.3">
      <c r="A1765"/>
      <c r="B1765"/>
      <c r="C1765"/>
      <c r="D1765"/>
      <c r="E1765"/>
      <c r="F1765"/>
    </row>
    <row r="1766" spans="1:6" ht="15.6" x14ac:dyDescent="0.3">
      <c r="A1766"/>
      <c r="B1766"/>
      <c r="C1766"/>
      <c r="D1766"/>
      <c r="E1766"/>
      <c r="F1766"/>
    </row>
    <row r="1767" spans="1:6" ht="15.6" x14ac:dyDescent="0.3">
      <c r="A1767"/>
      <c r="B1767"/>
      <c r="C1767"/>
      <c r="D1767"/>
      <c r="E1767"/>
      <c r="F1767"/>
    </row>
    <row r="1768" spans="1:6" ht="15.6" x14ac:dyDescent="0.3">
      <c r="A1768"/>
      <c r="B1768"/>
      <c r="C1768"/>
      <c r="D1768"/>
      <c r="E1768"/>
      <c r="F1768"/>
    </row>
    <row r="1769" spans="1:6" ht="15.6" x14ac:dyDescent="0.3">
      <c r="A1769"/>
      <c r="B1769"/>
      <c r="C1769"/>
      <c r="D1769"/>
      <c r="E1769"/>
      <c r="F1769"/>
    </row>
    <row r="1770" spans="1:6" ht="15.6" x14ac:dyDescent="0.3">
      <c r="A1770"/>
      <c r="B1770"/>
      <c r="C1770"/>
      <c r="D1770"/>
      <c r="E1770"/>
      <c r="F1770"/>
    </row>
    <row r="1771" spans="1:6" ht="15.6" x14ac:dyDescent="0.3">
      <c r="A1771"/>
      <c r="B1771"/>
      <c r="C1771"/>
      <c r="D1771"/>
      <c r="E1771"/>
      <c r="F1771"/>
    </row>
    <row r="1772" spans="1:6" ht="15.6" x14ac:dyDescent="0.3">
      <c r="A1772"/>
      <c r="B1772"/>
      <c r="C1772"/>
      <c r="D1772"/>
      <c r="E1772"/>
      <c r="F1772"/>
    </row>
    <row r="1773" spans="1:6" ht="15.6" x14ac:dyDescent="0.3">
      <c r="A1773"/>
      <c r="B1773"/>
      <c r="C1773"/>
      <c r="D1773"/>
      <c r="E1773"/>
      <c r="F1773"/>
    </row>
    <row r="1774" spans="1:6" ht="15.6" x14ac:dyDescent="0.3">
      <c r="A1774"/>
      <c r="B1774"/>
      <c r="C1774"/>
      <c r="D1774"/>
      <c r="E1774"/>
      <c r="F1774"/>
    </row>
    <row r="1775" spans="1:6" ht="15.6" x14ac:dyDescent="0.3">
      <c r="A1775"/>
      <c r="B1775"/>
      <c r="C1775"/>
      <c r="D1775"/>
      <c r="E1775"/>
      <c r="F1775"/>
    </row>
    <row r="1776" spans="1:6" ht="15.6" x14ac:dyDescent="0.3">
      <c r="A1776"/>
      <c r="B1776"/>
      <c r="C1776"/>
      <c r="D1776"/>
      <c r="E1776"/>
      <c r="F1776"/>
    </row>
    <row r="1777" spans="1:6" ht="15.6" x14ac:dyDescent="0.3">
      <c r="A1777"/>
      <c r="B1777"/>
      <c r="C1777"/>
      <c r="D1777"/>
      <c r="E1777"/>
      <c r="F1777"/>
    </row>
    <row r="1778" spans="1:6" ht="15.6" x14ac:dyDescent="0.3">
      <c r="A1778"/>
      <c r="B1778"/>
      <c r="C1778"/>
      <c r="D1778"/>
      <c r="E1778"/>
      <c r="F1778"/>
    </row>
    <row r="1779" spans="1:6" ht="15.6" x14ac:dyDescent="0.3">
      <c r="A1779"/>
      <c r="B1779"/>
      <c r="C1779"/>
      <c r="D1779"/>
      <c r="E1779"/>
      <c r="F1779"/>
    </row>
    <row r="1780" spans="1:6" ht="15.6" x14ac:dyDescent="0.3">
      <c r="A1780"/>
      <c r="B1780"/>
      <c r="C1780"/>
      <c r="D1780"/>
      <c r="E1780"/>
      <c r="F1780"/>
    </row>
    <row r="1781" spans="1:6" ht="15.6" x14ac:dyDescent="0.3">
      <c r="A1781"/>
      <c r="B1781"/>
      <c r="C1781"/>
      <c r="D1781"/>
      <c r="E1781"/>
      <c r="F1781"/>
    </row>
    <row r="1782" spans="1:6" ht="15.6" x14ac:dyDescent="0.3">
      <c r="A1782"/>
      <c r="B1782"/>
      <c r="C1782"/>
      <c r="D1782"/>
      <c r="E1782"/>
      <c r="F1782"/>
    </row>
    <row r="1783" spans="1:6" ht="15.6" x14ac:dyDescent="0.3">
      <c r="A1783"/>
      <c r="B1783"/>
      <c r="C1783"/>
      <c r="D1783"/>
      <c r="E1783"/>
      <c r="F1783"/>
    </row>
    <row r="1784" spans="1:6" ht="15.6" x14ac:dyDescent="0.3">
      <c r="A1784"/>
      <c r="B1784"/>
      <c r="C1784"/>
      <c r="D1784"/>
      <c r="E1784"/>
      <c r="F1784"/>
    </row>
    <row r="1785" spans="1:6" ht="15.6" x14ac:dyDescent="0.3">
      <c r="A1785"/>
      <c r="B1785"/>
      <c r="C1785"/>
      <c r="D1785"/>
      <c r="E1785"/>
      <c r="F1785"/>
    </row>
    <row r="1786" spans="1:6" ht="15.6" x14ac:dyDescent="0.3">
      <c r="A1786"/>
      <c r="B1786"/>
      <c r="C1786"/>
      <c r="D1786"/>
      <c r="E1786"/>
      <c r="F1786"/>
    </row>
    <row r="1787" spans="1:6" ht="15.6" x14ac:dyDescent="0.3">
      <c r="A1787"/>
      <c r="B1787"/>
      <c r="C1787"/>
      <c r="D1787"/>
      <c r="E1787"/>
      <c r="F1787"/>
    </row>
    <row r="1788" spans="1:6" ht="15.6" x14ac:dyDescent="0.3">
      <c r="A1788"/>
      <c r="B1788"/>
      <c r="C1788"/>
      <c r="D1788"/>
      <c r="E1788"/>
      <c r="F1788"/>
    </row>
    <row r="1789" spans="1:6" ht="15.6" x14ac:dyDescent="0.3">
      <c r="A1789"/>
      <c r="B1789"/>
      <c r="C1789"/>
      <c r="D1789"/>
      <c r="E1789"/>
      <c r="F1789"/>
    </row>
    <row r="1790" spans="1:6" ht="15.6" x14ac:dyDescent="0.3">
      <c r="A1790"/>
      <c r="B1790"/>
      <c r="C1790"/>
      <c r="D1790"/>
      <c r="E1790"/>
      <c r="F1790"/>
    </row>
    <row r="1791" spans="1:6" ht="15.6" x14ac:dyDescent="0.3">
      <c r="A1791"/>
      <c r="B1791"/>
      <c r="C1791"/>
      <c r="D1791"/>
      <c r="E1791"/>
      <c r="F1791"/>
    </row>
    <row r="1792" spans="1:6" ht="15.6" x14ac:dyDescent="0.3">
      <c r="A1792"/>
      <c r="B1792"/>
      <c r="C1792"/>
      <c r="D1792"/>
      <c r="E1792"/>
      <c r="F1792"/>
    </row>
    <row r="1793" spans="1:6" ht="15.6" x14ac:dyDescent="0.3">
      <c r="A1793"/>
      <c r="B1793"/>
      <c r="C1793"/>
      <c r="D1793"/>
      <c r="E1793"/>
      <c r="F1793"/>
    </row>
    <row r="1794" spans="1:6" ht="15.6" x14ac:dyDescent="0.3">
      <c r="A1794"/>
      <c r="B1794"/>
      <c r="C1794"/>
      <c r="D1794"/>
      <c r="E1794"/>
      <c r="F1794"/>
    </row>
    <row r="1795" spans="1:6" ht="15.6" x14ac:dyDescent="0.3">
      <c r="A1795"/>
      <c r="B1795"/>
      <c r="C1795"/>
      <c r="D1795"/>
      <c r="E1795"/>
      <c r="F1795"/>
    </row>
    <row r="1796" spans="1:6" ht="15.6" x14ac:dyDescent="0.3">
      <c r="A1796"/>
      <c r="B1796"/>
      <c r="C1796"/>
      <c r="D1796"/>
      <c r="E1796"/>
      <c r="F1796"/>
    </row>
    <row r="1797" spans="1:6" ht="15.6" x14ac:dyDescent="0.3">
      <c r="A1797"/>
      <c r="B1797"/>
      <c r="C1797"/>
      <c r="D1797"/>
      <c r="E1797"/>
      <c r="F1797"/>
    </row>
    <row r="1798" spans="1:6" ht="15.6" x14ac:dyDescent="0.3">
      <c r="A1798"/>
      <c r="B1798"/>
      <c r="C1798"/>
      <c r="D1798"/>
      <c r="E1798"/>
      <c r="F1798"/>
    </row>
    <row r="1799" spans="1:6" ht="15.6" x14ac:dyDescent="0.3">
      <c r="A1799"/>
      <c r="B1799"/>
      <c r="C1799"/>
      <c r="D1799"/>
      <c r="E1799"/>
      <c r="F1799"/>
    </row>
    <row r="1800" spans="1:6" ht="15.6" x14ac:dyDescent="0.3">
      <c r="A1800"/>
      <c r="B1800"/>
      <c r="C1800"/>
      <c r="D1800"/>
      <c r="E1800"/>
      <c r="F1800"/>
    </row>
    <row r="1801" spans="1:6" ht="15.6" x14ac:dyDescent="0.3">
      <c r="A1801"/>
      <c r="B1801"/>
      <c r="C1801"/>
      <c r="D1801"/>
      <c r="E1801"/>
      <c r="F1801"/>
    </row>
    <row r="1802" spans="1:6" ht="15.6" x14ac:dyDescent="0.3">
      <c r="A1802"/>
      <c r="B1802"/>
      <c r="C1802"/>
      <c r="D1802"/>
      <c r="E1802"/>
      <c r="F1802"/>
    </row>
    <row r="1803" spans="1:6" ht="15.6" x14ac:dyDescent="0.3">
      <c r="A1803"/>
      <c r="B1803"/>
      <c r="C1803"/>
      <c r="D1803"/>
      <c r="E1803"/>
      <c r="F1803"/>
    </row>
    <row r="1804" spans="1:6" ht="15.6" x14ac:dyDescent="0.3">
      <c r="A1804"/>
      <c r="B1804"/>
      <c r="C1804"/>
      <c r="D1804"/>
      <c r="E1804"/>
      <c r="F1804"/>
    </row>
    <row r="1805" spans="1:6" ht="15.6" x14ac:dyDescent="0.3">
      <c r="A1805"/>
      <c r="B1805"/>
      <c r="C1805"/>
      <c r="D1805"/>
      <c r="E1805"/>
      <c r="F1805"/>
    </row>
    <row r="1806" spans="1:6" ht="15.6" x14ac:dyDescent="0.3">
      <c r="A1806"/>
      <c r="B1806"/>
      <c r="C1806"/>
      <c r="D1806"/>
      <c r="E1806"/>
      <c r="F1806"/>
    </row>
    <row r="1807" spans="1:6" ht="15.6" x14ac:dyDescent="0.3">
      <c r="A1807"/>
      <c r="B1807"/>
      <c r="C1807"/>
      <c r="D1807"/>
      <c r="E1807"/>
      <c r="F1807"/>
    </row>
    <row r="1808" spans="1:6" ht="15.6" x14ac:dyDescent="0.3">
      <c r="A1808"/>
      <c r="B1808"/>
      <c r="C1808"/>
      <c r="D1808"/>
      <c r="E1808"/>
      <c r="F1808"/>
    </row>
    <row r="1809" spans="1:6" ht="15.6" x14ac:dyDescent="0.3">
      <c r="A1809"/>
      <c r="B1809"/>
      <c r="C1809"/>
      <c r="D1809"/>
      <c r="E1809"/>
      <c r="F1809"/>
    </row>
    <row r="1810" spans="1:6" ht="15.6" x14ac:dyDescent="0.3">
      <c r="A1810"/>
      <c r="B1810"/>
      <c r="C1810"/>
      <c r="D1810"/>
      <c r="E1810"/>
      <c r="F1810"/>
    </row>
    <row r="1811" spans="1:6" ht="15.6" x14ac:dyDescent="0.3">
      <c r="A1811"/>
      <c r="B1811"/>
      <c r="C1811"/>
      <c r="D1811"/>
      <c r="E1811"/>
      <c r="F1811"/>
    </row>
    <row r="1812" spans="1:6" ht="15.6" x14ac:dyDescent="0.3">
      <c r="A1812"/>
      <c r="B1812"/>
      <c r="C1812"/>
      <c r="D1812"/>
      <c r="E1812"/>
      <c r="F1812"/>
    </row>
    <row r="1813" spans="1:6" ht="15.6" x14ac:dyDescent="0.3">
      <c r="A1813"/>
      <c r="B1813"/>
      <c r="C1813"/>
      <c r="D1813"/>
      <c r="E1813"/>
      <c r="F1813"/>
    </row>
    <row r="1814" spans="1:6" ht="15.6" x14ac:dyDescent="0.3">
      <c r="A1814"/>
      <c r="B1814"/>
      <c r="C1814"/>
      <c r="D1814"/>
      <c r="E1814"/>
      <c r="F1814"/>
    </row>
    <row r="1815" spans="1:6" ht="15.6" x14ac:dyDescent="0.3">
      <c r="A1815"/>
      <c r="B1815"/>
      <c r="C1815"/>
      <c r="D1815"/>
      <c r="E1815"/>
      <c r="F1815"/>
    </row>
    <row r="1816" spans="1:6" ht="15.6" x14ac:dyDescent="0.3">
      <c r="A1816"/>
      <c r="B1816"/>
      <c r="C1816"/>
      <c r="D1816"/>
      <c r="E1816"/>
      <c r="F1816"/>
    </row>
    <row r="1817" spans="1:6" ht="15.6" x14ac:dyDescent="0.3">
      <c r="A1817"/>
      <c r="B1817"/>
      <c r="C1817"/>
      <c r="D1817"/>
      <c r="E1817"/>
      <c r="F1817"/>
    </row>
    <row r="1818" spans="1:6" ht="15.6" x14ac:dyDescent="0.3">
      <c r="A1818"/>
      <c r="B1818"/>
      <c r="C1818"/>
      <c r="D1818"/>
      <c r="E1818"/>
      <c r="F1818"/>
    </row>
    <row r="1819" spans="1:6" ht="15.6" x14ac:dyDescent="0.3">
      <c r="A1819"/>
      <c r="B1819"/>
      <c r="C1819"/>
      <c r="D1819"/>
      <c r="E1819"/>
      <c r="F1819"/>
    </row>
    <row r="1820" spans="1:6" ht="15.6" x14ac:dyDescent="0.3">
      <c r="A1820"/>
      <c r="B1820"/>
      <c r="C1820"/>
      <c r="D1820"/>
      <c r="E1820"/>
      <c r="F1820"/>
    </row>
    <row r="1821" spans="1:6" ht="15.6" x14ac:dyDescent="0.3">
      <c r="A1821"/>
      <c r="B1821"/>
      <c r="C1821"/>
      <c r="D1821"/>
      <c r="E1821"/>
      <c r="F1821"/>
    </row>
    <row r="1822" spans="1:6" ht="15.6" x14ac:dyDescent="0.3">
      <c r="A1822"/>
      <c r="B1822"/>
      <c r="C1822"/>
      <c r="D1822"/>
      <c r="E1822"/>
      <c r="F1822"/>
    </row>
    <row r="1823" spans="1:6" ht="15.6" x14ac:dyDescent="0.3">
      <c r="A1823"/>
      <c r="B1823"/>
      <c r="C1823"/>
      <c r="D1823"/>
      <c r="E1823"/>
      <c r="F1823"/>
    </row>
    <row r="1824" spans="1:6" ht="15.6" x14ac:dyDescent="0.3">
      <c r="A1824"/>
      <c r="B1824"/>
      <c r="C1824"/>
      <c r="D1824"/>
      <c r="E1824"/>
      <c r="F1824"/>
    </row>
    <row r="1825" spans="1:6" ht="15.6" x14ac:dyDescent="0.3">
      <c r="A1825"/>
      <c r="B1825"/>
      <c r="C1825"/>
      <c r="D1825"/>
      <c r="E1825"/>
      <c r="F1825"/>
    </row>
    <row r="1826" spans="1:6" ht="15.6" x14ac:dyDescent="0.3">
      <c r="A1826"/>
      <c r="B1826"/>
      <c r="C1826"/>
      <c r="D1826"/>
      <c r="E1826"/>
      <c r="F1826"/>
    </row>
    <row r="1827" spans="1:6" ht="15.6" x14ac:dyDescent="0.3">
      <c r="A1827"/>
      <c r="B1827"/>
      <c r="C1827"/>
      <c r="D1827"/>
      <c r="E1827"/>
      <c r="F1827"/>
    </row>
    <row r="1828" spans="1:6" ht="15.6" x14ac:dyDescent="0.3">
      <c r="A1828"/>
      <c r="B1828"/>
      <c r="C1828"/>
      <c r="D1828"/>
      <c r="E1828"/>
      <c r="F1828"/>
    </row>
    <row r="1829" spans="1:6" ht="15.6" x14ac:dyDescent="0.3">
      <c r="A1829"/>
      <c r="B1829"/>
      <c r="C1829"/>
      <c r="D1829"/>
      <c r="E1829"/>
      <c r="F1829"/>
    </row>
    <row r="1830" spans="1:6" ht="15.6" x14ac:dyDescent="0.3">
      <c r="A1830"/>
      <c r="B1830"/>
      <c r="C1830"/>
      <c r="D1830"/>
      <c r="E1830"/>
      <c r="F1830"/>
    </row>
    <row r="1831" spans="1:6" ht="15.6" x14ac:dyDescent="0.3">
      <c r="A1831"/>
      <c r="B1831"/>
      <c r="C1831"/>
      <c r="D1831"/>
      <c r="E1831"/>
      <c r="F1831"/>
    </row>
    <row r="1832" spans="1:6" ht="15.6" x14ac:dyDescent="0.3">
      <c r="A1832"/>
      <c r="B1832"/>
      <c r="C1832"/>
      <c r="D1832"/>
      <c r="E1832"/>
      <c r="F1832"/>
    </row>
    <row r="1833" spans="1:6" ht="15.6" x14ac:dyDescent="0.3">
      <c r="A1833"/>
      <c r="B1833"/>
      <c r="C1833"/>
      <c r="D1833"/>
      <c r="E1833"/>
      <c r="F1833"/>
    </row>
    <row r="1834" spans="1:6" ht="15.6" x14ac:dyDescent="0.3">
      <c r="A1834"/>
      <c r="B1834"/>
      <c r="C1834"/>
      <c r="D1834"/>
      <c r="E1834"/>
      <c r="F1834"/>
    </row>
    <row r="1835" spans="1:6" ht="15.6" x14ac:dyDescent="0.3">
      <c r="A1835"/>
      <c r="B1835"/>
      <c r="C1835"/>
      <c r="D1835"/>
      <c r="E1835"/>
      <c r="F1835"/>
    </row>
    <row r="1836" spans="1:6" ht="15.6" x14ac:dyDescent="0.3">
      <c r="A1836"/>
      <c r="B1836"/>
      <c r="C1836"/>
      <c r="D1836"/>
      <c r="E1836"/>
      <c r="F1836"/>
    </row>
    <row r="1837" spans="1:6" ht="15.6" x14ac:dyDescent="0.3">
      <c r="A1837"/>
      <c r="B1837"/>
      <c r="C1837"/>
      <c r="D1837"/>
      <c r="E1837"/>
      <c r="F1837"/>
    </row>
    <row r="1838" spans="1:6" ht="15.6" x14ac:dyDescent="0.3">
      <c r="A1838"/>
      <c r="B1838"/>
      <c r="C1838"/>
      <c r="D1838"/>
      <c r="E1838"/>
      <c r="F1838"/>
    </row>
    <row r="1839" spans="1:6" ht="15.6" x14ac:dyDescent="0.3">
      <c r="A1839"/>
      <c r="B1839"/>
      <c r="C1839"/>
      <c r="D1839"/>
      <c r="E1839"/>
      <c r="F1839"/>
    </row>
    <row r="1840" spans="1:6" ht="15.6" x14ac:dyDescent="0.3">
      <c r="A1840"/>
      <c r="B1840"/>
      <c r="C1840"/>
      <c r="D1840"/>
      <c r="E1840"/>
      <c r="F1840"/>
    </row>
    <row r="1841" spans="1:6" ht="15.6" x14ac:dyDescent="0.3">
      <c r="A1841"/>
      <c r="B1841"/>
      <c r="C1841"/>
      <c r="D1841"/>
      <c r="E1841"/>
      <c r="F1841"/>
    </row>
    <row r="1842" spans="1:6" ht="15.6" x14ac:dyDescent="0.3">
      <c r="A1842"/>
      <c r="B1842"/>
      <c r="C1842"/>
      <c r="D1842"/>
      <c r="E1842"/>
      <c r="F1842"/>
    </row>
    <row r="1843" spans="1:6" ht="15.6" x14ac:dyDescent="0.3">
      <c r="A1843"/>
      <c r="B1843"/>
      <c r="C1843"/>
      <c r="D1843"/>
      <c r="E1843"/>
      <c r="F1843"/>
    </row>
    <row r="1844" spans="1:6" ht="15.6" x14ac:dyDescent="0.3">
      <c r="A1844"/>
      <c r="B1844"/>
      <c r="C1844"/>
      <c r="D1844"/>
      <c r="E1844"/>
      <c r="F1844"/>
    </row>
    <row r="1845" spans="1:6" ht="15.6" x14ac:dyDescent="0.3">
      <c r="A1845"/>
      <c r="B1845"/>
      <c r="C1845"/>
      <c r="D1845"/>
      <c r="E1845"/>
      <c r="F1845"/>
    </row>
    <row r="1846" spans="1:6" ht="15.6" x14ac:dyDescent="0.3">
      <c r="A1846"/>
      <c r="B1846"/>
      <c r="C1846"/>
      <c r="D1846"/>
      <c r="E1846"/>
      <c r="F1846"/>
    </row>
    <row r="1847" spans="1:6" ht="15.6" x14ac:dyDescent="0.3">
      <c r="A1847"/>
      <c r="B1847"/>
      <c r="C1847"/>
      <c r="D1847"/>
      <c r="E1847"/>
      <c r="F1847"/>
    </row>
    <row r="1848" spans="1:6" ht="15.6" x14ac:dyDescent="0.3">
      <c r="A1848"/>
      <c r="B1848"/>
      <c r="C1848"/>
      <c r="D1848"/>
      <c r="E1848"/>
      <c r="F1848"/>
    </row>
    <row r="1849" spans="1:6" ht="15.6" x14ac:dyDescent="0.3">
      <c r="A1849"/>
      <c r="B1849"/>
      <c r="C1849"/>
      <c r="D1849"/>
      <c r="E1849"/>
      <c r="F1849"/>
    </row>
    <row r="1850" spans="1:6" ht="15.6" x14ac:dyDescent="0.3">
      <c r="A1850"/>
      <c r="B1850"/>
      <c r="C1850"/>
      <c r="D1850"/>
      <c r="E1850"/>
      <c r="F1850"/>
    </row>
    <row r="1851" spans="1:6" ht="15.6" x14ac:dyDescent="0.3">
      <c r="A1851"/>
      <c r="B1851"/>
      <c r="C1851"/>
      <c r="D1851"/>
      <c r="E1851"/>
      <c r="F1851"/>
    </row>
    <row r="1852" spans="1:6" ht="15.6" x14ac:dyDescent="0.3">
      <c r="A1852"/>
      <c r="B1852"/>
      <c r="C1852"/>
      <c r="D1852"/>
      <c r="E1852"/>
      <c r="F1852"/>
    </row>
    <row r="1853" spans="1:6" ht="15.6" x14ac:dyDescent="0.3">
      <c r="A1853"/>
      <c r="B1853"/>
      <c r="C1853"/>
      <c r="D1853"/>
      <c r="E1853"/>
      <c r="F1853"/>
    </row>
    <row r="1854" spans="1:6" ht="15.6" x14ac:dyDescent="0.3">
      <c r="A1854"/>
      <c r="B1854"/>
      <c r="C1854"/>
      <c r="D1854"/>
      <c r="E1854"/>
      <c r="F1854"/>
    </row>
    <row r="1855" spans="1:6" ht="15.6" x14ac:dyDescent="0.3">
      <c r="A1855"/>
      <c r="B1855"/>
      <c r="C1855"/>
      <c r="D1855"/>
      <c r="E1855"/>
      <c r="F1855"/>
    </row>
    <row r="1856" spans="1:6" ht="15.6" x14ac:dyDescent="0.3">
      <c r="A1856"/>
      <c r="B1856"/>
      <c r="C1856"/>
      <c r="D1856"/>
      <c r="E1856"/>
      <c r="F1856"/>
    </row>
    <row r="1857" spans="1:6" ht="15.6" x14ac:dyDescent="0.3">
      <c r="A1857"/>
      <c r="B1857"/>
      <c r="C1857"/>
      <c r="D1857"/>
      <c r="E1857"/>
      <c r="F1857"/>
    </row>
    <row r="1858" spans="1:6" ht="15.6" x14ac:dyDescent="0.3">
      <c r="A1858"/>
      <c r="B1858"/>
      <c r="C1858"/>
      <c r="D1858"/>
      <c r="E1858"/>
      <c r="F1858"/>
    </row>
    <row r="1859" spans="1:6" ht="15.6" x14ac:dyDescent="0.3">
      <c r="A1859"/>
      <c r="B1859"/>
      <c r="C1859"/>
      <c r="D1859"/>
      <c r="E1859"/>
      <c r="F1859"/>
    </row>
    <row r="1860" spans="1:6" ht="15.6" x14ac:dyDescent="0.3">
      <c r="A1860"/>
      <c r="B1860"/>
      <c r="C1860"/>
      <c r="D1860"/>
      <c r="E1860"/>
      <c r="F1860"/>
    </row>
    <row r="1861" spans="1:6" ht="15.6" x14ac:dyDescent="0.3">
      <c r="A1861"/>
      <c r="B1861"/>
      <c r="C1861"/>
      <c r="D1861"/>
      <c r="E1861"/>
      <c r="F1861"/>
    </row>
    <row r="1862" spans="1:6" ht="15.6" x14ac:dyDescent="0.3">
      <c r="A1862"/>
      <c r="B1862"/>
      <c r="C1862"/>
      <c r="D1862"/>
      <c r="E1862"/>
      <c r="F1862"/>
    </row>
    <row r="1863" spans="1:6" ht="15.6" x14ac:dyDescent="0.3">
      <c r="A1863"/>
      <c r="B1863"/>
      <c r="C1863"/>
      <c r="D1863"/>
      <c r="E1863"/>
      <c r="F1863"/>
    </row>
    <row r="1864" spans="1:6" ht="15.6" x14ac:dyDescent="0.3">
      <c r="A1864"/>
      <c r="B1864"/>
      <c r="C1864"/>
      <c r="D1864"/>
      <c r="E1864"/>
      <c r="F1864"/>
    </row>
    <row r="1865" spans="1:6" ht="15.6" x14ac:dyDescent="0.3">
      <c r="A1865"/>
      <c r="B1865"/>
      <c r="C1865"/>
      <c r="D1865"/>
      <c r="E1865"/>
      <c r="F1865"/>
    </row>
    <row r="1866" spans="1:6" ht="15.6" x14ac:dyDescent="0.3">
      <c r="A1866"/>
      <c r="B1866"/>
      <c r="C1866"/>
      <c r="D1866"/>
      <c r="E1866"/>
      <c r="F1866"/>
    </row>
    <row r="1867" spans="1:6" ht="15.6" x14ac:dyDescent="0.3">
      <c r="A1867"/>
      <c r="B1867"/>
      <c r="C1867"/>
      <c r="D1867"/>
      <c r="E1867"/>
      <c r="F1867"/>
    </row>
    <row r="1868" spans="1:6" ht="15.6" x14ac:dyDescent="0.3">
      <c r="A1868"/>
      <c r="B1868"/>
      <c r="C1868"/>
      <c r="D1868"/>
      <c r="E1868"/>
      <c r="F1868"/>
    </row>
    <row r="1869" spans="1:6" ht="15.6" x14ac:dyDescent="0.3">
      <c r="A1869"/>
      <c r="B1869"/>
      <c r="C1869"/>
      <c r="D1869"/>
      <c r="E1869"/>
      <c r="F1869"/>
    </row>
    <row r="1870" spans="1:6" ht="15.6" x14ac:dyDescent="0.3">
      <c r="A1870"/>
      <c r="B1870"/>
      <c r="C1870"/>
      <c r="D1870"/>
      <c r="E1870"/>
      <c r="F1870"/>
    </row>
    <row r="1871" spans="1:6" ht="15.6" x14ac:dyDescent="0.3">
      <c r="A1871"/>
      <c r="B1871"/>
      <c r="C1871"/>
      <c r="D1871"/>
      <c r="E1871"/>
      <c r="F1871"/>
    </row>
    <row r="1872" spans="1:6" ht="15.6" x14ac:dyDescent="0.3">
      <c r="A1872"/>
      <c r="B1872"/>
      <c r="C1872"/>
      <c r="D1872"/>
      <c r="E1872"/>
      <c r="F1872"/>
    </row>
    <row r="1873" spans="1:6" ht="15.6" x14ac:dyDescent="0.3">
      <c r="A1873"/>
      <c r="B1873"/>
      <c r="C1873"/>
      <c r="D1873"/>
      <c r="E1873"/>
      <c r="F1873"/>
    </row>
    <row r="1874" spans="1:6" ht="15.6" x14ac:dyDescent="0.3">
      <c r="A1874"/>
      <c r="B1874"/>
      <c r="C1874"/>
      <c r="D1874"/>
      <c r="E1874"/>
      <c r="F1874"/>
    </row>
    <row r="1875" spans="1:6" ht="15.6" x14ac:dyDescent="0.3">
      <c r="A1875"/>
      <c r="B1875"/>
      <c r="C1875"/>
      <c r="D1875"/>
      <c r="E1875"/>
      <c r="F1875"/>
    </row>
    <row r="1876" spans="1:6" ht="15.6" x14ac:dyDescent="0.3">
      <c r="A1876"/>
      <c r="B1876"/>
      <c r="C1876"/>
      <c r="D1876"/>
      <c r="E1876"/>
      <c r="F1876"/>
    </row>
    <row r="1877" spans="1:6" ht="15.6" x14ac:dyDescent="0.3">
      <c r="A1877"/>
      <c r="B1877"/>
      <c r="C1877"/>
      <c r="D1877"/>
      <c r="E1877"/>
      <c r="F1877"/>
    </row>
    <row r="1878" spans="1:6" ht="15.6" x14ac:dyDescent="0.3">
      <c r="A1878"/>
      <c r="B1878"/>
      <c r="C1878"/>
      <c r="D1878"/>
      <c r="E1878"/>
      <c r="F1878"/>
    </row>
    <row r="1879" spans="1:6" ht="15.6" x14ac:dyDescent="0.3">
      <c r="A1879"/>
      <c r="B1879"/>
      <c r="C1879"/>
      <c r="D1879"/>
      <c r="E1879"/>
      <c r="F1879"/>
    </row>
    <row r="1880" spans="1:6" ht="15.6" x14ac:dyDescent="0.3">
      <c r="A1880"/>
      <c r="B1880"/>
      <c r="C1880"/>
      <c r="D1880"/>
      <c r="E1880"/>
      <c r="F1880"/>
    </row>
    <row r="1881" spans="1:6" ht="15.6" x14ac:dyDescent="0.3">
      <c r="A1881"/>
      <c r="B1881"/>
      <c r="C1881"/>
      <c r="D1881"/>
      <c r="E1881"/>
      <c r="F1881"/>
    </row>
    <row r="1882" spans="1:6" ht="15.6" x14ac:dyDescent="0.3">
      <c r="A1882"/>
      <c r="B1882"/>
      <c r="C1882"/>
      <c r="D1882"/>
      <c r="E1882"/>
      <c r="F1882"/>
    </row>
    <row r="1883" spans="1:6" ht="15.6" x14ac:dyDescent="0.3">
      <c r="A1883"/>
      <c r="B1883"/>
      <c r="C1883"/>
      <c r="D1883"/>
      <c r="E1883"/>
      <c r="F1883"/>
    </row>
    <row r="1884" spans="1:6" ht="15.6" x14ac:dyDescent="0.3">
      <c r="A1884"/>
      <c r="B1884"/>
      <c r="C1884"/>
      <c r="D1884"/>
      <c r="E1884"/>
      <c r="F1884"/>
    </row>
    <row r="1885" spans="1:6" ht="15.6" x14ac:dyDescent="0.3">
      <c r="A1885"/>
      <c r="B1885"/>
      <c r="C1885"/>
      <c r="D1885"/>
      <c r="E1885"/>
      <c r="F1885"/>
    </row>
    <row r="1886" spans="1:6" ht="15.6" x14ac:dyDescent="0.3">
      <c r="A1886"/>
      <c r="B1886"/>
      <c r="C1886"/>
      <c r="D1886"/>
      <c r="E1886"/>
      <c r="F1886"/>
    </row>
    <row r="1887" spans="1:6" ht="15.6" x14ac:dyDescent="0.3">
      <c r="A1887"/>
      <c r="B1887"/>
      <c r="C1887"/>
      <c r="D1887"/>
      <c r="E1887"/>
      <c r="F1887"/>
    </row>
    <row r="1888" spans="1:6" ht="15.6" x14ac:dyDescent="0.3">
      <c r="A1888"/>
      <c r="B1888"/>
      <c r="C1888"/>
      <c r="D1888"/>
      <c r="E1888"/>
      <c r="F1888"/>
    </row>
    <row r="1889" spans="1:6" ht="15.6" x14ac:dyDescent="0.3">
      <c r="A1889"/>
      <c r="B1889"/>
      <c r="C1889"/>
      <c r="D1889"/>
      <c r="E1889"/>
      <c r="F1889"/>
    </row>
    <row r="1890" spans="1:6" ht="15.6" x14ac:dyDescent="0.3">
      <c r="A1890"/>
      <c r="B1890"/>
      <c r="C1890"/>
      <c r="D1890"/>
      <c r="E1890"/>
      <c r="F1890"/>
    </row>
    <row r="1891" spans="1:6" ht="15.6" x14ac:dyDescent="0.3">
      <c r="A1891"/>
      <c r="B1891"/>
      <c r="C1891"/>
      <c r="D1891"/>
      <c r="E1891"/>
      <c r="F1891"/>
    </row>
    <row r="1892" spans="1:6" ht="15.6" x14ac:dyDescent="0.3">
      <c r="A1892"/>
      <c r="B1892"/>
      <c r="C1892"/>
      <c r="D1892"/>
      <c r="E1892"/>
      <c r="F1892"/>
    </row>
    <row r="1893" spans="1:6" ht="15.6" x14ac:dyDescent="0.3">
      <c r="A1893"/>
      <c r="B1893"/>
      <c r="C1893"/>
      <c r="D1893"/>
      <c r="E1893"/>
      <c r="F1893"/>
    </row>
    <row r="1894" spans="1:6" ht="15.6" x14ac:dyDescent="0.3">
      <c r="A1894"/>
      <c r="B1894"/>
      <c r="C1894"/>
      <c r="D1894"/>
      <c r="E1894"/>
      <c r="F1894"/>
    </row>
    <row r="1895" spans="1:6" ht="15.6" x14ac:dyDescent="0.3">
      <c r="A1895"/>
      <c r="B1895"/>
      <c r="C1895"/>
      <c r="D1895"/>
      <c r="E1895"/>
      <c r="F1895"/>
    </row>
    <row r="1896" spans="1:6" ht="15.6" x14ac:dyDescent="0.3">
      <c r="A1896"/>
      <c r="B1896"/>
      <c r="C1896"/>
      <c r="D1896"/>
      <c r="E1896"/>
      <c r="F1896"/>
    </row>
    <row r="1897" spans="1:6" ht="15.6" x14ac:dyDescent="0.3">
      <c r="A1897"/>
      <c r="B1897"/>
      <c r="C1897"/>
      <c r="D1897"/>
      <c r="E1897"/>
      <c r="F1897"/>
    </row>
    <row r="1898" spans="1:6" ht="15.6" x14ac:dyDescent="0.3">
      <c r="A1898"/>
      <c r="B1898"/>
      <c r="C1898"/>
      <c r="D1898"/>
      <c r="E1898"/>
      <c r="F1898"/>
    </row>
    <row r="1899" spans="1:6" ht="15.6" x14ac:dyDescent="0.3">
      <c r="A1899"/>
      <c r="B1899"/>
      <c r="C1899"/>
      <c r="D1899"/>
      <c r="E1899"/>
      <c r="F1899"/>
    </row>
    <row r="1900" spans="1:6" ht="15.6" x14ac:dyDescent="0.3">
      <c r="A1900"/>
      <c r="B1900"/>
      <c r="C1900"/>
      <c r="D1900"/>
      <c r="E1900"/>
      <c r="F1900"/>
    </row>
    <row r="1901" spans="1:6" ht="15.6" x14ac:dyDescent="0.3">
      <c r="A1901"/>
      <c r="B1901"/>
      <c r="C1901"/>
      <c r="D1901"/>
      <c r="E1901"/>
      <c r="F1901"/>
    </row>
    <row r="1902" spans="1:6" ht="15.6" x14ac:dyDescent="0.3">
      <c r="A1902"/>
      <c r="B1902"/>
      <c r="C1902"/>
      <c r="D1902"/>
      <c r="E1902"/>
      <c r="F1902"/>
    </row>
    <row r="1903" spans="1:6" ht="15.6" x14ac:dyDescent="0.3">
      <c r="A1903"/>
      <c r="B1903"/>
      <c r="C1903"/>
      <c r="D1903"/>
      <c r="E1903"/>
      <c r="F1903"/>
    </row>
    <row r="1904" spans="1:6" ht="15.6" x14ac:dyDescent="0.3">
      <c r="A1904"/>
      <c r="B1904"/>
      <c r="C1904"/>
      <c r="D1904"/>
      <c r="E1904"/>
      <c r="F1904"/>
    </row>
    <row r="1905" spans="1:6" ht="15.6" x14ac:dyDescent="0.3">
      <c r="A1905"/>
      <c r="B1905"/>
      <c r="C1905"/>
      <c r="D1905"/>
      <c r="E1905"/>
      <c r="F1905"/>
    </row>
    <row r="1906" spans="1:6" ht="15.6" x14ac:dyDescent="0.3">
      <c r="A1906"/>
      <c r="B1906"/>
      <c r="C1906"/>
      <c r="D1906"/>
      <c r="E1906"/>
      <c r="F1906"/>
    </row>
    <row r="1907" spans="1:6" ht="15.6" x14ac:dyDescent="0.3">
      <c r="A1907"/>
      <c r="B1907"/>
      <c r="C1907"/>
      <c r="D1907"/>
      <c r="E1907"/>
      <c r="F1907"/>
    </row>
    <row r="1908" spans="1:6" ht="15.6" x14ac:dyDescent="0.3">
      <c r="A1908"/>
      <c r="B1908"/>
      <c r="C1908"/>
      <c r="D1908"/>
      <c r="E1908"/>
      <c r="F1908"/>
    </row>
    <row r="1909" spans="1:6" ht="15.6" x14ac:dyDescent="0.3">
      <c r="A1909"/>
      <c r="B1909"/>
      <c r="C1909"/>
      <c r="D1909"/>
      <c r="E1909"/>
      <c r="F1909"/>
    </row>
    <row r="1910" spans="1:6" ht="15.6" x14ac:dyDescent="0.3">
      <c r="A1910"/>
      <c r="B1910"/>
      <c r="C1910"/>
      <c r="D1910"/>
      <c r="E1910"/>
      <c r="F1910"/>
    </row>
    <row r="1911" spans="1:6" ht="15.6" x14ac:dyDescent="0.3">
      <c r="A1911"/>
      <c r="B1911"/>
      <c r="C1911"/>
      <c r="D1911"/>
      <c r="E1911"/>
      <c r="F1911"/>
    </row>
    <row r="1912" spans="1:6" ht="15.6" x14ac:dyDescent="0.3">
      <c r="A1912"/>
      <c r="B1912"/>
      <c r="C1912"/>
      <c r="D1912"/>
      <c r="E1912"/>
      <c r="F1912"/>
    </row>
    <row r="1913" spans="1:6" ht="15.6" x14ac:dyDescent="0.3">
      <c r="A1913"/>
      <c r="B1913"/>
      <c r="C1913"/>
      <c r="D1913"/>
      <c r="E1913"/>
      <c r="F1913"/>
    </row>
    <row r="1914" spans="1:6" ht="15.6" x14ac:dyDescent="0.3">
      <c r="A1914"/>
      <c r="B1914"/>
      <c r="C1914"/>
      <c r="D1914"/>
      <c r="E1914"/>
      <c r="F1914"/>
    </row>
    <row r="1915" spans="1:6" ht="15.6" x14ac:dyDescent="0.3">
      <c r="A1915"/>
      <c r="B1915"/>
      <c r="C1915"/>
      <c r="D1915"/>
      <c r="E1915"/>
      <c r="F1915"/>
    </row>
    <row r="1916" spans="1:6" ht="15.6" x14ac:dyDescent="0.3">
      <c r="A1916"/>
      <c r="B1916"/>
      <c r="C1916"/>
      <c r="D1916"/>
      <c r="E1916"/>
      <c r="F1916"/>
    </row>
    <row r="1917" spans="1:6" ht="15.6" x14ac:dyDescent="0.3">
      <c r="A1917"/>
      <c r="B1917"/>
      <c r="C1917"/>
      <c r="D1917"/>
      <c r="E1917"/>
      <c r="F1917"/>
    </row>
    <row r="1918" spans="1:6" ht="15.6" x14ac:dyDescent="0.3">
      <c r="A1918"/>
      <c r="B1918"/>
      <c r="C1918"/>
      <c r="D1918"/>
      <c r="E1918"/>
      <c r="F1918"/>
    </row>
    <row r="1919" spans="1:6" ht="15.6" x14ac:dyDescent="0.3">
      <c r="A1919"/>
      <c r="B1919"/>
      <c r="C1919"/>
      <c r="D1919"/>
      <c r="E1919"/>
      <c r="F1919"/>
    </row>
    <row r="1920" spans="1:6" ht="15.6" x14ac:dyDescent="0.3">
      <c r="A1920"/>
      <c r="B1920"/>
      <c r="C1920"/>
      <c r="D1920"/>
      <c r="E1920"/>
      <c r="F1920"/>
    </row>
    <row r="1921" spans="1:6" ht="15.6" x14ac:dyDescent="0.3">
      <c r="A1921"/>
      <c r="B1921"/>
      <c r="C1921"/>
      <c r="D1921"/>
      <c r="E1921"/>
      <c r="F1921"/>
    </row>
    <row r="1922" spans="1:6" ht="15.6" x14ac:dyDescent="0.3">
      <c r="A1922"/>
      <c r="B1922"/>
      <c r="C1922"/>
      <c r="D1922"/>
      <c r="E1922"/>
      <c r="F1922"/>
    </row>
    <row r="1923" spans="1:6" ht="15.6" x14ac:dyDescent="0.3">
      <c r="A1923"/>
      <c r="B1923"/>
      <c r="C1923"/>
      <c r="D1923"/>
      <c r="E1923"/>
      <c r="F1923"/>
    </row>
    <row r="1924" spans="1:6" ht="15.6" x14ac:dyDescent="0.3">
      <c r="A1924"/>
      <c r="B1924"/>
      <c r="C1924"/>
      <c r="D1924"/>
      <c r="E1924"/>
      <c r="F1924"/>
    </row>
    <row r="1925" spans="1:6" ht="15.6" x14ac:dyDescent="0.3">
      <c r="A1925"/>
      <c r="B1925"/>
      <c r="C1925"/>
      <c r="D1925"/>
      <c r="E1925"/>
      <c r="F1925"/>
    </row>
    <row r="1926" spans="1:6" ht="15.6" x14ac:dyDescent="0.3">
      <c r="A1926"/>
      <c r="B1926"/>
      <c r="C1926"/>
      <c r="D1926"/>
      <c r="E1926"/>
      <c r="F1926"/>
    </row>
    <row r="1927" spans="1:6" ht="15.6" x14ac:dyDescent="0.3">
      <c r="A1927"/>
      <c r="B1927"/>
      <c r="C1927"/>
      <c r="D1927"/>
      <c r="E1927"/>
      <c r="F1927"/>
    </row>
    <row r="1928" spans="1:6" ht="15.6" x14ac:dyDescent="0.3">
      <c r="A1928"/>
      <c r="B1928"/>
      <c r="C1928"/>
      <c r="D1928"/>
      <c r="E1928"/>
      <c r="F1928"/>
    </row>
    <row r="1929" spans="1:6" ht="15.6" x14ac:dyDescent="0.3">
      <c r="A1929"/>
      <c r="B1929"/>
      <c r="C1929"/>
      <c r="D1929"/>
      <c r="E1929"/>
      <c r="F1929"/>
    </row>
    <row r="1930" spans="1:6" ht="15.6" x14ac:dyDescent="0.3">
      <c r="A1930"/>
      <c r="B1930"/>
      <c r="C1930"/>
      <c r="D1930"/>
      <c r="E1930"/>
      <c r="F1930"/>
    </row>
    <row r="1931" spans="1:6" ht="15.6" x14ac:dyDescent="0.3">
      <c r="A1931"/>
      <c r="B1931"/>
      <c r="C1931"/>
      <c r="D1931"/>
      <c r="E1931"/>
      <c r="F1931"/>
    </row>
    <row r="1932" spans="1:6" ht="15.6" x14ac:dyDescent="0.3">
      <c r="A1932"/>
      <c r="B1932"/>
      <c r="C1932"/>
      <c r="D1932"/>
      <c r="E1932"/>
      <c r="F1932"/>
    </row>
    <row r="1933" spans="1:6" ht="15.6" x14ac:dyDescent="0.3">
      <c r="A1933"/>
      <c r="B1933"/>
      <c r="C1933"/>
      <c r="D1933"/>
      <c r="E1933"/>
      <c r="F1933"/>
    </row>
    <row r="1934" spans="1:6" ht="15.6" x14ac:dyDescent="0.3">
      <c r="A1934"/>
      <c r="B1934"/>
      <c r="C1934"/>
      <c r="D1934"/>
      <c r="E1934"/>
      <c r="F1934"/>
    </row>
  </sheetData>
  <autoFilter ref="A1:D970" xr:uid="{1B89FC7D-5589-493C-9BA5-8EF33B01EEFA}"/>
  <mergeCells count="229">
    <mergeCell ref="B1286:B1287"/>
    <mergeCell ref="B1306:B1307"/>
    <mergeCell ref="B1348:B1349"/>
    <mergeCell ref="D2:E2"/>
    <mergeCell ref="F2:G2"/>
    <mergeCell ref="H2:I2"/>
    <mergeCell ref="B1190:B1191"/>
    <mergeCell ref="B1208:B1210"/>
    <mergeCell ref="B1215:B1217"/>
    <mergeCell ref="B1218:B1220"/>
    <mergeCell ref="B1228:B1230"/>
    <mergeCell ref="B1235:B1236"/>
    <mergeCell ref="B1240:B1242"/>
    <mergeCell ref="B1270:B1272"/>
    <mergeCell ref="B1273:B1274"/>
    <mergeCell ref="B1143:B1145"/>
    <mergeCell ref="B1146:B1147"/>
    <mergeCell ref="B1148:B1150"/>
    <mergeCell ref="B1167:B1168"/>
    <mergeCell ref="B1169:B1171"/>
    <mergeCell ref="B1172:B1173"/>
    <mergeCell ref="B1174:B1176"/>
    <mergeCell ref="B1177:B1179"/>
    <mergeCell ref="B1180:B1181"/>
    <mergeCell ref="B861:B863"/>
    <mergeCell ref="B903:B905"/>
    <mergeCell ref="B910:B912"/>
    <mergeCell ref="B923:B925"/>
    <mergeCell ref="B937:B938"/>
    <mergeCell ref="B939:B940"/>
    <mergeCell ref="B941:B942"/>
    <mergeCell ref="B968:B969"/>
    <mergeCell ref="B978:B980"/>
    <mergeCell ref="B509:B511"/>
    <mergeCell ref="B523:B525"/>
    <mergeCell ref="B527:B528"/>
    <mergeCell ref="B532:B534"/>
    <mergeCell ref="B551:B552"/>
    <mergeCell ref="B605:B607"/>
    <mergeCell ref="B610:B612"/>
    <mergeCell ref="B658:B660"/>
    <mergeCell ref="B661:B663"/>
    <mergeCell ref="B419:B420"/>
    <mergeCell ref="B424:B426"/>
    <mergeCell ref="B428:B429"/>
    <mergeCell ref="B433:B435"/>
    <mergeCell ref="B442:B443"/>
    <mergeCell ref="B444:B445"/>
    <mergeCell ref="B489:B490"/>
    <mergeCell ref="B498:B500"/>
    <mergeCell ref="B501:B503"/>
    <mergeCell ref="A1306:A1307"/>
    <mergeCell ref="A1348:A1349"/>
    <mergeCell ref="B62:B64"/>
    <mergeCell ref="B137:B139"/>
    <mergeCell ref="B140:B142"/>
    <mergeCell ref="B144:B146"/>
    <mergeCell ref="B162:B163"/>
    <mergeCell ref="B166:B168"/>
    <mergeCell ref="B169:B171"/>
    <mergeCell ref="B172:B174"/>
    <mergeCell ref="B175:B177"/>
    <mergeCell ref="B180:B182"/>
    <mergeCell ref="B189:B191"/>
    <mergeCell ref="B224:B225"/>
    <mergeCell ref="B244:B247"/>
    <mergeCell ref="B258:B260"/>
    <mergeCell ref="B307:B309"/>
    <mergeCell ref="B325:B327"/>
    <mergeCell ref="B329:B331"/>
    <mergeCell ref="B334:B336"/>
    <mergeCell ref="B342:B344"/>
    <mergeCell ref="B351:B353"/>
    <mergeCell ref="B373:B375"/>
    <mergeCell ref="B376:B378"/>
    <mergeCell ref="A1169:A1171"/>
    <mergeCell ref="A1172:A1173"/>
    <mergeCell ref="A1174:A1176"/>
    <mergeCell ref="A1177:A1179"/>
    <mergeCell ref="A1180:A1181"/>
    <mergeCell ref="A1190:A1191"/>
    <mergeCell ref="A1208:A1210"/>
    <mergeCell ref="A1215:A1217"/>
    <mergeCell ref="A1218:A1220"/>
    <mergeCell ref="A1033:A1034"/>
    <mergeCell ref="A1039:A1041"/>
    <mergeCell ref="A1042:A1044"/>
    <mergeCell ref="A1064:A1065"/>
    <mergeCell ref="A1066:A1068"/>
    <mergeCell ref="A1073:A1075"/>
    <mergeCell ref="A1078:A1080"/>
    <mergeCell ref="A1082:A1084"/>
    <mergeCell ref="A1086:A1088"/>
    <mergeCell ref="A939:A940"/>
    <mergeCell ref="A941:A942"/>
    <mergeCell ref="A968:A969"/>
    <mergeCell ref="A978:A980"/>
    <mergeCell ref="A987:A989"/>
    <mergeCell ref="A998:A999"/>
    <mergeCell ref="A1005:A1006"/>
    <mergeCell ref="A1022:A1024"/>
    <mergeCell ref="A1025:A1026"/>
    <mergeCell ref="A713:A717"/>
    <mergeCell ref="A718:A721"/>
    <mergeCell ref="A723:A725"/>
    <mergeCell ref="A726:A727"/>
    <mergeCell ref="A741:A743"/>
    <mergeCell ref="A759:A761"/>
    <mergeCell ref="A769:A771"/>
    <mergeCell ref="A777:A778"/>
    <mergeCell ref="A844:A846"/>
    <mergeCell ref="A551:A552"/>
    <mergeCell ref="A605:A607"/>
    <mergeCell ref="A610:A612"/>
    <mergeCell ref="A658:A660"/>
    <mergeCell ref="A661:A663"/>
    <mergeCell ref="A690:A692"/>
    <mergeCell ref="A693:A695"/>
    <mergeCell ref="A702:A704"/>
    <mergeCell ref="A705:A707"/>
    <mergeCell ref="A442:A443"/>
    <mergeCell ref="A444:A445"/>
    <mergeCell ref="A489:A490"/>
    <mergeCell ref="A498:A500"/>
    <mergeCell ref="A501:A503"/>
    <mergeCell ref="A509:A511"/>
    <mergeCell ref="A523:A525"/>
    <mergeCell ref="A527:A528"/>
    <mergeCell ref="A532:A534"/>
    <mergeCell ref="A180:A182"/>
    <mergeCell ref="A189:A191"/>
    <mergeCell ref="A224:A225"/>
    <mergeCell ref="A244:A247"/>
    <mergeCell ref="A258:A260"/>
    <mergeCell ref="A307:A309"/>
    <mergeCell ref="A325:A327"/>
    <mergeCell ref="A329:A331"/>
    <mergeCell ref="A334:A336"/>
    <mergeCell ref="A62:A64"/>
    <mergeCell ref="A137:A139"/>
    <mergeCell ref="A140:A142"/>
    <mergeCell ref="A144:A146"/>
    <mergeCell ref="A162:A163"/>
    <mergeCell ref="A166:A168"/>
    <mergeCell ref="A169:A171"/>
    <mergeCell ref="A172:A174"/>
    <mergeCell ref="A175:A177"/>
    <mergeCell ref="B1064:B1065"/>
    <mergeCell ref="B1066:B1068"/>
    <mergeCell ref="B1073:B1075"/>
    <mergeCell ref="B1078:B1080"/>
    <mergeCell ref="B1082:B1084"/>
    <mergeCell ref="B1086:B1088"/>
    <mergeCell ref="B1104:B1106"/>
    <mergeCell ref="B1126:B1128"/>
    <mergeCell ref="B1129:B1130"/>
    <mergeCell ref="B1134:B1136"/>
    <mergeCell ref="B1137:B1139"/>
    <mergeCell ref="B1140:B1142"/>
    <mergeCell ref="B987:B989"/>
    <mergeCell ref="B998:B999"/>
    <mergeCell ref="B1005:B1006"/>
    <mergeCell ref="B1022:B1024"/>
    <mergeCell ref="B1025:B1026"/>
    <mergeCell ref="B1033:B1034"/>
    <mergeCell ref="B1039:B1041"/>
    <mergeCell ref="B1042:B1044"/>
    <mergeCell ref="B718:B721"/>
    <mergeCell ref="B723:B725"/>
    <mergeCell ref="B726:B727"/>
    <mergeCell ref="B741:B743"/>
    <mergeCell ref="B759:B761"/>
    <mergeCell ref="B769:B771"/>
    <mergeCell ref="B777:B778"/>
    <mergeCell ref="B844:B846"/>
    <mergeCell ref="B847:B848"/>
    <mergeCell ref="B690:B692"/>
    <mergeCell ref="B693:B695"/>
    <mergeCell ref="B702:B704"/>
    <mergeCell ref="B705:B707"/>
    <mergeCell ref="B713:B717"/>
    <mergeCell ref="B379:B383"/>
    <mergeCell ref="B387:B389"/>
    <mergeCell ref="B390:B392"/>
    <mergeCell ref="B395:B397"/>
    <mergeCell ref="B400:B402"/>
    <mergeCell ref="B405:B407"/>
    <mergeCell ref="B408:B410"/>
    <mergeCell ref="B411:B413"/>
    <mergeCell ref="B415:B417"/>
    <mergeCell ref="A1228:A1230"/>
    <mergeCell ref="A1235:A1236"/>
    <mergeCell ref="A1240:A1242"/>
    <mergeCell ref="A1270:A1272"/>
    <mergeCell ref="A1273:A1274"/>
    <mergeCell ref="A1286:A1287"/>
    <mergeCell ref="A1126:A1128"/>
    <mergeCell ref="A1129:A1130"/>
    <mergeCell ref="A1134:A1136"/>
    <mergeCell ref="A1137:A1139"/>
    <mergeCell ref="A1140:A1142"/>
    <mergeCell ref="A1143:A1145"/>
    <mergeCell ref="A1146:A1147"/>
    <mergeCell ref="A1148:A1150"/>
    <mergeCell ref="A1167:A1168"/>
    <mergeCell ref="A1104:A1106"/>
    <mergeCell ref="A847:A848"/>
    <mergeCell ref="A861:A863"/>
    <mergeCell ref="A903:A905"/>
    <mergeCell ref="A910:A912"/>
    <mergeCell ref="A923:A925"/>
    <mergeCell ref="A937:A938"/>
    <mergeCell ref="A342:A344"/>
    <mergeCell ref="A351:A353"/>
    <mergeCell ref="A373:A375"/>
    <mergeCell ref="A376:A378"/>
    <mergeCell ref="A379:A383"/>
    <mergeCell ref="A387:A389"/>
    <mergeCell ref="A390:A392"/>
    <mergeCell ref="A395:A397"/>
    <mergeCell ref="A400:A402"/>
    <mergeCell ref="A405:A407"/>
    <mergeCell ref="A408:A410"/>
    <mergeCell ref="A411:A413"/>
    <mergeCell ref="A415:A417"/>
    <mergeCell ref="A419:A420"/>
    <mergeCell ref="A424:A426"/>
    <mergeCell ref="A428:A429"/>
    <mergeCell ref="A433:A4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97A0-CF57-48FC-9239-84F5C5CF4ABA}">
  <sheetPr>
    <tabColor theme="9" tint="-0.249977111117893"/>
  </sheetPr>
  <dimension ref="A1:B1227"/>
  <sheetViews>
    <sheetView workbookViewId="0">
      <selection activeCell="C23" sqref="C23"/>
    </sheetView>
  </sheetViews>
  <sheetFormatPr defaultRowHeight="15" x14ac:dyDescent="0.25"/>
  <cols>
    <col min="1" max="1" width="105.109375" style="3" bestFit="1" customWidth="1"/>
    <col min="2" max="2" width="10.88671875" style="3" bestFit="1" customWidth="1"/>
    <col min="3" max="3" width="15.5546875" style="3" bestFit="1" customWidth="1"/>
    <col min="4" max="4" width="7.33203125" style="3" bestFit="1" customWidth="1"/>
    <col min="5" max="16384" width="8.88671875" style="3"/>
  </cols>
  <sheetData>
    <row r="1" spans="1:2" ht="15.6" x14ac:dyDescent="0.25">
      <c r="A1" s="35" t="s">
        <v>1899</v>
      </c>
      <c r="B1" s="36" t="s">
        <v>1900</v>
      </c>
    </row>
    <row r="2" spans="1:2" customFormat="1" ht="14.4" x14ac:dyDescent="0.3">
      <c r="A2" s="1" t="s">
        <v>216</v>
      </c>
      <c r="B2" s="51">
        <v>0</v>
      </c>
    </row>
    <row r="3" spans="1:2" customFormat="1" ht="14.4" x14ac:dyDescent="0.3">
      <c r="A3" s="1" t="s">
        <v>195</v>
      </c>
      <c r="B3" s="51">
        <v>0</v>
      </c>
    </row>
    <row r="4" spans="1:2" customFormat="1" ht="14.4" x14ac:dyDescent="0.3">
      <c r="A4" s="1" t="s">
        <v>193</v>
      </c>
      <c r="B4" s="51">
        <v>0</v>
      </c>
    </row>
    <row r="5" spans="1:2" customFormat="1" ht="14.4" x14ac:dyDescent="0.3">
      <c r="A5" s="1" t="s">
        <v>194</v>
      </c>
      <c r="B5" s="51">
        <v>0</v>
      </c>
    </row>
    <row r="6" spans="1:2" customFormat="1" ht="14.4" x14ac:dyDescent="0.3">
      <c r="A6" s="1" t="s">
        <v>196</v>
      </c>
      <c r="B6" s="51">
        <v>0</v>
      </c>
    </row>
    <row r="7" spans="1:2" customFormat="1" ht="14.4" x14ac:dyDescent="0.3">
      <c r="A7" s="1" t="s">
        <v>197</v>
      </c>
      <c r="B7" s="51">
        <v>0</v>
      </c>
    </row>
    <row r="8" spans="1:2" customFormat="1" ht="14.4" x14ac:dyDescent="0.3">
      <c r="A8" s="1" t="s">
        <v>202</v>
      </c>
      <c r="B8" s="51">
        <v>0</v>
      </c>
    </row>
    <row r="9" spans="1:2" customFormat="1" ht="14.4" x14ac:dyDescent="0.3">
      <c r="A9" s="1" t="s">
        <v>200</v>
      </c>
      <c r="B9" s="51">
        <v>0</v>
      </c>
    </row>
    <row r="10" spans="1:2" customFormat="1" ht="14.4" x14ac:dyDescent="0.3">
      <c r="A10" s="1" t="s">
        <v>201</v>
      </c>
      <c r="B10" s="51">
        <v>0</v>
      </c>
    </row>
    <row r="11" spans="1:2" customFormat="1" ht="14.4" x14ac:dyDescent="0.3">
      <c r="A11" s="1" t="s">
        <v>198</v>
      </c>
      <c r="B11" s="51">
        <v>0</v>
      </c>
    </row>
    <row r="12" spans="1:2" customFormat="1" ht="14.4" x14ac:dyDescent="0.3">
      <c r="A12" s="1" t="s">
        <v>199</v>
      </c>
      <c r="B12" s="51">
        <v>0</v>
      </c>
    </row>
    <row r="13" spans="1:2" customFormat="1" ht="14.4" x14ac:dyDescent="0.3">
      <c r="A13" s="1" t="s">
        <v>144</v>
      </c>
      <c r="B13" s="51">
        <v>0</v>
      </c>
    </row>
    <row r="14" spans="1:2" customFormat="1" ht="14.4" x14ac:dyDescent="0.3">
      <c r="A14" s="1" t="s">
        <v>143</v>
      </c>
      <c r="B14" s="51">
        <v>0</v>
      </c>
    </row>
    <row r="15" spans="1:2" customFormat="1" ht="14.4" x14ac:dyDescent="0.3">
      <c r="A15" s="1" t="s">
        <v>142</v>
      </c>
      <c r="B15" s="51">
        <v>0</v>
      </c>
    </row>
    <row r="16" spans="1:2" customFormat="1" ht="14.4" x14ac:dyDescent="0.3">
      <c r="A16" s="1" t="s">
        <v>141</v>
      </c>
      <c r="B16" s="51">
        <v>0</v>
      </c>
    </row>
    <row r="17" spans="1:2" customFormat="1" ht="14.4" x14ac:dyDescent="0.3">
      <c r="A17" s="1" t="s">
        <v>140</v>
      </c>
      <c r="B17" s="51">
        <v>0</v>
      </c>
    </row>
    <row r="18" spans="1:2" customFormat="1" ht="14.4" x14ac:dyDescent="0.3">
      <c r="A18" s="1" t="s">
        <v>139</v>
      </c>
      <c r="B18" s="51">
        <v>0</v>
      </c>
    </row>
    <row r="19" spans="1:2" customFormat="1" ht="14.4" x14ac:dyDescent="0.3">
      <c r="A19" s="1" t="s">
        <v>498</v>
      </c>
      <c r="B19" s="51">
        <v>0</v>
      </c>
    </row>
    <row r="20" spans="1:2" customFormat="1" ht="14.4" x14ac:dyDescent="0.3">
      <c r="A20" s="1" t="s">
        <v>530</v>
      </c>
      <c r="B20" s="51">
        <v>0</v>
      </c>
    </row>
    <row r="21" spans="1:2" customFormat="1" ht="14.4" x14ac:dyDescent="0.3">
      <c r="A21" s="1" t="s">
        <v>641</v>
      </c>
      <c r="B21" s="51">
        <v>0</v>
      </c>
    </row>
    <row r="22" spans="1:2" customFormat="1" ht="14.4" x14ac:dyDescent="0.3">
      <c r="A22" s="1" t="s">
        <v>510</v>
      </c>
      <c r="B22" s="51">
        <v>0</v>
      </c>
    </row>
    <row r="23" spans="1:2" customFormat="1" ht="14.4" x14ac:dyDescent="0.3">
      <c r="A23" s="1" t="s">
        <v>643</v>
      </c>
      <c r="B23" s="51">
        <v>0</v>
      </c>
    </row>
    <row r="24" spans="1:2" customFormat="1" ht="14.4" x14ac:dyDescent="0.3">
      <c r="A24" s="1" t="s">
        <v>509</v>
      </c>
      <c r="B24" s="51">
        <v>0</v>
      </c>
    </row>
    <row r="25" spans="1:2" customFormat="1" ht="14.4" x14ac:dyDescent="0.3">
      <c r="A25" s="1" t="s">
        <v>511</v>
      </c>
      <c r="B25" s="51">
        <v>0</v>
      </c>
    </row>
    <row r="26" spans="1:2" customFormat="1" ht="14.4" x14ac:dyDescent="0.3">
      <c r="A26" s="1" t="s">
        <v>508</v>
      </c>
      <c r="B26" s="51">
        <v>0</v>
      </c>
    </row>
    <row r="27" spans="1:2" customFormat="1" ht="14.4" x14ac:dyDescent="0.3">
      <c r="A27" s="1" t="s">
        <v>644</v>
      </c>
      <c r="B27" s="51">
        <v>0</v>
      </c>
    </row>
    <row r="28" spans="1:2" customFormat="1" ht="14.4" x14ac:dyDescent="0.3">
      <c r="A28" s="1" t="s">
        <v>645</v>
      </c>
      <c r="B28" s="51">
        <v>0</v>
      </c>
    </row>
    <row r="29" spans="1:2" customFormat="1" ht="14.4" x14ac:dyDescent="0.3">
      <c r="A29" s="1" t="s">
        <v>524</v>
      </c>
      <c r="B29" s="51">
        <v>0</v>
      </c>
    </row>
    <row r="30" spans="1:2" customFormat="1" ht="14.4" x14ac:dyDescent="0.3">
      <c r="A30" s="1" t="s">
        <v>729</v>
      </c>
      <c r="B30" s="51">
        <v>0</v>
      </c>
    </row>
    <row r="31" spans="1:2" customFormat="1" ht="14.4" x14ac:dyDescent="0.3">
      <c r="A31" s="1" t="s">
        <v>327</v>
      </c>
      <c r="B31" s="51">
        <v>0</v>
      </c>
    </row>
    <row r="32" spans="1:2" customFormat="1" ht="14.4" x14ac:dyDescent="0.3">
      <c r="A32" s="1" t="s">
        <v>323</v>
      </c>
      <c r="B32" s="51">
        <v>0</v>
      </c>
    </row>
    <row r="33" spans="1:2" customFormat="1" ht="14.4" x14ac:dyDescent="0.3">
      <c r="A33" s="1" t="s">
        <v>326</v>
      </c>
      <c r="B33" s="51">
        <v>0</v>
      </c>
    </row>
    <row r="34" spans="1:2" customFormat="1" ht="14.4" x14ac:dyDescent="0.3">
      <c r="A34" s="1" t="s">
        <v>324</v>
      </c>
      <c r="B34" s="51">
        <v>0</v>
      </c>
    </row>
    <row r="35" spans="1:2" customFormat="1" ht="14.4" x14ac:dyDescent="0.3">
      <c r="A35" s="1" t="s">
        <v>325</v>
      </c>
      <c r="B35" s="51">
        <v>0</v>
      </c>
    </row>
    <row r="36" spans="1:2" customFormat="1" ht="14.4" x14ac:dyDescent="0.3">
      <c r="A36" s="1" t="s">
        <v>123</v>
      </c>
      <c r="B36" s="51">
        <v>0</v>
      </c>
    </row>
    <row r="37" spans="1:2" customFormat="1" ht="14.4" x14ac:dyDescent="0.3">
      <c r="A37" s="1" t="s">
        <v>536</v>
      </c>
      <c r="B37" s="51">
        <v>0</v>
      </c>
    </row>
    <row r="38" spans="1:2" customFormat="1" ht="14.4" x14ac:dyDescent="0.3">
      <c r="A38" s="1" t="s">
        <v>539</v>
      </c>
      <c r="B38" s="51">
        <v>0</v>
      </c>
    </row>
    <row r="39" spans="1:2" customFormat="1" ht="14.4" x14ac:dyDescent="0.3">
      <c r="A39" s="1" t="s">
        <v>538</v>
      </c>
      <c r="B39" s="51">
        <v>0</v>
      </c>
    </row>
    <row r="40" spans="1:2" customFormat="1" ht="14.4" x14ac:dyDescent="0.3">
      <c r="A40" s="1" t="s">
        <v>723</v>
      </c>
      <c r="B40" s="51">
        <v>0</v>
      </c>
    </row>
    <row r="41" spans="1:2" customFormat="1" ht="14.4" x14ac:dyDescent="0.3">
      <c r="A41" s="1" t="s">
        <v>730</v>
      </c>
      <c r="B41" s="51">
        <v>0</v>
      </c>
    </row>
    <row r="42" spans="1:2" customFormat="1" ht="14.4" x14ac:dyDescent="0.3">
      <c r="A42" s="1" t="s">
        <v>731</v>
      </c>
      <c r="B42" s="51">
        <v>0</v>
      </c>
    </row>
    <row r="43" spans="1:2" customFormat="1" ht="14.4" x14ac:dyDescent="0.3">
      <c r="A43" s="1" t="s">
        <v>764</v>
      </c>
      <c r="B43" s="51">
        <v>0</v>
      </c>
    </row>
    <row r="44" spans="1:2" customFormat="1" ht="14.4" x14ac:dyDescent="0.3">
      <c r="A44" s="1" t="s">
        <v>765</v>
      </c>
      <c r="B44" s="51">
        <v>0</v>
      </c>
    </row>
    <row r="45" spans="1:2" customFormat="1" ht="14.4" x14ac:dyDescent="0.3">
      <c r="A45" s="1" t="s">
        <v>763</v>
      </c>
      <c r="B45" s="51">
        <v>0</v>
      </c>
    </row>
    <row r="46" spans="1:2" customFormat="1" ht="14.4" x14ac:dyDescent="0.3">
      <c r="A46" s="1" t="s">
        <v>550</v>
      </c>
      <c r="B46" s="51">
        <v>0</v>
      </c>
    </row>
    <row r="47" spans="1:2" customFormat="1" ht="14.4" x14ac:dyDescent="0.3">
      <c r="A47" s="1" t="s">
        <v>551</v>
      </c>
      <c r="B47" s="51">
        <v>0</v>
      </c>
    </row>
    <row r="48" spans="1:2" customFormat="1" ht="14.4" x14ac:dyDescent="0.3">
      <c r="A48" s="1" t="s">
        <v>546</v>
      </c>
      <c r="B48" s="51">
        <v>0</v>
      </c>
    </row>
    <row r="49" spans="1:2" customFormat="1" ht="14.4" x14ac:dyDescent="0.3">
      <c r="A49" s="1" t="s">
        <v>545</v>
      </c>
      <c r="B49" s="51">
        <v>0</v>
      </c>
    </row>
    <row r="50" spans="1:2" customFormat="1" ht="14.4" x14ac:dyDescent="0.3">
      <c r="A50" s="1" t="s">
        <v>544</v>
      </c>
      <c r="B50" s="51">
        <v>0</v>
      </c>
    </row>
    <row r="51" spans="1:2" customFormat="1" ht="14.4" x14ac:dyDescent="0.3">
      <c r="A51" s="1" t="s">
        <v>549</v>
      </c>
      <c r="B51" s="51">
        <v>0</v>
      </c>
    </row>
    <row r="52" spans="1:2" customFormat="1" ht="14.4" x14ac:dyDescent="0.3">
      <c r="A52" s="1" t="s">
        <v>547</v>
      </c>
      <c r="B52" s="51">
        <v>0</v>
      </c>
    </row>
    <row r="53" spans="1:2" customFormat="1" ht="14.4" x14ac:dyDescent="0.3">
      <c r="A53" s="1" t="s">
        <v>548</v>
      </c>
      <c r="B53" s="51">
        <v>0</v>
      </c>
    </row>
    <row r="54" spans="1:2" customFormat="1" ht="14.4" x14ac:dyDescent="0.3">
      <c r="A54" s="1" t="s">
        <v>461</v>
      </c>
      <c r="B54" s="51">
        <v>0</v>
      </c>
    </row>
    <row r="55" spans="1:2" customFormat="1" ht="14.4" x14ac:dyDescent="0.3">
      <c r="A55" s="1" t="s">
        <v>459</v>
      </c>
      <c r="B55" s="51">
        <v>0</v>
      </c>
    </row>
    <row r="56" spans="1:2" customFormat="1" ht="14.4" x14ac:dyDescent="0.3">
      <c r="A56" s="1" t="s">
        <v>460</v>
      </c>
      <c r="B56" s="51">
        <v>0</v>
      </c>
    </row>
    <row r="57" spans="1:2" customFormat="1" ht="14.4" x14ac:dyDescent="0.3">
      <c r="A57" s="1" t="s">
        <v>462</v>
      </c>
      <c r="B57" s="51">
        <v>0</v>
      </c>
    </row>
    <row r="58" spans="1:2" customFormat="1" ht="14.4" x14ac:dyDescent="0.3">
      <c r="A58" s="1" t="s">
        <v>464</v>
      </c>
      <c r="B58" s="51">
        <v>0</v>
      </c>
    </row>
    <row r="59" spans="1:2" customFormat="1" ht="14.4" x14ac:dyDescent="0.3">
      <c r="A59" s="1" t="s">
        <v>463</v>
      </c>
      <c r="B59" s="51">
        <v>0</v>
      </c>
    </row>
    <row r="60" spans="1:2" customFormat="1" ht="14.4" x14ac:dyDescent="0.3">
      <c r="A60" s="1" t="s">
        <v>425</v>
      </c>
      <c r="B60" s="51">
        <v>0</v>
      </c>
    </row>
    <row r="61" spans="1:2" customFormat="1" ht="14.4" x14ac:dyDescent="0.3">
      <c r="A61" s="1" t="s">
        <v>708</v>
      </c>
      <c r="B61" s="51">
        <v>0</v>
      </c>
    </row>
    <row r="62" spans="1:2" customFormat="1" ht="14.4" x14ac:dyDescent="0.3">
      <c r="A62" s="1" t="s">
        <v>703</v>
      </c>
      <c r="B62" s="51">
        <v>0</v>
      </c>
    </row>
    <row r="63" spans="1:2" customFormat="1" ht="14.4" x14ac:dyDescent="0.3">
      <c r="A63" s="1" t="s">
        <v>707</v>
      </c>
      <c r="B63" s="51">
        <v>0</v>
      </c>
    </row>
    <row r="64" spans="1:2" customFormat="1" ht="14.4" x14ac:dyDescent="0.3">
      <c r="A64" s="1" t="s">
        <v>702</v>
      </c>
      <c r="B64" s="51">
        <v>0</v>
      </c>
    </row>
    <row r="65" spans="1:2" customFormat="1" ht="14.4" x14ac:dyDescent="0.3">
      <c r="A65" s="1" t="s">
        <v>706</v>
      </c>
      <c r="B65" s="51">
        <v>0</v>
      </c>
    </row>
    <row r="66" spans="1:2" customFormat="1" ht="14.4" x14ac:dyDescent="0.3">
      <c r="A66" s="1" t="s">
        <v>704</v>
      </c>
      <c r="B66" s="51">
        <v>0</v>
      </c>
    </row>
    <row r="67" spans="1:2" customFormat="1" ht="14.4" x14ac:dyDescent="0.3">
      <c r="A67" s="1" t="s">
        <v>705</v>
      </c>
      <c r="B67" s="51">
        <v>0</v>
      </c>
    </row>
    <row r="68" spans="1:2" customFormat="1" ht="14.4" x14ac:dyDescent="0.3">
      <c r="A68" s="1" t="s">
        <v>394</v>
      </c>
      <c r="B68" s="51">
        <v>0</v>
      </c>
    </row>
    <row r="69" spans="1:2" customFormat="1" ht="14.4" x14ac:dyDescent="0.3">
      <c r="A69" s="1" t="s">
        <v>576</v>
      </c>
      <c r="B69" s="51">
        <v>0</v>
      </c>
    </row>
    <row r="70" spans="1:2" customFormat="1" ht="14.4" x14ac:dyDescent="0.3">
      <c r="A70" s="1" t="s">
        <v>299</v>
      </c>
      <c r="B70" s="51">
        <v>0</v>
      </c>
    </row>
    <row r="71" spans="1:2" customFormat="1" ht="14.4" x14ac:dyDescent="0.3">
      <c r="A71" s="1" t="s">
        <v>571</v>
      </c>
      <c r="B71" s="51">
        <v>0</v>
      </c>
    </row>
    <row r="72" spans="1:2" customFormat="1" ht="14.4" x14ac:dyDescent="0.3">
      <c r="A72" s="1" t="s">
        <v>561</v>
      </c>
      <c r="B72" s="51">
        <v>0</v>
      </c>
    </row>
    <row r="73" spans="1:2" customFormat="1" ht="14.4" x14ac:dyDescent="0.3">
      <c r="A73" s="1" t="s">
        <v>554</v>
      </c>
      <c r="B73" s="51">
        <v>0</v>
      </c>
    </row>
    <row r="74" spans="1:2" customFormat="1" ht="14.4" x14ac:dyDescent="0.3">
      <c r="A74" s="1" t="s">
        <v>843</v>
      </c>
      <c r="B74" s="51">
        <v>0</v>
      </c>
    </row>
    <row r="75" spans="1:2" customFormat="1" ht="14.4" x14ac:dyDescent="0.3">
      <c r="A75" s="1" t="s">
        <v>847</v>
      </c>
      <c r="B75" s="51">
        <v>0</v>
      </c>
    </row>
    <row r="76" spans="1:2" customFormat="1" ht="14.4" x14ac:dyDescent="0.3">
      <c r="A76" s="1" t="s">
        <v>809</v>
      </c>
      <c r="B76" s="51">
        <v>0</v>
      </c>
    </row>
    <row r="77" spans="1:2" customFormat="1" ht="14.4" x14ac:dyDescent="0.3">
      <c r="A77" s="1" t="s">
        <v>553</v>
      </c>
      <c r="B77" s="51">
        <v>0</v>
      </c>
    </row>
    <row r="78" spans="1:2" customFormat="1" ht="14.4" x14ac:dyDescent="0.3">
      <c r="A78" s="1" t="s">
        <v>542</v>
      </c>
      <c r="B78" s="51">
        <v>0</v>
      </c>
    </row>
    <row r="79" spans="1:2" customFormat="1" ht="14.4" x14ac:dyDescent="0.3">
      <c r="A79" s="1" t="s">
        <v>543</v>
      </c>
      <c r="B79" s="51">
        <v>0</v>
      </c>
    </row>
    <row r="80" spans="1:2" customFormat="1" ht="14.4" x14ac:dyDescent="0.3">
      <c r="A80" s="1" t="s">
        <v>541</v>
      </c>
      <c r="B80" s="51">
        <v>0</v>
      </c>
    </row>
    <row r="81" spans="1:2" customFormat="1" ht="14.4" x14ac:dyDescent="0.3">
      <c r="A81" s="1" t="s">
        <v>540</v>
      </c>
      <c r="B81" s="51">
        <v>0</v>
      </c>
    </row>
    <row r="82" spans="1:2" customFormat="1" ht="14.4" x14ac:dyDescent="0.3">
      <c r="A82" s="1" t="s">
        <v>520</v>
      </c>
      <c r="B82" s="51">
        <v>0</v>
      </c>
    </row>
    <row r="83" spans="1:2" customFormat="1" ht="14.4" x14ac:dyDescent="0.3">
      <c r="A83" s="1" t="s">
        <v>280</v>
      </c>
      <c r="B83" s="51">
        <v>0</v>
      </c>
    </row>
    <row r="84" spans="1:2" customFormat="1" ht="14.4" x14ac:dyDescent="0.3">
      <c r="A84" s="1" t="s">
        <v>595</v>
      </c>
      <c r="B84" s="51">
        <v>0</v>
      </c>
    </row>
    <row r="85" spans="1:2" customFormat="1" ht="14.4" x14ac:dyDescent="0.3">
      <c r="A85" s="1" t="s">
        <v>594</v>
      </c>
      <c r="B85" s="51">
        <v>0</v>
      </c>
    </row>
    <row r="86" spans="1:2" customFormat="1" ht="14.4" x14ac:dyDescent="0.3">
      <c r="A86" s="1" t="s">
        <v>567</v>
      </c>
      <c r="B86" s="51">
        <v>0</v>
      </c>
    </row>
    <row r="87" spans="1:2" customFormat="1" ht="14.4" x14ac:dyDescent="0.3">
      <c r="A87" s="1" t="s">
        <v>736</v>
      </c>
      <c r="B87" s="51">
        <v>0</v>
      </c>
    </row>
    <row r="88" spans="1:2" customFormat="1" ht="14.4" x14ac:dyDescent="0.3">
      <c r="A88" s="1" t="s">
        <v>353</v>
      </c>
      <c r="B88" s="51">
        <v>0</v>
      </c>
    </row>
    <row r="89" spans="1:2" customFormat="1" ht="14.4" x14ac:dyDescent="0.3">
      <c r="A89" s="1" t="s">
        <v>734</v>
      </c>
      <c r="B89" s="51">
        <v>0</v>
      </c>
    </row>
    <row r="90" spans="1:2" customFormat="1" ht="14.4" x14ac:dyDescent="0.3">
      <c r="A90" s="1" t="s">
        <v>98</v>
      </c>
      <c r="B90" s="51">
        <v>0</v>
      </c>
    </row>
    <row r="91" spans="1:2" customFormat="1" ht="14.4" x14ac:dyDescent="0.3">
      <c r="A91" s="1" t="s">
        <v>428</v>
      </c>
      <c r="B91" s="51">
        <v>0</v>
      </c>
    </row>
    <row r="92" spans="1:2" customFormat="1" ht="14.4" x14ac:dyDescent="0.3">
      <c r="A92" s="1" t="s">
        <v>791</v>
      </c>
      <c r="B92" s="51">
        <v>0</v>
      </c>
    </row>
    <row r="93" spans="1:2" customFormat="1" ht="14.4" x14ac:dyDescent="0.3">
      <c r="A93" s="1" t="s">
        <v>761</v>
      </c>
      <c r="B93" s="51">
        <v>0</v>
      </c>
    </row>
    <row r="94" spans="1:2" customFormat="1" ht="14.4" x14ac:dyDescent="0.3">
      <c r="A94" s="1" t="s">
        <v>759</v>
      </c>
      <c r="B94" s="51">
        <v>0</v>
      </c>
    </row>
    <row r="95" spans="1:2" customFormat="1" ht="14.4" x14ac:dyDescent="0.3">
      <c r="A95" s="1" t="s">
        <v>760</v>
      </c>
      <c r="B95" s="51">
        <v>0</v>
      </c>
    </row>
    <row r="96" spans="1:2" customFormat="1" ht="14.4" x14ac:dyDescent="0.3">
      <c r="A96" s="1" t="s">
        <v>797</v>
      </c>
      <c r="B96" s="51">
        <v>0</v>
      </c>
    </row>
    <row r="97" spans="1:2" customFormat="1" ht="14.4" x14ac:dyDescent="0.3">
      <c r="A97" s="1" t="s">
        <v>762</v>
      </c>
      <c r="B97" s="51">
        <v>0</v>
      </c>
    </row>
    <row r="98" spans="1:2" customFormat="1" ht="14.4" x14ac:dyDescent="0.3">
      <c r="A98" s="1" t="s">
        <v>355</v>
      </c>
      <c r="B98" s="51">
        <v>0</v>
      </c>
    </row>
    <row r="99" spans="1:2" customFormat="1" ht="14.4" x14ac:dyDescent="0.3">
      <c r="A99" s="1" t="s">
        <v>348</v>
      </c>
      <c r="B99" s="51">
        <v>0</v>
      </c>
    </row>
    <row r="100" spans="1:2" customFormat="1" ht="14.4" x14ac:dyDescent="0.3">
      <c r="A100" s="1" t="s">
        <v>330</v>
      </c>
      <c r="B100" s="51">
        <v>0</v>
      </c>
    </row>
    <row r="101" spans="1:2" customFormat="1" ht="14.4" x14ac:dyDescent="0.3">
      <c r="A101" s="1" t="s">
        <v>798</v>
      </c>
      <c r="B101" s="51">
        <v>0</v>
      </c>
    </row>
    <row r="102" spans="1:2" customFormat="1" ht="14.4" x14ac:dyDescent="0.3">
      <c r="A102" s="1" t="s">
        <v>790</v>
      </c>
      <c r="B102" s="51">
        <v>0</v>
      </c>
    </row>
    <row r="103" spans="1:2" customFormat="1" ht="14.4" x14ac:dyDescent="0.3">
      <c r="A103" s="1" t="s">
        <v>735</v>
      </c>
      <c r="B103" s="51">
        <v>0</v>
      </c>
    </row>
    <row r="104" spans="1:2" customFormat="1" ht="14.4" x14ac:dyDescent="0.3">
      <c r="A104" s="1" t="s">
        <v>795</v>
      </c>
      <c r="B104" s="51">
        <v>0</v>
      </c>
    </row>
    <row r="105" spans="1:2" customFormat="1" ht="14.4" x14ac:dyDescent="0.3">
      <c r="A105" s="1" t="s">
        <v>794</v>
      </c>
      <c r="B105" s="51">
        <v>0</v>
      </c>
    </row>
    <row r="106" spans="1:2" customFormat="1" ht="14.4" x14ac:dyDescent="0.3">
      <c r="A106" s="1" t="s">
        <v>793</v>
      </c>
      <c r="B106" s="51">
        <v>0</v>
      </c>
    </row>
    <row r="107" spans="1:2" customFormat="1" ht="14.4" x14ac:dyDescent="0.3">
      <c r="A107" s="1" t="s">
        <v>433</v>
      </c>
      <c r="B107" s="51">
        <v>0</v>
      </c>
    </row>
    <row r="108" spans="1:2" customFormat="1" ht="14.4" x14ac:dyDescent="0.3">
      <c r="A108" s="1" t="s">
        <v>361</v>
      </c>
      <c r="B108" s="51">
        <v>0</v>
      </c>
    </row>
    <row r="109" spans="1:2" customFormat="1" ht="14.4" x14ac:dyDescent="0.3">
      <c r="A109" s="1" t="s">
        <v>584</v>
      </c>
      <c r="B109" s="51">
        <v>0</v>
      </c>
    </row>
    <row r="110" spans="1:2" customFormat="1" ht="14.4" x14ac:dyDescent="0.3">
      <c r="A110" s="1" t="s">
        <v>586</v>
      </c>
      <c r="B110" s="51">
        <v>0</v>
      </c>
    </row>
    <row r="111" spans="1:2" customFormat="1" ht="14.4" x14ac:dyDescent="0.3">
      <c r="A111" s="1" t="s">
        <v>582</v>
      </c>
      <c r="B111" s="51">
        <v>0</v>
      </c>
    </row>
    <row r="112" spans="1:2" customFormat="1" ht="14.4" x14ac:dyDescent="0.3">
      <c r="A112" s="1" t="s">
        <v>587</v>
      </c>
      <c r="B112" s="51">
        <v>0</v>
      </c>
    </row>
    <row r="113" spans="1:2" customFormat="1" ht="14.4" x14ac:dyDescent="0.3">
      <c r="A113" s="1" t="s">
        <v>713</v>
      </c>
      <c r="B113" s="51">
        <v>0</v>
      </c>
    </row>
    <row r="114" spans="1:2" customFormat="1" ht="14.4" x14ac:dyDescent="0.3">
      <c r="A114" s="1" t="s">
        <v>583</v>
      </c>
      <c r="B114" s="51">
        <v>0</v>
      </c>
    </row>
    <row r="115" spans="1:2" customFormat="1" ht="14.4" x14ac:dyDescent="0.3">
      <c r="A115" s="1" t="s">
        <v>597</v>
      </c>
      <c r="B115" s="51">
        <v>0</v>
      </c>
    </row>
    <row r="116" spans="1:2" customFormat="1" ht="14.4" x14ac:dyDescent="0.3">
      <c r="A116" s="1" t="s">
        <v>585</v>
      </c>
      <c r="B116" s="51">
        <v>0</v>
      </c>
    </row>
    <row r="117" spans="1:2" customFormat="1" ht="14.4" x14ac:dyDescent="0.3">
      <c r="A117" s="1" t="s">
        <v>608</v>
      </c>
      <c r="B117" s="51">
        <v>0</v>
      </c>
    </row>
    <row r="118" spans="1:2" customFormat="1" ht="14.4" x14ac:dyDescent="0.3">
      <c r="A118" s="1" t="s">
        <v>756</v>
      </c>
      <c r="B118" s="51">
        <v>0</v>
      </c>
    </row>
    <row r="119" spans="1:2" customFormat="1" ht="14.4" x14ac:dyDescent="0.3">
      <c r="A119" s="1" t="s">
        <v>612</v>
      </c>
      <c r="B119" s="51">
        <v>0</v>
      </c>
    </row>
    <row r="120" spans="1:2" customFormat="1" ht="14.4" x14ac:dyDescent="0.3">
      <c r="A120" s="1" t="s">
        <v>613</v>
      </c>
      <c r="B120" s="51">
        <v>0</v>
      </c>
    </row>
    <row r="121" spans="1:2" customFormat="1" ht="14.4" x14ac:dyDescent="0.3">
      <c r="A121" s="1" t="s">
        <v>609</v>
      </c>
      <c r="B121" s="51">
        <v>0</v>
      </c>
    </row>
    <row r="122" spans="1:2" customFormat="1" ht="14.4" x14ac:dyDescent="0.3">
      <c r="A122" s="1" t="s">
        <v>607</v>
      </c>
      <c r="B122" s="51">
        <v>0</v>
      </c>
    </row>
    <row r="123" spans="1:2" customFormat="1" ht="14.4" x14ac:dyDescent="0.3">
      <c r="A123" s="1" t="s">
        <v>606</v>
      </c>
      <c r="B123" s="51">
        <v>0</v>
      </c>
    </row>
    <row r="124" spans="1:2" customFormat="1" ht="14.4" x14ac:dyDescent="0.3">
      <c r="A124" s="1" t="s">
        <v>604</v>
      </c>
      <c r="B124" s="51">
        <v>0</v>
      </c>
    </row>
    <row r="125" spans="1:2" customFormat="1" ht="14.4" x14ac:dyDescent="0.3">
      <c r="A125" s="1" t="s">
        <v>605</v>
      </c>
      <c r="B125" s="51">
        <v>0</v>
      </c>
    </row>
    <row r="126" spans="1:2" customFormat="1" ht="14.4" x14ac:dyDescent="0.3">
      <c r="A126" s="1" t="s">
        <v>611</v>
      </c>
      <c r="B126" s="51">
        <v>0</v>
      </c>
    </row>
    <row r="127" spans="1:2" customFormat="1" ht="14.4" x14ac:dyDescent="0.3">
      <c r="A127" s="1" t="s">
        <v>610</v>
      </c>
      <c r="B127" s="51">
        <v>0</v>
      </c>
    </row>
    <row r="128" spans="1:2" customFormat="1" ht="14.4" x14ac:dyDescent="0.3">
      <c r="A128" s="1" t="s">
        <v>435</v>
      </c>
      <c r="B128" s="51">
        <v>0</v>
      </c>
    </row>
    <row r="129" spans="1:2" customFormat="1" ht="14.4" x14ac:dyDescent="0.3">
      <c r="A129" s="1" t="s">
        <v>438</v>
      </c>
      <c r="B129" s="51">
        <v>0</v>
      </c>
    </row>
    <row r="130" spans="1:2" customFormat="1" ht="14.4" x14ac:dyDescent="0.3">
      <c r="A130" s="1" t="s">
        <v>721</v>
      </c>
      <c r="B130" s="51">
        <v>0</v>
      </c>
    </row>
    <row r="131" spans="1:2" customFormat="1" ht="14.4" x14ac:dyDescent="0.3">
      <c r="A131" s="1" t="s">
        <v>135</v>
      </c>
      <c r="B131" s="51">
        <v>0</v>
      </c>
    </row>
    <row r="132" spans="1:2" customFormat="1" ht="14.4" x14ac:dyDescent="0.3">
      <c r="A132" s="1" t="s">
        <v>136</v>
      </c>
      <c r="B132" s="51">
        <v>0</v>
      </c>
    </row>
    <row r="133" spans="1:2" customFormat="1" ht="14.4" x14ac:dyDescent="0.3">
      <c r="A133" s="1" t="s">
        <v>134</v>
      </c>
      <c r="B133" s="51">
        <v>0</v>
      </c>
    </row>
    <row r="134" spans="1:2" customFormat="1" ht="14.4" x14ac:dyDescent="0.3">
      <c r="A134" s="1" t="s">
        <v>191</v>
      </c>
      <c r="B134" s="51">
        <v>0</v>
      </c>
    </row>
    <row r="135" spans="1:2" customFormat="1" ht="14.4" x14ac:dyDescent="0.3">
      <c r="A135" s="1" t="s">
        <v>616</v>
      </c>
      <c r="B135" s="51">
        <v>0</v>
      </c>
    </row>
    <row r="136" spans="1:2" customFormat="1" ht="14.4" x14ac:dyDescent="0.3">
      <c r="A136" s="1" t="s">
        <v>211</v>
      </c>
      <c r="B136" s="51">
        <v>0</v>
      </c>
    </row>
    <row r="137" spans="1:2" customFormat="1" ht="14.4" x14ac:dyDescent="0.3">
      <c r="A137" s="1" t="s">
        <v>745</v>
      </c>
      <c r="B137" s="51">
        <v>0</v>
      </c>
    </row>
    <row r="138" spans="1:2" customFormat="1" ht="14.4" x14ac:dyDescent="0.3">
      <c r="A138" s="1" t="s">
        <v>209</v>
      </c>
      <c r="B138" s="51">
        <v>0</v>
      </c>
    </row>
    <row r="139" spans="1:2" customFormat="1" ht="14.4" x14ac:dyDescent="0.3">
      <c r="A139" s="1" t="s">
        <v>208</v>
      </c>
      <c r="B139" s="51">
        <v>0</v>
      </c>
    </row>
    <row r="140" spans="1:2" customFormat="1" ht="14.4" x14ac:dyDescent="0.3">
      <c r="A140" s="1" t="s">
        <v>207</v>
      </c>
      <c r="B140" s="51">
        <v>0</v>
      </c>
    </row>
    <row r="141" spans="1:2" customFormat="1" ht="14.4" x14ac:dyDescent="0.3">
      <c r="A141" s="1" t="s">
        <v>212</v>
      </c>
      <c r="B141" s="51">
        <v>0</v>
      </c>
    </row>
    <row r="142" spans="1:2" customFormat="1" ht="14.4" x14ac:dyDescent="0.3">
      <c r="A142" s="1" t="s">
        <v>210</v>
      </c>
      <c r="B142" s="51">
        <v>0</v>
      </c>
    </row>
    <row r="143" spans="1:2" customFormat="1" ht="14.4" x14ac:dyDescent="0.3">
      <c r="A143" s="1" t="s">
        <v>150</v>
      </c>
      <c r="B143" s="51">
        <v>0</v>
      </c>
    </row>
    <row r="144" spans="1:2" customFormat="1" ht="14.4" x14ac:dyDescent="0.3">
      <c r="A144" s="1" t="s">
        <v>151</v>
      </c>
      <c r="B144" s="51">
        <v>0</v>
      </c>
    </row>
    <row r="145" spans="1:2" customFormat="1" ht="14.4" x14ac:dyDescent="0.3">
      <c r="A145" s="1" t="s">
        <v>681</v>
      </c>
      <c r="B145" s="51">
        <v>0</v>
      </c>
    </row>
    <row r="146" spans="1:2" customFormat="1" ht="14.4" x14ac:dyDescent="0.3">
      <c r="A146" s="1" t="s">
        <v>109</v>
      </c>
      <c r="B146" s="51">
        <v>0</v>
      </c>
    </row>
    <row r="147" spans="1:2" customFormat="1" ht="14.4" x14ac:dyDescent="0.3">
      <c r="A147" s="1" t="s">
        <v>850</v>
      </c>
      <c r="B147" s="51">
        <v>0</v>
      </c>
    </row>
    <row r="148" spans="1:2" customFormat="1" ht="14.4" x14ac:dyDescent="0.3">
      <c r="A148" s="1" t="s">
        <v>266</v>
      </c>
      <c r="B148" s="51">
        <v>0</v>
      </c>
    </row>
    <row r="149" spans="1:2" customFormat="1" ht="14.4" x14ac:dyDescent="0.3">
      <c r="A149" s="1" t="s">
        <v>440</v>
      </c>
      <c r="B149" s="51">
        <v>0</v>
      </c>
    </row>
    <row r="150" spans="1:2" customFormat="1" ht="14.4" x14ac:dyDescent="0.3">
      <c r="A150" s="1" t="s">
        <v>281</v>
      </c>
      <c r="B150" s="51">
        <v>0</v>
      </c>
    </row>
    <row r="151" spans="1:2" customFormat="1" ht="14.4" x14ac:dyDescent="0.3">
      <c r="A151" s="1" t="s">
        <v>285</v>
      </c>
      <c r="B151" s="51">
        <v>0</v>
      </c>
    </row>
    <row r="152" spans="1:2" customFormat="1" ht="14.4" x14ac:dyDescent="0.3">
      <c r="A152" s="1" t="s">
        <v>283</v>
      </c>
      <c r="B152" s="51">
        <v>0</v>
      </c>
    </row>
    <row r="153" spans="1:2" customFormat="1" ht="14.4" x14ac:dyDescent="0.3">
      <c r="A153" s="1" t="s">
        <v>282</v>
      </c>
      <c r="B153" s="51">
        <v>0</v>
      </c>
    </row>
    <row r="154" spans="1:2" customFormat="1" ht="14.4" x14ac:dyDescent="0.3">
      <c r="A154" s="1" t="s">
        <v>284</v>
      </c>
      <c r="B154" s="51">
        <v>0</v>
      </c>
    </row>
    <row r="155" spans="1:2" customFormat="1" ht="14.4" x14ac:dyDescent="0.3">
      <c r="A155" s="1" t="s">
        <v>624</v>
      </c>
      <c r="B155" s="51">
        <v>0</v>
      </c>
    </row>
    <row r="156" spans="1:2" customFormat="1" ht="14.4" x14ac:dyDescent="0.3">
      <c r="A156" s="1" t="s">
        <v>352</v>
      </c>
      <c r="B156" s="51">
        <v>0</v>
      </c>
    </row>
    <row r="157" spans="1:2" customFormat="1" ht="14.4" x14ac:dyDescent="0.3">
      <c r="A157" s="1" t="s">
        <v>493</v>
      </c>
      <c r="B157" s="51">
        <v>0</v>
      </c>
    </row>
    <row r="158" spans="1:2" customFormat="1" ht="14.4" x14ac:dyDescent="0.3">
      <c r="A158" s="1" t="s">
        <v>664</v>
      </c>
      <c r="B158" s="51">
        <v>0</v>
      </c>
    </row>
    <row r="159" spans="1:2" customFormat="1" ht="14.4" x14ac:dyDescent="0.3">
      <c r="A159" s="1" t="s">
        <v>533</v>
      </c>
      <c r="B159" s="51">
        <v>0</v>
      </c>
    </row>
    <row r="160" spans="1:2" customFormat="1" ht="14.4" x14ac:dyDescent="0.3">
      <c r="A160" s="1" t="s">
        <v>640</v>
      </c>
      <c r="B160" s="51">
        <v>0</v>
      </c>
    </row>
    <row r="161" spans="1:2" customFormat="1" ht="14.4" x14ac:dyDescent="0.3">
      <c r="A161" s="1" t="s">
        <v>638</v>
      </c>
      <c r="B161" s="51">
        <v>0</v>
      </c>
    </row>
    <row r="162" spans="1:2" customFormat="1" ht="14.4" x14ac:dyDescent="0.3">
      <c r="A162" s="1" t="s">
        <v>663</v>
      </c>
      <c r="B162" s="51">
        <v>0</v>
      </c>
    </row>
    <row r="163" spans="1:2" customFormat="1" ht="14.4" x14ac:dyDescent="0.3">
      <c r="A163" s="1" t="s">
        <v>513</v>
      </c>
      <c r="B163" s="51">
        <v>0</v>
      </c>
    </row>
    <row r="164" spans="1:2" customFormat="1" ht="14.4" x14ac:dyDescent="0.3">
      <c r="A164" s="1" t="s">
        <v>497</v>
      </c>
      <c r="B164" s="51">
        <v>0</v>
      </c>
    </row>
    <row r="165" spans="1:2" customFormat="1" ht="14.4" x14ac:dyDescent="0.3">
      <c r="A165" s="1" t="s">
        <v>639</v>
      </c>
      <c r="B165" s="51">
        <v>0</v>
      </c>
    </row>
    <row r="166" spans="1:2" customFormat="1" ht="14.4" x14ac:dyDescent="0.3">
      <c r="A166" s="1" t="s">
        <v>227</v>
      </c>
      <c r="B166" s="51">
        <v>0</v>
      </c>
    </row>
    <row r="167" spans="1:2" customFormat="1" ht="14.4" x14ac:dyDescent="0.3">
      <c r="A167" s="1" t="s">
        <v>806</v>
      </c>
      <c r="B167" s="51">
        <v>0</v>
      </c>
    </row>
    <row r="168" spans="1:2" customFormat="1" ht="14.4" x14ac:dyDescent="0.3">
      <c r="A168" s="1" t="s">
        <v>666</v>
      </c>
      <c r="B168" s="51">
        <v>0</v>
      </c>
    </row>
    <row r="169" spans="1:2" customFormat="1" ht="14.4" x14ac:dyDescent="0.3">
      <c r="A169" s="1" t="s">
        <v>669</v>
      </c>
      <c r="B169" s="51">
        <v>0</v>
      </c>
    </row>
    <row r="170" spans="1:2" customFormat="1" ht="14.4" x14ac:dyDescent="0.3">
      <c r="A170" s="1" t="s">
        <v>228</v>
      </c>
      <c r="B170" s="51">
        <v>0</v>
      </c>
    </row>
    <row r="171" spans="1:2" customFormat="1" ht="14.4" x14ac:dyDescent="0.3">
      <c r="A171" s="1" t="s">
        <v>229</v>
      </c>
      <c r="B171" s="51">
        <v>0</v>
      </c>
    </row>
    <row r="172" spans="1:2" customFormat="1" ht="14.4" x14ac:dyDescent="0.3">
      <c r="A172" s="1" t="s">
        <v>528</v>
      </c>
      <c r="B172" s="51">
        <v>0</v>
      </c>
    </row>
    <row r="173" spans="1:2" customFormat="1" ht="14.4" x14ac:dyDescent="0.3">
      <c r="A173" s="1" t="s">
        <v>527</v>
      </c>
      <c r="B173" s="51">
        <v>0</v>
      </c>
    </row>
    <row r="174" spans="1:2" customFormat="1" ht="14.4" x14ac:dyDescent="0.3">
      <c r="A174" s="1" t="s">
        <v>378</v>
      </c>
      <c r="B174" s="51">
        <v>0</v>
      </c>
    </row>
    <row r="175" spans="1:2" customFormat="1" ht="14.4" x14ac:dyDescent="0.3">
      <c r="A175" s="1" t="s">
        <v>370</v>
      </c>
      <c r="B175" s="51">
        <v>0</v>
      </c>
    </row>
    <row r="176" spans="1:2" customFormat="1" ht="14.4" x14ac:dyDescent="0.3">
      <c r="A176" s="1" t="s">
        <v>661</v>
      </c>
      <c r="B176" s="51">
        <v>0</v>
      </c>
    </row>
    <row r="177" spans="1:2" customFormat="1" ht="14.4" x14ac:dyDescent="0.3">
      <c r="A177" s="1" t="s">
        <v>512</v>
      </c>
      <c r="B177" s="51">
        <v>0</v>
      </c>
    </row>
    <row r="178" spans="1:2" customFormat="1" ht="14.4" x14ac:dyDescent="0.3">
      <c r="A178" s="1" t="s">
        <v>665</v>
      </c>
      <c r="B178" s="51">
        <v>0</v>
      </c>
    </row>
    <row r="179" spans="1:2" customFormat="1" ht="14.4" x14ac:dyDescent="0.3">
      <c r="A179" s="1" t="s">
        <v>514</v>
      </c>
      <c r="B179" s="51">
        <v>0</v>
      </c>
    </row>
    <row r="180" spans="1:2" customFormat="1" ht="14.4" x14ac:dyDescent="0.3">
      <c r="A180" s="1" t="s">
        <v>382</v>
      </c>
      <c r="B180" s="51">
        <v>0</v>
      </c>
    </row>
    <row r="181" spans="1:2" customFormat="1" ht="14.4" x14ac:dyDescent="0.3">
      <c r="A181" s="1" t="s">
        <v>505</v>
      </c>
      <c r="B181" s="51">
        <v>0</v>
      </c>
    </row>
    <row r="182" spans="1:2" customFormat="1" ht="14.4" x14ac:dyDescent="0.3">
      <c r="A182" s="1" t="s">
        <v>380</v>
      </c>
      <c r="B182" s="51">
        <v>0</v>
      </c>
    </row>
    <row r="183" spans="1:2" customFormat="1" ht="14.4" x14ac:dyDescent="0.3">
      <c r="A183" s="1" t="s">
        <v>515</v>
      </c>
      <c r="B183" s="51">
        <v>0</v>
      </c>
    </row>
    <row r="184" spans="1:2" customFormat="1" ht="14.4" x14ac:dyDescent="0.3">
      <c r="A184" s="1" t="s">
        <v>230</v>
      </c>
      <c r="B184" s="51">
        <v>0</v>
      </c>
    </row>
    <row r="185" spans="1:2" customFormat="1" ht="14.4" x14ac:dyDescent="0.3">
      <c r="A185" s="1" t="s">
        <v>526</v>
      </c>
      <c r="B185" s="51">
        <v>0</v>
      </c>
    </row>
    <row r="186" spans="1:2" customFormat="1" ht="14.4" x14ac:dyDescent="0.3">
      <c r="A186" s="1" t="s">
        <v>673</v>
      </c>
      <c r="B186" s="51">
        <v>0</v>
      </c>
    </row>
    <row r="187" spans="1:2" customFormat="1" ht="14.4" x14ac:dyDescent="0.3">
      <c r="A187" s="1" t="s">
        <v>652</v>
      </c>
      <c r="B187" s="51">
        <v>0</v>
      </c>
    </row>
    <row r="188" spans="1:2" customFormat="1" ht="14.4" x14ac:dyDescent="0.3">
      <c r="A188" s="1" t="s">
        <v>651</v>
      </c>
      <c r="B188" s="51">
        <v>0</v>
      </c>
    </row>
    <row r="189" spans="1:2" customFormat="1" ht="14.4" x14ac:dyDescent="0.3">
      <c r="A189" s="1" t="s">
        <v>521</v>
      </c>
      <c r="B189" s="51">
        <v>0</v>
      </c>
    </row>
    <row r="190" spans="1:2" customFormat="1" ht="14.4" x14ac:dyDescent="0.3">
      <c r="A190" s="1" t="s">
        <v>376</v>
      </c>
      <c r="B190" s="51">
        <v>0</v>
      </c>
    </row>
    <row r="191" spans="1:2" customFormat="1" ht="14.4" x14ac:dyDescent="0.3">
      <c r="A191" s="1" t="s">
        <v>662</v>
      </c>
      <c r="B191" s="51">
        <v>0</v>
      </c>
    </row>
    <row r="192" spans="1:2" customFormat="1" ht="14.4" x14ac:dyDescent="0.3">
      <c r="A192" s="1" t="s">
        <v>672</v>
      </c>
      <c r="B192" s="51">
        <v>0</v>
      </c>
    </row>
    <row r="193" spans="1:2" customFormat="1" ht="14.4" x14ac:dyDescent="0.3">
      <c r="A193" s="1" t="s">
        <v>646</v>
      </c>
      <c r="B193" s="51">
        <v>0</v>
      </c>
    </row>
    <row r="194" spans="1:2" customFormat="1" ht="14.4" x14ac:dyDescent="0.3">
      <c r="A194" s="1" t="s">
        <v>670</v>
      </c>
      <c r="B194" s="51">
        <v>0</v>
      </c>
    </row>
    <row r="195" spans="1:2" customFormat="1" ht="14.4" x14ac:dyDescent="0.3">
      <c r="A195" s="1" t="s">
        <v>220</v>
      </c>
      <c r="B195" s="51">
        <v>0</v>
      </c>
    </row>
    <row r="196" spans="1:2" customFormat="1" ht="14.4" x14ac:dyDescent="0.3">
      <c r="A196" s="1" t="s">
        <v>96</v>
      </c>
      <c r="B196" s="51">
        <v>0</v>
      </c>
    </row>
    <row r="197" spans="1:2" customFormat="1" ht="14.4" x14ac:dyDescent="0.3">
      <c r="A197" s="1" t="s">
        <v>100</v>
      </c>
      <c r="B197" s="51">
        <v>0</v>
      </c>
    </row>
    <row r="198" spans="1:2" customFormat="1" ht="14.4" x14ac:dyDescent="0.3">
      <c r="A198" s="1" t="s">
        <v>95</v>
      </c>
      <c r="B198" s="51">
        <v>0</v>
      </c>
    </row>
    <row r="199" spans="1:2" customFormat="1" ht="14.4" x14ac:dyDescent="0.3">
      <c r="A199" s="1" t="s">
        <v>789</v>
      </c>
      <c r="B199" s="51">
        <v>0</v>
      </c>
    </row>
    <row r="200" spans="1:2" customFormat="1" ht="14.4" x14ac:dyDescent="0.3">
      <c r="A200" s="1" t="s">
        <v>769</v>
      </c>
      <c r="B200" s="51">
        <v>0</v>
      </c>
    </row>
    <row r="201" spans="1:2" customFormat="1" ht="14.4" x14ac:dyDescent="0.3">
      <c r="A201" s="1" t="s">
        <v>775</v>
      </c>
      <c r="B201" s="51">
        <v>0</v>
      </c>
    </row>
    <row r="202" spans="1:2" customFormat="1" ht="14.4" x14ac:dyDescent="0.3">
      <c r="A202" s="1" t="s">
        <v>2159</v>
      </c>
      <c r="B202" s="51">
        <v>0</v>
      </c>
    </row>
    <row r="203" spans="1:2" customFormat="1" ht="14.4" x14ac:dyDescent="0.3">
      <c r="A203" s="1" t="s">
        <v>192</v>
      </c>
      <c r="B203" s="51">
        <v>0</v>
      </c>
    </row>
    <row r="204" spans="1:2" customFormat="1" ht="14.4" x14ac:dyDescent="0.3">
      <c r="A204" s="1" t="s">
        <v>830</v>
      </c>
      <c r="B204" s="51">
        <v>0</v>
      </c>
    </row>
    <row r="205" spans="1:2" customFormat="1" ht="14.4" x14ac:dyDescent="0.3">
      <c r="A205" s="1" t="s">
        <v>454</v>
      </c>
      <c r="B205" s="51">
        <v>0</v>
      </c>
    </row>
    <row r="206" spans="1:2" customFormat="1" ht="14.4" x14ac:dyDescent="0.3">
      <c r="A206" s="1" t="s">
        <v>822</v>
      </c>
      <c r="B206" s="51">
        <v>0</v>
      </c>
    </row>
    <row r="207" spans="1:2" customFormat="1" ht="14.4" x14ac:dyDescent="0.3">
      <c r="A207" s="1" t="s">
        <v>442</v>
      </c>
      <c r="B207" s="51">
        <v>0</v>
      </c>
    </row>
    <row r="208" spans="1:2" customFormat="1" ht="14.4" x14ac:dyDescent="0.3">
      <c r="A208" s="1" t="s">
        <v>467</v>
      </c>
      <c r="B208" s="51">
        <v>0</v>
      </c>
    </row>
    <row r="209" spans="1:2" customFormat="1" ht="14.4" x14ac:dyDescent="0.3">
      <c r="A209" s="1" t="s">
        <v>477</v>
      </c>
      <c r="B209" s="51">
        <v>0</v>
      </c>
    </row>
    <row r="210" spans="1:2" customFormat="1" ht="14.4" x14ac:dyDescent="0.3">
      <c r="A210" s="1" t="s">
        <v>473</v>
      </c>
      <c r="B210" s="51">
        <v>0</v>
      </c>
    </row>
    <row r="211" spans="1:2" customFormat="1" ht="14.4" x14ac:dyDescent="0.3">
      <c r="A211" s="1" t="s">
        <v>474</v>
      </c>
      <c r="B211" s="51">
        <v>0</v>
      </c>
    </row>
    <row r="212" spans="1:2" customFormat="1" ht="14.4" x14ac:dyDescent="0.3">
      <c r="A212" s="1" t="s">
        <v>448</v>
      </c>
      <c r="B212" s="51">
        <v>0</v>
      </c>
    </row>
    <row r="213" spans="1:2" customFormat="1" ht="14.4" x14ac:dyDescent="0.3">
      <c r="A213" s="1" t="s">
        <v>478</v>
      </c>
      <c r="B213" s="51">
        <v>0</v>
      </c>
    </row>
    <row r="214" spans="1:2" customFormat="1" ht="14.4" x14ac:dyDescent="0.3">
      <c r="A214" s="1" t="s">
        <v>443</v>
      </c>
      <c r="B214" s="51">
        <v>0</v>
      </c>
    </row>
    <row r="215" spans="1:2" customFormat="1" ht="14.4" x14ac:dyDescent="0.3">
      <c r="A215" s="1" t="s">
        <v>476</v>
      </c>
      <c r="B215" s="51">
        <v>0</v>
      </c>
    </row>
    <row r="216" spans="1:2" customFormat="1" ht="14.4" x14ac:dyDescent="0.3">
      <c r="A216" s="1" t="s">
        <v>452</v>
      </c>
      <c r="B216" s="51">
        <v>0</v>
      </c>
    </row>
    <row r="217" spans="1:2" customFormat="1" ht="14.4" x14ac:dyDescent="0.3">
      <c r="A217" s="1" t="s">
        <v>471</v>
      </c>
      <c r="B217" s="51">
        <v>0</v>
      </c>
    </row>
    <row r="218" spans="1:2" customFormat="1" ht="14.4" x14ac:dyDescent="0.3">
      <c r="A218" s="1" t="s">
        <v>470</v>
      </c>
      <c r="B218" s="51">
        <v>0</v>
      </c>
    </row>
    <row r="219" spans="1:2" customFormat="1" ht="14.4" x14ac:dyDescent="0.3">
      <c r="A219" s="1" t="s">
        <v>475</v>
      </c>
      <c r="B219" s="51">
        <v>0</v>
      </c>
    </row>
    <row r="220" spans="1:2" customFormat="1" ht="14.4" x14ac:dyDescent="0.3">
      <c r="A220" s="1" t="s">
        <v>479</v>
      </c>
      <c r="B220" s="51">
        <v>0</v>
      </c>
    </row>
    <row r="221" spans="1:2" customFormat="1" ht="14.4" x14ac:dyDescent="0.3">
      <c r="A221" s="1" t="s">
        <v>451</v>
      </c>
      <c r="B221" s="51">
        <v>0</v>
      </c>
    </row>
    <row r="222" spans="1:2" customFormat="1" ht="14.4" x14ac:dyDescent="0.3">
      <c r="A222" s="1" t="s">
        <v>816</v>
      </c>
      <c r="B222" s="51">
        <v>0</v>
      </c>
    </row>
    <row r="223" spans="1:2" customFormat="1" ht="14.4" x14ac:dyDescent="0.3">
      <c r="A223" s="1" t="s">
        <v>815</v>
      </c>
      <c r="B223" s="51">
        <v>0</v>
      </c>
    </row>
    <row r="224" spans="1:2" customFormat="1" ht="14.4" x14ac:dyDescent="0.3">
      <c r="A224" s="1" t="s">
        <v>468</v>
      </c>
      <c r="B224" s="51">
        <v>0</v>
      </c>
    </row>
    <row r="225" spans="1:2" customFormat="1" ht="14.4" x14ac:dyDescent="0.3">
      <c r="A225" s="1" t="s">
        <v>469</v>
      </c>
      <c r="B225" s="51">
        <v>0</v>
      </c>
    </row>
    <row r="226" spans="1:2" customFormat="1" ht="14.4" x14ac:dyDescent="0.3">
      <c r="A226" s="1" t="s">
        <v>341</v>
      </c>
      <c r="B226" s="51">
        <v>0</v>
      </c>
    </row>
    <row r="227" spans="1:2" customFormat="1" ht="14.4" x14ac:dyDescent="0.3">
      <c r="A227" s="1" t="s">
        <v>389</v>
      </c>
      <c r="B227" s="51">
        <v>0</v>
      </c>
    </row>
    <row r="228" spans="1:2" customFormat="1" ht="14.4" x14ac:dyDescent="0.3">
      <c r="A228" s="1" t="s">
        <v>455</v>
      </c>
      <c r="B228" s="51">
        <v>0</v>
      </c>
    </row>
    <row r="229" spans="1:2" customFormat="1" ht="14.4" x14ac:dyDescent="0.3">
      <c r="A229" s="1" t="s">
        <v>390</v>
      </c>
      <c r="B229" s="51">
        <v>0</v>
      </c>
    </row>
    <row r="230" spans="1:2" customFormat="1" ht="14.4" x14ac:dyDescent="0.3">
      <c r="A230" s="1" t="s">
        <v>552</v>
      </c>
      <c r="B230" s="51">
        <v>0</v>
      </c>
    </row>
    <row r="231" spans="1:2" customFormat="1" ht="14.4" x14ac:dyDescent="0.3">
      <c r="A231" s="1" t="s">
        <v>883</v>
      </c>
      <c r="B231" s="51">
        <v>0</v>
      </c>
    </row>
    <row r="232" spans="1:2" customFormat="1" ht="14.4" x14ac:dyDescent="0.3">
      <c r="A232" s="1" t="s">
        <v>870</v>
      </c>
      <c r="B232" s="51">
        <v>0</v>
      </c>
    </row>
    <row r="233" spans="1:2" customFormat="1" ht="14.4" x14ac:dyDescent="0.3">
      <c r="A233" s="1" t="s">
        <v>889</v>
      </c>
      <c r="B233" s="51">
        <v>0</v>
      </c>
    </row>
    <row r="234" spans="1:2" customFormat="1" ht="14.4" x14ac:dyDescent="0.3">
      <c r="A234" s="1" t="s">
        <v>108</v>
      </c>
      <c r="B234" s="51">
        <v>0</v>
      </c>
    </row>
    <row r="235" spans="1:2" customFormat="1" ht="14.4" x14ac:dyDescent="0.3">
      <c r="A235" s="1" t="s">
        <v>267</v>
      </c>
      <c r="B235" s="51">
        <v>0</v>
      </c>
    </row>
    <row r="236" spans="1:2" customFormat="1" ht="14.4" x14ac:dyDescent="0.3">
      <c r="A236" s="1" t="s">
        <v>488</v>
      </c>
      <c r="B236" s="51">
        <v>0</v>
      </c>
    </row>
    <row r="237" spans="1:2" customFormat="1" ht="14.4" x14ac:dyDescent="0.3">
      <c r="A237" s="1" t="s">
        <v>738</v>
      </c>
      <c r="B237" s="51">
        <v>0</v>
      </c>
    </row>
    <row r="238" spans="1:2" customFormat="1" ht="14.4" x14ac:dyDescent="0.3">
      <c r="A238" s="1" t="s">
        <v>751</v>
      </c>
      <c r="B238" s="51">
        <v>0</v>
      </c>
    </row>
    <row r="239" spans="1:2" customFormat="1" ht="14.4" x14ac:dyDescent="0.3">
      <c r="A239" s="1" t="s">
        <v>445</v>
      </c>
      <c r="B239" s="51">
        <v>0</v>
      </c>
    </row>
    <row r="240" spans="1:2" customFormat="1" ht="14.4" x14ac:dyDescent="0.3">
      <c r="A240" s="1" t="s">
        <v>855</v>
      </c>
      <c r="B240" s="51">
        <v>0</v>
      </c>
    </row>
    <row r="241" spans="1:2" customFormat="1" ht="14.4" x14ac:dyDescent="0.3">
      <c r="A241" s="1" t="s">
        <v>446</v>
      </c>
      <c r="B241" s="51">
        <v>0</v>
      </c>
    </row>
    <row r="242" spans="1:2" customFormat="1" ht="14.4" x14ac:dyDescent="0.3">
      <c r="A242" s="1" t="s">
        <v>831</v>
      </c>
      <c r="B242" s="51">
        <v>0</v>
      </c>
    </row>
    <row r="243" spans="1:2" customFormat="1" ht="14.4" x14ac:dyDescent="0.3">
      <c r="A243" s="1" t="s">
        <v>278</v>
      </c>
      <c r="B243" s="51">
        <v>0</v>
      </c>
    </row>
    <row r="244" spans="1:2" customFormat="1" ht="14.4" x14ac:dyDescent="0.3">
      <c r="A244" s="1" t="s">
        <v>486</v>
      </c>
      <c r="B244" s="51">
        <v>0</v>
      </c>
    </row>
    <row r="245" spans="1:2" customFormat="1" ht="14.4" x14ac:dyDescent="0.3">
      <c r="A245" s="1" t="s">
        <v>128</v>
      </c>
      <c r="B245" s="51">
        <v>0</v>
      </c>
    </row>
    <row r="246" spans="1:2" customFormat="1" ht="14.4" x14ac:dyDescent="0.3">
      <c r="A246" s="1" t="s">
        <v>717</v>
      </c>
      <c r="B246" s="51">
        <v>0</v>
      </c>
    </row>
    <row r="247" spans="1:2" customFormat="1" ht="14.4" x14ac:dyDescent="0.3">
      <c r="A247" s="1" t="s">
        <v>306</v>
      </c>
      <c r="B247" s="51">
        <v>0</v>
      </c>
    </row>
    <row r="248" spans="1:2" customFormat="1" ht="14.4" x14ac:dyDescent="0.3">
      <c r="A248" s="1" t="s">
        <v>308</v>
      </c>
      <c r="B248" s="51">
        <v>0</v>
      </c>
    </row>
    <row r="249" spans="1:2" customFormat="1" ht="14.4" x14ac:dyDescent="0.3">
      <c r="A249" s="1" t="s">
        <v>786</v>
      </c>
      <c r="B249" s="51">
        <v>0</v>
      </c>
    </row>
    <row r="250" spans="1:2" customFormat="1" ht="14.4" x14ac:dyDescent="0.3">
      <c r="A250" s="1" t="s">
        <v>783</v>
      </c>
      <c r="B250" s="51">
        <v>0</v>
      </c>
    </row>
    <row r="251" spans="1:2" customFormat="1" ht="14.4" x14ac:dyDescent="0.3">
      <c r="A251" s="1" t="s">
        <v>312</v>
      </c>
      <c r="B251" s="51">
        <v>0</v>
      </c>
    </row>
    <row r="252" spans="1:2" customFormat="1" ht="14.4" x14ac:dyDescent="0.3">
      <c r="A252" s="1" t="s">
        <v>311</v>
      </c>
      <c r="B252" s="51">
        <v>0</v>
      </c>
    </row>
    <row r="253" spans="1:2" customFormat="1" ht="14.4" x14ac:dyDescent="0.3">
      <c r="A253" s="1" t="s">
        <v>309</v>
      </c>
      <c r="B253" s="51">
        <v>0</v>
      </c>
    </row>
    <row r="254" spans="1:2" customFormat="1" ht="14.4" x14ac:dyDescent="0.3">
      <c r="A254" s="1" t="s">
        <v>310</v>
      </c>
      <c r="B254" s="51">
        <v>0</v>
      </c>
    </row>
    <row r="255" spans="1:2" customFormat="1" ht="14.4" x14ac:dyDescent="0.3">
      <c r="A255" s="1" t="s">
        <v>304</v>
      </c>
      <c r="B255" s="51">
        <v>0</v>
      </c>
    </row>
    <row r="256" spans="1:2" customFormat="1" ht="14.4" x14ac:dyDescent="0.3">
      <c r="A256" s="1" t="s">
        <v>305</v>
      </c>
      <c r="B256" s="51">
        <v>0</v>
      </c>
    </row>
    <row r="257" spans="1:2" customFormat="1" ht="14.4" x14ac:dyDescent="0.3">
      <c r="A257" s="1" t="s">
        <v>313</v>
      </c>
      <c r="B257" s="51">
        <v>0</v>
      </c>
    </row>
    <row r="258" spans="1:2" customFormat="1" ht="14.4" x14ac:dyDescent="0.3">
      <c r="A258" s="1" t="s">
        <v>303</v>
      </c>
      <c r="B258" s="51">
        <v>0</v>
      </c>
    </row>
    <row r="259" spans="1:2" customFormat="1" ht="14.4" x14ac:dyDescent="0.3">
      <c r="A259" s="1" t="s">
        <v>784</v>
      </c>
      <c r="B259" s="51">
        <v>0</v>
      </c>
    </row>
    <row r="260" spans="1:2" customFormat="1" ht="14.4" x14ac:dyDescent="0.3">
      <c r="A260" s="1" t="s">
        <v>785</v>
      </c>
      <c r="B260" s="51">
        <v>0</v>
      </c>
    </row>
    <row r="261" spans="1:2" customFormat="1" ht="14.4" x14ac:dyDescent="0.3">
      <c r="A261" s="1" t="s">
        <v>105</v>
      </c>
      <c r="B261" s="51">
        <v>0</v>
      </c>
    </row>
    <row r="262" spans="1:2" customFormat="1" ht="14.4" x14ac:dyDescent="0.3">
      <c r="A262" s="1" t="s">
        <v>106</v>
      </c>
      <c r="B262" s="51">
        <v>0</v>
      </c>
    </row>
    <row r="263" spans="1:2" customFormat="1" ht="14.4" x14ac:dyDescent="0.3">
      <c r="A263" s="1" t="s">
        <v>107</v>
      </c>
      <c r="B263" s="51">
        <v>0</v>
      </c>
    </row>
    <row r="264" spans="1:2" customFormat="1" ht="14.4" x14ac:dyDescent="0.3">
      <c r="A264" s="1" t="s">
        <v>787</v>
      </c>
      <c r="B264" s="51">
        <v>0</v>
      </c>
    </row>
    <row r="265" spans="1:2" customFormat="1" ht="14.4" x14ac:dyDescent="0.3">
      <c r="A265" s="1" t="s">
        <v>164</v>
      </c>
      <c r="B265" s="51">
        <v>0</v>
      </c>
    </row>
    <row r="266" spans="1:2" customFormat="1" ht="14.4" x14ac:dyDescent="0.3">
      <c r="A266" s="1" t="s">
        <v>307</v>
      </c>
      <c r="B266" s="51">
        <v>0</v>
      </c>
    </row>
    <row r="267" spans="1:2" customFormat="1" ht="14.4" x14ac:dyDescent="0.3">
      <c r="A267" s="1" t="s">
        <v>535</v>
      </c>
      <c r="B267" s="51">
        <v>0</v>
      </c>
    </row>
    <row r="268" spans="1:2" customFormat="1" ht="14.4" x14ac:dyDescent="0.3">
      <c r="A268" s="1" t="s">
        <v>396</v>
      </c>
      <c r="B268" s="51">
        <v>0</v>
      </c>
    </row>
    <row r="269" spans="1:2" customFormat="1" ht="14.4" x14ac:dyDescent="0.3">
      <c r="A269" s="1" t="s">
        <v>359</v>
      </c>
      <c r="B269" s="51">
        <v>0</v>
      </c>
    </row>
    <row r="270" spans="1:2" customFormat="1" ht="14.4" x14ac:dyDescent="0.3">
      <c r="A270" s="1" t="s">
        <v>358</v>
      </c>
      <c r="B270" s="51">
        <v>0</v>
      </c>
    </row>
    <row r="271" spans="1:2" customFormat="1" ht="14.4" x14ac:dyDescent="0.3">
      <c r="A271" s="1" t="s">
        <v>357</v>
      </c>
      <c r="B271" s="51">
        <v>0</v>
      </c>
    </row>
    <row r="272" spans="1:2" customFormat="1" ht="14.4" x14ac:dyDescent="0.3">
      <c r="A272" s="1" t="s">
        <v>360</v>
      </c>
      <c r="B272" s="51">
        <v>0</v>
      </c>
    </row>
    <row r="273" spans="1:2" customFormat="1" ht="14.4" x14ac:dyDescent="0.3">
      <c r="A273" s="1" t="s">
        <v>356</v>
      </c>
      <c r="B273" s="51">
        <v>0</v>
      </c>
    </row>
    <row r="274" spans="1:2" customFormat="1" ht="14.4" x14ac:dyDescent="0.3">
      <c r="A274" s="1" t="s">
        <v>740</v>
      </c>
      <c r="B274" s="51">
        <v>0</v>
      </c>
    </row>
    <row r="275" spans="1:2" customFormat="1" ht="14.4" x14ac:dyDescent="0.3">
      <c r="A275" s="1" t="s">
        <v>481</v>
      </c>
      <c r="B275" s="51">
        <v>0</v>
      </c>
    </row>
    <row r="276" spans="1:2" customFormat="1" ht="14.4" x14ac:dyDescent="0.3">
      <c r="A276" s="1" t="s">
        <v>835</v>
      </c>
      <c r="B276" s="51">
        <v>0</v>
      </c>
    </row>
    <row r="277" spans="1:2" customFormat="1" ht="14.4" x14ac:dyDescent="0.3">
      <c r="A277" s="1" t="s">
        <v>866</v>
      </c>
      <c r="B277" s="51">
        <v>0</v>
      </c>
    </row>
    <row r="278" spans="1:2" customFormat="1" ht="14.4" x14ac:dyDescent="0.3">
      <c r="A278" s="1" t="s">
        <v>189</v>
      </c>
      <c r="B278" s="51">
        <v>0</v>
      </c>
    </row>
    <row r="279" spans="1:2" customFormat="1" ht="14.4" x14ac:dyDescent="0.3">
      <c r="A279" s="1" t="s">
        <v>340</v>
      </c>
      <c r="B279" s="51">
        <v>0</v>
      </c>
    </row>
    <row r="280" spans="1:2" customFormat="1" ht="14.4" x14ac:dyDescent="0.3">
      <c r="A280" s="1" t="s">
        <v>391</v>
      </c>
      <c r="B280" s="51">
        <v>0</v>
      </c>
    </row>
    <row r="281" spans="1:2" customFormat="1" ht="14.4" x14ac:dyDescent="0.3">
      <c r="A281" s="1" t="s">
        <v>802</v>
      </c>
      <c r="B281" s="51">
        <v>0</v>
      </c>
    </row>
    <row r="282" spans="1:2" customFormat="1" ht="14.4" x14ac:dyDescent="0.3">
      <c r="A282" s="1" t="s">
        <v>392</v>
      </c>
      <c r="B282" s="51">
        <v>0</v>
      </c>
    </row>
    <row r="283" spans="1:2" customFormat="1" ht="14.4" x14ac:dyDescent="0.3">
      <c r="A283" s="1" t="s">
        <v>80</v>
      </c>
      <c r="B283" s="51">
        <v>0</v>
      </c>
    </row>
    <row r="284" spans="1:2" customFormat="1" ht="14.4" x14ac:dyDescent="0.3">
      <c r="A284" s="1" t="s">
        <v>85</v>
      </c>
      <c r="B284" s="51">
        <v>0</v>
      </c>
    </row>
    <row r="285" spans="1:2" customFormat="1" ht="14.4" x14ac:dyDescent="0.3">
      <c r="A285" s="1" t="s">
        <v>86</v>
      </c>
      <c r="B285" s="51">
        <v>0</v>
      </c>
    </row>
    <row r="286" spans="1:2" customFormat="1" ht="14.4" x14ac:dyDescent="0.3">
      <c r="A286" s="1" t="s">
        <v>79</v>
      </c>
      <c r="B286" s="51">
        <v>0</v>
      </c>
    </row>
    <row r="287" spans="1:2" customFormat="1" ht="14.4" x14ac:dyDescent="0.3">
      <c r="A287" s="1" t="s">
        <v>78</v>
      </c>
      <c r="B287" s="51">
        <v>0</v>
      </c>
    </row>
    <row r="288" spans="1:2" customFormat="1" ht="14.4" x14ac:dyDescent="0.3">
      <c r="A288" s="1" t="s">
        <v>148</v>
      </c>
      <c r="B288" s="51">
        <v>0</v>
      </c>
    </row>
    <row r="289" spans="1:2" customFormat="1" ht="14.4" x14ac:dyDescent="0.3">
      <c r="A289" s="1" t="s">
        <v>77</v>
      </c>
      <c r="B289" s="51">
        <v>0</v>
      </c>
    </row>
    <row r="290" spans="1:2" customFormat="1" ht="14.4" x14ac:dyDescent="0.3">
      <c r="A290" s="1" t="s">
        <v>76</v>
      </c>
      <c r="B290" s="51">
        <v>0</v>
      </c>
    </row>
    <row r="291" spans="1:2" customFormat="1" ht="14.4" x14ac:dyDescent="0.3">
      <c r="A291" s="1" t="s">
        <v>82</v>
      </c>
      <c r="B291" s="51">
        <v>0</v>
      </c>
    </row>
    <row r="292" spans="1:2" customFormat="1" ht="14.4" x14ac:dyDescent="0.3">
      <c r="A292" s="1" t="s">
        <v>167</v>
      </c>
      <c r="B292" s="51">
        <v>0</v>
      </c>
    </row>
    <row r="293" spans="1:2" customFormat="1" ht="14.4" x14ac:dyDescent="0.3">
      <c r="A293" s="1" t="s">
        <v>819</v>
      </c>
      <c r="B293" s="51">
        <v>0</v>
      </c>
    </row>
    <row r="294" spans="1:2" customFormat="1" ht="14.4" x14ac:dyDescent="0.3">
      <c r="A294" s="1" t="s">
        <v>402</v>
      </c>
      <c r="B294" s="51">
        <v>0</v>
      </c>
    </row>
    <row r="295" spans="1:2" customFormat="1" ht="14.4" x14ac:dyDescent="0.3">
      <c r="A295" s="1" t="s">
        <v>163</v>
      </c>
      <c r="B295" s="51">
        <v>0</v>
      </c>
    </row>
    <row r="296" spans="1:2" customFormat="1" ht="14.4" x14ac:dyDescent="0.3">
      <c r="A296" s="1" t="s">
        <v>179</v>
      </c>
      <c r="B296" s="51">
        <v>0</v>
      </c>
    </row>
    <row r="297" spans="1:2" customFormat="1" ht="14.4" x14ac:dyDescent="0.3">
      <c r="A297" s="1" t="s">
        <v>181</v>
      </c>
      <c r="B297" s="51">
        <v>0</v>
      </c>
    </row>
    <row r="298" spans="1:2" customFormat="1" ht="14.4" x14ac:dyDescent="0.3">
      <c r="A298" s="1" t="s">
        <v>177</v>
      </c>
      <c r="B298" s="51">
        <v>0</v>
      </c>
    </row>
    <row r="299" spans="1:2" customFormat="1" ht="14.4" x14ac:dyDescent="0.3">
      <c r="A299" s="1" t="s">
        <v>346</v>
      </c>
      <c r="B299" s="51">
        <v>0</v>
      </c>
    </row>
    <row r="300" spans="1:2" customFormat="1" ht="14.4" x14ac:dyDescent="0.3">
      <c r="A300" s="1" t="s">
        <v>347</v>
      </c>
      <c r="B300" s="51">
        <v>0</v>
      </c>
    </row>
    <row r="301" spans="1:2" customFormat="1" ht="14.4" x14ac:dyDescent="0.3">
      <c r="A301" s="1" t="s">
        <v>345</v>
      </c>
      <c r="B301" s="51">
        <v>0</v>
      </c>
    </row>
    <row r="302" spans="1:2" customFormat="1" ht="14.4" x14ac:dyDescent="0.3">
      <c r="A302" s="1" t="s">
        <v>180</v>
      </c>
      <c r="B302" s="51">
        <v>0</v>
      </c>
    </row>
    <row r="303" spans="1:2" customFormat="1" ht="14.4" x14ac:dyDescent="0.3">
      <c r="A303" s="1" t="s">
        <v>403</v>
      </c>
      <c r="B303" s="51">
        <v>0</v>
      </c>
    </row>
    <row r="304" spans="1:2" customFormat="1" ht="14.4" x14ac:dyDescent="0.3">
      <c r="A304" s="1" t="s">
        <v>399</v>
      </c>
      <c r="B304" s="51">
        <v>0</v>
      </c>
    </row>
    <row r="305" spans="1:2" customFormat="1" ht="14.4" x14ac:dyDescent="0.3">
      <c r="A305" s="1" t="s">
        <v>401</v>
      </c>
      <c r="B305" s="51">
        <v>0</v>
      </c>
    </row>
    <row r="306" spans="1:2" customFormat="1" ht="14.4" x14ac:dyDescent="0.3">
      <c r="A306" s="1" t="s">
        <v>400</v>
      </c>
      <c r="B306" s="51">
        <v>0</v>
      </c>
    </row>
    <row r="307" spans="1:2" customFormat="1" ht="14.4" x14ac:dyDescent="0.3">
      <c r="A307" s="1" t="s">
        <v>83</v>
      </c>
      <c r="B307" s="51">
        <v>0</v>
      </c>
    </row>
    <row r="308" spans="1:2" customFormat="1" ht="14.4" x14ac:dyDescent="0.3">
      <c r="A308" s="1" t="s">
        <v>162</v>
      </c>
      <c r="B308" s="51">
        <v>0</v>
      </c>
    </row>
    <row r="309" spans="1:2" customFormat="1" ht="14.4" x14ac:dyDescent="0.3">
      <c r="A309" s="1" t="s">
        <v>182</v>
      </c>
      <c r="B309" s="51">
        <v>0</v>
      </c>
    </row>
    <row r="310" spans="1:2" customFormat="1" ht="14.4" x14ac:dyDescent="0.3">
      <c r="A310" s="1" t="s">
        <v>84</v>
      </c>
      <c r="B310" s="51">
        <v>0</v>
      </c>
    </row>
    <row r="311" spans="1:2" customFormat="1" ht="14.4" x14ac:dyDescent="0.3">
      <c r="A311" s="1" t="s">
        <v>178</v>
      </c>
      <c r="B311" s="51">
        <v>0</v>
      </c>
    </row>
    <row r="312" spans="1:2" customFormat="1" ht="14.4" x14ac:dyDescent="0.3">
      <c r="A312" s="1" t="s">
        <v>54</v>
      </c>
      <c r="B312" s="51">
        <v>0</v>
      </c>
    </row>
    <row r="313" spans="1:2" customFormat="1" ht="14.4" x14ac:dyDescent="0.3">
      <c r="A313" s="1" t="s">
        <v>58</v>
      </c>
      <c r="B313" s="51">
        <v>0</v>
      </c>
    </row>
    <row r="314" spans="1:2" customFormat="1" ht="14.4" x14ac:dyDescent="0.3">
      <c r="A314" s="1" t="s">
        <v>49</v>
      </c>
      <c r="B314" s="51">
        <v>0</v>
      </c>
    </row>
    <row r="315" spans="1:2" customFormat="1" ht="14.4" x14ac:dyDescent="0.3">
      <c r="A315" s="1" t="s">
        <v>60</v>
      </c>
      <c r="B315" s="51">
        <v>0</v>
      </c>
    </row>
    <row r="316" spans="1:2" customFormat="1" ht="14.4" x14ac:dyDescent="0.3">
      <c r="A316" s="1" t="s">
        <v>28</v>
      </c>
      <c r="B316" s="51">
        <v>0</v>
      </c>
    </row>
    <row r="317" spans="1:2" customFormat="1" ht="14.4" x14ac:dyDescent="0.3">
      <c r="A317" s="1" t="s">
        <v>57</v>
      </c>
      <c r="B317" s="51">
        <v>0</v>
      </c>
    </row>
    <row r="318" spans="1:2" customFormat="1" ht="14.4" x14ac:dyDescent="0.3">
      <c r="A318" s="1" t="s">
        <v>50</v>
      </c>
      <c r="B318" s="51">
        <v>0</v>
      </c>
    </row>
    <row r="319" spans="1:2" customFormat="1" ht="14.4" x14ac:dyDescent="0.3">
      <c r="A319" s="1" t="s">
        <v>51</v>
      </c>
      <c r="B319" s="51">
        <v>0</v>
      </c>
    </row>
    <row r="320" spans="1:2" customFormat="1" ht="14.4" x14ac:dyDescent="0.3">
      <c r="A320" s="1" t="s">
        <v>56</v>
      </c>
      <c r="B320" s="51">
        <v>0</v>
      </c>
    </row>
    <row r="321" spans="1:2" customFormat="1" ht="14.4" x14ac:dyDescent="0.3">
      <c r="A321" s="1" t="s">
        <v>21</v>
      </c>
      <c r="B321" s="51">
        <v>0</v>
      </c>
    </row>
    <row r="322" spans="1:2" customFormat="1" ht="14.4" x14ac:dyDescent="0.3">
      <c r="A322" s="1" t="s">
        <v>53</v>
      </c>
      <c r="B322" s="51">
        <v>0</v>
      </c>
    </row>
    <row r="323" spans="1:2" customFormat="1" ht="14.4" x14ac:dyDescent="0.3">
      <c r="A323" s="1" t="s">
        <v>52</v>
      </c>
      <c r="B323" s="51">
        <v>0</v>
      </c>
    </row>
    <row r="324" spans="1:2" customFormat="1" ht="14.4" x14ac:dyDescent="0.3">
      <c r="A324" s="1" t="s">
        <v>59</v>
      </c>
      <c r="B324" s="51">
        <v>0</v>
      </c>
    </row>
    <row r="325" spans="1:2" customFormat="1" ht="14.4" x14ac:dyDescent="0.3">
      <c r="A325" s="1" t="s">
        <v>55</v>
      </c>
      <c r="B325" s="51">
        <v>0</v>
      </c>
    </row>
    <row r="326" spans="1:2" customFormat="1" ht="14.4" x14ac:dyDescent="0.3">
      <c r="A326" s="1" t="s">
        <v>47</v>
      </c>
      <c r="B326" s="51">
        <v>0</v>
      </c>
    </row>
    <row r="327" spans="1:2" customFormat="1" ht="14.4" x14ac:dyDescent="0.3">
      <c r="A327" s="1" t="s">
        <v>72</v>
      </c>
      <c r="B327" s="51">
        <v>0</v>
      </c>
    </row>
    <row r="328" spans="1:2" customFormat="1" ht="14.4" x14ac:dyDescent="0.3">
      <c r="A328" s="1" t="s">
        <v>71</v>
      </c>
      <c r="B328" s="51">
        <v>0</v>
      </c>
    </row>
    <row r="329" spans="1:2" customFormat="1" ht="14.4" x14ac:dyDescent="0.3">
      <c r="A329" s="1" t="s">
        <v>65</v>
      </c>
      <c r="B329" s="51">
        <v>0</v>
      </c>
    </row>
    <row r="330" spans="1:2" customFormat="1" ht="14.4" x14ac:dyDescent="0.3">
      <c r="A330" s="1" t="s">
        <v>48</v>
      </c>
      <c r="B330" s="51">
        <v>0</v>
      </c>
    </row>
    <row r="331" spans="1:2" customFormat="1" ht="14.4" x14ac:dyDescent="0.3">
      <c r="A331" s="1" t="s">
        <v>22</v>
      </c>
      <c r="B331" s="51">
        <v>0</v>
      </c>
    </row>
    <row r="332" spans="1:2" customFormat="1" ht="14.4" x14ac:dyDescent="0.3">
      <c r="A332" s="1" t="s">
        <v>73</v>
      </c>
      <c r="B332" s="51">
        <v>0</v>
      </c>
    </row>
    <row r="333" spans="1:2" customFormat="1" ht="14.4" x14ac:dyDescent="0.3">
      <c r="A333" s="1" t="s">
        <v>27</v>
      </c>
      <c r="B333" s="51">
        <v>0</v>
      </c>
    </row>
    <row r="334" spans="1:2" customFormat="1" ht="14.4" x14ac:dyDescent="0.3">
      <c r="A334" s="1" t="s">
        <v>41</v>
      </c>
      <c r="B334" s="51">
        <v>0</v>
      </c>
    </row>
    <row r="335" spans="1:2" customFormat="1" ht="14.4" x14ac:dyDescent="0.3">
      <c r="A335" s="1" t="s">
        <v>42</v>
      </c>
      <c r="B335" s="51">
        <v>0</v>
      </c>
    </row>
    <row r="336" spans="1:2" customFormat="1" ht="14.4" x14ac:dyDescent="0.3">
      <c r="A336" s="1" t="s">
        <v>70</v>
      </c>
      <c r="B336" s="51">
        <v>0</v>
      </c>
    </row>
    <row r="337" spans="1:2" customFormat="1" ht="14.4" x14ac:dyDescent="0.3">
      <c r="A337" s="1" t="s">
        <v>39</v>
      </c>
      <c r="B337" s="51">
        <v>0</v>
      </c>
    </row>
    <row r="338" spans="1:2" customFormat="1" ht="14.4" x14ac:dyDescent="0.3">
      <c r="A338" s="1" t="s">
        <v>32</v>
      </c>
      <c r="B338" s="51">
        <v>0</v>
      </c>
    </row>
    <row r="339" spans="1:2" customFormat="1" ht="14.4" x14ac:dyDescent="0.3">
      <c r="A339" s="1" t="s">
        <v>38</v>
      </c>
      <c r="B339" s="51">
        <v>0</v>
      </c>
    </row>
    <row r="340" spans="1:2" customFormat="1" ht="14.4" x14ac:dyDescent="0.3">
      <c r="A340" s="1" t="s">
        <v>40</v>
      </c>
      <c r="B340" s="51">
        <v>0</v>
      </c>
    </row>
    <row r="341" spans="1:2" customFormat="1" ht="14.4" x14ac:dyDescent="0.3">
      <c r="A341" s="1" t="s">
        <v>69</v>
      </c>
      <c r="B341" s="51">
        <v>0</v>
      </c>
    </row>
    <row r="342" spans="1:2" customFormat="1" ht="14.4" x14ac:dyDescent="0.3">
      <c r="A342" s="1" t="s">
        <v>31</v>
      </c>
      <c r="B342" s="51">
        <v>0</v>
      </c>
    </row>
    <row r="343" spans="1:2" customFormat="1" ht="14.4" x14ac:dyDescent="0.3">
      <c r="A343" s="1" t="s">
        <v>29</v>
      </c>
      <c r="B343" s="51">
        <v>0</v>
      </c>
    </row>
    <row r="344" spans="1:2" customFormat="1" ht="14.4" x14ac:dyDescent="0.3">
      <c r="A344" s="1" t="s">
        <v>16</v>
      </c>
      <c r="B344" s="51">
        <v>0</v>
      </c>
    </row>
    <row r="345" spans="1:2" customFormat="1" ht="14.4" x14ac:dyDescent="0.3">
      <c r="A345" s="1" t="s">
        <v>46</v>
      </c>
      <c r="B345" s="51">
        <v>0</v>
      </c>
    </row>
    <row r="346" spans="1:2" customFormat="1" ht="14.4" x14ac:dyDescent="0.3">
      <c r="A346" s="1" t="s">
        <v>67</v>
      </c>
      <c r="B346" s="51">
        <v>0</v>
      </c>
    </row>
    <row r="347" spans="1:2" customFormat="1" ht="14.4" x14ac:dyDescent="0.3">
      <c r="A347" s="1" t="s">
        <v>63</v>
      </c>
      <c r="B347" s="51">
        <v>0</v>
      </c>
    </row>
    <row r="348" spans="1:2" customFormat="1" ht="14.4" x14ac:dyDescent="0.3">
      <c r="A348" s="1" t="s">
        <v>43</v>
      </c>
      <c r="B348" s="51">
        <v>0</v>
      </c>
    </row>
    <row r="349" spans="1:2" customFormat="1" ht="14.4" x14ac:dyDescent="0.3">
      <c r="A349" s="1" t="s">
        <v>64</v>
      </c>
      <c r="B349" s="51">
        <v>0</v>
      </c>
    </row>
    <row r="350" spans="1:2" customFormat="1" ht="14.4" x14ac:dyDescent="0.3">
      <c r="A350" s="1" t="s">
        <v>24</v>
      </c>
      <c r="B350" s="51">
        <v>0</v>
      </c>
    </row>
    <row r="351" spans="1:2" customFormat="1" ht="14.4" x14ac:dyDescent="0.3">
      <c r="A351" s="1" t="s">
        <v>26</v>
      </c>
      <c r="B351" s="51">
        <v>0</v>
      </c>
    </row>
    <row r="352" spans="1:2" customFormat="1" ht="14.4" x14ac:dyDescent="0.3">
      <c r="A352" s="1" t="s">
        <v>19</v>
      </c>
      <c r="B352" s="51">
        <v>0</v>
      </c>
    </row>
    <row r="353" spans="1:2" customFormat="1" ht="14.4" x14ac:dyDescent="0.3">
      <c r="A353" s="1" t="s">
        <v>68</v>
      </c>
      <c r="B353" s="51">
        <v>0</v>
      </c>
    </row>
    <row r="354" spans="1:2" customFormat="1" ht="14.4" x14ac:dyDescent="0.3">
      <c r="A354" s="1" t="s">
        <v>4</v>
      </c>
      <c r="B354" s="51">
        <v>0</v>
      </c>
    </row>
    <row r="355" spans="1:2" customFormat="1" ht="14.4" x14ac:dyDescent="0.3">
      <c r="A355" s="1" t="s">
        <v>5</v>
      </c>
      <c r="B355" s="51">
        <v>0</v>
      </c>
    </row>
    <row r="356" spans="1:2" customFormat="1" ht="14.4" x14ac:dyDescent="0.3">
      <c r="A356" s="1" t="s">
        <v>13</v>
      </c>
      <c r="B356" s="51">
        <v>0</v>
      </c>
    </row>
    <row r="357" spans="1:2" customFormat="1" ht="14.4" x14ac:dyDescent="0.3">
      <c r="A357" s="1" t="s">
        <v>9</v>
      </c>
      <c r="B357" s="51">
        <v>0</v>
      </c>
    </row>
    <row r="358" spans="1:2" customFormat="1" ht="14.4" x14ac:dyDescent="0.3">
      <c r="A358" s="1" t="s">
        <v>61</v>
      </c>
      <c r="B358" s="51">
        <v>0</v>
      </c>
    </row>
    <row r="359" spans="1:2" customFormat="1" ht="14.4" x14ac:dyDescent="0.3">
      <c r="A359" s="1" t="s">
        <v>36</v>
      </c>
      <c r="B359" s="51">
        <v>0</v>
      </c>
    </row>
    <row r="360" spans="1:2" customFormat="1" ht="14.4" x14ac:dyDescent="0.3">
      <c r="A360" s="1" t="s">
        <v>33</v>
      </c>
      <c r="B360" s="51">
        <v>0</v>
      </c>
    </row>
    <row r="361" spans="1:2" customFormat="1" ht="14.4" x14ac:dyDescent="0.3">
      <c r="A361" s="1" t="s">
        <v>37</v>
      </c>
      <c r="B361" s="51">
        <v>0</v>
      </c>
    </row>
    <row r="362" spans="1:2" customFormat="1" ht="14.4" x14ac:dyDescent="0.3">
      <c r="A362" s="1" t="s">
        <v>34</v>
      </c>
      <c r="B362" s="51">
        <v>0</v>
      </c>
    </row>
    <row r="363" spans="1:2" customFormat="1" ht="14.4" x14ac:dyDescent="0.3">
      <c r="A363" s="1" t="s">
        <v>35</v>
      </c>
      <c r="B363" s="51">
        <v>0</v>
      </c>
    </row>
    <row r="364" spans="1:2" customFormat="1" ht="14.4" x14ac:dyDescent="0.3">
      <c r="A364" s="1" t="s">
        <v>30</v>
      </c>
      <c r="B364" s="51">
        <v>0</v>
      </c>
    </row>
    <row r="365" spans="1:2" customFormat="1" ht="14.4" x14ac:dyDescent="0.3">
      <c r="A365" s="1" t="s">
        <v>44</v>
      </c>
      <c r="B365" s="51">
        <v>0</v>
      </c>
    </row>
    <row r="366" spans="1:2" customFormat="1" ht="14.4" x14ac:dyDescent="0.3">
      <c r="A366" s="1" t="s">
        <v>45</v>
      </c>
      <c r="B366" s="51">
        <v>0</v>
      </c>
    </row>
    <row r="367" spans="1:2" customFormat="1" ht="14.4" x14ac:dyDescent="0.3">
      <c r="A367" s="1" t="s">
        <v>62</v>
      </c>
      <c r="B367" s="51">
        <v>0</v>
      </c>
    </row>
    <row r="368" spans="1:2" customFormat="1" ht="14.4" x14ac:dyDescent="0.3">
      <c r="A368" s="1" t="s">
        <v>74</v>
      </c>
      <c r="B368" s="51">
        <v>0</v>
      </c>
    </row>
    <row r="369" spans="1:2" customFormat="1" ht="14.4" x14ac:dyDescent="0.3">
      <c r="A369" s="1" t="s">
        <v>75</v>
      </c>
      <c r="B369" s="51">
        <v>0</v>
      </c>
    </row>
    <row r="370" spans="1:2" customFormat="1" ht="14.4" x14ac:dyDescent="0.3">
      <c r="A370" s="1" t="s">
        <v>18</v>
      </c>
      <c r="B370" s="51">
        <v>0</v>
      </c>
    </row>
    <row r="371" spans="1:2" customFormat="1" ht="14.4" x14ac:dyDescent="0.3">
      <c r="A371" s="1" t="s">
        <v>17</v>
      </c>
      <c r="B371" s="51">
        <v>0</v>
      </c>
    </row>
    <row r="372" spans="1:2" customFormat="1" ht="14.4" x14ac:dyDescent="0.3">
      <c r="A372" s="1" t="s">
        <v>66</v>
      </c>
      <c r="B372" s="51">
        <v>0</v>
      </c>
    </row>
    <row r="373" spans="1:2" customFormat="1" ht="14.4" x14ac:dyDescent="0.3">
      <c r="A373" s="1" t="s">
        <v>25</v>
      </c>
      <c r="B373" s="51">
        <v>0</v>
      </c>
    </row>
    <row r="374" spans="1:2" customFormat="1" ht="14.4" x14ac:dyDescent="0.3">
      <c r="A374" s="1" t="s">
        <v>11</v>
      </c>
      <c r="B374" s="51">
        <v>0</v>
      </c>
    </row>
    <row r="375" spans="1:2" customFormat="1" ht="14.4" x14ac:dyDescent="0.3">
      <c r="A375" s="1" t="s">
        <v>20</v>
      </c>
      <c r="B375" s="51">
        <v>0</v>
      </c>
    </row>
    <row r="376" spans="1:2" customFormat="1" ht="14.4" x14ac:dyDescent="0.3">
      <c r="A376" s="1" t="s">
        <v>23</v>
      </c>
      <c r="B376" s="51">
        <v>0</v>
      </c>
    </row>
    <row r="377" spans="1:2" customFormat="1" ht="14.4" x14ac:dyDescent="0.3">
      <c r="A377" s="1" t="s">
        <v>12</v>
      </c>
      <c r="B377" s="51">
        <v>0</v>
      </c>
    </row>
    <row r="378" spans="1:2" customFormat="1" ht="14.4" x14ac:dyDescent="0.3">
      <c r="A378" s="1" t="s">
        <v>15</v>
      </c>
      <c r="B378" s="51">
        <v>0</v>
      </c>
    </row>
    <row r="379" spans="1:2" customFormat="1" ht="14.4" x14ac:dyDescent="0.3">
      <c r="A379" s="1" t="s">
        <v>14</v>
      </c>
      <c r="B379" s="51">
        <v>0</v>
      </c>
    </row>
    <row r="380" spans="1:2" customFormat="1" ht="14.4" x14ac:dyDescent="0.3">
      <c r="A380" s="1" t="s">
        <v>601</v>
      </c>
      <c r="B380" s="51">
        <v>0</v>
      </c>
    </row>
    <row r="381" spans="1:2" customFormat="1" ht="14.4" x14ac:dyDescent="0.3">
      <c r="A381" s="1" t="s">
        <v>602</v>
      </c>
      <c r="B381" s="51">
        <v>0</v>
      </c>
    </row>
    <row r="382" spans="1:2" customFormat="1" ht="14.4" x14ac:dyDescent="0.3">
      <c r="A382" s="1" t="s">
        <v>780</v>
      </c>
      <c r="B382" s="51">
        <v>0</v>
      </c>
    </row>
    <row r="383" spans="1:2" customFormat="1" ht="14.4" x14ac:dyDescent="0.3">
      <c r="A383" s="1" t="s">
        <v>750</v>
      </c>
      <c r="B383" s="51">
        <v>0</v>
      </c>
    </row>
    <row r="384" spans="1:2" customFormat="1" ht="14.4" x14ac:dyDescent="0.3">
      <c r="A384" s="1" t="s">
        <v>749</v>
      </c>
      <c r="B384" s="51">
        <v>0</v>
      </c>
    </row>
    <row r="385" spans="1:2" customFormat="1" ht="14.4" x14ac:dyDescent="0.3">
      <c r="A385" s="1" t="s">
        <v>748</v>
      </c>
      <c r="B385" s="51">
        <v>0</v>
      </c>
    </row>
    <row r="386" spans="1:2" customFormat="1" ht="14.4" x14ac:dyDescent="0.3">
      <c r="A386" s="1" t="s">
        <v>781</v>
      </c>
      <c r="B386" s="51">
        <v>0</v>
      </c>
    </row>
    <row r="387" spans="1:2" customFormat="1" ht="14.4" x14ac:dyDescent="0.3">
      <c r="A387" s="1" t="s">
        <v>779</v>
      </c>
      <c r="B387" s="51">
        <v>0</v>
      </c>
    </row>
    <row r="388" spans="1:2" customFormat="1" ht="14.4" x14ac:dyDescent="0.3">
      <c r="A388" s="1" t="s">
        <v>747</v>
      </c>
      <c r="B388" s="51">
        <v>0</v>
      </c>
    </row>
    <row r="389" spans="1:2" customFormat="1" ht="14.4" x14ac:dyDescent="0.3">
      <c r="A389" s="1" t="s">
        <v>746</v>
      </c>
      <c r="B389" s="51">
        <v>0</v>
      </c>
    </row>
    <row r="390" spans="1:2" customFormat="1" ht="14.4" x14ac:dyDescent="0.3">
      <c r="A390" s="1" t="s">
        <v>671</v>
      </c>
      <c r="B390" s="51">
        <v>0</v>
      </c>
    </row>
    <row r="391" spans="1:2" customFormat="1" ht="14.4" x14ac:dyDescent="0.3">
      <c r="A391" s="1" t="s">
        <v>487</v>
      </c>
      <c r="B391" s="51">
        <v>0</v>
      </c>
    </row>
    <row r="392" spans="1:2" customFormat="1" ht="14.4" x14ac:dyDescent="0.3">
      <c r="A392" s="1" t="s">
        <v>569</v>
      </c>
      <c r="B392" s="51">
        <v>0</v>
      </c>
    </row>
    <row r="393" spans="1:2" customFormat="1" ht="14.4" x14ac:dyDescent="0.3">
      <c r="A393" s="1" t="s">
        <v>558</v>
      </c>
      <c r="B393" s="51">
        <v>0</v>
      </c>
    </row>
    <row r="394" spans="1:2" customFormat="1" ht="14.4" x14ac:dyDescent="0.3">
      <c r="A394" s="1" t="s">
        <v>559</v>
      </c>
      <c r="B394" s="51">
        <v>0</v>
      </c>
    </row>
    <row r="395" spans="1:2" customFormat="1" ht="14.4" x14ac:dyDescent="0.3">
      <c r="A395" s="1" t="s">
        <v>572</v>
      </c>
      <c r="B395" s="51">
        <v>0</v>
      </c>
    </row>
    <row r="396" spans="1:2" customFormat="1" ht="14.4" x14ac:dyDescent="0.3">
      <c r="A396" s="1" t="s">
        <v>574</v>
      </c>
      <c r="B396" s="51">
        <v>0</v>
      </c>
    </row>
    <row r="397" spans="1:2" customFormat="1" ht="14.4" x14ac:dyDescent="0.3">
      <c r="A397" s="1" t="s">
        <v>560</v>
      </c>
      <c r="B397" s="51">
        <v>0</v>
      </c>
    </row>
    <row r="398" spans="1:2" customFormat="1" ht="14.4" x14ac:dyDescent="0.3">
      <c r="A398" s="1" t="s">
        <v>575</v>
      </c>
      <c r="B398" s="51">
        <v>0</v>
      </c>
    </row>
    <row r="399" spans="1:2" customFormat="1" ht="14.4" x14ac:dyDescent="0.3">
      <c r="A399" s="1" t="s">
        <v>573</v>
      </c>
      <c r="B399" s="51">
        <v>0</v>
      </c>
    </row>
    <row r="400" spans="1:2" customFormat="1" ht="14.4" x14ac:dyDescent="0.3">
      <c r="A400" s="1" t="s">
        <v>564</v>
      </c>
      <c r="B400" s="51">
        <v>0</v>
      </c>
    </row>
    <row r="401" spans="1:2" customFormat="1" ht="14.4" x14ac:dyDescent="0.3">
      <c r="A401" s="1" t="s">
        <v>581</v>
      </c>
      <c r="B401" s="51">
        <v>0</v>
      </c>
    </row>
    <row r="402" spans="1:2" customFormat="1" ht="14.4" x14ac:dyDescent="0.3">
      <c r="A402" s="1" t="s">
        <v>579</v>
      </c>
      <c r="B402" s="51">
        <v>0</v>
      </c>
    </row>
    <row r="403" spans="1:2" customFormat="1" ht="14.4" x14ac:dyDescent="0.3">
      <c r="A403" s="1" t="s">
        <v>568</v>
      </c>
      <c r="B403" s="51">
        <v>0</v>
      </c>
    </row>
    <row r="404" spans="1:2" customFormat="1" ht="14.4" x14ac:dyDescent="0.3">
      <c r="A404" s="1" t="s">
        <v>398</v>
      </c>
      <c r="B404" s="51">
        <v>0</v>
      </c>
    </row>
    <row r="405" spans="1:2" customFormat="1" ht="14.4" x14ac:dyDescent="0.3">
      <c r="A405" s="1" t="s">
        <v>290</v>
      </c>
      <c r="B405" s="51">
        <v>0</v>
      </c>
    </row>
    <row r="406" spans="1:2" customFormat="1" ht="14.4" x14ac:dyDescent="0.3">
      <c r="A406" s="1" t="s">
        <v>7</v>
      </c>
      <c r="B406" s="51">
        <v>0</v>
      </c>
    </row>
    <row r="407" spans="1:2" customFormat="1" ht="14.4" x14ac:dyDescent="0.3">
      <c r="A407" s="1" t="s">
        <v>126</v>
      </c>
      <c r="B407" s="51">
        <v>0</v>
      </c>
    </row>
    <row r="408" spans="1:2" customFormat="1" ht="14.4" x14ac:dyDescent="0.3">
      <c r="A408" s="1" t="s">
        <v>183</v>
      </c>
      <c r="B408" s="51">
        <v>0</v>
      </c>
    </row>
    <row r="409" spans="1:2" customFormat="1" ht="14.4" x14ac:dyDescent="0.3">
      <c r="A409" s="1" t="s">
        <v>678</v>
      </c>
      <c r="B409" s="51">
        <v>0</v>
      </c>
    </row>
    <row r="410" spans="1:2" customFormat="1" ht="14.4" x14ac:dyDescent="0.3">
      <c r="A410" s="1" t="s">
        <v>596</v>
      </c>
      <c r="B410" s="51">
        <v>0</v>
      </c>
    </row>
    <row r="411" spans="1:2" customFormat="1" ht="14.4" x14ac:dyDescent="0.3">
      <c r="A411" s="1" t="s">
        <v>565</v>
      </c>
      <c r="B411" s="51">
        <v>0</v>
      </c>
    </row>
    <row r="412" spans="1:2" customFormat="1" ht="14.4" x14ac:dyDescent="0.3">
      <c r="A412" s="1" t="s">
        <v>619</v>
      </c>
      <c r="B412" s="51">
        <v>0</v>
      </c>
    </row>
    <row r="413" spans="1:2" customFormat="1" ht="14.4" x14ac:dyDescent="0.3">
      <c r="A413" s="1" t="s">
        <v>778</v>
      </c>
      <c r="B413" s="51">
        <v>0</v>
      </c>
    </row>
    <row r="414" spans="1:2" customFormat="1" ht="14.4" x14ac:dyDescent="0.3">
      <c r="A414" s="1" t="s">
        <v>406</v>
      </c>
      <c r="B414" s="51">
        <v>0</v>
      </c>
    </row>
    <row r="415" spans="1:2" customFormat="1" ht="14.4" x14ac:dyDescent="0.3">
      <c r="A415" s="1" t="s">
        <v>264</v>
      </c>
      <c r="B415" s="51">
        <v>0</v>
      </c>
    </row>
    <row r="416" spans="1:2" customFormat="1" ht="14.4" x14ac:dyDescent="0.3">
      <c r="A416" s="1" t="s">
        <v>91</v>
      </c>
      <c r="B416" s="51">
        <v>0</v>
      </c>
    </row>
    <row r="417" spans="1:2" customFormat="1" ht="14.4" x14ac:dyDescent="0.3">
      <c r="A417" s="1" t="s">
        <v>292</v>
      </c>
      <c r="B417" s="51">
        <v>0</v>
      </c>
    </row>
    <row r="418" spans="1:2" customFormat="1" ht="14.4" x14ac:dyDescent="0.3">
      <c r="A418" s="1" t="s">
        <v>395</v>
      </c>
      <c r="B418" s="51">
        <v>0</v>
      </c>
    </row>
    <row r="419" spans="1:2" customFormat="1" ht="14.4" x14ac:dyDescent="0.3">
      <c r="A419" s="1" t="s">
        <v>339</v>
      </c>
      <c r="B419" s="51">
        <v>0</v>
      </c>
    </row>
    <row r="420" spans="1:2" customFormat="1" ht="14.4" x14ac:dyDescent="0.3">
      <c r="A420" s="1" t="s">
        <v>742</v>
      </c>
      <c r="B420" s="51">
        <v>0</v>
      </c>
    </row>
    <row r="421" spans="1:2" customFormat="1" ht="14.4" x14ac:dyDescent="0.3">
      <c r="A421" s="1" t="s">
        <v>825</v>
      </c>
      <c r="B421" s="51">
        <v>0</v>
      </c>
    </row>
    <row r="422" spans="1:2" customFormat="1" ht="14.4" x14ac:dyDescent="0.3">
      <c r="A422" s="1" t="s">
        <v>824</v>
      </c>
      <c r="B422" s="51">
        <v>0</v>
      </c>
    </row>
    <row r="423" spans="1:2" customFormat="1" ht="14.4" x14ac:dyDescent="0.3">
      <c r="A423" s="1" t="s">
        <v>817</v>
      </c>
      <c r="B423" s="51">
        <v>0</v>
      </c>
    </row>
    <row r="424" spans="1:2" customFormat="1" ht="14.4" x14ac:dyDescent="0.3">
      <c r="A424" s="1" t="s">
        <v>777</v>
      </c>
      <c r="B424" s="51">
        <v>0</v>
      </c>
    </row>
    <row r="425" spans="1:2" customFormat="1" ht="14.4" x14ac:dyDescent="0.3">
      <c r="A425" s="1" t="s">
        <v>826</v>
      </c>
      <c r="B425" s="51">
        <v>0</v>
      </c>
    </row>
    <row r="426" spans="1:2" customFormat="1" ht="14.4" x14ac:dyDescent="0.3">
      <c r="A426" s="1" t="s">
        <v>420</v>
      </c>
      <c r="B426" s="51">
        <v>0</v>
      </c>
    </row>
    <row r="427" spans="1:2" customFormat="1" ht="14.4" x14ac:dyDescent="0.3">
      <c r="A427" s="1" t="s">
        <v>813</v>
      </c>
      <c r="B427" s="51">
        <v>0</v>
      </c>
    </row>
    <row r="428" spans="1:2" customFormat="1" ht="14.4" x14ac:dyDescent="0.3">
      <c r="A428" s="1" t="s">
        <v>812</v>
      </c>
      <c r="B428" s="51">
        <v>0</v>
      </c>
    </row>
    <row r="429" spans="1:2" customFormat="1" ht="14.4" x14ac:dyDescent="0.3">
      <c r="A429" s="1" t="s">
        <v>699</v>
      </c>
      <c r="B429" s="51">
        <v>0</v>
      </c>
    </row>
    <row r="430" spans="1:2" customFormat="1" ht="14.4" x14ac:dyDescent="0.3">
      <c r="A430" s="1" t="s">
        <v>111</v>
      </c>
      <c r="B430" s="51">
        <v>0</v>
      </c>
    </row>
    <row r="431" spans="1:2" customFormat="1" ht="14.4" x14ac:dyDescent="0.3">
      <c r="A431" s="1" t="s">
        <v>688</v>
      </c>
      <c r="B431" s="51">
        <v>0</v>
      </c>
    </row>
    <row r="432" spans="1:2" customFormat="1" ht="14.4" x14ac:dyDescent="0.3">
      <c r="A432" s="1" t="s">
        <v>104</v>
      </c>
      <c r="B432" s="51">
        <v>0</v>
      </c>
    </row>
    <row r="433" spans="1:2" customFormat="1" ht="14.4" x14ac:dyDescent="0.3">
      <c r="A433" s="1" t="s">
        <v>405</v>
      </c>
      <c r="B433" s="51">
        <v>0</v>
      </c>
    </row>
    <row r="434" spans="1:2" customFormat="1" ht="14.4" x14ac:dyDescent="0.3">
      <c r="A434" s="1" t="s">
        <v>829</v>
      </c>
      <c r="B434" s="51">
        <v>0</v>
      </c>
    </row>
    <row r="435" spans="1:2" customFormat="1" ht="14.4" x14ac:dyDescent="0.3">
      <c r="A435" s="1" t="s">
        <v>716</v>
      </c>
      <c r="B435" s="51">
        <v>0</v>
      </c>
    </row>
    <row r="436" spans="1:2" customFormat="1" ht="14.4" x14ac:dyDescent="0.3">
      <c r="A436" s="1" t="s">
        <v>865</v>
      </c>
      <c r="B436" s="51">
        <v>0</v>
      </c>
    </row>
    <row r="437" spans="1:2" customFormat="1" ht="14.4" x14ac:dyDescent="0.3">
      <c r="A437" s="1" t="s">
        <v>710</v>
      </c>
      <c r="B437" s="51">
        <v>0</v>
      </c>
    </row>
    <row r="438" spans="1:2" customFormat="1" ht="14.4" x14ac:dyDescent="0.3">
      <c r="A438" s="1" t="s">
        <v>709</v>
      </c>
      <c r="B438" s="51">
        <v>0</v>
      </c>
    </row>
    <row r="439" spans="1:2" customFormat="1" ht="14.4" x14ac:dyDescent="0.3">
      <c r="A439" s="1" t="s">
        <v>712</v>
      </c>
      <c r="B439" s="51">
        <v>0</v>
      </c>
    </row>
    <row r="440" spans="1:2" customFormat="1" ht="14.4" x14ac:dyDescent="0.3">
      <c r="A440" s="1" t="s">
        <v>711</v>
      </c>
      <c r="B440" s="51">
        <v>0</v>
      </c>
    </row>
    <row r="441" spans="1:2" customFormat="1" ht="14.4" x14ac:dyDescent="0.3">
      <c r="A441" s="1" t="s">
        <v>823</v>
      </c>
      <c r="B441" s="51">
        <v>0</v>
      </c>
    </row>
    <row r="442" spans="1:2" customFormat="1" ht="14.4" x14ac:dyDescent="0.3">
      <c r="A442" s="1" t="s">
        <v>8</v>
      </c>
      <c r="B442" s="51">
        <v>0</v>
      </c>
    </row>
    <row r="443" spans="1:2" customFormat="1" ht="14.4" x14ac:dyDescent="0.3">
      <c r="A443" s="1" t="s">
        <v>6</v>
      </c>
      <c r="B443" s="51">
        <v>0</v>
      </c>
    </row>
    <row r="444" spans="1:2" customFormat="1" ht="14.4" x14ac:dyDescent="0.3">
      <c r="A444" s="1" t="s">
        <v>342</v>
      </c>
      <c r="B444" s="51">
        <v>0</v>
      </c>
    </row>
    <row r="445" spans="1:2" customFormat="1" ht="14.4" x14ac:dyDescent="0.3">
      <c r="A445" s="1" t="s">
        <v>263</v>
      </c>
      <c r="B445" s="51">
        <v>0</v>
      </c>
    </row>
    <row r="446" spans="1:2" customFormat="1" ht="14.4" x14ac:dyDescent="0.3">
      <c r="A446" s="1" t="s">
        <v>689</v>
      </c>
      <c r="B446" s="51">
        <v>0</v>
      </c>
    </row>
    <row r="447" spans="1:2" customFormat="1" ht="14.4" x14ac:dyDescent="0.3">
      <c r="A447" s="1" t="s">
        <v>272</v>
      </c>
      <c r="B447" s="51">
        <v>0</v>
      </c>
    </row>
    <row r="448" spans="1:2" customFormat="1" ht="14.4" x14ac:dyDescent="0.3">
      <c r="A448" s="1" t="s">
        <v>273</v>
      </c>
      <c r="B448" s="51">
        <v>0</v>
      </c>
    </row>
    <row r="449" spans="1:2" customFormat="1" ht="14.4" x14ac:dyDescent="0.3">
      <c r="A449" s="1" t="s">
        <v>674</v>
      </c>
      <c r="B449" s="51">
        <v>0</v>
      </c>
    </row>
    <row r="450" spans="1:2" customFormat="1" ht="14.4" x14ac:dyDescent="0.3">
      <c r="A450" s="1" t="s">
        <v>676</v>
      </c>
      <c r="B450" s="51">
        <v>0</v>
      </c>
    </row>
    <row r="451" spans="1:2" customFormat="1" ht="14.4" x14ac:dyDescent="0.3">
      <c r="A451" s="1" t="s">
        <v>677</v>
      </c>
      <c r="B451" s="51">
        <v>0</v>
      </c>
    </row>
    <row r="452" spans="1:2" customFormat="1" ht="14.4" x14ac:dyDescent="0.3">
      <c r="A452" s="1" t="s">
        <v>675</v>
      </c>
      <c r="B452" s="51">
        <v>0</v>
      </c>
    </row>
    <row r="453" spans="1:2" customFormat="1" ht="14.4" x14ac:dyDescent="0.3">
      <c r="A453" s="1" t="s">
        <v>410</v>
      </c>
      <c r="B453" s="51">
        <v>0</v>
      </c>
    </row>
    <row r="454" spans="1:2" customFormat="1" ht="14.4" x14ac:dyDescent="0.3">
      <c r="A454" s="1" t="s">
        <v>411</v>
      </c>
      <c r="B454" s="51">
        <v>0</v>
      </c>
    </row>
    <row r="455" spans="1:2" customFormat="1" ht="14.4" x14ac:dyDescent="0.3">
      <c r="A455" s="1" t="s">
        <v>412</v>
      </c>
      <c r="B455" s="51">
        <v>0</v>
      </c>
    </row>
    <row r="456" spans="1:2" customFormat="1" ht="14.4" x14ac:dyDescent="0.3">
      <c r="A456" s="1" t="s">
        <v>483</v>
      </c>
      <c r="B456" s="51">
        <v>0</v>
      </c>
    </row>
    <row r="457" spans="1:2" customFormat="1" ht="14.4" x14ac:dyDescent="0.3">
      <c r="A457" s="1" t="s">
        <v>657</v>
      </c>
      <c r="B457" s="51">
        <v>0</v>
      </c>
    </row>
    <row r="458" spans="1:2" customFormat="1" ht="14.4" x14ac:dyDescent="0.3">
      <c r="A458" s="1" t="s">
        <v>656</v>
      </c>
      <c r="B458" s="51">
        <v>0</v>
      </c>
    </row>
    <row r="459" spans="1:2" customFormat="1" ht="14.4" x14ac:dyDescent="0.3">
      <c r="A459" s="1" t="s">
        <v>458</v>
      </c>
      <c r="B459" s="51">
        <v>0</v>
      </c>
    </row>
    <row r="460" spans="1:2" customFormat="1" ht="14.4" x14ac:dyDescent="0.3">
      <c r="A460" s="1" t="s">
        <v>494</v>
      </c>
      <c r="B460" s="51">
        <v>0</v>
      </c>
    </row>
    <row r="461" spans="1:2" customFormat="1" ht="14.4" x14ac:dyDescent="0.3">
      <c r="A461" s="1" t="s">
        <v>808</v>
      </c>
      <c r="B461" s="51">
        <v>0</v>
      </c>
    </row>
    <row r="462" spans="1:2" customFormat="1" ht="14.4" x14ac:dyDescent="0.3">
      <c r="A462" s="1" t="s">
        <v>807</v>
      </c>
      <c r="B462" s="51">
        <v>0</v>
      </c>
    </row>
    <row r="463" spans="1:2" customFormat="1" ht="14.4" x14ac:dyDescent="0.3">
      <c r="A463" s="1" t="s">
        <v>507</v>
      </c>
      <c r="B463" s="51">
        <v>0</v>
      </c>
    </row>
    <row r="464" spans="1:2" customFormat="1" ht="14.4" x14ac:dyDescent="0.3">
      <c r="A464" s="1" t="s">
        <v>381</v>
      </c>
      <c r="B464" s="51">
        <v>0</v>
      </c>
    </row>
    <row r="465" spans="1:2" customFormat="1" ht="14.4" x14ac:dyDescent="0.3">
      <c r="A465" s="1" t="s">
        <v>491</v>
      </c>
      <c r="B465" s="51">
        <v>0</v>
      </c>
    </row>
    <row r="466" spans="1:2" customFormat="1" ht="14.4" x14ac:dyDescent="0.3">
      <c r="A466" s="1" t="s">
        <v>492</v>
      </c>
      <c r="B466" s="51">
        <v>0</v>
      </c>
    </row>
    <row r="467" spans="1:2" customFormat="1" ht="14.4" x14ac:dyDescent="0.3">
      <c r="A467" s="1" t="s">
        <v>655</v>
      </c>
      <c r="B467" s="51">
        <v>0</v>
      </c>
    </row>
    <row r="468" spans="1:2" customFormat="1" ht="14.4" x14ac:dyDescent="0.3">
      <c r="A468" s="1" t="s">
        <v>523</v>
      </c>
      <c r="B468" s="51">
        <v>0</v>
      </c>
    </row>
    <row r="469" spans="1:2" customFormat="1" ht="14.4" x14ac:dyDescent="0.3">
      <c r="A469" s="1" t="s">
        <v>377</v>
      </c>
      <c r="B469" s="51">
        <v>0</v>
      </c>
    </row>
    <row r="470" spans="1:2" customFormat="1" ht="14.4" x14ac:dyDescent="0.3">
      <c r="A470" s="1" t="s">
        <v>650</v>
      </c>
      <c r="B470" s="51">
        <v>0</v>
      </c>
    </row>
    <row r="471" spans="1:2" customFormat="1" ht="14.4" x14ac:dyDescent="0.3">
      <c r="A471" s="1" t="s">
        <v>649</v>
      </c>
      <c r="B471" s="51">
        <v>0</v>
      </c>
    </row>
    <row r="472" spans="1:2" customFormat="1" ht="14.4" x14ac:dyDescent="0.3">
      <c r="A472" s="1" t="s">
        <v>658</v>
      </c>
      <c r="B472" s="51">
        <v>0</v>
      </c>
    </row>
    <row r="473" spans="1:2" customFormat="1" ht="14.4" x14ac:dyDescent="0.3">
      <c r="A473" s="1" t="s">
        <v>504</v>
      </c>
      <c r="B473" s="51">
        <v>0</v>
      </c>
    </row>
    <row r="474" spans="1:2" customFormat="1" ht="14.4" x14ac:dyDescent="0.3">
      <c r="A474" s="1" t="s">
        <v>659</v>
      </c>
      <c r="B474" s="51">
        <v>0</v>
      </c>
    </row>
    <row r="475" spans="1:2" customFormat="1" ht="14.4" x14ac:dyDescent="0.3">
      <c r="A475" s="1" t="s">
        <v>814</v>
      </c>
      <c r="B475" s="51">
        <v>0</v>
      </c>
    </row>
    <row r="476" spans="1:2" customFormat="1" ht="14.4" x14ac:dyDescent="0.3">
      <c r="A476" s="1" t="s">
        <v>92</v>
      </c>
      <c r="B476" s="51">
        <v>0</v>
      </c>
    </row>
    <row r="477" spans="1:2" customFormat="1" ht="14.4" x14ac:dyDescent="0.3">
      <c r="A477" s="1" t="s">
        <v>288</v>
      </c>
      <c r="B477" s="51">
        <v>0</v>
      </c>
    </row>
    <row r="478" spans="1:2" customFormat="1" ht="14.4" x14ac:dyDescent="0.3">
      <c r="A478" s="1" t="s">
        <v>287</v>
      </c>
      <c r="B478" s="51">
        <v>0</v>
      </c>
    </row>
    <row r="479" spans="1:2" customFormat="1" ht="14.4" x14ac:dyDescent="0.3">
      <c r="A479" s="1" t="s">
        <v>770</v>
      </c>
      <c r="B479" s="51">
        <v>0</v>
      </c>
    </row>
    <row r="480" spans="1:2" customFormat="1" ht="14.4" x14ac:dyDescent="0.3">
      <c r="A480" s="1" t="s">
        <v>369</v>
      </c>
      <c r="B480" s="51">
        <v>0</v>
      </c>
    </row>
    <row r="481" spans="1:2" customFormat="1" ht="14.4" x14ac:dyDescent="0.3">
      <c r="A481" s="1" t="s">
        <v>367</v>
      </c>
      <c r="B481" s="51">
        <v>0</v>
      </c>
    </row>
    <row r="482" spans="1:2" customFormat="1" ht="14.4" x14ac:dyDescent="0.3">
      <c r="A482" s="1" t="s">
        <v>366</v>
      </c>
      <c r="B482" s="51">
        <v>0</v>
      </c>
    </row>
    <row r="483" spans="1:2" customFormat="1" ht="14.4" x14ac:dyDescent="0.3">
      <c r="A483" s="1" t="s">
        <v>368</v>
      </c>
      <c r="B483" s="51">
        <v>0</v>
      </c>
    </row>
    <row r="484" spans="1:2" customFormat="1" ht="14.4" x14ac:dyDescent="0.3">
      <c r="A484" s="1" t="s">
        <v>364</v>
      </c>
      <c r="B484" s="51">
        <v>0</v>
      </c>
    </row>
    <row r="485" spans="1:2" customFormat="1" ht="14.4" x14ac:dyDescent="0.3">
      <c r="A485" s="1" t="s">
        <v>302</v>
      </c>
      <c r="B485" s="51">
        <v>0</v>
      </c>
    </row>
    <row r="486" spans="1:2" customFormat="1" ht="14.4" x14ac:dyDescent="0.3">
      <c r="A486" s="1" t="s">
        <v>301</v>
      </c>
      <c r="B486" s="51">
        <v>0</v>
      </c>
    </row>
    <row r="487" spans="1:2" customFormat="1" ht="14.4" x14ac:dyDescent="0.3">
      <c r="A487" s="1" t="s">
        <v>203</v>
      </c>
      <c r="B487" s="51">
        <v>0</v>
      </c>
    </row>
    <row r="488" spans="1:2" customFormat="1" ht="14.4" x14ac:dyDescent="0.3">
      <c r="A488" s="1" t="s">
        <v>286</v>
      </c>
      <c r="B488" s="51">
        <v>0</v>
      </c>
    </row>
    <row r="489" spans="1:2" customFormat="1" ht="14.4" x14ac:dyDescent="0.3">
      <c r="A489" s="1" t="s">
        <v>152</v>
      </c>
      <c r="B489" s="51">
        <v>0</v>
      </c>
    </row>
    <row r="490" spans="1:2" customFormat="1" ht="14.4" x14ac:dyDescent="0.3">
      <c r="A490" s="1" t="s">
        <v>679</v>
      </c>
      <c r="B490" s="51">
        <v>0</v>
      </c>
    </row>
    <row r="491" spans="1:2" customFormat="1" ht="14.4" x14ac:dyDescent="0.3">
      <c r="A491" s="1" t="s">
        <v>680</v>
      </c>
      <c r="B491" s="51">
        <v>0</v>
      </c>
    </row>
    <row r="492" spans="1:2" customFormat="1" ht="14.4" x14ac:dyDescent="0.3">
      <c r="A492" s="1" t="s">
        <v>753</v>
      </c>
      <c r="B492" s="51">
        <v>0</v>
      </c>
    </row>
    <row r="493" spans="1:2" customFormat="1" ht="14.4" x14ac:dyDescent="0.3">
      <c r="A493" s="1" t="s">
        <v>169</v>
      </c>
      <c r="B493" s="51">
        <v>0</v>
      </c>
    </row>
    <row r="494" spans="1:2" customFormat="1" ht="14.4" x14ac:dyDescent="0.3">
      <c r="A494" s="1" t="s">
        <v>171</v>
      </c>
      <c r="B494" s="51">
        <v>0</v>
      </c>
    </row>
    <row r="495" spans="1:2" customFormat="1" ht="14.4" x14ac:dyDescent="0.3">
      <c r="A495" s="1" t="s">
        <v>170</v>
      </c>
      <c r="B495" s="51">
        <v>0</v>
      </c>
    </row>
    <row r="496" spans="1:2" customFormat="1" ht="14.4" x14ac:dyDescent="0.3">
      <c r="A496" s="1" t="s">
        <v>121</v>
      </c>
      <c r="B496" s="51">
        <v>0</v>
      </c>
    </row>
    <row r="497" spans="1:2" customFormat="1" ht="14.4" x14ac:dyDescent="0.3">
      <c r="A497" s="1" t="s">
        <v>603</v>
      </c>
      <c r="B497" s="51">
        <v>0</v>
      </c>
    </row>
    <row r="498" spans="1:2" customFormat="1" ht="14.4" x14ac:dyDescent="0.3">
      <c r="A498" s="1" t="s">
        <v>578</v>
      </c>
      <c r="B498" s="51">
        <v>0</v>
      </c>
    </row>
    <row r="499" spans="1:2" customFormat="1" ht="14.4" x14ac:dyDescent="0.3">
      <c r="A499" s="1" t="s">
        <v>453</v>
      </c>
      <c r="B499" s="51">
        <v>0</v>
      </c>
    </row>
    <row r="500" spans="1:2" customFormat="1" ht="14.4" x14ac:dyDescent="0.3">
      <c r="A500" s="1" t="s">
        <v>694</v>
      </c>
      <c r="B500" s="51">
        <v>0</v>
      </c>
    </row>
    <row r="501" spans="1:2" customFormat="1" ht="14.4" x14ac:dyDescent="0.3">
      <c r="A501" s="1" t="s">
        <v>185</v>
      </c>
      <c r="B501" s="51">
        <v>0</v>
      </c>
    </row>
    <row r="502" spans="1:2" customFormat="1" ht="14.4" x14ac:dyDescent="0.3">
      <c r="A502" s="1" t="s">
        <v>534</v>
      </c>
      <c r="B502" s="51">
        <v>0</v>
      </c>
    </row>
    <row r="503" spans="1:2" customFormat="1" ht="14.4" x14ac:dyDescent="0.3">
      <c r="A503" s="1" t="s">
        <v>431</v>
      </c>
      <c r="B503" s="51">
        <v>0</v>
      </c>
    </row>
    <row r="504" spans="1:2" customFormat="1" ht="14.4" x14ac:dyDescent="0.3">
      <c r="A504" s="1" t="s">
        <v>852</v>
      </c>
      <c r="B504" s="51">
        <v>0</v>
      </c>
    </row>
    <row r="505" spans="1:2" customFormat="1" ht="14.4" x14ac:dyDescent="0.3">
      <c r="A505" s="1" t="s">
        <v>204</v>
      </c>
      <c r="B505" s="51">
        <v>0</v>
      </c>
    </row>
    <row r="506" spans="1:2" customFormat="1" ht="14.4" x14ac:dyDescent="0.3">
      <c r="A506" s="1" t="s">
        <v>153</v>
      </c>
      <c r="B506" s="51">
        <v>0</v>
      </c>
    </row>
    <row r="507" spans="1:2" customFormat="1" ht="14.4" x14ac:dyDescent="0.3">
      <c r="A507" s="1" t="s">
        <v>722</v>
      </c>
      <c r="B507" s="51">
        <v>0</v>
      </c>
    </row>
    <row r="508" spans="1:2" customFormat="1" ht="14.4" x14ac:dyDescent="0.3">
      <c r="A508" s="1" t="s">
        <v>653</v>
      </c>
      <c r="B508" s="51">
        <v>0</v>
      </c>
    </row>
    <row r="509" spans="1:2" customFormat="1" ht="14.4" x14ac:dyDescent="0.3">
      <c r="A509" s="1" t="s">
        <v>660</v>
      </c>
      <c r="B509" s="51">
        <v>0</v>
      </c>
    </row>
    <row r="510" spans="1:2" customFormat="1" ht="14.4" x14ac:dyDescent="0.3">
      <c r="A510" s="1" t="s">
        <v>502</v>
      </c>
      <c r="B510" s="51">
        <v>0</v>
      </c>
    </row>
    <row r="511" spans="1:2" customFormat="1" ht="14.4" x14ac:dyDescent="0.3">
      <c r="A511" s="1" t="s">
        <v>362</v>
      </c>
      <c r="B511" s="51">
        <v>0</v>
      </c>
    </row>
    <row r="512" spans="1:2" customFormat="1" ht="14.4" x14ac:dyDescent="0.3">
      <c r="A512" s="1" t="s">
        <v>226</v>
      </c>
      <c r="B512" s="51">
        <v>0</v>
      </c>
    </row>
    <row r="513" spans="1:2" customFormat="1" ht="14.4" x14ac:dyDescent="0.3">
      <c r="A513" s="1" t="s">
        <v>501</v>
      </c>
      <c r="B513" s="51">
        <v>0</v>
      </c>
    </row>
    <row r="514" spans="1:2" customFormat="1" ht="14.4" x14ac:dyDescent="0.3">
      <c r="A514" s="1" t="s">
        <v>503</v>
      </c>
      <c r="B514" s="51">
        <v>0</v>
      </c>
    </row>
    <row r="515" spans="1:2" customFormat="1" ht="14.4" x14ac:dyDescent="0.3">
      <c r="A515" s="1" t="s">
        <v>525</v>
      </c>
      <c r="B515" s="51">
        <v>0</v>
      </c>
    </row>
    <row r="516" spans="1:2" customFormat="1" ht="14.4" x14ac:dyDescent="0.3">
      <c r="A516" s="1" t="s">
        <v>625</v>
      </c>
      <c r="B516" s="51">
        <v>0</v>
      </c>
    </row>
    <row r="517" spans="1:2" customFormat="1" ht="14.4" x14ac:dyDescent="0.3">
      <c r="A517" s="1" t="s">
        <v>626</v>
      </c>
      <c r="B517" s="51">
        <v>0</v>
      </c>
    </row>
    <row r="518" spans="1:2" customFormat="1" ht="14.4" x14ac:dyDescent="0.3">
      <c r="A518" s="1" t="s">
        <v>627</v>
      </c>
      <c r="B518" s="51">
        <v>0</v>
      </c>
    </row>
    <row r="519" spans="1:2" customFormat="1" ht="14.4" x14ac:dyDescent="0.3">
      <c r="A519" s="1" t="s">
        <v>93</v>
      </c>
      <c r="B519" s="51">
        <v>0</v>
      </c>
    </row>
    <row r="520" spans="1:2" customFormat="1" ht="14.4" x14ac:dyDescent="0.3">
      <c r="A520" s="1" t="s">
        <v>102</v>
      </c>
      <c r="B520" s="51">
        <v>0</v>
      </c>
    </row>
    <row r="521" spans="1:2" customFormat="1" ht="14.4" x14ac:dyDescent="0.3">
      <c r="A521" s="1" t="s">
        <v>103</v>
      </c>
      <c r="B521" s="51">
        <v>0</v>
      </c>
    </row>
    <row r="522" spans="1:2" customFormat="1" ht="14.4" x14ac:dyDescent="0.3">
      <c r="A522" s="1" t="s">
        <v>772</v>
      </c>
      <c r="B522" s="51">
        <v>0</v>
      </c>
    </row>
    <row r="523" spans="1:2" customFormat="1" ht="14.4" x14ac:dyDescent="0.3">
      <c r="A523" s="1" t="s">
        <v>419</v>
      </c>
      <c r="B523" s="51">
        <v>0</v>
      </c>
    </row>
    <row r="524" spans="1:2" customFormat="1" ht="14.4" x14ac:dyDescent="0.3">
      <c r="A524" s="1" t="s">
        <v>788</v>
      </c>
      <c r="B524" s="51">
        <v>0</v>
      </c>
    </row>
    <row r="525" spans="1:2" customFormat="1" ht="14.4" x14ac:dyDescent="0.3">
      <c r="A525" s="1" t="s">
        <v>450</v>
      </c>
      <c r="B525" s="51">
        <v>0</v>
      </c>
    </row>
    <row r="526" spans="1:2" customFormat="1" ht="14.4" x14ac:dyDescent="0.3">
      <c r="A526" s="1" t="s">
        <v>472</v>
      </c>
      <c r="B526" s="51">
        <v>0</v>
      </c>
    </row>
    <row r="527" spans="1:2" customFormat="1" ht="14.4" x14ac:dyDescent="0.3">
      <c r="A527" s="1" t="s">
        <v>799</v>
      </c>
      <c r="B527" s="51">
        <v>0</v>
      </c>
    </row>
    <row r="528" spans="1:2" customFormat="1" ht="14.4" x14ac:dyDescent="0.3">
      <c r="A528" s="1" t="s">
        <v>449</v>
      </c>
      <c r="B528" s="51">
        <v>0</v>
      </c>
    </row>
    <row r="529" spans="1:2" customFormat="1" ht="14.4" x14ac:dyDescent="0.3">
      <c r="A529" s="1" t="s">
        <v>444</v>
      </c>
      <c r="B529" s="51">
        <v>0</v>
      </c>
    </row>
    <row r="530" spans="1:2" customFormat="1" ht="14.4" x14ac:dyDescent="0.3">
      <c r="A530" s="1" t="s">
        <v>732</v>
      </c>
      <c r="B530" s="51">
        <v>0</v>
      </c>
    </row>
    <row r="531" spans="1:2" customFormat="1" ht="14.4" x14ac:dyDescent="0.3">
      <c r="A531" s="1" t="s">
        <v>733</v>
      </c>
      <c r="B531" s="51">
        <v>0</v>
      </c>
    </row>
    <row r="532" spans="1:2" customFormat="1" ht="14.4" x14ac:dyDescent="0.3">
      <c r="A532" s="1" t="s">
        <v>456</v>
      </c>
      <c r="B532" s="51">
        <v>0</v>
      </c>
    </row>
    <row r="533" spans="1:2" customFormat="1" ht="14.4" x14ac:dyDescent="0.3">
      <c r="A533" s="1" t="s">
        <v>349</v>
      </c>
      <c r="B533" s="51">
        <v>0</v>
      </c>
    </row>
    <row r="534" spans="1:2" customFormat="1" ht="14.4" x14ac:dyDescent="0.3">
      <c r="A534" s="1" t="s">
        <v>792</v>
      </c>
      <c r="B534" s="51">
        <v>0</v>
      </c>
    </row>
    <row r="535" spans="1:2" customFormat="1" ht="14.4" x14ac:dyDescent="0.3">
      <c r="A535" s="1" t="s">
        <v>343</v>
      </c>
      <c r="B535" s="51">
        <v>0</v>
      </c>
    </row>
    <row r="536" spans="1:2" customFormat="1" ht="14.4" x14ac:dyDescent="0.3">
      <c r="A536" s="1" t="s">
        <v>620</v>
      </c>
      <c r="B536" s="51">
        <v>0</v>
      </c>
    </row>
    <row r="537" spans="1:2" customFormat="1" ht="14.4" x14ac:dyDescent="0.3">
      <c r="A537" s="1" t="s">
        <v>863</v>
      </c>
      <c r="B537" s="51">
        <v>0</v>
      </c>
    </row>
    <row r="538" spans="1:2" customFormat="1" ht="14.4" x14ac:dyDescent="0.3">
      <c r="A538" s="1" t="s">
        <v>161</v>
      </c>
      <c r="B538" s="51">
        <v>0</v>
      </c>
    </row>
    <row r="539" spans="1:2" customFormat="1" ht="14.4" x14ac:dyDescent="0.3">
      <c r="A539" s="1" t="s">
        <v>570</v>
      </c>
      <c r="B539" s="51">
        <v>0</v>
      </c>
    </row>
    <row r="540" spans="1:2" customFormat="1" ht="14.4" x14ac:dyDescent="0.3">
      <c r="A540" s="1" t="s">
        <v>421</v>
      </c>
      <c r="B540" s="51">
        <v>0</v>
      </c>
    </row>
    <row r="541" spans="1:2" customFormat="1" ht="14.4" x14ac:dyDescent="0.3">
      <c r="A541" s="1" t="s">
        <v>422</v>
      </c>
      <c r="B541" s="51">
        <v>0</v>
      </c>
    </row>
    <row r="542" spans="1:2" customFormat="1" ht="14.4" x14ac:dyDescent="0.3">
      <c r="A542" s="1" t="s">
        <v>557</v>
      </c>
      <c r="B542" s="51">
        <v>0</v>
      </c>
    </row>
    <row r="543" spans="1:2" customFormat="1" ht="14.4" x14ac:dyDescent="0.3">
      <c r="A543" s="1" t="s">
        <v>718</v>
      </c>
      <c r="B543" s="51">
        <v>0</v>
      </c>
    </row>
    <row r="544" spans="1:2" customFormat="1" ht="14.4" x14ac:dyDescent="0.3">
      <c r="A544" s="1" t="s">
        <v>415</v>
      </c>
      <c r="B544" s="51">
        <v>0</v>
      </c>
    </row>
    <row r="545" spans="1:2" customFormat="1" ht="14.4" x14ac:dyDescent="0.3">
      <c r="A545" s="1" t="s">
        <v>682</v>
      </c>
      <c r="B545" s="51">
        <v>0</v>
      </c>
    </row>
    <row r="546" spans="1:2" customFormat="1" ht="14.4" x14ac:dyDescent="0.3">
      <c r="A546" s="1" t="s">
        <v>206</v>
      </c>
      <c r="B546" s="51">
        <v>0</v>
      </c>
    </row>
    <row r="547" spans="1:2" customFormat="1" ht="14.4" x14ac:dyDescent="0.3">
      <c r="A547" s="1" t="s">
        <v>752</v>
      </c>
      <c r="B547" s="51">
        <v>0</v>
      </c>
    </row>
    <row r="548" spans="1:2" customFormat="1" ht="14.4" x14ac:dyDescent="0.3">
      <c r="A548" s="1" t="s">
        <v>844</v>
      </c>
      <c r="B548" s="51">
        <v>0</v>
      </c>
    </row>
    <row r="549" spans="1:2" customFormat="1" ht="14.4" x14ac:dyDescent="0.3">
      <c r="A549" s="1" t="s">
        <v>845</v>
      </c>
      <c r="B549" s="51">
        <v>0</v>
      </c>
    </row>
    <row r="550" spans="1:2" customFormat="1" ht="14.4" x14ac:dyDescent="0.3">
      <c r="A550" s="1" t="s">
        <v>846</v>
      </c>
      <c r="B550" s="51">
        <v>0</v>
      </c>
    </row>
    <row r="551" spans="1:2" customFormat="1" ht="14.4" x14ac:dyDescent="0.3">
      <c r="A551" s="1" t="s">
        <v>848</v>
      </c>
      <c r="B551" s="51">
        <v>0</v>
      </c>
    </row>
    <row r="552" spans="1:2" customFormat="1" ht="14.4" x14ac:dyDescent="0.3">
      <c r="A552" s="1" t="s">
        <v>849</v>
      </c>
      <c r="B552" s="51">
        <v>0</v>
      </c>
    </row>
    <row r="553" spans="1:2" customFormat="1" ht="14.4" x14ac:dyDescent="0.3">
      <c r="A553" s="1" t="s">
        <v>837</v>
      </c>
      <c r="B553" s="51">
        <v>0</v>
      </c>
    </row>
    <row r="554" spans="1:2" customFormat="1" ht="14.4" x14ac:dyDescent="0.3">
      <c r="A554" s="1" t="s">
        <v>839</v>
      </c>
      <c r="B554" s="51">
        <v>0</v>
      </c>
    </row>
    <row r="555" spans="1:2" customFormat="1" ht="14.4" x14ac:dyDescent="0.3">
      <c r="A555" s="1" t="s">
        <v>882</v>
      </c>
      <c r="B555" s="51">
        <v>0</v>
      </c>
    </row>
    <row r="556" spans="1:2" customFormat="1" ht="14.4" x14ac:dyDescent="0.3">
      <c r="A556" s="1" t="s">
        <v>881</v>
      </c>
      <c r="B556" s="51">
        <v>0</v>
      </c>
    </row>
    <row r="557" spans="1:2" customFormat="1" ht="14.4" x14ac:dyDescent="0.3">
      <c r="A557" s="1" t="s">
        <v>623</v>
      </c>
      <c r="B557" s="51">
        <v>0</v>
      </c>
    </row>
    <row r="558" spans="1:2" customFormat="1" ht="14.4" x14ac:dyDescent="0.3">
      <c r="A558" s="1" t="s">
        <v>622</v>
      </c>
      <c r="B558" s="51">
        <v>0</v>
      </c>
    </row>
    <row r="559" spans="1:2" customFormat="1" ht="14.4" x14ac:dyDescent="0.3">
      <c r="A559" s="1" t="s">
        <v>566</v>
      </c>
      <c r="B559" s="51">
        <v>0</v>
      </c>
    </row>
    <row r="560" spans="1:2" customFormat="1" ht="14.4" x14ac:dyDescent="0.3">
      <c r="A560" s="1" t="s">
        <v>580</v>
      </c>
      <c r="B560" s="51">
        <v>0</v>
      </c>
    </row>
    <row r="561" spans="1:2" customFormat="1" ht="14.4" x14ac:dyDescent="0.3">
      <c r="A561" s="1" t="s">
        <v>337</v>
      </c>
      <c r="B561" s="51">
        <v>0</v>
      </c>
    </row>
    <row r="562" spans="1:2" customFormat="1" ht="14.4" x14ac:dyDescent="0.3">
      <c r="A562" s="1" t="s">
        <v>125</v>
      </c>
      <c r="B562" s="51">
        <v>0</v>
      </c>
    </row>
    <row r="563" spans="1:2" customFormat="1" ht="14.4" x14ac:dyDescent="0.3">
      <c r="A563" s="1" t="s">
        <v>205</v>
      </c>
      <c r="B563" s="51">
        <v>0</v>
      </c>
    </row>
    <row r="564" spans="1:2" customFormat="1" ht="14.4" x14ac:dyDescent="0.3">
      <c r="A564" s="1" t="s">
        <v>110</v>
      </c>
      <c r="B564" s="51">
        <v>0</v>
      </c>
    </row>
    <row r="565" spans="1:2" customFormat="1" ht="14.4" x14ac:dyDescent="0.3">
      <c r="A565" s="1" t="s">
        <v>279</v>
      </c>
      <c r="B565" s="51">
        <v>0</v>
      </c>
    </row>
    <row r="566" spans="1:2" customFormat="1" ht="14.4" x14ac:dyDescent="0.3">
      <c r="A566" s="1" t="s">
        <v>112</v>
      </c>
      <c r="B566" s="51">
        <v>0</v>
      </c>
    </row>
    <row r="567" spans="1:2" customFormat="1" ht="14.4" x14ac:dyDescent="0.3">
      <c r="A567" s="1" t="s">
        <v>10</v>
      </c>
      <c r="B567" s="51">
        <v>0</v>
      </c>
    </row>
    <row r="568" spans="1:2" customFormat="1" ht="14.4" x14ac:dyDescent="0.3">
      <c r="A568" s="1" t="s">
        <v>333</v>
      </c>
      <c r="B568" s="51">
        <v>0</v>
      </c>
    </row>
    <row r="569" spans="1:2" customFormat="1" ht="14.4" x14ac:dyDescent="0.3">
      <c r="A569" s="1" t="s">
        <v>331</v>
      </c>
      <c r="B569" s="51">
        <v>0</v>
      </c>
    </row>
    <row r="570" spans="1:2" customFormat="1" ht="14.4" x14ac:dyDescent="0.3">
      <c r="A570" s="1" t="s">
        <v>332</v>
      </c>
      <c r="B570" s="51">
        <v>0</v>
      </c>
    </row>
    <row r="571" spans="1:2" customFormat="1" ht="14.4" x14ac:dyDescent="0.3">
      <c r="A571" s="1" t="s">
        <v>149</v>
      </c>
      <c r="B571" s="51">
        <v>0</v>
      </c>
    </row>
    <row r="572" spans="1:2" customFormat="1" ht="14.4" x14ac:dyDescent="0.3">
      <c r="A572" s="1" t="s">
        <v>320</v>
      </c>
      <c r="B572" s="51">
        <v>0</v>
      </c>
    </row>
    <row r="573" spans="1:2" customFormat="1" ht="14.4" x14ac:dyDescent="0.3">
      <c r="A573" s="1" t="s">
        <v>562</v>
      </c>
      <c r="B573" s="51">
        <v>0</v>
      </c>
    </row>
    <row r="574" spans="1:2" customFormat="1" ht="14.4" x14ac:dyDescent="0.3">
      <c r="A574" s="1" t="s">
        <v>834</v>
      </c>
      <c r="B574" s="51">
        <v>0</v>
      </c>
    </row>
    <row r="575" spans="1:2" customFormat="1" ht="14.4" x14ac:dyDescent="0.3">
      <c r="A575" s="1" t="s">
        <v>840</v>
      </c>
      <c r="B575" s="51">
        <v>0</v>
      </c>
    </row>
    <row r="576" spans="1:2" customFormat="1" ht="14.4" x14ac:dyDescent="0.3">
      <c r="A576" s="1" t="s">
        <v>335</v>
      </c>
      <c r="B576" s="51">
        <v>0</v>
      </c>
    </row>
    <row r="577" spans="1:2" customFormat="1" ht="14.4" x14ac:dyDescent="0.3">
      <c r="A577" s="1" t="s">
        <v>334</v>
      </c>
      <c r="B577" s="51">
        <v>0</v>
      </c>
    </row>
    <row r="578" spans="1:2" customFormat="1" ht="14.4" x14ac:dyDescent="0.3">
      <c r="A578" s="1" t="s">
        <v>490</v>
      </c>
      <c r="B578" s="51">
        <v>0</v>
      </c>
    </row>
    <row r="579" spans="1:2" customFormat="1" ht="14.4" x14ac:dyDescent="0.3">
      <c r="A579" s="1" t="s">
        <v>124</v>
      </c>
      <c r="B579" s="51">
        <v>0</v>
      </c>
    </row>
    <row r="580" spans="1:2" customFormat="1" ht="14.4" x14ac:dyDescent="0.3">
      <c r="A580" s="1" t="s">
        <v>132</v>
      </c>
      <c r="B580" s="51">
        <v>0</v>
      </c>
    </row>
    <row r="581" spans="1:2" customFormat="1" ht="14.4" x14ac:dyDescent="0.3">
      <c r="A581" s="1" t="s">
        <v>465</v>
      </c>
      <c r="B581" s="51">
        <v>0</v>
      </c>
    </row>
    <row r="582" spans="1:2" customFormat="1" ht="14.4" x14ac:dyDescent="0.3">
      <c r="A582" s="1" t="s">
        <v>858</v>
      </c>
      <c r="B582" s="51">
        <v>0</v>
      </c>
    </row>
    <row r="583" spans="1:2" customFormat="1" ht="14.4" x14ac:dyDescent="0.3">
      <c r="A583" s="1" t="s">
        <v>857</v>
      </c>
      <c r="B583" s="51">
        <v>0</v>
      </c>
    </row>
    <row r="584" spans="1:2" customFormat="1" ht="14.4" x14ac:dyDescent="0.3">
      <c r="A584" s="1" t="s">
        <v>832</v>
      </c>
      <c r="B584" s="51">
        <v>0</v>
      </c>
    </row>
    <row r="585" spans="1:2" customFormat="1" ht="14.4" x14ac:dyDescent="0.3">
      <c r="A585" s="1" t="s">
        <v>854</v>
      </c>
      <c r="B585" s="51">
        <v>0</v>
      </c>
    </row>
    <row r="586" spans="1:2" customFormat="1" ht="14.4" x14ac:dyDescent="0.3">
      <c r="A586" s="1" t="s">
        <v>884</v>
      </c>
      <c r="B586" s="51">
        <v>0</v>
      </c>
    </row>
    <row r="587" spans="1:2" customFormat="1" ht="14.4" x14ac:dyDescent="0.3">
      <c r="A587" s="1" t="s">
        <v>868</v>
      </c>
      <c r="B587" s="51">
        <v>0</v>
      </c>
    </row>
    <row r="588" spans="1:2" customFormat="1" ht="14.4" x14ac:dyDescent="0.3">
      <c r="A588" s="1" t="s">
        <v>885</v>
      </c>
      <c r="B588" s="51">
        <v>0</v>
      </c>
    </row>
    <row r="589" spans="1:2" customFormat="1" ht="14.4" x14ac:dyDescent="0.3">
      <c r="A589" s="1" t="s">
        <v>869</v>
      </c>
      <c r="B589" s="51">
        <v>0</v>
      </c>
    </row>
    <row r="590" spans="1:2" customFormat="1" ht="14.4" x14ac:dyDescent="0.3">
      <c r="A590" s="1" t="s">
        <v>888</v>
      </c>
      <c r="B590" s="51">
        <v>0</v>
      </c>
    </row>
    <row r="591" spans="1:2" customFormat="1" ht="14.4" x14ac:dyDescent="0.3">
      <c r="A591" s="1" t="s">
        <v>872</v>
      </c>
      <c r="B591" s="51">
        <v>0</v>
      </c>
    </row>
    <row r="592" spans="1:2" customFormat="1" ht="14.4" x14ac:dyDescent="0.3">
      <c r="A592" s="1" t="s">
        <v>720</v>
      </c>
      <c r="B592" s="51">
        <v>0</v>
      </c>
    </row>
    <row r="593" spans="1:2" customFormat="1" ht="14.4" x14ac:dyDescent="0.3">
      <c r="A593" s="1" t="s">
        <v>482</v>
      </c>
      <c r="B593" s="51">
        <v>0</v>
      </c>
    </row>
    <row r="594" spans="1:2" customFormat="1" ht="14.4" x14ac:dyDescent="0.3">
      <c r="A594" s="1" t="s">
        <v>485</v>
      </c>
      <c r="B594" s="51">
        <v>0</v>
      </c>
    </row>
    <row r="595" spans="1:2" customFormat="1" ht="14.4" x14ac:dyDescent="0.3">
      <c r="A595" s="1" t="s">
        <v>484</v>
      </c>
      <c r="B595" s="51">
        <v>0</v>
      </c>
    </row>
    <row r="596" spans="1:2" customFormat="1" ht="14.4" x14ac:dyDescent="0.3">
      <c r="A596" s="1" t="s">
        <v>886</v>
      </c>
      <c r="B596" s="51">
        <v>0</v>
      </c>
    </row>
    <row r="597" spans="1:2" customFormat="1" ht="14.4" x14ac:dyDescent="0.3">
      <c r="A597" s="1" t="s">
        <v>833</v>
      </c>
      <c r="B597" s="51">
        <v>0</v>
      </c>
    </row>
    <row r="598" spans="1:2" customFormat="1" ht="14.4" x14ac:dyDescent="0.3">
      <c r="A598" s="1" t="s">
        <v>213</v>
      </c>
      <c r="B598" s="51">
        <v>0</v>
      </c>
    </row>
    <row r="599" spans="1:2" customFormat="1" ht="14.4" x14ac:dyDescent="0.3">
      <c r="A599" s="1" t="s">
        <v>221</v>
      </c>
      <c r="B599" s="51">
        <v>0</v>
      </c>
    </row>
    <row r="600" spans="1:2" customFormat="1" ht="14.4" x14ac:dyDescent="0.3">
      <c r="A600" s="1" t="s">
        <v>133</v>
      </c>
      <c r="B600" s="51">
        <v>0</v>
      </c>
    </row>
    <row r="601" spans="1:2" customFormat="1" ht="14.4" x14ac:dyDescent="0.3">
      <c r="A601" s="1" t="s">
        <v>117</v>
      </c>
      <c r="B601" s="51">
        <v>0</v>
      </c>
    </row>
    <row r="602" spans="1:2" customFormat="1" ht="14.4" x14ac:dyDescent="0.3">
      <c r="A602" s="1" t="s">
        <v>116</v>
      </c>
      <c r="B602" s="51">
        <v>0</v>
      </c>
    </row>
    <row r="603" spans="1:2" customFormat="1" ht="14.4" x14ac:dyDescent="0.3">
      <c r="A603" s="1" t="s">
        <v>165</v>
      </c>
      <c r="B603" s="51">
        <v>0</v>
      </c>
    </row>
    <row r="604" spans="1:2" customFormat="1" ht="14.4" x14ac:dyDescent="0.3">
      <c r="A604" s="1" t="s">
        <v>115</v>
      </c>
      <c r="B604" s="51">
        <v>0</v>
      </c>
    </row>
    <row r="605" spans="1:2" customFormat="1" ht="14.4" x14ac:dyDescent="0.3">
      <c r="A605" s="1" t="s">
        <v>114</v>
      </c>
      <c r="B605" s="51">
        <v>0</v>
      </c>
    </row>
    <row r="606" spans="1:2" customFormat="1" ht="14.4" x14ac:dyDescent="0.3">
      <c r="A606" s="1" t="s">
        <v>113</v>
      </c>
      <c r="B606" s="51">
        <v>0</v>
      </c>
    </row>
    <row r="607" spans="1:2" customFormat="1" ht="14.4" x14ac:dyDescent="0.3">
      <c r="A607" s="1" t="s">
        <v>122</v>
      </c>
      <c r="B607" s="51">
        <v>0</v>
      </c>
    </row>
    <row r="608" spans="1:2" customFormat="1" ht="14.4" x14ac:dyDescent="0.3">
      <c r="A608" s="1" t="s">
        <v>379</v>
      </c>
      <c r="B608" s="51">
        <v>0</v>
      </c>
    </row>
    <row r="609" spans="1:2" customFormat="1" ht="14.4" x14ac:dyDescent="0.3">
      <c r="A609" s="1" t="s">
        <v>225</v>
      </c>
      <c r="B609" s="51">
        <v>0</v>
      </c>
    </row>
    <row r="610" spans="1:2" customFormat="1" ht="14.4" x14ac:dyDescent="0.3">
      <c r="A610" s="1" t="s">
        <v>234</v>
      </c>
      <c r="B610" s="51">
        <v>0</v>
      </c>
    </row>
    <row r="611" spans="1:2" customFormat="1" ht="14.4" x14ac:dyDescent="0.3">
      <c r="A611" s="1" t="s">
        <v>374</v>
      </c>
      <c r="B611" s="51">
        <v>0</v>
      </c>
    </row>
    <row r="612" spans="1:2" customFormat="1" ht="14.4" x14ac:dyDescent="0.3">
      <c r="A612" s="1" t="s">
        <v>233</v>
      </c>
      <c r="B612" s="51">
        <v>0</v>
      </c>
    </row>
    <row r="613" spans="1:2" customFormat="1" ht="14.4" x14ac:dyDescent="0.3">
      <c r="A613" s="1" t="s">
        <v>363</v>
      </c>
      <c r="B613" s="51">
        <v>0</v>
      </c>
    </row>
    <row r="614" spans="1:2" customFormat="1" ht="14.4" x14ac:dyDescent="0.3">
      <c r="A614" s="1" t="s">
        <v>222</v>
      </c>
      <c r="B614" s="51">
        <v>0</v>
      </c>
    </row>
    <row r="615" spans="1:2" customFormat="1" ht="14.4" x14ac:dyDescent="0.3">
      <c r="A615" s="1" t="s">
        <v>375</v>
      </c>
      <c r="B615" s="51">
        <v>0</v>
      </c>
    </row>
    <row r="616" spans="1:2" customFormat="1" ht="14.4" x14ac:dyDescent="0.3">
      <c r="A616" s="1" t="s">
        <v>766</v>
      </c>
      <c r="B616" s="51">
        <v>0</v>
      </c>
    </row>
    <row r="617" spans="1:2" customFormat="1" ht="14.4" x14ac:dyDescent="0.3">
      <c r="A617" s="1" t="s">
        <v>767</v>
      </c>
      <c r="B617" s="51">
        <v>0</v>
      </c>
    </row>
    <row r="618" spans="1:2" customFormat="1" ht="14.4" x14ac:dyDescent="0.3">
      <c r="A618" s="1" t="s">
        <v>522</v>
      </c>
      <c r="B618" s="51">
        <v>0</v>
      </c>
    </row>
    <row r="619" spans="1:2" customFormat="1" ht="14.4" x14ac:dyDescent="0.3">
      <c r="A619" s="1" t="s">
        <v>727</v>
      </c>
      <c r="B619" s="51">
        <v>0</v>
      </c>
    </row>
    <row r="620" spans="1:2" customFormat="1" ht="14.4" x14ac:dyDescent="0.3">
      <c r="A620" s="1" t="s">
        <v>726</v>
      </c>
      <c r="B620" s="51">
        <v>0</v>
      </c>
    </row>
    <row r="621" spans="1:2" customFormat="1" ht="14.4" x14ac:dyDescent="0.3">
      <c r="A621" s="1" t="s">
        <v>725</v>
      </c>
      <c r="B621" s="51">
        <v>0</v>
      </c>
    </row>
    <row r="622" spans="1:2" customFormat="1" ht="14.4" x14ac:dyDescent="0.3">
      <c r="A622" s="1" t="s">
        <v>90</v>
      </c>
      <c r="B622" s="51">
        <v>0</v>
      </c>
    </row>
    <row r="623" spans="1:2" customFormat="1" ht="14.4" x14ac:dyDescent="0.3">
      <c r="A623" s="1" t="s">
        <v>88</v>
      </c>
      <c r="B623" s="51">
        <v>0</v>
      </c>
    </row>
    <row r="624" spans="1:2" customFormat="1" ht="14.4" x14ac:dyDescent="0.3">
      <c r="A624" s="1" t="s">
        <v>87</v>
      </c>
      <c r="B624" s="51">
        <v>0</v>
      </c>
    </row>
    <row r="625" spans="1:2" customFormat="1" ht="14.4" x14ac:dyDescent="0.3">
      <c r="A625" s="1" t="s">
        <v>89</v>
      </c>
      <c r="B625" s="51">
        <v>0</v>
      </c>
    </row>
    <row r="626" spans="1:2" customFormat="1" ht="14.4" x14ac:dyDescent="0.3">
      <c r="A626" s="1" t="s">
        <v>768</v>
      </c>
      <c r="B626" s="51">
        <v>0</v>
      </c>
    </row>
    <row r="627" spans="1:2" customFormat="1" ht="14.4" x14ac:dyDescent="0.3">
      <c r="A627" s="1" t="s">
        <v>354</v>
      </c>
      <c r="B627" s="51">
        <v>0</v>
      </c>
    </row>
    <row r="628" spans="1:2" customFormat="1" ht="14.4" x14ac:dyDescent="0.3">
      <c r="A628" s="1" t="s">
        <v>329</v>
      </c>
      <c r="B628" s="51">
        <v>0</v>
      </c>
    </row>
    <row r="629" spans="1:2" customFormat="1" ht="14.4" x14ac:dyDescent="0.3">
      <c r="A629" s="1" t="s">
        <v>728</v>
      </c>
      <c r="B629" s="51">
        <v>0</v>
      </c>
    </row>
    <row r="630" spans="1:2" customFormat="1" ht="14.4" x14ac:dyDescent="0.3">
      <c r="A630" s="1" t="s">
        <v>322</v>
      </c>
      <c r="B630" s="51">
        <v>0</v>
      </c>
    </row>
    <row r="631" spans="1:2" customFormat="1" ht="14.4" x14ac:dyDescent="0.3">
      <c r="A631" s="1" t="s">
        <v>338</v>
      </c>
      <c r="B631" s="51">
        <v>0</v>
      </c>
    </row>
    <row r="632" spans="1:2" customFormat="1" ht="14.4" x14ac:dyDescent="0.3">
      <c r="A632" s="1" t="s">
        <v>174</v>
      </c>
      <c r="B632" s="51">
        <v>0</v>
      </c>
    </row>
    <row r="633" spans="1:2" customFormat="1" ht="14.4" x14ac:dyDescent="0.3">
      <c r="A633" s="1" t="s">
        <v>173</v>
      </c>
      <c r="B633" s="51">
        <v>0</v>
      </c>
    </row>
    <row r="634" spans="1:2" customFormat="1" ht="14.4" x14ac:dyDescent="0.3">
      <c r="A634" s="1" t="s">
        <v>861</v>
      </c>
      <c r="B634" s="51">
        <v>0</v>
      </c>
    </row>
    <row r="635" spans="1:2" customFormat="1" ht="14.4" x14ac:dyDescent="0.3">
      <c r="A635" s="1" t="s">
        <v>862</v>
      </c>
      <c r="B635" s="51">
        <v>0</v>
      </c>
    </row>
    <row r="636" spans="1:2" customFormat="1" ht="14.4" x14ac:dyDescent="0.3">
      <c r="A636" s="1" t="s">
        <v>424</v>
      </c>
      <c r="B636" s="51">
        <v>0</v>
      </c>
    </row>
    <row r="637" spans="1:2" customFormat="1" ht="14.4" x14ac:dyDescent="0.3">
      <c r="A637" s="1" t="s">
        <v>289</v>
      </c>
      <c r="B637" s="51">
        <v>0</v>
      </c>
    </row>
    <row r="638" spans="1:2" customFormat="1" ht="14.4" x14ac:dyDescent="0.3">
      <c r="A638" s="1" t="s">
        <v>291</v>
      </c>
      <c r="B638" s="51">
        <v>0</v>
      </c>
    </row>
    <row r="639" spans="1:2" customFormat="1" ht="14.4" x14ac:dyDescent="0.3">
      <c r="A639" s="1" t="s">
        <v>754</v>
      </c>
      <c r="B639" s="51">
        <v>0</v>
      </c>
    </row>
    <row r="640" spans="1:2" customFormat="1" ht="14.4" x14ac:dyDescent="0.3">
      <c r="A640" s="1" t="s">
        <v>856</v>
      </c>
      <c r="B640" s="51">
        <v>0</v>
      </c>
    </row>
    <row r="641" spans="1:2" customFormat="1" ht="14.4" x14ac:dyDescent="0.3">
      <c r="A641" s="1" t="s">
        <v>875</v>
      </c>
      <c r="B641" s="51">
        <v>0</v>
      </c>
    </row>
    <row r="642" spans="1:2" customFormat="1" ht="14.4" x14ac:dyDescent="0.3">
      <c r="A642" s="1" t="s">
        <v>874</v>
      </c>
      <c r="B642" s="51">
        <v>0</v>
      </c>
    </row>
    <row r="643" spans="1:2" customFormat="1" ht="14.4" x14ac:dyDescent="0.3">
      <c r="A643" s="1" t="s">
        <v>274</v>
      </c>
      <c r="B643" s="51">
        <v>0</v>
      </c>
    </row>
    <row r="644" spans="1:2" customFormat="1" ht="14.4" x14ac:dyDescent="0.3">
      <c r="A644" s="1" t="s">
        <v>275</v>
      </c>
      <c r="B644" s="51">
        <v>0</v>
      </c>
    </row>
    <row r="645" spans="1:2" customFormat="1" ht="14.4" x14ac:dyDescent="0.3">
      <c r="A645" s="1" t="s">
        <v>184</v>
      </c>
      <c r="B645" s="51">
        <v>0</v>
      </c>
    </row>
    <row r="646" spans="1:2" customFormat="1" ht="14.4" x14ac:dyDescent="0.3">
      <c r="A646" s="1" t="s">
        <v>176</v>
      </c>
      <c r="B646" s="51">
        <v>0</v>
      </c>
    </row>
    <row r="647" spans="1:2" customFormat="1" ht="14.4" x14ac:dyDescent="0.3">
      <c r="A647" s="1" t="s">
        <v>853</v>
      </c>
      <c r="B647" s="51">
        <v>0</v>
      </c>
    </row>
    <row r="648" spans="1:2" customFormat="1" ht="14.4" x14ac:dyDescent="0.3">
      <c r="A648" s="1" t="s">
        <v>262</v>
      </c>
      <c r="B648" s="51">
        <v>0</v>
      </c>
    </row>
    <row r="649" spans="1:2" customFormat="1" ht="14.4" x14ac:dyDescent="0.3">
      <c r="A649" s="1" t="s">
        <v>719</v>
      </c>
      <c r="B649" s="51">
        <v>0</v>
      </c>
    </row>
    <row r="650" spans="1:2" customFormat="1" ht="14.4" x14ac:dyDescent="0.3">
      <c r="A650" s="1" t="s">
        <v>129</v>
      </c>
      <c r="B650" s="51">
        <v>0</v>
      </c>
    </row>
    <row r="651" spans="1:2" customFormat="1" ht="14.4" x14ac:dyDescent="0.3">
      <c r="A651" s="1" t="s">
        <v>317</v>
      </c>
      <c r="B651" s="51">
        <v>0</v>
      </c>
    </row>
    <row r="652" spans="1:2" customFormat="1" ht="14.4" x14ac:dyDescent="0.3">
      <c r="A652" s="1" t="s">
        <v>316</v>
      </c>
      <c r="B652" s="51">
        <v>0</v>
      </c>
    </row>
    <row r="653" spans="1:2" customFormat="1" ht="14.4" x14ac:dyDescent="0.3">
      <c r="A653" s="1" t="s">
        <v>321</v>
      </c>
      <c r="B653" s="51">
        <v>0</v>
      </c>
    </row>
    <row r="654" spans="1:2" customFormat="1" ht="14.4" x14ac:dyDescent="0.3">
      <c r="A654" s="1" t="s">
        <v>120</v>
      </c>
      <c r="B654" s="51">
        <v>0</v>
      </c>
    </row>
    <row r="655" spans="1:2" customFormat="1" ht="14.4" x14ac:dyDescent="0.3">
      <c r="A655" s="1" t="s">
        <v>810</v>
      </c>
      <c r="B655" s="51">
        <v>0</v>
      </c>
    </row>
    <row r="656" spans="1:2" customFormat="1" ht="14.4" x14ac:dyDescent="0.3">
      <c r="A656" s="1" t="s">
        <v>577</v>
      </c>
      <c r="B656" s="51">
        <v>0</v>
      </c>
    </row>
    <row r="657" spans="1:2" customFormat="1" ht="14.4" x14ac:dyDescent="0.3">
      <c r="A657" s="1" t="s">
        <v>215</v>
      </c>
      <c r="B657" s="51">
        <v>0</v>
      </c>
    </row>
    <row r="658" spans="1:2" customFormat="1" ht="14.4" x14ac:dyDescent="0.3">
      <c r="A658" s="1" t="s">
        <v>430</v>
      </c>
      <c r="B658" s="51">
        <v>0</v>
      </c>
    </row>
    <row r="659" spans="1:2" customFormat="1" ht="14.4" x14ac:dyDescent="0.3">
      <c r="A659" s="1" t="s">
        <v>214</v>
      </c>
      <c r="B659" s="51">
        <v>0</v>
      </c>
    </row>
    <row r="660" spans="1:2" customFormat="1" ht="14.4" x14ac:dyDescent="0.3">
      <c r="A660" s="1" t="s">
        <v>130</v>
      </c>
      <c r="B660" s="51">
        <v>0</v>
      </c>
    </row>
    <row r="661" spans="1:2" customFormat="1" ht="14.4" x14ac:dyDescent="0.3">
      <c r="A661" s="1" t="s">
        <v>441</v>
      </c>
      <c r="B661" s="51">
        <v>0</v>
      </c>
    </row>
    <row r="662" spans="1:2" customFormat="1" ht="14.4" x14ac:dyDescent="0.3">
      <c r="A662" s="1" t="s">
        <v>744</v>
      </c>
      <c r="B662" s="51">
        <v>0</v>
      </c>
    </row>
    <row r="663" spans="1:2" customFormat="1" ht="14.4" x14ac:dyDescent="0.3">
      <c r="A663" s="1" t="s">
        <v>743</v>
      </c>
      <c r="B663" s="51">
        <v>0</v>
      </c>
    </row>
    <row r="664" spans="1:2" customFormat="1" ht="14.4" x14ac:dyDescent="0.3">
      <c r="A664" s="1" t="s">
        <v>811</v>
      </c>
      <c r="B664" s="51">
        <v>0</v>
      </c>
    </row>
    <row r="665" spans="1:2" customFormat="1" ht="14.4" x14ac:dyDescent="0.3">
      <c r="A665" s="1" t="s">
        <v>145</v>
      </c>
      <c r="B665" s="51">
        <v>0</v>
      </c>
    </row>
    <row r="666" spans="1:2" customFormat="1" ht="14.4" x14ac:dyDescent="0.3">
      <c r="A666" s="1" t="s">
        <v>172</v>
      </c>
      <c r="B666" s="51">
        <v>0</v>
      </c>
    </row>
    <row r="667" spans="1:2" customFormat="1" ht="14.4" x14ac:dyDescent="0.3">
      <c r="A667" s="1" t="s">
        <v>127</v>
      </c>
      <c r="B667" s="51">
        <v>0</v>
      </c>
    </row>
    <row r="668" spans="1:2" customFormat="1" ht="14.4" x14ac:dyDescent="0.3">
      <c r="A668" s="1" t="s">
        <v>186</v>
      </c>
      <c r="B668" s="51">
        <v>0</v>
      </c>
    </row>
    <row r="669" spans="1:2" customFormat="1" ht="14.4" x14ac:dyDescent="0.3">
      <c r="A669" s="1" t="s">
        <v>687</v>
      </c>
      <c r="B669" s="51">
        <v>0</v>
      </c>
    </row>
    <row r="670" spans="1:2" customFormat="1" ht="14.4" x14ac:dyDescent="0.3">
      <c r="A670" s="1" t="s">
        <v>175</v>
      </c>
      <c r="B670" s="51">
        <v>0</v>
      </c>
    </row>
    <row r="671" spans="1:2" customFormat="1" ht="14.4" x14ac:dyDescent="0.3">
      <c r="A671" s="1" t="s">
        <v>158</v>
      </c>
      <c r="B671" s="51">
        <v>0</v>
      </c>
    </row>
    <row r="672" spans="1:2" customFormat="1" ht="14.4" x14ac:dyDescent="0.3">
      <c r="A672" s="1" t="s">
        <v>155</v>
      </c>
      <c r="B672" s="51">
        <v>0</v>
      </c>
    </row>
    <row r="673" spans="1:2" customFormat="1" ht="14.4" x14ac:dyDescent="0.3">
      <c r="A673" s="1" t="s">
        <v>156</v>
      </c>
      <c r="B673" s="51">
        <v>0</v>
      </c>
    </row>
    <row r="674" spans="1:2" customFormat="1" ht="14.4" x14ac:dyDescent="0.3">
      <c r="A674" s="1" t="s">
        <v>157</v>
      </c>
      <c r="B674" s="51">
        <v>0</v>
      </c>
    </row>
    <row r="675" spans="1:2" customFormat="1" ht="14.4" x14ac:dyDescent="0.3">
      <c r="A675" s="1" t="s">
        <v>154</v>
      </c>
      <c r="B675" s="51">
        <v>0</v>
      </c>
    </row>
    <row r="676" spans="1:2" customFormat="1" ht="14.4" x14ac:dyDescent="0.3">
      <c r="A676" s="1" t="s">
        <v>690</v>
      </c>
      <c r="B676" s="51">
        <v>0</v>
      </c>
    </row>
    <row r="677" spans="1:2" customFormat="1" ht="14.4" x14ac:dyDescent="0.3">
      <c r="A677" s="1" t="s">
        <v>294</v>
      </c>
      <c r="B677" s="51">
        <v>0</v>
      </c>
    </row>
    <row r="678" spans="1:2" customFormat="1" ht="14.4" x14ac:dyDescent="0.3">
      <c r="A678" s="1" t="s">
        <v>295</v>
      </c>
      <c r="B678" s="51">
        <v>0</v>
      </c>
    </row>
    <row r="679" spans="1:2" customFormat="1" ht="14.4" x14ac:dyDescent="0.3">
      <c r="A679" s="1" t="s">
        <v>293</v>
      </c>
      <c r="B679" s="51">
        <v>0</v>
      </c>
    </row>
    <row r="680" spans="1:2" customFormat="1" ht="14.4" x14ac:dyDescent="0.3">
      <c r="A680" s="1" t="s">
        <v>119</v>
      </c>
      <c r="B680" s="51">
        <v>0</v>
      </c>
    </row>
    <row r="681" spans="1:2" customFormat="1" ht="14.4" x14ac:dyDescent="0.3">
      <c r="A681" s="1" t="s">
        <v>480</v>
      </c>
      <c r="B681" s="51">
        <v>0</v>
      </c>
    </row>
    <row r="682" spans="1:2" customFormat="1" ht="14.4" x14ac:dyDescent="0.3">
      <c r="A682" s="1" t="s">
        <v>864</v>
      </c>
      <c r="B682" s="51">
        <v>0</v>
      </c>
    </row>
    <row r="683" spans="1:2" customFormat="1" ht="14.4" x14ac:dyDescent="0.3">
      <c r="A683" s="1" t="s">
        <v>537</v>
      </c>
      <c r="B683" s="51">
        <v>0</v>
      </c>
    </row>
    <row r="684" spans="1:2" customFormat="1" ht="14.4" x14ac:dyDescent="0.3">
      <c r="A684" s="1" t="s">
        <v>755</v>
      </c>
      <c r="B684" s="51">
        <v>0</v>
      </c>
    </row>
    <row r="685" spans="1:2" customFormat="1" ht="14.4" x14ac:dyDescent="0.3">
      <c r="A685" s="1" t="s">
        <v>466</v>
      </c>
      <c r="B685" s="51">
        <v>0</v>
      </c>
    </row>
    <row r="686" spans="1:2" customFormat="1" ht="14.4" x14ac:dyDescent="0.3">
      <c r="A686" s="1" t="s">
        <v>429</v>
      </c>
      <c r="B686" s="51">
        <v>0</v>
      </c>
    </row>
    <row r="687" spans="1:2" customFormat="1" ht="14.4" x14ac:dyDescent="0.3">
      <c r="A687" s="1" t="s">
        <v>800</v>
      </c>
      <c r="B687" s="51">
        <v>0</v>
      </c>
    </row>
    <row r="688" spans="1:2" customFormat="1" ht="14.4" x14ac:dyDescent="0.3">
      <c r="A688" s="1" t="s">
        <v>887</v>
      </c>
      <c r="B688" s="51">
        <v>0</v>
      </c>
    </row>
    <row r="689" spans="1:2" customFormat="1" ht="14.4" x14ac:dyDescent="0.3">
      <c r="A689" s="1" t="s">
        <v>563</v>
      </c>
      <c r="B689" s="51">
        <v>0</v>
      </c>
    </row>
    <row r="690" spans="1:2" customFormat="1" ht="14.4" x14ac:dyDescent="0.3">
      <c r="A690" s="1" t="s">
        <v>841</v>
      </c>
      <c r="B690" s="51">
        <v>0</v>
      </c>
    </row>
    <row r="691" spans="1:2" customFormat="1" ht="14.4" x14ac:dyDescent="0.3">
      <c r="A691" s="1" t="s">
        <v>628</v>
      </c>
      <c r="B691" s="51">
        <v>0</v>
      </c>
    </row>
    <row r="692" spans="1:2" customFormat="1" ht="14.4" x14ac:dyDescent="0.3">
      <c r="A692" s="1" t="s">
        <v>629</v>
      </c>
      <c r="B692" s="51">
        <v>0</v>
      </c>
    </row>
    <row r="693" spans="1:2" customFormat="1" ht="14.4" x14ac:dyDescent="0.3">
      <c r="A693" s="1" t="s">
        <v>630</v>
      </c>
      <c r="B693" s="51">
        <v>0</v>
      </c>
    </row>
    <row r="694" spans="1:2" customFormat="1" ht="14.4" x14ac:dyDescent="0.3">
      <c r="A694" s="1" t="s">
        <v>637</v>
      </c>
      <c r="B694" s="51">
        <v>0</v>
      </c>
    </row>
    <row r="695" spans="1:2" customFormat="1" ht="14.4" x14ac:dyDescent="0.3">
      <c r="A695" s="1" t="s">
        <v>634</v>
      </c>
      <c r="B695" s="51">
        <v>0</v>
      </c>
    </row>
    <row r="696" spans="1:2" customFormat="1" ht="14.4" x14ac:dyDescent="0.3">
      <c r="A696" s="1" t="s">
        <v>633</v>
      </c>
      <c r="B696" s="51">
        <v>0</v>
      </c>
    </row>
    <row r="697" spans="1:2" customFormat="1" ht="14.4" x14ac:dyDescent="0.3">
      <c r="A697" s="1" t="s">
        <v>632</v>
      </c>
      <c r="B697" s="51">
        <v>0</v>
      </c>
    </row>
    <row r="698" spans="1:2" customFormat="1" ht="14.4" x14ac:dyDescent="0.3">
      <c r="A698" s="1" t="s">
        <v>635</v>
      </c>
      <c r="B698" s="51">
        <v>0</v>
      </c>
    </row>
    <row r="699" spans="1:2" customFormat="1" ht="14.4" x14ac:dyDescent="0.3">
      <c r="A699" s="1" t="s">
        <v>636</v>
      </c>
      <c r="B699" s="51">
        <v>0</v>
      </c>
    </row>
    <row r="700" spans="1:2" customFormat="1" ht="14.4" x14ac:dyDescent="0.3">
      <c r="A700" s="1" t="s">
        <v>631</v>
      </c>
      <c r="B700" s="51">
        <v>0</v>
      </c>
    </row>
    <row r="701" spans="1:2" customFormat="1" ht="14.4" x14ac:dyDescent="0.3">
      <c r="A701" s="1" t="s">
        <v>618</v>
      </c>
      <c r="B701" s="51">
        <v>0</v>
      </c>
    </row>
    <row r="702" spans="1:2" customFormat="1" ht="14.4" x14ac:dyDescent="0.3">
      <c r="A702" s="1" t="s">
        <v>859</v>
      </c>
      <c r="B702" s="51">
        <v>0</v>
      </c>
    </row>
    <row r="703" spans="1:2" customFormat="1" ht="14.4" x14ac:dyDescent="0.3">
      <c r="A703" s="1" t="s">
        <v>447</v>
      </c>
      <c r="B703" s="51">
        <v>0</v>
      </c>
    </row>
    <row r="704" spans="1:2" customFormat="1" ht="14.4" x14ac:dyDescent="0.3">
      <c r="A704" s="1" t="s">
        <v>698</v>
      </c>
      <c r="B704" s="51">
        <v>0</v>
      </c>
    </row>
    <row r="705" spans="1:2" customFormat="1" ht="14.4" x14ac:dyDescent="0.3">
      <c r="A705" s="1" t="s">
        <v>300</v>
      </c>
      <c r="B705" s="51">
        <v>0</v>
      </c>
    </row>
    <row r="706" spans="1:2" customFormat="1" ht="14.4" x14ac:dyDescent="0.3">
      <c r="A706" s="1" t="s">
        <v>246</v>
      </c>
      <c r="B706" s="51">
        <v>0</v>
      </c>
    </row>
    <row r="707" spans="1:2" customFormat="1" ht="14.4" x14ac:dyDescent="0.3">
      <c r="A707" s="1" t="s">
        <v>235</v>
      </c>
      <c r="B707" s="51">
        <v>0</v>
      </c>
    </row>
    <row r="708" spans="1:2" customFormat="1" ht="14.4" x14ac:dyDescent="0.3">
      <c r="A708" s="1" t="s">
        <v>254</v>
      </c>
      <c r="B708" s="51">
        <v>0</v>
      </c>
    </row>
    <row r="709" spans="1:2" customFormat="1" ht="14.4" x14ac:dyDescent="0.3">
      <c r="A709" s="1" t="s">
        <v>241</v>
      </c>
      <c r="B709" s="51">
        <v>0</v>
      </c>
    </row>
    <row r="710" spans="1:2" customFormat="1" ht="14.4" x14ac:dyDescent="0.3">
      <c r="A710" s="1" t="s">
        <v>236</v>
      </c>
      <c r="B710" s="51">
        <v>0</v>
      </c>
    </row>
    <row r="711" spans="1:2" customFormat="1" ht="14.4" x14ac:dyDescent="0.3">
      <c r="A711" s="1" t="s">
        <v>249</v>
      </c>
      <c r="B711" s="51">
        <v>0</v>
      </c>
    </row>
    <row r="712" spans="1:2" customFormat="1" ht="14.4" x14ac:dyDescent="0.3">
      <c r="A712" s="1" t="s">
        <v>239</v>
      </c>
      <c r="B712" s="51">
        <v>0</v>
      </c>
    </row>
    <row r="713" spans="1:2" customFormat="1" ht="14.4" x14ac:dyDescent="0.3">
      <c r="A713" s="1" t="s">
        <v>253</v>
      </c>
      <c r="B713" s="51">
        <v>0</v>
      </c>
    </row>
    <row r="714" spans="1:2" customFormat="1" ht="14.4" x14ac:dyDescent="0.3">
      <c r="A714" s="1" t="s">
        <v>250</v>
      </c>
      <c r="B714" s="51">
        <v>0</v>
      </c>
    </row>
    <row r="715" spans="1:2" customFormat="1" ht="14.4" x14ac:dyDescent="0.3">
      <c r="A715" s="1" t="s">
        <v>240</v>
      </c>
      <c r="B715" s="51">
        <v>0</v>
      </c>
    </row>
    <row r="716" spans="1:2" customFormat="1" ht="14.4" x14ac:dyDescent="0.3">
      <c r="A716" s="1" t="s">
        <v>257</v>
      </c>
      <c r="B716" s="51">
        <v>0</v>
      </c>
    </row>
    <row r="717" spans="1:2" customFormat="1" ht="14.4" x14ac:dyDescent="0.3">
      <c r="A717" s="1" t="s">
        <v>256</v>
      </c>
      <c r="B717" s="51">
        <v>0</v>
      </c>
    </row>
    <row r="718" spans="1:2" customFormat="1" ht="14.4" x14ac:dyDescent="0.3">
      <c r="A718" s="1" t="s">
        <v>243</v>
      </c>
      <c r="B718" s="51">
        <v>0</v>
      </c>
    </row>
    <row r="719" spans="1:2" customFormat="1" ht="14.4" x14ac:dyDescent="0.3">
      <c r="A719" s="1" t="s">
        <v>252</v>
      </c>
      <c r="B719" s="51">
        <v>0</v>
      </c>
    </row>
    <row r="720" spans="1:2" customFormat="1" ht="14.4" x14ac:dyDescent="0.3">
      <c r="A720" s="1" t="s">
        <v>248</v>
      </c>
      <c r="B720" s="51">
        <v>0</v>
      </c>
    </row>
    <row r="721" spans="1:2" customFormat="1" ht="14.4" x14ac:dyDescent="0.3">
      <c r="A721" s="1" t="s">
        <v>245</v>
      </c>
      <c r="B721" s="51">
        <v>0</v>
      </c>
    </row>
    <row r="722" spans="1:2" customFormat="1" ht="14.4" x14ac:dyDescent="0.3">
      <c r="A722" s="1" t="s">
        <v>242</v>
      </c>
      <c r="B722" s="51">
        <v>0</v>
      </c>
    </row>
    <row r="723" spans="1:2" customFormat="1" ht="14.4" x14ac:dyDescent="0.3">
      <c r="A723" s="1" t="s">
        <v>244</v>
      </c>
      <c r="B723" s="51">
        <v>0</v>
      </c>
    </row>
    <row r="724" spans="1:2" customFormat="1" ht="14.4" x14ac:dyDescent="0.3">
      <c r="A724" s="1" t="s">
        <v>247</v>
      </c>
      <c r="B724" s="51">
        <v>0</v>
      </c>
    </row>
    <row r="725" spans="1:2" customFormat="1" ht="14.4" x14ac:dyDescent="0.3">
      <c r="A725" s="1" t="s">
        <v>237</v>
      </c>
      <c r="B725" s="51">
        <v>0</v>
      </c>
    </row>
    <row r="726" spans="1:2" customFormat="1" ht="14.4" x14ac:dyDescent="0.3">
      <c r="A726" s="1" t="s">
        <v>251</v>
      </c>
      <c r="B726" s="51">
        <v>0</v>
      </c>
    </row>
    <row r="727" spans="1:2" customFormat="1" ht="14.4" x14ac:dyDescent="0.3">
      <c r="A727" s="1" t="s">
        <v>255</v>
      </c>
      <c r="B727" s="51">
        <v>0</v>
      </c>
    </row>
    <row r="728" spans="1:2" customFormat="1" ht="14.4" x14ac:dyDescent="0.3">
      <c r="A728" s="1" t="s">
        <v>238</v>
      </c>
      <c r="B728" s="51">
        <v>0</v>
      </c>
    </row>
    <row r="729" spans="1:2" customFormat="1" ht="14.4" x14ac:dyDescent="0.3">
      <c r="A729" s="1" t="s">
        <v>258</v>
      </c>
      <c r="B729" s="51">
        <v>0</v>
      </c>
    </row>
    <row r="730" spans="1:2" customFormat="1" ht="14.4" x14ac:dyDescent="0.3">
      <c r="A730" s="1" t="s">
        <v>277</v>
      </c>
      <c r="B730" s="51">
        <v>0</v>
      </c>
    </row>
    <row r="731" spans="1:2" customFormat="1" ht="14.4" x14ac:dyDescent="0.3">
      <c r="A731" s="1" t="s">
        <v>276</v>
      </c>
      <c r="B731" s="51">
        <v>0</v>
      </c>
    </row>
    <row r="732" spans="1:2" customFormat="1" ht="14.4" x14ac:dyDescent="0.3">
      <c r="A732" s="1" t="s">
        <v>737</v>
      </c>
      <c r="B732" s="51">
        <v>0</v>
      </c>
    </row>
    <row r="733" spans="1:2" customFormat="1" ht="14.4" x14ac:dyDescent="0.3">
      <c r="A733" s="1" t="s">
        <v>827</v>
      </c>
      <c r="B733" s="51">
        <v>0</v>
      </c>
    </row>
    <row r="734" spans="1:2" customFormat="1" ht="14.4" x14ac:dyDescent="0.3">
      <c r="A734" s="1" t="s">
        <v>434</v>
      </c>
      <c r="B734" s="51">
        <v>0</v>
      </c>
    </row>
    <row r="735" spans="1:2" customFormat="1" ht="14.4" x14ac:dyDescent="0.3">
      <c r="A735" s="1" t="s">
        <v>407</v>
      </c>
      <c r="B735" s="51">
        <v>0</v>
      </c>
    </row>
    <row r="736" spans="1:2" customFormat="1" ht="14.4" x14ac:dyDescent="0.3">
      <c r="A736" s="1" t="s">
        <v>416</v>
      </c>
      <c r="B736" s="51">
        <v>0</v>
      </c>
    </row>
    <row r="737" spans="1:2" customFormat="1" ht="14.4" x14ac:dyDescent="0.3">
      <c r="A737" s="1" t="s">
        <v>818</v>
      </c>
      <c r="B737" s="51">
        <v>0</v>
      </c>
    </row>
    <row r="738" spans="1:2" customFormat="1" ht="14.4" x14ac:dyDescent="0.3">
      <c r="A738" s="1" t="s">
        <v>599</v>
      </c>
      <c r="B738" s="51">
        <v>0</v>
      </c>
    </row>
    <row r="739" spans="1:2" customFormat="1" ht="14.4" x14ac:dyDescent="0.3">
      <c r="A739" s="1" t="s">
        <v>600</v>
      </c>
      <c r="B739" s="51">
        <v>0</v>
      </c>
    </row>
    <row r="740" spans="1:2" customFormat="1" ht="14.4" x14ac:dyDescent="0.3">
      <c r="A740" s="1" t="s">
        <v>519</v>
      </c>
      <c r="B740" s="51">
        <v>0</v>
      </c>
    </row>
    <row r="741" spans="1:2" customFormat="1" ht="14.4" x14ac:dyDescent="0.3">
      <c r="A741" s="1" t="s">
        <v>518</v>
      </c>
      <c r="B741" s="51">
        <v>0</v>
      </c>
    </row>
    <row r="742" spans="1:2" customFormat="1" ht="14.4" x14ac:dyDescent="0.3">
      <c r="A742" s="1" t="s">
        <v>516</v>
      </c>
      <c r="B742" s="51">
        <v>0</v>
      </c>
    </row>
    <row r="743" spans="1:2" customFormat="1" ht="14.4" x14ac:dyDescent="0.3">
      <c r="A743" s="1" t="s">
        <v>517</v>
      </c>
      <c r="B743" s="51">
        <v>0</v>
      </c>
    </row>
    <row r="744" spans="1:2" customFormat="1" ht="14.4" x14ac:dyDescent="0.3">
      <c r="A744" s="1" t="s">
        <v>842</v>
      </c>
      <c r="B744" s="51">
        <v>0</v>
      </c>
    </row>
    <row r="745" spans="1:2" customFormat="1" ht="14.4" x14ac:dyDescent="0.3">
      <c r="A745" s="1" t="s">
        <v>879</v>
      </c>
      <c r="B745" s="51">
        <v>0</v>
      </c>
    </row>
    <row r="746" spans="1:2" customFormat="1" ht="14.4" x14ac:dyDescent="0.3">
      <c r="A746" s="1" t="s">
        <v>693</v>
      </c>
      <c r="B746" s="51">
        <v>0</v>
      </c>
    </row>
    <row r="747" spans="1:2" customFormat="1" ht="14.4" x14ac:dyDescent="0.3">
      <c r="A747" s="1" t="s">
        <v>867</v>
      </c>
      <c r="B747" s="51">
        <v>0</v>
      </c>
    </row>
    <row r="748" spans="1:2" customFormat="1" ht="14.4" x14ac:dyDescent="0.3">
      <c r="A748" s="1" t="s">
        <v>871</v>
      </c>
      <c r="B748" s="51">
        <v>0</v>
      </c>
    </row>
    <row r="749" spans="1:2" customFormat="1" ht="14.4" x14ac:dyDescent="0.3">
      <c r="A749" s="1" t="s">
        <v>880</v>
      </c>
      <c r="B749" s="51">
        <v>0</v>
      </c>
    </row>
    <row r="750" spans="1:2" customFormat="1" ht="14.4" x14ac:dyDescent="0.3">
      <c r="A750" s="1" t="s">
        <v>878</v>
      </c>
      <c r="B750" s="51">
        <v>0</v>
      </c>
    </row>
    <row r="751" spans="1:2" customFormat="1" ht="14.4" x14ac:dyDescent="0.3">
      <c r="A751" s="1" t="s">
        <v>268</v>
      </c>
      <c r="B751" s="51">
        <v>0</v>
      </c>
    </row>
    <row r="752" spans="1:2" customFormat="1" ht="14.4" x14ac:dyDescent="0.3">
      <c r="A752" s="1" t="s">
        <v>190</v>
      </c>
      <c r="B752" s="51">
        <v>0</v>
      </c>
    </row>
    <row r="753" spans="1:2" customFormat="1" ht="14.4" x14ac:dyDescent="0.3">
      <c r="A753" s="1" t="s">
        <v>427</v>
      </c>
      <c r="B753" s="51">
        <v>0</v>
      </c>
    </row>
    <row r="754" spans="1:2" customFormat="1" ht="14.4" x14ac:dyDescent="0.3">
      <c r="A754" s="1" t="s">
        <v>426</v>
      </c>
      <c r="B754" s="51">
        <v>0</v>
      </c>
    </row>
    <row r="755" spans="1:2" customFormat="1" ht="14.4" x14ac:dyDescent="0.3">
      <c r="A755" s="1" t="s">
        <v>408</v>
      </c>
      <c r="B755" s="51">
        <v>0</v>
      </c>
    </row>
    <row r="756" spans="1:2" customFormat="1" ht="14.4" x14ac:dyDescent="0.3">
      <c r="A756" s="1" t="s">
        <v>615</v>
      </c>
      <c r="B756" s="51">
        <v>0</v>
      </c>
    </row>
    <row r="757" spans="1:2" customFormat="1" ht="14.4" x14ac:dyDescent="0.3">
      <c r="A757" s="1" t="s">
        <v>691</v>
      </c>
      <c r="B757" s="51">
        <v>0</v>
      </c>
    </row>
    <row r="758" spans="1:2" customFormat="1" ht="14.4" x14ac:dyDescent="0.3">
      <c r="A758" s="1" t="s">
        <v>692</v>
      </c>
      <c r="B758" s="51">
        <v>0</v>
      </c>
    </row>
    <row r="759" spans="1:2" customFormat="1" ht="14.4" x14ac:dyDescent="0.3">
      <c r="A759" s="1" t="s">
        <v>315</v>
      </c>
      <c r="B759" s="51">
        <v>0</v>
      </c>
    </row>
    <row r="760" spans="1:2" customFormat="1" ht="14.4" x14ac:dyDescent="0.3">
      <c r="A760" s="1" t="s">
        <v>314</v>
      </c>
      <c r="B760" s="51">
        <v>0</v>
      </c>
    </row>
    <row r="761" spans="1:2" customFormat="1" ht="14.4" x14ac:dyDescent="0.3">
      <c r="A761" s="1" t="s">
        <v>695</v>
      </c>
      <c r="B761" s="51">
        <v>0</v>
      </c>
    </row>
    <row r="762" spans="1:2" customFormat="1" ht="14.4" x14ac:dyDescent="0.3">
      <c r="A762" s="1" t="s">
        <v>877</v>
      </c>
      <c r="B762" s="51">
        <v>0</v>
      </c>
    </row>
    <row r="763" spans="1:2" customFormat="1" ht="14.4" x14ac:dyDescent="0.3">
      <c r="A763" s="1" t="s">
        <v>860</v>
      </c>
      <c r="B763" s="51">
        <v>0</v>
      </c>
    </row>
    <row r="764" spans="1:2" customFormat="1" ht="14.4" x14ac:dyDescent="0.3">
      <c r="A764" s="1" t="s">
        <v>296</v>
      </c>
      <c r="B764" s="51">
        <v>0</v>
      </c>
    </row>
    <row r="765" spans="1:2" customFormat="1" ht="14.4" x14ac:dyDescent="0.3">
      <c r="A765" s="1" t="s">
        <v>739</v>
      </c>
      <c r="B765" s="51">
        <v>0</v>
      </c>
    </row>
    <row r="766" spans="1:2" customFormat="1" ht="14.4" x14ac:dyDescent="0.3">
      <c r="A766" s="1" t="s">
        <v>758</v>
      </c>
      <c r="B766" s="51">
        <v>0</v>
      </c>
    </row>
    <row r="767" spans="1:2" customFormat="1" ht="14.4" x14ac:dyDescent="0.3">
      <c r="A767" s="1" t="s">
        <v>805</v>
      </c>
      <c r="B767" s="51">
        <v>0</v>
      </c>
    </row>
    <row r="768" spans="1:2" customFormat="1" ht="14.4" x14ac:dyDescent="0.3">
      <c r="A768" s="1" t="s">
        <v>820</v>
      </c>
      <c r="B768" s="51">
        <v>0</v>
      </c>
    </row>
    <row r="769" spans="1:2" customFormat="1" ht="14.4" x14ac:dyDescent="0.3">
      <c r="A769" s="1" t="s">
        <v>782</v>
      </c>
      <c r="B769" s="51">
        <v>0</v>
      </c>
    </row>
    <row r="770" spans="1:2" customFormat="1" ht="14.4" x14ac:dyDescent="0.3">
      <c r="A770" s="1" t="s">
        <v>821</v>
      </c>
      <c r="B770" s="51">
        <v>0</v>
      </c>
    </row>
    <row r="771" spans="1:2" customFormat="1" ht="14.4" x14ac:dyDescent="0.3">
      <c r="A771" s="1" t="s">
        <v>318</v>
      </c>
      <c r="B771" s="51">
        <v>0</v>
      </c>
    </row>
    <row r="772" spans="1:2" customFormat="1" ht="14.4" x14ac:dyDescent="0.3">
      <c r="A772" s="1" t="s">
        <v>417</v>
      </c>
      <c r="B772" s="51">
        <v>0</v>
      </c>
    </row>
    <row r="773" spans="1:2" customFormat="1" ht="14.4" x14ac:dyDescent="0.3">
      <c r="A773" s="1" t="s">
        <v>757</v>
      </c>
      <c r="B773" s="51">
        <v>0</v>
      </c>
    </row>
    <row r="774" spans="1:2" customFormat="1" ht="14.4" x14ac:dyDescent="0.3">
      <c r="A774" s="1" t="s">
        <v>319</v>
      </c>
      <c r="B774" s="51">
        <v>0</v>
      </c>
    </row>
    <row r="775" spans="1:2" customFormat="1" ht="14.4" x14ac:dyDescent="0.3">
      <c r="A775" s="1" t="s">
        <v>351</v>
      </c>
      <c r="B775" s="51">
        <v>0</v>
      </c>
    </row>
    <row r="776" spans="1:2" customFormat="1" ht="14.4" x14ac:dyDescent="0.3">
      <c r="A776" s="1" t="s">
        <v>418</v>
      </c>
      <c r="B776" s="51">
        <v>0</v>
      </c>
    </row>
    <row r="777" spans="1:2" customFormat="1" ht="14.4" x14ac:dyDescent="0.3">
      <c r="A777" s="1" t="s">
        <v>350</v>
      </c>
      <c r="B777" s="51">
        <v>0</v>
      </c>
    </row>
    <row r="778" spans="1:2" customFormat="1" ht="14.4" x14ac:dyDescent="0.3">
      <c r="A778" s="1" t="s">
        <v>336</v>
      </c>
      <c r="B778" s="51">
        <v>0</v>
      </c>
    </row>
    <row r="779" spans="1:2" customFormat="1" ht="14.4" x14ac:dyDescent="0.3">
      <c r="A779" s="1" t="s">
        <v>146</v>
      </c>
      <c r="B779" s="51">
        <v>0</v>
      </c>
    </row>
    <row r="780" spans="1:2" customFormat="1" ht="14.4" x14ac:dyDescent="0.3">
      <c r="A780" s="1" t="s">
        <v>828</v>
      </c>
      <c r="B780" s="51">
        <v>0</v>
      </c>
    </row>
    <row r="781" spans="1:2" customFormat="1" ht="14.4" x14ac:dyDescent="0.3">
      <c r="A781" s="1" t="s">
        <v>621</v>
      </c>
      <c r="B781" s="51">
        <v>0</v>
      </c>
    </row>
    <row r="782" spans="1:2" customFormat="1" ht="14.4" x14ac:dyDescent="0.3">
      <c r="A782" s="1" t="s">
        <v>598</v>
      </c>
      <c r="B782" s="51">
        <v>0</v>
      </c>
    </row>
    <row r="783" spans="1:2" customFormat="1" ht="14.4" x14ac:dyDescent="0.3">
      <c r="A783" s="1" t="s">
        <v>328</v>
      </c>
      <c r="B783" s="51">
        <v>0</v>
      </c>
    </row>
    <row r="784" spans="1:2" customFormat="1" ht="14.4" x14ac:dyDescent="0.3">
      <c r="A784" s="1" t="s">
        <v>614</v>
      </c>
      <c r="B784" s="51">
        <v>0</v>
      </c>
    </row>
    <row r="785" spans="1:2" customFormat="1" ht="14.4" x14ac:dyDescent="0.3">
      <c r="A785" s="1" t="s">
        <v>385</v>
      </c>
      <c r="B785" s="51">
        <v>0</v>
      </c>
    </row>
    <row r="786" spans="1:2" customFormat="1" ht="14.4" x14ac:dyDescent="0.3">
      <c r="A786" s="1" t="s">
        <v>701</v>
      </c>
      <c r="B786" s="51">
        <v>0</v>
      </c>
    </row>
    <row r="787" spans="1:2" customFormat="1" ht="14.4" x14ac:dyDescent="0.3">
      <c r="A787" s="1" t="s">
        <v>700</v>
      </c>
      <c r="B787" s="51">
        <v>0</v>
      </c>
    </row>
    <row r="788" spans="1:2" customFormat="1" ht="14.4" x14ac:dyDescent="0.3">
      <c r="A788" s="1" t="s">
        <v>436</v>
      </c>
      <c r="B788" s="51">
        <v>0</v>
      </c>
    </row>
    <row r="789" spans="1:2" customFormat="1" ht="14.4" x14ac:dyDescent="0.3">
      <c r="A789" s="1" t="s">
        <v>432</v>
      </c>
      <c r="B789" s="51">
        <v>0</v>
      </c>
    </row>
    <row r="790" spans="1:2" customFormat="1" ht="14.4" x14ac:dyDescent="0.3">
      <c r="A790" s="1" t="s">
        <v>804</v>
      </c>
      <c r="B790" s="51">
        <v>0</v>
      </c>
    </row>
    <row r="791" spans="1:2" customFormat="1" ht="14.4" x14ac:dyDescent="0.3">
      <c r="A791" s="1" t="s">
        <v>796</v>
      </c>
      <c r="B791" s="51">
        <v>0</v>
      </c>
    </row>
    <row r="792" spans="1:2" customFormat="1" ht="14.4" x14ac:dyDescent="0.3">
      <c r="A792" s="1" t="s">
        <v>714</v>
      </c>
      <c r="B792" s="51">
        <v>0</v>
      </c>
    </row>
    <row r="793" spans="1:2" customFormat="1" ht="14.4" x14ac:dyDescent="0.3">
      <c r="A793" s="1" t="s">
        <v>159</v>
      </c>
      <c r="B793" s="51">
        <v>0</v>
      </c>
    </row>
    <row r="794" spans="1:2" customFormat="1" ht="14.4" x14ac:dyDescent="0.3">
      <c r="A794" s="1" t="s">
        <v>617</v>
      </c>
      <c r="B794" s="51">
        <v>0</v>
      </c>
    </row>
    <row r="795" spans="1:2" customFormat="1" ht="14.4" x14ac:dyDescent="0.3">
      <c r="A795" s="1" t="s">
        <v>413</v>
      </c>
      <c r="B795" s="51">
        <v>0</v>
      </c>
    </row>
    <row r="796" spans="1:2" customFormat="1" ht="14.4" x14ac:dyDescent="0.3">
      <c r="A796" s="1" t="s">
        <v>414</v>
      </c>
      <c r="B796" s="51">
        <v>0</v>
      </c>
    </row>
    <row r="797" spans="1:2" customFormat="1" ht="14.4" x14ac:dyDescent="0.3">
      <c r="A797" s="1" t="s">
        <v>555</v>
      </c>
      <c r="B797" s="51">
        <v>0</v>
      </c>
    </row>
    <row r="798" spans="1:2" customFormat="1" ht="14.4" x14ac:dyDescent="0.3">
      <c r="A798" s="1" t="s">
        <v>741</v>
      </c>
      <c r="B798" s="51">
        <v>0</v>
      </c>
    </row>
    <row r="799" spans="1:2" customFormat="1" ht="14.4" x14ac:dyDescent="0.3">
      <c r="A799" s="1" t="s">
        <v>218</v>
      </c>
      <c r="B799" s="51">
        <v>0</v>
      </c>
    </row>
    <row r="800" spans="1:2" customFormat="1" ht="14.4" x14ac:dyDescent="0.3">
      <c r="A800" s="1" t="s">
        <v>219</v>
      </c>
      <c r="B800" s="51">
        <v>0</v>
      </c>
    </row>
    <row r="801" spans="1:2" customFormat="1" ht="14.4" x14ac:dyDescent="0.3">
      <c r="A801" s="1" t="s">
        <v>217</v>
      </c>
      <c r="B801" s="51">
        <v>0</v>
      </c>
    </row>
    <row r="802" spans="1:2" customFormat="1" ht="14.4" x14ac:dyDescent="0.3">
      <c r="A802" s="1" t="s">
        <v>489</v>
      </c>
      <c r="B802" s="51">
        <v>0</v>
      </c>
    </row>
    <row r="803" spans="1:2" customFormat="1" ht="14.4" x14ac:dyDescent="0.3">
      <c r="A803" s="1" t="s">
        <v>592</v>
      </c>
      <c r="B803" s="51">
        <v>0</v>
      </c>
    </row>
    <row r="804" spans="1:2" customFormat="1" ht="14.4" x14ac:dyDescent="0.3">
      <c r="A804" s="1" t="s">
        <v>589</v>
      </c>
      <c r="B804" s="51">
        <v>0</v>
      </c>
    </row>
    <row r="805" spans="1:2" customFormat="1" ht="14.4" x14ac:dyDescent="0.3">
      <c r="A805" s="1" t="s">
        <v>588</v>
      </c>
      <c r="B805" s="51">
        <v>0</v>
      </c>
    </row>
    <row r="806" spans="1:2" customFormat="1" ht="14.4" x14ac:dyDescent="0.3">
      <c r="A806" s="1" t="s">
        <v>591</v>
      </c>
      <c r="B806" s="51">
        <v>0</v>
      </c>
    </row>
    <row r="807" spans="1:2" customFormat="1" ht="14.4" x14ac:dyDescent="0.3">
      <c r="A807" s="1" t="s">
        <v>590</v>
      </c>
      <c r="B807" s="51">
        <v>0</v>
      </c>
    </row>
    <row r="808" spans="1:2" customFormat="1" ht="14.4" x14ac:dyDescent="0.3">
      <c r="A808" s="1" t="s">
        <v>397</v>
      </c>
      <c r="B808" s="51">
        <v>0</v>
      </c>
    </row>
    <row r="809" spans="1:2" customFormat="1" ht="14.4" x14ac:dyDescent="0.3">
      <c r="A809" s="1" t="s">
        <v>260</v>
      </c>
      <c r="B809" s="51">
        <v>0</v>
      </c>
    </row>
    <row r="810" spans="1:2" customFormat="1" ht="14.4" x14ac:dyDescent="0.3">
      <c r="A810" s="1" t="s">
        <v>261</v>
      </c>
      <c r="B810" s="51">
        <v>0</v>
      </c>
    </row>
    <row r="811" spans="1:2" customFormat="1" ht="14.4" x14ac:dyDescent="0.3">
      <c r="A811" s="1" t="s">
        <v>838</v>
      </c>
      <c r="B811" s="51">
        <v>0</v>
      </c>
    </row>
    <row r="812" spans="1:2" customFormat="1" ht="14.4" x14ac:dyDescent="0.3">
      <c r="A812" s="1" t="s">
        <v>168</v>
      </c>
      <c r="B812" s="51">
        <v>0</v>
      </c>
    </row>
    <row r="813" spans="1:2" customFormat="1" ht="14.4" x14ac:dyDescent="0.3">
      <c r="A813" s="1" t="s">
        <v>876</v>
      </c>
      <c r="B813" s="51">
        <v>0</v>
      </c>
    </row>
    <row r="814" spans="1:2" customFormat="1" ht="14.4" x14ac:dyDescent="0.3">
      <c r="A814" s="1" t="s">
        <v>81</v>
      </c>
      <c r="B814" s="51">
        <v>0</v>
      </c>
    </row>
    <row r="815" spans="1:2" customFormat="1" ht="14.4" x14ac:dyDescent="0.3">
      <c r="A815" s="1" t="s">
        <v>344</v>
      </c>
      <c r="B815" s="51">
        <v>0</v>
      </c>
    </row>
    <row r="816" spans="1:2" customFormat="1" ht="14.4" x14ac:dyDescent="0.3">
      <c r="A816" s="1" t="s">
        <v>423</v>
      </c>
      <c r="B816" s="51">
        <v>0</v>
      </c>
    </row>
    <row r="817" spans="1:2" customFormat="1" ht="14.4" x14ac:dyDescent="0.3">
      <c r="A817" s="1" t="s">
        <v>259</v>
      </c>
      <c r="B817" s="51">
        <v>0</v>
      </c>
    </row>
    <row r="818" spans="1:2" customFormat="1" ht="14.4" x14ac:dyDescent="0.3">
      <c r="A818" s="1" t="s">
        <v>715</v>
      </c>
      <c r="B818" s="51">
        <v>0</v>
      </c>
    </row>
    <row r="819" spans="1:2" customFormat="1" ht="14.4" x14ac:dyDescent="0.3">
      <c r="A819" s="1" t="s">
        <v>131</v>
      </c>
      <c r="B819" s="51">
        <v>0</v>
      </c>
    </row>
    <row r="820" spans="1:2" customFormat="1" ht="14.4" x14ac:dyDescent="0.3">
      <c r="A820" s="1" t="s">
        <v>697</v>
      </c>
      <c r="B820" s="51">
        <v>0</v>
      </c>
    </row>
    <row r="821" spans="1:2" customFormat="1" ht="14.4" x14ac:dyDescent="0.3">
      <c r="A821" s="1" t="s">
        <v>457</v>
      </c>
      <c r="B821" s="51">
        <v>0</v>
      </c>
    </row>
    <row r="822" spans="1:2" customFormat="1" ht="14.4" x14ac:dyDescent="0.3">
      <c r="A822" s="1" t="s">
        <v>388</v>
      </c>
      <c r="B822" s="51">
        <v>0</v>
      </c>
    </row>
    <row r="823" spans="1:2" customFormat="1" ht="14.4" x14ac:dyDescent="0.3">
      <c r="A823" s="1" t="s">
        <v>803</v>
      </c>
      <c r="B823" s="51">
        <v>0</v>
      </c>
    </row>
    <row r="824" spans="1:2" customFormat="1" ht="14.4" x14ac:dyDescent="0.3">
      <c r="A824" s="1" t="s">
        <v>387</v>
      </c>
      <c r="B824" s="51">
        <v>0</v>
      </c>
    </row>
    <row r="825" spans="1:2" customFormat="1" ht="14.4" x14ac:dyDescent="0.3">
      <c r="A825" s="1" t="s">
        <v>386</v>
      </c>
      <c r="B825" s="51">
        <v>0</v>
      </c>
    </row>
    <row r="826" spans="1:2" customFormat="1" ht="14.4" x14ac:dyDescent="0.3">
      <c r="A826" s="1" t="s">
        <v>724</v>
      </c>
      <c r="B826" s="51">
        <v>0</v>
      </c>
    </row>
    <row r="827" spans="1:2" customFormat="1" ht="14.4" x14ac:dyDescent="0.3">
      <c r="A827" s="1" t="s">
        <v>437</v>
      </c>
      <c r="B827" s="51">
        <v>0</v>
      </c>
    </row>
    <row r="828" spans="1:2" customFormat="1" ht="14.4" x14ac:dyDescent="0.3">
      <c r="A828" s="1" t="s">
        <v>801</v>
      </c>
      <c r="B828" s="51">
        <v>0</v>
      </c>
    </row>
    <row r="829" spans="1:2" customFormat="1" ht="14.4" x14ac:dyDescent="0.3">
      <c r="A829" s="1" t="s">
        <v>298</v>
      </c>
      <c r="B829" s="51">
        <v>0</v>
      </c>
    </row>
    <row r="830" spans="1:2" customFormat="1" ht="14.4" x14ac:dyDescent="0.3">
      <c r="A830" s="1" t="s">
        <v>593</v>
      </c>
      <c r="B830" s="51">
        <v>0</v>
      </c>
    </row>
    <row r="831" spans="1:2" customFormat="1" ht="14.4" x14ac:dyDescent="0.3">
      <c r="A831" s="1" t="s">
        <v>118</v>
      </c>
      <c r="B831" s="51">
        <v>0</v>
      </c>
    </row>
    <row r="832" spans="1:2" customFormat="1" ht="14.4" x14ac:dyDescent="0.3">
      <c r="A832" s="1" t="s">
        <v>187</v>
      </c>
      <c r="B832" s="51">
        <v>0</v>
      </c>
    </row>
    <row r="833" spans="1:2" customFormat="1" ht="14.4" x14ac:dyDescent="0.3">
      <c r="A833" s="1" t="s">
        <v>188</v>
      </c>
      <c r="B833" s="51">
        <v>0</v>
      </c>
    </row>
    <row r="834" spans="1:2" customFormat="1" ht="14.4" x14ac:dyDescent="0.3">
      <c r="A834" s="1" t="s">
        <v>365</v>
      </c>
      <c r="B834" s="51">
        <v>0</v>
      </c>
    </row>
    <row r="835" spans="1:2" customFormat="1" ht="14.4" x14ac:dyDescent="0.3">
      <c r="A835" s="1" t="s">
        <v>500</v>
      </c>
      <c r="B835" s="51">
        <v>0</v>
      </c>
    </row>
    <row r="836" spans="1:2" customFormat="1" ht="14.4" x14ac:dyDescent="0.3">
      <c r="A836" s="1" t="s">
        <v>642</v>
      </c>
      <c r="B836" s="51">
        <v>0</v>
      </c>
    </row>
    <row r="837" spans="1:2" customFormat="1" ht="14.4" x14ac:dyDescent="0.3">
      <c r="A837" s="1" t="s">
        <v>668</v>
      </c>
      <c r="B837" s="51">
        <v>0</v>
      </c>
    </row>
    <row r="838" spans="1:2" customFormat="1" ht="14.4" x14ac:dyDescent="0.3">
      <c r="A838" s="1" t="s">
        <v>667</v>
      </c>
      <c r="B838" s="51">
        <v>0</v>
      </c>
    </row>
    <row r="839" spans="1:2" customFormat="1" ht="14.4" x14ac:dyDescent="0.3">
      <c r="A839" s="1" t="s">
        <v>496</v>
      </c>
      <c r="B839" s="51">
        <v>0</v>
      </c>
    </row>
    <row r="840" spans="1:2" customFormat="1" ht="14.4" x14ac:dyDescent="0.3">
      <c r="A840" s="1" t="s">
        <v>499</v>
      </c>
      <c r="B840" s="51">
        <v>0</v>
      </c>
    </row>
    <row r="841" spans="1:2" customFormat="1" ht="14.4" x14ac:dyDescent="0.3">
      <c r="A841" s="1" t="s">
        <v>373</v>
      </c>
      <c r="B841" s="51">
        <v>0</v>
      </c>
    </row>
    <row r="842" spans="1:2" customFormat="1" ht="14.4" x14ac:dyDescent="0.3">
      <c r="A842" s="1" t="s">
        <v>372</v>
      </c>
      <c r="B842" s="51">
        <v>0</v>
      </c>
    </row>
    <row r="843" spans="1:2" customFormat="1" ht="14.4" x14ac:dyDescent="0.3">
      <c r="A843" s="1" t="s">
        <v>495</v>
      </c>
      <c r="B843" s="51">
        <v>0</v>
      </c>
    </row>
    <row r="844" spans="1:2" customFormat="1" ht="14.4" x14ac:dyDescent="0.3">
      <c r="A844" s="1" t="s">
        <v>383</v>
      </c>
      <c r="B844" s="51">
        <v>0</v>
      </c>
    </row>
    <row r="845" spans="1:2" customFormat="1" ht="14.4" x14ac:dyDescent="0.3">
      <c r="A845" s="1" t="s">
        <v>529</v>
      </c>
      <c r="B845" s="51">
        <v>0</v>
      </c>
    </row>
    <row r="846" spans="1:2" customFormat="1" ht="14.4" x14ac:dyDescent="0.3">
      <c r="A846" s="1" t="s">
        <v>223</v>
      </c>
      <c r="B846" s="51">
        <v>0</v>
      </c>
    </row>
    <row r="847" spans="1:2" customFormat="1" ht="14.4" x14ac:dyDescent="0.3">
      <c r="A847" s="1" t="s">
        <v>506</v>
      </c>
      <c r="B847" s="51">
        <v>0</v>
      </c>
    </row>
    <row r="848" spans="1:2" customFormat="1" ht="14.4" x14ac:dyDescent="0.3">
      <c r="A848" s="1" t="s">
        <v>224</v>
      </c>
      <c r="B848" s="51">
        <v>0</v>
      </c>
    </row>
    <row r="849" spans="1:2" customFormat="1" ht="14.4" x14ac:dyDescent="0.3">
      <c r="A849" s="1" t="s">
        <v>232</v>
      </c>
      <c r="B849" s="51">
        <v>0</v>
      </c>
    </row>
    <row r="850" spans="1:2" customFormat="1" ht="14.4" x14ac:dyDescent="0.3">
      <c r="A850" s="1" t="s">
        <v>654</v>
      </c>
      <c r="B850" s="51">
        <v>0</v>
      </c>
    </row>
    <row r="851" spans="1:2" customFormat="1" ht="14.4" x14ac:dyDescent="0.3">
      <c r="A851" s="1" t="s">
        <v>231</v>
      </c>
      <c r="B851" s="51">
        <v>0</v>
      </c>
    </row>
    <row r="852" spans="1:2" customFormat="1" ht="14.4" x14ac:dyDescent="0.3">
      <c r="A852" s="1" t="s">
        <v>531</v>
      </c>
      <c r="B852" s="51">
        <v>0</v>
      </c>
    </row>
    <row r="853" spans="1:2" customFormat="1" ht="14.4" x14ac:dyDescent="0.3">
      <c r="A853" s="1" t="s">
        <v>647</v>
      </c>
      <c r="B853" s="51">
        <v>0</v>
      </c>
    </row>
    <row r="854" spans="1:2" customFormat="1" ht="14.4" x14ac:dyDescent="0.3">
      <c r="A854" s="1" t="s">
        <v>648</v>
      </c>
      <c r="B854" s="51">
        <v>0</v>
      </c>
    </row>
    <row r="855" spans="1:2" customFormat="1" ht="14.4" x14ac:dyDescent="0.3">
      <c r="A855" s="1" t="s">
        <v>532</v>
      </c>
      <c r="B855" s="51">
        <v>0</v>
      </c>
    </row>
    <row r="856" spans="1:2" customFormat="1" ht="14.4" x14ac:dyDescent="0.3">
      <c r="A856" s="1" t="s">
        <v>101</v>
      </c>
      <c r="B856" s="51">
        <v>0</v>
      </c>
    </row>
    <row r="857" spans="1:2" customFormat="1" ht="14.4" x14ac:dyDescent="0.3">
      <c r="A857" s="1" t="s">
        <v>94</v>
      </c>
      <c r="B857" s="51">
        <v>0</v>
      </c>
    </row>
    <row r="858" spans="1:2" customFormat="1" ht="14.4" x14ac:dyDescent="0.3">
      <c r="A858" s="1" t="s">
        <v>776</v>
      </c>
      <c r="B858" s="51">
        <v>0</v>
      </c>
    </row>
    <row r="859" spans="1:2" customFormat="1" ht="14.4" x14ac:dyDescent="0.3">
      <c r="A859" s="1" t="s">
        <v>99</v>
      </c>
      <c r="B859" s="51">
        <v>0</v>
      </c>
    </row>
    <row r="860" spans="1:2" customFormat="1" ht="14.4" x14ac:dyDescent="0.3">
      <c r="A860" s="1" t="s">
        <v>773</v>
      </c>
      <c r="B860" s="51">
        <v>0</v>
      </c>
    </row>
    <row r="861" spans="1:2" customFormat="1" ht="14.4" x14ac:dyDescent="0.3">
      <c r="A861" s="1" t="s">
        <v>771</v>
      </c>
      <c r="B861" s="51">
        <v>0</v>
      </c>
    </row>
    <row r="862" spans="1:2" customFormat="1" ht="14.4" x14ac:dyDescent="0.3">
      <c r="A862" s="1" t="s">
        <v>774</v>
      </c>
      <c r="B862" s="51">
        <v>0</v>
      </c>
    </row>
    <row r="863" spans="1:2" customFormat="1" ht="14.4" x14ac:dyDescent="0.3">
      <c r="A863" s="1" t="s">
        <v>97</v>
      </c>
      <c r="B863" s="51">
        <v>0</v>
      </c>
    </row>
    <row r="864" spans="1:2" customFormat="1" ht="14.4" x14ac:dyDescent="0.3">
      <c r="A864" s="1" t="s">
        <v>384</v>
      </c>
      <c r="B864" s="51">
        <v>0</v>
      </c>
    </row>
    <row r="865" spans="1:2" customFormat="1" ht="14.4" x14ac:dyDescent="0.3">
      <c r="A865" s="1" t="s">
        <v>683</v>
      </c>
      <c r="B865" s="51">
        <v>0</v>
      </c>
    </row>
    <row r="866" spans="1:2" customFormat="1" ht="14.4" x14ac:dyDescent="0.3">
      <c r="A866" s="1" t="s">
        <v>696</v>
      </c>
      <c r="B866" s="51">
        <v>0</v>
      </c>
    </row>
    <row r="867" spans="1:2" customFormat="1" ht="14.4" x14ac:dyDescent="0.3">
      <c r="A867" s="1" t="s">
        <v>371</v>
      </c>
      <c r="B867" s="51">
        <v>0</v>
      </c>
    </row>
    <row r="868" spans="1:2" customFormat="1" ht="14.4" x14ac:dyDescent="0.3">
      <c r="A868" s="1" t="s">
        <v>556</v>
      </c>
      <c r="B868" s="51">
        <v>0</v>
      </c>
    </row>
    <row r="869" spans="1:2" customFormat="1" ht="14.4" x14ac:dyDescent="0.3">
      <c r="A869" s="1" t="s">
        <v>836</v>
      </c>
      <c r="B869" s="51">
        <v>0</v>
      </c>
    </row>
    <row r="870" spans="1:2" customFormat="1" ht="14.4" x14ac:dyDescent="0.3">
      <c r="A870" s="1" t="s">
        <v>297</v>
      </c>
      <c r="B870" s="51">
        <v>0</v>
      </c>
    </row>
    <row r="871" spans="1:2" customFormat="1" ht="14.4" x14ac:dyDescent="0.3">
      <c r="A871" s="1" t="s">
        <v>409</v>
      </c>
      <c r="B871" s="51">
        <v>0</v>
      </c>
    </row>
    <row r="872" spans="1:2" customFormat="1" ht="14.4" x14ac:dyDescent="0.3">
      <c r="A872" s="1" t="s">
        <v>160</v>
      </c>
      <c r="B872" s="51">
        <v>0</v>
      </c>
    </row>
    <row r="873" spans="1:2" customFormat="1" ht="14.4" x14ac:dyDescent="0.3">
      <c r="A873" s="1" t="s">
        <v>270</v>
      </c>
      <c r="B873" s="51">
        <v>0</v>
      </c>
    </row>
    <row r="874" spans="1:2" customFormat="1" ht="14.4" x14ac:dyDescent="0.3">
      <c r="A874" s="1" t="s">
        <v>269</v>
      </c>
      <c r="B874" s="51">
        <v>0</v>
      </c>
    </row>
    <row r="875" spans="1:2" customFormat="1" ht="14.4" x14ac:dyDescent="0.3">
      <c r="A875" s="1" t="s">
        <v>271</v>
      </c>
      <c r="B875" s="51">
        <v>0</v>
      </c>
    </row>
    <row r="876" spans="1:2" customFormat="1" ht="14.4" x14ac:dyDescent="0.3">
      <c r="A876" s="1" t="s">
        <v>404</v>
      </c>
      <c r="B876" s="51">
        <v>0</v>
      </c>
    </row>
    <row r="877" spans="1:2" customFormat="1" ht="14.4" x14ac:dyDescent="0.3">
      <c r="A877" s="1" t="s">
        <v>393</v>
      </c>
      <c r="B877" s="51">
        <v>0</v>
      </c>
    </row>
    <row r="878" spans="1:2" customFormat="1" ht="14.4" x14ac:dyDescent="0.3">
      <c r="A878" s="1" t="s">
        <v>147</v>
      </c>
      <c r="B878" s="51">
        <v>0</v>
      </c>
    </row>
    <row r="879" spans="1:2" customFormat="1" ht="14.4" x14ac:dyDescent="0.3">
      <c r="A879" s="1" t="s">
        <v>138</v>
      </c>
      <c r="B879" s="51">
        <v>0</v>
      </c>
    </row>
    <row r="880" spans="1:2" customFormat="1" ht="14.4" x14ac:dyDescent="0.3">
      <c r="A880" s="1" t="s">
        <v>439</v>
      </c>
      <c r="B880" s="51">
        <v>0</v>
      </c>
    </row>
    <row r="881" spans="1:2" customFormat="1" ht="14.4" x14ac:dyDescent="0.3">
      <c r="A881" s="1" t="s">
        <v>137</v>
      </c>
      <c r="B881" s="51">
        <v>0</v>
      </c>
    </row>
    <row r="882" spans="1:2" customFormat="1" ht="14.4" x14ac:dyDescent="0.3">
      <c r="A882" s="1" t="s">
        <v>166</v>
      </c>
      <c r="B882" s="51">
        <v>0</v>
      </c>
    </row>
    <row r="883" spans="1:2" customFormat="1" ht="14.4" x14ac:dyDescent="0.3">
      <c r="A883" s="1" t="s">
        <v>851</v>
      </c>
      <c r="B883" s="51">
        <v>0</v>
      </c>
    </row>
    <row r="884" spans="1:2" customFormat="1" ht="14.4" x14ac:dyDescent="0.3">
      <c r="A884" s="1" t="s">
        <v>873</v>
      </c>
      <c r="B884" s="51">
        <v>0</v>
      </c>
    </row>
    <row r="885" spans="1:2" customFormat="1" ht="14.4" x14ac:dyDescent="0.3">
      <c r="A885" s="1" t="s">
        <v>684</v>
      </c>
      <c r="B885" s="51">
        <v>0</v>
      </c>
    </row>
    <row r="886" spans="1:2" customFormat="1" ht="14.4" x14ac:dyDescent="0.3">
      <c r="A886" s="1" t="s">
        <v>686</v>
      </c>
      <c r="B886" s="51">
        <v>0</v>
      </c>
    </row>
    <row r="887" spans="1:2" customFormat="1" ht="14.4" x14ac:dyDescent="0.3">
      <c r="A887" s="1" t="s">
        <v>685</v>
      </c>
      <c r="B887" s="51">
        <v>0</v>
      </c>
    </row>
    <row r="888" spans="1:2" customFormat="1" ht="14.4" x14ac:dyDescent="0.3">
      <c r="A888" s="1" t="s">
        <v>265</v>
      </c>
      <c r="B888" s="51">
        <v>0</v>
      </c>
    </row>
    <row r="889" spans="1:2" customFormat="1" ht="14.4" x14ac:dyDescent="0.3">
      <c r="A889" s="1" t="s">
        <v>2598</v>
      </c>
      <c r="B889" s="51"/>
    </row>
    <row r="890" spans="1:2" customFormat="1" ht="14.4" x14ac:dyDescent="0.3">
      <c r="A890" s="1" t="s">
        <v>1903</v>
      </c>
      <c r="B890" s="51">
        <v>0</v>
      </c>
    </row>
    <row r="891" spans="1:2" customFormat="1" ht="14.4" x14ac:dyDescent="0.3">
      <c r="A891" s="1" t="s">
        <v>1902</v>
      </c>
      <c r="B891" s="51">
        <v>0</v>
      </c>
    </row>
    <row r="892" spans="1:2" customFormat="1" ht="14.4" x14ac:dyDescent="0.3">
      <c r="A892" s="1" t="s">
        <v>1904</v>
      </c>
      <c r="B892" s="51">
        <v>0</v>
      </c>
    </row>
    <row r="893" spans="1:2" customFormat="1" ht="14.4" x14ac:dyDescent="0.3">
      <c r="A893" s="1" t="s">
        <v>1913</v>
      </c>
      <c r="B893" s="51">
        <v>0</v>
      </c>
    </row>
    <row r="894" spans="1:2" customFormat="1" ht="14.4" x14ac:dyDescent="0.3">
      <c r="A894" s="1" t="s">
        <v>1931</v>
      </c>
      <c r="B894" s="51">
        <v>0</v>
      </c>
    </row>
    <row r="895" spans="1:2" customFormat="1" ht="14.4" x14ac:dyDescent="0.3">
      <c r="A895" s="1" t="s">
        <v>1932</v>
      </c>
      <c r="B895" s="51">
        <v>0</v>
      </c>
    </row>
    <row r="896" spans="1:2" customFormat="1" ht="14.4" x14ac:dyDescent="0.3">
      <c r="A896" s="1" t="s">
        <v>1924</v>
      </c>
      <c r="B896" s="51">
        <v>0</v>
      </c>
    </row>
    <row r="897" spans="1:2" customFormat="1" ht="14.4" x14ac:dyDescent="0.3">
      <c r="A897" s="1" t="s">
        <v>1935</v>
      </c>
      <c r="B897" s="51">
        <v>0</v>
      </c>
    </row>
    <row r="898" spans="1:2" customFormat="1" ht="14.4" x14ac:dyDescent="0.3">
      <c r="A898" s="1" t="s">
        <v>1925</v>
      </c>
      <c r="B898" s="51">
        <v>0</v>
      </c>
    </row>
    <row r="899" spans="1:2" customFormat="1" ht="14.4" x14ac:dyDescent="0.3">
      <c r="A899" s="1" t="s">
        <v>1937</v>
      </c>
      <c r="B899" s="51">
        <v>0</v>
      </c>
    </row>
    <row r="900" spans="1:2" customFormat="1" ht="14.4" x14ac:dyDescent="0.3">
      <c r="A900" s="1" t="s">
        <v>1926</v>
      </c>
      <c r="B900" s="51">
        <v>0</v>
      </c>
    </row>
    <row r="901" spans="1:2" customFormat="1" ht="14.4" x14ac:dyDescent="0.3">
      <c r="A901" s="1" t="s">
        <v>1939</v>
      </c>
      <c r="B901" s="51">
        <v>0</v>
      </c>
    </row>
    <row r="902" spans="1:2" customFormat="1" ht="14.4" x14ac:dyDescent="0.3">
      <c r="A902" s="1" t="s">
        <v>1927</v>
      </c>
      <c r="B902" s="51">
        <v>0</v>
      </c>
    </row>
    <row r="903" spans="1:2" customFormat="1" ht="14.4" x14ac:dyDescent="0.3">
      <c r="A903" s="1" t="s">
        <v>1928</v>
      </c>
      <c r="B903" s="51">
        <v>0</v>
      </c>
    </row>
    <row r="904" spans="1:2" customFormat="1" ht="14.4" x14ac:dyDescent="0.3">
      <c r="A904" s="1" t="s">
        <v>1929</v>
      </c>
      <c r="B904" s="51">
        <v>0</v>
      </c>
    </row>
    <row r="905" spans="1:2" customFormat="1" ht="14.4" x14ac:dyDescent="0.3">
      <c r="A905" s="1" t="s">
        <v>1930</v>
      </c>
      <c r="B905" s="51">
        <v>0</v>
      </c>
    </row>
    <row r="906" spans="1:2" customFormat="1" ht="14.4" x14ac:dyDescent="0.3">
      <c r="A906" s="1" t="s">
        <v>1933</v>
      </c>
      <c r="B906" s="51">
        <v>0</v>
      </c>
    </row>
    <row r="907" spans="1:2" customFormat="1" ht="14.4" x14ac:dyDescent="0.3">
      <c r="A907" s="1" t="s">
        <v>1934</v>
      </c>
      <c r="B907" s="51">
        <v>0</v>
      </c>
    </row>
    <row r="908" spans="1:2" customFormat="1" ht="14.4" x14ac:dyDescent="0.3">
      <c r="A908" s="1" t="s">
        <v>1936</v>
      </c>
      <c r="B908" s="51">
        <v>0</v>
      </c>
    </row>
    <row r="909" spans="1:2" customFormat="1" ht="14.4" x14ac:dyDescent="0.3">
      <c r="A909" s="1" t="s">
        <v>1938</v>
      </c>
      <c r="B909" s="51">
        <v>0</v>
      </c>
    </row>
    <row r="910" spans="1:2" customFormat="1" ht="14.4" x14ac:dyDescent="0.3">
      <c r="A910" s="1" t="s">
        <v>1940</v>
      </c>
      <c r="B910" s="51">
        <v>0</v>
      </c>
    </row>
    <row r="911" spans="1:2" customFormat="1" ht="14.4" x14ac:dyDescent="0.3">
      <c r="A911" s="1" t="s">
        <v>1941</v>
      </c>
      <c r="B911" s="51">
        <v>0</v>
      </c>
    </row>
    <row r="912" spans="1:2" customFormat="1" ht="14.4" x14ac:dyDescent="0.3">
      <c r="A912" s="1" t="s">
        <v>1942</v>
      </c>
      <c r="B912" s="51">
        <v>0</v>
      </c>
    </row>
    <row r="913" spans="1:2" customFormat="1" ht="14.4" x14ac:dyDescent="0.3">
      <c r="A913" s="1" t="s">
        <v>1963</v>
      </c>
      <c r="B913" s="51">
        <v>0</v>
      </c>
    </row>
    <row r="914" spans="1:2" customFormat="1" ht="14.4" x14ac:dyDescent="0.3">
      <c r="A914" s="1" t="s">
        <v>1964</v>
      </c>
      <c r="B914" s="51">
        <v>0</v>
      </c>
    </row>
    <row r="915" spans="1:2" customFormat="1" ht="14.4" x14ac:dyDescent="0.3">
      <c r="A915" s="1" t="s">
        <v>1965</v>
      </c>
      <c r="B915" s="51">
        <v>0</v>
      </c>
    </row>
    <row r="916" spans="1:2" customFormat="1" ht="14.4" x14ac:dyDescent="0.3">
      <c r="A916" s="1" t="s">
        <v>1966</v>
      </c>
      <c r="B916" s="51">
        <v>0</v>
      </c>
    </row>
    <row r="917" spans="1:2" customFormat="1" ht="14.4" x14ac:dyDescent="0.3">
      <c r="A917" s="1" t="s">
        <v>1968</v>
      </c>
      <c r="B917" s="51">
        <v>0</v>
      </c>
    </row>
    <row r="918" spans="1:2" customFormat="1" ht="14.4" x14ac:dyDescent="0.3">
      <c r="A918" s="1" t="s">
        <v>1969</v>
      </c>
      <c r="B918" s="51">
        <v>0</v>
      </c>
    </row>
    <row r="919" spans="1:2" customFormat="1" ht="14.4" x14ac:dyDescent="0.3">
      <c r="A919" s="1" t="s">
        <v>1970</v>
      </c>
      <c r="B919" s="51">
        <v>0</v>
      </c>
    </row>
    <row r="920" spans="1:2" customFormat="1" ht="14.4" x14ac:dyDescent="0.3">
      <c r="A920" s="1" t="s">
        <v>1971</v>
      </c>
      <c r="B920" s="51">
        <v>0</v>
      </c>
    </row>
    <row r="921" spans="1:2" customFormat="1" ht="14.4" x14ac:dyDescent="0.3">
      <c r="A921" s="1" t="s">
        <v>1972</v>
      </c>
      <c r="B921" s="51">
        <v>0</v>
      </c>
    </row>
    <row r="922" spans="1:2" customFormat="1" ht="14.4" x14ac:dyDescent="0.3">
      <c r="A922" s="1" t="s">
        <v>1973</v>
      </c>
      <c r="B922" s="51">
        <v>0</v>
      </c>
    </row>
    <row r="923" spans="1:2" customFormat="1" ht="14.4" x14ac:dyDescent="0.3">
      <c r="A923" s="1" t="s">
        <v>1974</v>
      </c>
      <c r="B923" s="51">
        <v>0</v>
      </c>
    </row>
    <row r="924" spans="1:2" customFormat="1" ht="14.4" x14ac:dyDescent="0.3">
      <c r="A924" s="1" t="s">
        <v>1975</v>
      </c>
      <c r="B924" s="51">
        <v>0</v>
      </c>
    </row>
    <row r="925" spans="1:2" customFormat="1" ht="14.4" x14ac:dyDescent="0.3">
      <c r="A925" s="1" t="s">
        <v>1993</v>
      </c>
      <c r="B925" s="51">
        <v>0</v>
      </c>
    </row>
    <row r="926" spans="1:2" customFormat="1" ht="14.4" x14ac:dyDescent="0.3">
      <c r="A926" s="1" t="s">
        <v>1994</v>
      </c>
      <c r="B926" s="51">
        <v>0</v>
      </c>
    </row>
    <row r="927" spans="1:2" customFormat="1" ht="14.4" x14ac:dyDescent="0.3">
      <c r="A927" s="1" t="s">
        <v>1995</v>
      </c>
      <c r="B927" s="51">
        <v>0</v>
      </c>
    </row>
    <row r="928" spans="1:2" customFormat="1" ht="14.4" x14ac:dyDescent="0.3">
      <c r="A928" s="1" t="s">
        <v>1996</v>
      </c>
      <c r="B928" s="51">
        <v>0</v>
      </c>
    </row>
    <row r="929" spans="1:2" customFormat="1" ht="14.4" x14ac:dyDescent="0.3">
      <c r="A929" s="1" t="s">
        <v>1998</v>
      </c>
      <c r="B929" s="51">
        <v>0</v>
      </c>
    </row>
    <row r="930" spans="1:2" customFormat="1" ht="14.4" x14ac:dyDescent="0.3">
      <c r="A930" s="1" t="s">
        <v>1999</v>
      </c>
      <c r="B930" s="51">
        <v>0</v>
      </c>
    </row>
    <row r="931" spans="1:2" customFormat="1" ht="14.4" x14ac:dyDescent="0.3">
      <c r="A931" s="1" t="s">
        <v>2000</v>
      </c>
      <c r="B931" s="51">
        <v>0</v>
      </c>
    </row>
    <row r="932" spans="1:2" customFormat="1" ht="14.4" x14ac:dyDescent="0.3">
      <c r="A932" s="1" t="s">
        <v>2011</v>
      </c>
      <c r="B932" s="51">
        <v>0</v>
      </c>
    </row>
    <row r="933" spans="1:2" customFormat="1" ht="14.4" x14ac:dyDescent="0.3">
      <c r="A933" s="1" t="s">
        <v>2013</v>
      </c>
      <c r="B933" s="51">
        <v>0</v>
      </c>
    </row>
    <row r="934" spans="1:2" customFormat="1" ht="14.4" x14ac:dyDescent="0.3">
      <c r="A934" s="1" t="s">
        <v>2012</v>
      </c>
      <c r="B934" s="51">
        <v>0</v>
      </c>
    </row>
    <row r="935" spans="1:2" customFormat="1" ht="14.4" x14ac:dyDescent="0.3">
      <c r="A935" s="1" t="s">
        <v>2022</v>
      </c>
      <c r="B935" s="51">
        <v>0</v>
      </c>
    </row>
    <row r="936" spans="1:2" customFormat="1" ht="14.4" x14ac:dyDescent="0.3">
      <c r="A936" s="1" t="s">
        <v>2023</v>
      </c>
      <c r="B936" s="51">
        <v>0</v>
      </c>
    </row>
    <row r="937" spans="1:2" customFormat="1" ht="14.4" x14ac:dyDescent="0.3">
      <c r="A937" s="1" t="s">
        <v>2024</v>
      </c>
      <c r="B937" s="51">
        <v>0</v>
      </c>
    </row>
    <row r="938" spans="1:2" customFormat="1" ht="14.4" x14ac:dyDescent="0.3">
      <c r="A938" s="1" t="s">
        <v>2037</v>
      </c>
      <c r="B938" s="51">
        <v>0</v>
      </c>
    </row>
    <row r="939" spans="1:2" customFormat="1" ht="14.4" x14ac:dyDescent="0.3">
      <c r="A939" s="1" t="s">
        <v>2025</v>
      </c>
      <c r="B939" s="51">
        <v>0</v>
      </c>
    </row>
    <row r="940" spans="1:2" customFormat="1" ht="14.4" x14ac:dyDescent="0.3">
      <c r="A940" s="1" t="s">
        <v>2026</v>
      </c>
      <c r="B940" s="51">
        <v>0</v>
      </c>
    </row>
    <row r="941" spans="1:2" customFormat="1" ht="14.4" x14ac:dyDescent="0.3">
      <c r="A941" s="1" t="s">
        <v>2027</v>
      </c>
      <c r="B941" s="51">
        <v>0</v>
      </c>
    </row>
    <row r="942" spans="1:2" customFormat="1" ht="14.4" x14ac:dyDescent="0.3">
      <c r="A942" s="1" t="s">
        <v>2028</v>
      </c>
      <c r="B942" s="51">
        <v>0</v>
      </c>
    </row>
    <row r="943" spans="1:2" customFormat="1" ht="14.4" x14ac:dyDescent="0.3">
      <c r="A943" s="1" t="s">
        <v>2029</v>
      </c>
      <c r="B943" s="51">
        <v>0</v>
      </c>
    </row>
    <row r="944" spans="1:2" customFormat="1" ht="14.4" x14ac:dyDescent="0.3">
      <c r="A944" s="1" t="s">
        <v>2030</v>
      </c>
      <c r="B944" s="51">
        <v>0</v>
      </c>
    </row>
    <row r="945" spans="1:2" customFormat="1" ht="14.4" x14ac:dyDescent="0.3">
      <c r="A945" s="1" t="s">
        <v>2031</v>
      </c>
      <c r="B945" s="51">
        <v>0</v>
      </c>
    </row>
    <row r="946" spans="1:2" customFormat="1" ht="14.4" x14ac:dyDescent="0.3">
      <c r="A946" s="1" t="s">
        <v>2032</v>
      </c>
      <c r="B946" s="51">
        <v>0</v>
      </c>
    </row>
    <row r="947" spans="1:2" customFormat="1" ht="14.4" x14ac:dyDescent="0.3">
      <c r="A947" s="1" t="s">
        <v>2033</v>
      </c>
      <c r="B947" s="51">
        <v>0</v>
      </c>
    </row>
    <row r="948" spans="1:2" customFormat="1" ht="14.4" x14ac:dyDescent="0.3">
      <c r="A948" s="1" t="s">
        <v>1997</v>
      </c>
      <c r="B948" s="51">
        <v>0</v>
      </c>
    </row>
    <row r="949" spans="1:2" customFormat="1" ht="14.4" x14ac:dyDescent="0.3">
      <c r="A949" s="1" t="s">
        <v>1967</v>
      </c>
      <c r="B949" s="51">
        <v>0</v>
      </c>
    </row>
    <row r="950" spans="1:2" customFormat="1" ht="14.4" x14ac:dyDescent="0.3">
      <c r="A950" s="1" t="s">
        <v>2034</v>
      </c>
      <c r="B950" s="51">
        <v>0</v>
      </c>
    </row>
    <row r="951" spans="1:2" customFormat="1" ht="14.4" x14ac:dyDescent="0.3">
      <c r="A951" s="1" t="s">
        <v>2035</v>
      </c>
      <c r="B951" s="51">
        <v>0</v>
      </c>
    </row>
    <row r="952" spans="1:2" customFormat="1" ht="14.4" x14ac:dyDescent="0.3">
      <c r="A952" s="1" t="s">
        <v>2036</v>
      </c>
      <c r="B952" s="51">
        <v>0</v>
      </c>
    </row>
    <row r="953" spans="1:2" customFormat="1" ht="14.4" x14ac:dyDescent="0.3">
      <c r="A953" s="1" t="s">
        <v>2057</v>
      </c>
      <c r="B953" s="51">
        <v>0</v>
      </c>
    </row>
    <row r="954" spans="1:2" customFormat="1" ht="14.4" x14ac:dyDescent="0.3">
      <c r="A954" s="1" t="s">
        <v>2068</v>
      </c>
      <c r="B954" s="51">
        <v>0</v>
      </c>
    </row>
    <row r="955" spans="1:2" customFormat="1" ht="14.4" x14ac:dyDescent="0.3">
      <c r="A955" s="1" t="s">
        <v>2071</v>
      </c>
      <c r="B955" s="51">
        <v>0</v>
      </c>
    </row>
    <row r="956" spans="1:2" customFormat="1" ht="14.4" x14ac:dyDescent="0.3">
      <c r="A956" s="1" t="s">
        <v>2020</v>
      </c>
      <c r="B956" s="51">
        <v>0</v>
      </c>
    </row>
    <row r="957" spans="1:2" customFormat="1" ht="14.4" x14ac:dyDescent="0.3">
      <c r="A957" s="1" t="s">
        <v>2072</v>
      </c>
      <c r="B957" s="51">
        <v>0</v>
      </c>
    </row>
    <row r="958" spans="1:2" customFormat="1" ht="14.4" x14ac:dyDescent="0.3">
      <c r="A958" s="1" t="s">
        <v>2073</v>
      </c>
      <c r="B958" s="51">
        <v>0</v>
      </c>
    </row>
    <row r="959" spans="1:2" customFormat="1" ht="14.4" x14ac:dyDescent="0.3">
      <c r="A959" s="1" t="s">
        <v>2074</v>
      </c>
      <c r="B959" s="51">
        <v>0</v>
      </c>
    </row>
    <row r="960" spans="1:2" customFormat="1" ht="14.4" x14ac:dyDescent="0.3">
      <c r="A960" s="1" t="s">
        <v>2075</v>
      </c>
      <c r="B960" s="51">
        <v>0</v>
      </c>
    </row>
    <row r="961" spans="1:2" customFormat="1" ht="14.4" x14ac:dyDescent="0.3">
      <c r="A961" s="1" t="s">
        <v>2076</v>
      </c>
      <c r="B961" s="51">
        <v>0</v>
      </c>
    </row>
    <row r="962" spans="1:2" customFormat="1" ht="14.4" x14ac:dyDescent="0.3">
      <c r="A962" s="1" t="s">
        <v>2070</v>
      </c>
      <c r="B962" s="51">
        <v>0</v>
      </c>
    </row>
    <row r="963" spans="1:2" customFormat="1" ht="14.4" x14ac:dyDescent="0.3">
      <c r="A963" s="1" t="s">
        <v>2077</v>
      </c>
      <c r="B963" s="51">
        <v>0</v>
      </c>
    </row>
    <row r="964" spans="1:2" customFormat="1" ht="14.4" x14ac:dyDescent="0.3">
      <c r="A964" s="1" t="s">
        <v>2086</v>
      </c>
      <c r="B964" s="51">
        <v>0</v>
      </c>
    </row>
    <row r="965" spans="1:2" customFormat="1" ht="14.4" x14ac:dyDescent="0.3">
      <c r="A965" s="1" t="s">
        <v>2088</v>
      </c>
      <c r="B965" s="51">
        <v>0</v>
      </c>
    </row>
    <row r="966" spans="1:2" customFormat="1" ht="14.4" x14ac:dyDescent="0.3">
      <c r="A966" s="1" t="s">
        <v>2089</v>
      </c>
      <c r="B966" s="51">
        <v>0</v>
      </c>
    </row>
    <row r="967" spans="1:2" customFormat="1" ht="14.4" x14ac:dyDescent="0.3">
      <c r="A967" s="1" t="s">
        <v>2092</v>
      </c>
      <c r="B967" s="51">
        <v>0</v>
      </c>
    </row>
    <row r="968" spans="1:2" ht="15.6" x14ac:dyDescent="0.3">
      <c r="A968" s="1" t="s">
        <v>2101</v>
      </c>
      <c r="B968" s="51">
        <v>0</v>
      </c>
    </row>
    <row r="969" spans="1:2" ht="15.6" x14ac:dyDescent="0.3">
      <c r="A969" s="1" t="s">
        <v>2102</v>
      </c>
      <c r="B969" s="51">
        <v>0</v>
      </c>
    </row>
    <row r="970" spans="1:2" ht="15.6" x14ac:dyDescent="0.3">
      <c r="A970" s="1" t="s">
        <v>2103</v>
      </c>
      <c r="B970" s="51">
        <v>0</v>
      </c>
    </row>
    <row r="971" spans="1:2" ht="15.6" x14ac:dyDescent="0.3">
      <c r="A971" s="1" t="s">
        <v>2104</v>
      </c>
      <c r="B971" s="51">
        <v>0</v>
      </c>
    </row>
    <row r="972" spans="1:2" ht="15.6" x14ac:dyDescent="0.3">
      <c r="A972" s="1" t="s">
        <v>2105</v>
      </c>
      <c r="B972" s="51">
        <v>0</v>
      </c>
    </row>
    <row r="973" spans="1:2" ht="15.6" x14ac:dyDescent="0.3">
      <c r="A973" s="1" t="s">
        <v>2106</v>
      </c>
      <c r="B973" s="51">
        <v>0</v>
      </c>
    </row>
    <row r="974" spans="1:2" ht="15.6" x14ac:dyDescent="0.3">
      <c r="A974" s="1" t="s">
        <v>2107</v>
      </c>
      <c r="B974" s="51">
        <v>0</v>
      </c>
    </row>
    <row r="975" spans="1:2" ht="15.6" x14ac:dyDescent="0.3">
      <c r="A975" s="1" t="s">
        <v>2108</v>
      </c>
      <c r="B975" s="51">
        <v>0</v>
      </c>
    </row>
    <row r="976" spans="1:2" ht="15.6" x14ac:dyDescent="0.3">
      <c r="A976" s="1" t="s">
        <v>2094</v>
      </c>
      <c r="B976" s="51">
        <v>0</v>
      </c>
    </row>
    <row r="977" spans="1:2" ht="15.6" x14ac:dyDescent="0.3">
      <c r="A977" s="1" t="s">
        <v>2097</v>
      </c>
      <c r="B977" s="51">
        <v>0</v>
      </c>
    </row>
    <row r="978" spans="1:2" ht="15.6" x14ac:dyDescent="0.3">
      <c r="A978" s="1" t="s">
        <v>2098</v>
      </c>
      <c r="B978" s="51">
        <v>0</v>
      </c>
    </row>
    <row r="979" spans="1:2" ht="15.6" x14ac:dyDescent="0.3">
      <c r="A979" s="1" t="s">
        <v>2109</v>
      </c>
      <c r="B979" s="51">
        <v>0</v>
      </c>
    </row>
    <row r="980" spans="1:2" ht="15.6" x14ac:dyDescent="0.3">
      <c r="A980" s="1" t="s">
        <v>2141</v>
      </c>
      <c r="B980" s="51">
        <v>0</v>
      </c>
    </row>
    <row r="981" spans="1:2" ht="15.6" x14ac:dyDescent="0.3">
      <c r="A981" s="1" t="s">
        <v>2119</v>
      </c>
      <c r="B981" s="51">
        <v>0</v>
      </c>
    </row>
    <row r="982" spans="1:2" ht="15.6" x14ac:dyDescent="0.3">
      <c r="A982" s="1" t="s">
        <v>2120</v>
      </c>
      <c r="B982" s="51">
        <v>0</v>
      </c>
    </row>
    <row r="983" spans="1:2" ht="15.6" x14ac:dyDescent="0.3">
      <c r="A983" s="1" t="s">
        <v>2121</v>
      </c>
      <c r="B983" s="51">
        <v>0</v>
      </c>
    </row>
    <row r="984" spans="1:2" ht="15.6" x14ac:dyDescent="0.3">
      <c r="A984" s="1" t="s">
        <v>2122</v>
      </c>
      <c r="B984" s="51">
        <v>0</v>
      </c>
    </row>
    <row r="985" spans="1:2" ht="15.6" x14ac:dyDescent="0.3">
      <c r="A985" s="1" t="s">
        <v>2123</v>
      </c>
      <c r="B985" s="51">
        <v>0</v>
      </c>
    </row>
    <row r="986" spans="1:2" ht="15.6" x14ac:dyDescent="0.3">
      <c r="A986" s="1" t="s">
        <v>2124</v>
      </c>
      <c r="B986" s="51">
        <v>0</v>
      </c>
    </row>
    <row r="987" spans="1:2" ht="15.6" x14ac:dyDescent="0.3">
      <c r="A987" s="1" t="s">
        <v>2125</v>
      </c>
      <c r="B987" s="51">
        <v>0</v>
      </c>
    </row>
    <row r="988" spans="1:2" ht="15.6" x14ac:dyDescent="0.3">
      <c r="A988" s="1" t="s">
        <v>2140</v>
      </c>
      <c r="B988" s="51">
        <v>0</v>
      </c>
    </row>
    <row r="989" spans="1:2" ht="15.6" x14ac:dyDescent="0.3">
      <c r="A989" s="1" t="s">
        <v>2126</v>
      </c>
      <c r="B989" s="51">
        <v>0</v>
      </c>
    </row>
    <row r="990" spans="1:2" ht="15.6" x14ac:dyDescent="0.3">
      <c r="A990" s="1" t="s">
        <v>2127</v>
      </c>
      <c r="B990" s="51">
        <v>0</v>
      </c>
    </row>
    <row r="991" spans="1:2" ht="15.6" x14ac:dyDescent="0.3">
      <c r="A991" s="1" t="s">
        <v>2144</v>
      </c>
      <c r="B991" s="51">
        <v>0</v>
      </c>
    </row>
    <row r="992" spans="1:2" ht="15.6" x14ac:dyDescent="0.3">
      <c r="A992" s="1" t="s">
        <v>2142</v>
      </c>
      <c r="B992" s="51">
        <v>0</v>
      </c>
    </row>
    <row r="993" spans="1:2" ht="15.6" x14ac:dyDescent="0.3">
      <c r="A993" s="1" t="s">
        <v>2148</v>
      </c>
      <c r="B993" s="51">
        <v>0</v>
      </c>
    </row>
    <row r="994" spans="1:2" ht="15.6" x14ac:dyDescent="0.3">
      <c r="A994" s="1" t="s">
        <v>2149</v>
      </c>
      <c r="B994" s="51">
        <v>0</v>
      </c>
    </row>
    <row r="995" spans="1:2" ht="15.6" x14ac:dyDescent="0.3">
      <c r="A995" s="1" t="s">
        <v>2150</v>
      </c>
      <c r="B995" s="51">
        <v>0</v>
      </c>
    </row>
    <row r="996" spans="1:2" ht="15.6" x14ac:dyDescent="0.3">
      <c r="A996" s="1" t="s">
        <v>2151</v>
      </c>
      <c r="B996" s="51">
        <v>0</v>
      </c>
    </row>
    <row r="997" spans="1:2" ht="15.6" x14ac:dyDescent="0.3">
      <c r="A997" s="1" t="s">
        <v>2155</v>
      </c>
      <c r="B997" s="51">
        <v>0</v>
      </c>
    </row>
    <row r="998" spans="1:2" ht="15.6" x14ac:dyDescent="0.3">
      <c r="A998" s="1" t="s">
        <v>2158</v>
      </c>
      <c r="B998" s="51">
        <v>0</v>
      </c>
    </row>
    <row r="999" spans="1:2" ht="15.6" x14ac:dyDescent="0.3">
      <c r="A999" s="1" t="s">
        <v>2160</v>
      </c>
      <c r="B999" s="51">
        <v>0</v>
      </c>
    </row>
    <row r="1000" spans="1:2" ht="15.6" x14ac:dyDescent="0.3">
      <c r="A1000" s="1" t="s">
        <v>2165</v>
      </c>
      <c r="B1000" s="51">
        <v>0</v>
      </c>
    </row>
    <row r="1001" spans="1:2" ht="15.6" x14ac:dyDescent="0.3">
      <c r="A1001" s="1" t="s">
        <v>2166</v>
      </c>
      <c r="B1001" s="51">
        <v>0</v>
      </c>
    </row>
    <row r="1002" spans="1:2" ht="15.6" x14ac:dyDescent="0.3">
      <c r="A1002" s="1" t="s">
        <v>2167</v>
      </c>
      <c r="B1002" s="51">
        <v>0</v>
      </c>
    </row>
    <row r="1003" spans="1:2" ht="15.6" x14ac:dyDescent="0.3">
      <c r="A1003" s="1" t="s">
        <v>2168</v>
      </c>
      <c r="B1003" s="51">
        <v>0</v>
      </c>
    </row>
    <row r="1004" spans="1:2" ht="15.6" x14ac:dyDescent="0.3">
      <c r="A1004" s="1" t="s">
        <v>2172</v>
      </c>
      <c r="B1004" s="51">
        <v>0</v>
      </c>
    </row>
    <row r="1005" spans="1:2" ht="15.6" x14ac:dyDescent="0.3">
      <c r="A1005" s="1" t="s">
        <v>2169</v>
      </c>
      <c r="B1005" s="51">
        <v>0</v>
      </c>
    </row>
    <row r="1006" spans="1:2" ht="15.6" x14ac:dyDescent="0.3">
      <c r="A1006" s="1" t="s">
        <v>2170</v>
      </c>
      <c r="B1006" s="51">
        <v>0</v>
      </c>
    </row>
    <row r="1007" spans="1:2" ht="15.6" x14ac:dyDescent="0.3">
      <c r="A1007" s="1" t="s">
        <v>2171</v>
      </c>
      <c r="B1007" s="51">
        <v>0</v>
      </c>
    </row>
    <row r="1008" spans="1:2" ht="15.6" x14ac:dyDescent="0.3">
      <c r="A1008" s="1" t="s">
        <v>2180</v>
      </c>
      <c r="B1008" s="51">
        <v>0</v>
      </c>
    </row>
    <row r="1009" spans="1:2" ht="15.6" x14ac:dyDescent="0.3">
      <c r="A1009" s="1" t="s">
        <v>2181</v>
      </c>
      <c r="B1009" s="51">
        <v>0</v>
      </c>
    </row>
    <row r="1010" spans="1:2" ht="15.6" x14ac:dyDescent="0.3">
      <c r="A1010" s="1" t="s">
        <v>2182</v>
      </c>
      <c r="B1010" s="51">
        <v>0</v>
      </c>
    </row>
    <row r="1011" spans="1:2" ht="15.6" x14ac:dyDescent="0.3">
      <c r="A1011" s="1" t="s">
        <v>2183</v>
      </c>
      <c r="B1011" s="51">
        <v>0</v>
      </c>
    </row>
    <row r="1012" spans="1:2" ht="15.6" x14ac:dyDescent="0.3">
      <c r="A1012" s="1" t="s">
        <v>2184</v>
      </c>
      <c r="B1012" s="51">
        <v>0</v>
      </c>
    </row>
    <row r="1013" spans="1:2" ht="15.6" x14ac:dyDescent="0.3">
      <c r="A1013" s="1" t="s">
        <v>2185</v>
      </c>
      <c r="B1013" s="51">
        <v>0</v>
      </c>
    </row>
    <row r="1014" spans="1:2" ht="15.6" x14ac:dyDescent="0.3">
      <c r="A1014" s="1" t="s">
        <v>2186</v>
      </c>
      <c r="B1014" s="51">
        <v>0</v>
      </c>
    </row>
    <row r="1015" spans="1:2" ht="15.6" x14ac:dyDescent="0.3">
      <c r="A1015" s="1" t="s">
        <v>2187</v>
      </c>
      <c r="B1015" s="51">
        <v>0</v>
      </c>
    </row>
    <row r="1016" spans="1:2" ht="15.6" x14ac:dyDescent="0.3">
      <c r="A1016" s="1" t="s">
        <v>2188</v>
      </c>
      <c r="B1016" s="51">
        <v>0</v>
      </c>
    </row>
    <row r="1017" spans="1:2" ht="15.6" x14ac:dyDescent="0.3">
      <c r="A1017" s="1" t="s">
        <v>2199</v>
      </c>
      <c r="B1017" s="51">
        <v>0</v>
      </c>
    </row>
    <row r="1018" spans="1:2" ht="15.6" x14ac:dyDescent="0.3">
      <c r="A1018" s="1" t="s">
        <v>2200</v>
      </c>
      <c r="B1018" s="51">
        <v>0</v>
      </c>
    </row>
    <row r="1019" spans="1:2" ht="15.6" x14ac:dyDescent="0.3">
      <c r="A1019" s="1" t="s">
        <v>2202</v>
      </c>
      <c r="B1019" s="51">
        <v>0</v>
      </c>
    </row>
    <row r="1020" spans="1:2" ht="15.6" x14ac:dyDescent="0.3">
      <c r="A1020" s="1" t="s">
        <v>2204</v>
      </c>
      <c r="B1020" s="51">
        <v>0</v>
      </c>
    </row>
    <row r="1021" spans="1:2" ht="15.6" x14ac:dyDescent="0.3">
      <c r="A1021" s="1" t="s">
        <v>2206</v>
      </c>
      <c r="B1021" s="51">
        <v>0</v>
      </c>
    </row>
    <row r="1022" spans="1:2" ht="15.6" x14ac:dyDescent="0.3">
      <c r="A1022" s="1" t="s">
        <v>2208</v>
      </c>
      <c r="B1022" s="51">
        <v>0</v>
      </c>
    </row>
    <row r="1023" spans="1:2" ht="15.6" x14ac:dyDescent="0.3">
      <c r="A1023" s="1" t="s">
        <v>2210</v>
      </c>
      <c r="B1023" s="51">
        <v>0</v>
      </c>
    </row>
    <row r="1024" spans="1:2" ht="15.6" x14ac:dyDescent="0.3">
      <c r="A1024" s="1" t="s">
        <v>2212</v>
      </c>
      <c r="B1024" s="51">
        <v>0</v>
      </c>
    </row>
    <row r="1025" spans="1:2" ht="15.6" x14ac:dyDescent="0.3">
      <c r="A1025" s="1" t="s">
        <v>2215</v>
      </c>
      <c r="B1025" s="51">
        <v>0</v>
      </c>
    </row>
    <row r="1026" spans="1:2" ht="15.6" x14ac:dyDescent="0.3">
      <c r="A1026" s="1" t="s">
        <v>2216</v>
      </c>
      <c r="B1026" s="51">
        <v>0</v>
      </c>
    </row>
    <row r="1027" spans="1:2" ht="15.6" x14ac:dyDescent="0.3">
      <c r="A1027" s="1" t="s">
        <v>2217</v>
      </c>
      <c r="B1027" s="51">
        <v>0</v>
      </c>
    </row>
    <row r="1028" spans="1:2" ht="15.6" x14ac:dyDescent="0.3">
      <c r="A1028" s="1" t="s">
        <v>2218</v>
      </c>
      <c r="B1028" s="51">
        <v>0</v>
      </c>
    </row>
    <row r="1029" spans="1:2" ht="15.6" x14ac:dyDescent="0.3">
      <c r="A1029" s="1" t="s">
        <v>2225</v>
      </c>
      <c r="B1029" s="51">
        <v>0</v>
      </c>
    </row>
    <row r="1030" spans="1:2" ht="15.6" x14ac:dyDescent="0.3">
      <c r="A1030" s="1" t="s">
        <v>2226</v>
      </c>
      <c r="B1030" s="51">
        <v>0</v>
      </c>
    </row>
    <row r="1031" spans="1:2" ht="15.6" x14ac:dyDescent="0.3">
      <c r="A1031" s="1" t="s">
        <v>2228</v>
      </c>
      <c r="B1031" s="51">
        <v>0</v>
      </c>
    </row>
    <row r="1032" spans="1:2" ht="15.6" x14ac:dyDescent="0.3">
      <c r="A1032" s="1" t="s">
        <v>2229</v>
      </c>
      <c r="B1032" s="51">
        <v>0</v>
      </c>
    </row>
    <row r="1033" spans="1:2" ht="15.6" x14ac:dyDescent="0.3">
      <c r="A1033" s="1" t="s">
        <v>2232</v>
      </c>
      <c r="B1033" s="51">
        <v>0</v>
      </c>
    </row>
    <row r="1034" spans="1:2" ht="15.6" x14ac:dyDescent="0.3">
      <c r="A1034" s="1" t="s">
        <v>2233</v>
      </c>
      <c r="B1034" s="51">
        <v>0</v>
      </c>
    </row>
    <row r="1035" spans="1:2" ht="15.6" x14ac:dyDescent="0.3">
      <c r="A1035" s="1" t="s">
        <v>2236</v>
      </c>
      <c r="B1035" s="51">
        <v>0</v>
      </c>
    </row>
    <row r="1036" spans="1:2" ht="15.6" x14ac:dyDescent="0.3">
      <c r="A1036" s="1" t="s">
        <v>2238</v>
      </c>
      <c r="B1036" s="51">
        <v>0</v>
      </c>
    </row>
    <row r="1037" spans="1:2" ht="15.6" x14ac:dyDescent="0.3">
      <c r="A1037" s="1" t="s">
        <v>2240</v>
      </c>
      <c r="B1037" s="51">
        <v>0</v>
      </c>
    </row>
    <row r="1038" spans="1:2" ht="15.6" x14ac:dyDescent="0.3">
      <c r="A1038" s="1" t="s">
        <v>2242</v>
      </c>
      <c r="B1038" s="51">
        <v>0</v>
      </c>
    </row>
    <row r="1039" spans="1:2" ht="15.6" x14ac:dyDescent="0.3">
      <c r="A1039" s="1" t="s">
        <v>2245</v>
      </c>
      <c r="B1039" s="51">
        <v>0</v>
      </c>
    </row>
    <row r="1040" spans="1:2" ht="15.6" x14ac:dyDescent="0.3">
      <c r="A1040" s="1" t="s">
        <v>2246</v>
      </c>
      <c r="B1040" s="51">
        <v>0</v>
      </c>
    </row>
    <row r="1041" spans="1:2" ht="15.6" x14ac:dyDescent="0.3">
      <c r="A1041" s="1" t="s">
        <v>2250</v>
      </c>
      <c r="B1041" s="51">
        <v>0</v>
      </c>
    </row>
    <row r="1042" spans="1:2" ht="15.6" x14ac:dyDescent="0.3">
      <c r="A1042" s="1" t="s">
        <v>2252</v>
      </c>
      <c r="B1042" s="51">
        <v>0</v>
      </c>
    </row>
    <row r="1043" spans="1:2" ht="15.6" x14ac:dyDescent="0.3">
      <c r="A1043" s="1" t="s">
        <v>2253</v>
      </c>
      <c r="B1043" s="51">
        <v>0</v>
      </c>
    </row>
    <row r="1044" spans="1:2" ht="15.6" x14ac:dyDescent="0.3">
      <c r="A1044" s="1" t="s">
        <v>2254</v>
      </c>
      <c r="B1044" s="51">
        <v>0</v>
      </c>
    </row>
    <row r="1045" spans="1:2" ht="15.6" x14ac:dyDescent="0.3">
      <c r="A1045" s="1" t="s">
        <v>2255</v>
      </c>
      <c r="B1045" s="51">
        <v>0</v>
      </c>
    </row>
    <row r="1046" spans="1:2" ht="15.6" x14ac:dyDescent="0.3">
      <c r="A1046" s="1" t="s">
        <v>2256</v>
      </c>
      <c r="B1046" s="51">
        <v>0</v>
      </c>
    </row>
    <row r="1047" spans="1:2" ht="15.6" x14ac:dyDescent="0.3">
      <c r="A1047" s="1" t="s">
        <v>2262</v>
      </c>
      <c r="B1047" s="51">
        <v>0</v>
      </c>
    </row>
    <row r="1048" spans="1:2" ht="15.6" x14ac:dyDescent="0.3">
      <c r="A1048" s="1" t="s">
        <v>2263</v>
      </c>
      <c r="B1048" s="51">
        <v>0</v>
      </c>
    </row>
    <row r="1049" spans="1:2" ht="15.6" x14ac:dyDescent="0.3">
      <c r="A1049" s="1" t="s">
        <v>2264</v>
      </c>
      <c r="B1049" s="51">
        <v>0</v>
      </c>
    </row>
    <row r="1050" spans="1:2" ht="15.6" x14ac:dyDescent="0.3">
      <c r="A1050" s="1" t="s">
        <v>2265</v>
      </c>
      <c r="B1050" s="51">
        <v>0</v>
      </c>
    </row>
    <row r="1051" spans="1:2" ht="15.6" x14ac:dyDescent="0.3">
      <c r="A1051" s="1" t="s">
        <v>2266</v>
      </c>
      <c r="B1051" s="51">
        <v>0</v>
      </c>
    </row>
    <row r="1052" spans="1:2" ht="15.6" x14ac:dyDescent="0.3">
      <c r="A1052" s="1" t="s">
        <v>2272</v>
      </c>
      <c r="B1052" s="51">
        <v>0</v>
      </c>
    </row>
    <row r="1053" spans="1:2" ht="15.6" x14ac:dyDescent="0.3">
      <c r="A1053" s="1" t="s">
        <v>2274</v>
      </c>
      <c r="B1053" s="51">
        <v>0</v>
      </c>
    </row>
    <row r="1054" spans="1:2" ht="15.6" x14ac:dyDescent="0.3">
      <c r="A1054" s="1" t="s">
        <v>2279</v>
      </c>
      <c r="B1054" s="51">
        <v>0</v>
      </c>
    </row>
    <row r="1055" spans="1:2" ht="15.6" x14ac:dyDescent="0.3">
      <c r="A1055" s="1" t="s">
        <v>2283</v>
      </c>
      <c r="B1055" s="51">
        <v>0</v>
      </c>
    </row>
    <row r="1056" spans="1:2" ht="15.6" x14ac:dyDescent="0.3">
      <c r="A1056" s="1" t="s">
        <v>2285</v>
      </c>
      <c r="B1056" s="51">
        <v>0</v>
      </c>
    </row>
    <row r="1057" spans="1:2" ht="15.6" x14ac:dyDescent="0.3">
      <c r="A1057" s="1" t="s">
        <v>2290</v>
      </c>
      <c r="B1057" s="51">
        <v>0</v>
      </c>
    </row>
    <row r="1058" spans="1:2" ht="15.6" x14ac:dyDescent="0.3">
      <c r="A1058" s="1" t="s">
        <v>2291</v>
      </c>
      <c r="B1058" s="51">
        <v>0</v>
      </c>
    </row>
    <row r="1059" spans="1:2" ht="15.6" x14ac:dyDescent="0.3">
      <c r="A1059" s="1" t="s">
        <v>2292</v>
      </c>
      <c r="B1059" s="51">
        <v>0</v>
      </c>
    </row>
    <row r="1060" spans="1:2" ht="15.6" x14ac:dyDescent="0.3">
      <c r="A1060" s="1" t="s">
        <v>2298</v>
      </c>
      <c r="B1060" s="51">
        <v>0</v>
      </c>
    </row>
    <row r="1061" spans="1:2" ht="15.6" x14ac:dyDescent="0.3">
      <c r="A1061" s="1" t="s">
        <v>2299</v>
      </c>
      <c r="B1061" s="51">
        <v>0</v>
      </c>
    </row>
    <row r="1062" spans="1:2" ht="15.6" x14ac:dyDescent="0.3">
      <c r="A1062" s="1" t="s">
        <v>2300</v>
      </c>
      <c r="B1062" s="51">
        <v>0</v>
      </c>
    </row>
    <row r="1063" spans="1:2" ht="15.6" x14ac:dyDescent="0.3">
      <c r="A1063" s="1" t="s">
        <v>2301</v>
      </c>
      <c r="B1063" s="51">
        <v>0</v>
      </c>
    </row>
    <row r="1064" spans="1:2" ht="15.6" x14ac:dyDescent="0.3">
      <c r="A1064" s="1" t="s">
        <v>2302</v>
      </c>
      <c r="B1064" s="51">
        <v>0</v>
      </c>
    </row>
    <row r="1065" spans="1:2" ht="15.6" x14ac:dyDescent="0.3">
      <c r="A1065" s="1" t="s">
        <v>2303</v>
      </c>
      <c r="B1065" s="51">
        <v>0</v>
      </c>
    </row>
    <row r="1066" spans="1:2" ht="15.6" x14ac:dyDescent="0.3">
      <c r="A1066" s="1" t="s">
        <v>2304</v>
      </c>
      <c r="B1066" s="51">
        <v>0</v>
      </c>
    </row>
    <row r="1067" spans="1:2" ht="15.6" x14ac:dyDescent="0.3">
      <c r="A1067" s="1" t="s">
        <v>2305</v>
      </c>
      <c r="B1067" s="51">
        <v>0</v>
      </c>
    </row>
    <row r="1068" spans="1:2" ht="15.6" x14ac:dyDescent="0.3">
      <c r="A1068" s="1" t="s">
        <v>2306</v>
      </c>
      <c r="B1068" s="51">
        <v>0</v>
      </c>
    </row>
    <row r="1069" spans="1:2" ht="15.6" x14ac:dyDescent="0.3">
      <c r="A1069" s="1" t="s">
        <v>2307</v>
      </c>
      <c r="B1069" s="51">
        <v>0</v>
      </c>
    </row>
    <row r="1070" spans="1:2" ht="15.6" x14ac:dyDescent="0.3">
      <c r="A1070" s="1" t="s">
        <v>2308</v>
      </c>
      <c r="B1070" s="51">
        <v>0</v>
      </c>
    </row>
    <row r="1071" spans="1:2" ht="15.6" x14ac:dyDescent="0.3">
      <c r="A1071" s="1" t="s">
        <v>2309</v>
      </c>
      <c r="B1071" s="51">
        <v>0</v>
      </c>
    </row>
    <row r="1072" spans="1:2" ht="15.6" x14ac:dyDescent="0.3">
      <c r="A1072" s="1" t="s">
        <v>2310</v>
      </c>
      <c r="B1072" s="51">
        <v>0</v>
      </c>
    </row>
    <row r="1073" spans="1:2" ht="15.6" x14ac:dyDescent="0.3">
      <c r="A1073" s="1" t="s">
        <v>2324</v>
      </c>
      <c r="B1073" s="51">
        <v>0</v>
      </c>
    </row>
    <row r="1074" spans="1:2" ht="15.6" x14ac:dyDescent="0.3">
      <c r="A1074" s="1" t="s">
        <v>2326</v>
      </c>
      <c r="B1074" s="51">
        <v>0</v>
      </c>
    </row>
    <row r="1075" spans="1:2" ht="15.6" x14ac:dyDescent="0.3">
      <c r="A1075" s="1" t="s">
        <v>2244</v>
      </c>
      <c r="B1075" s="51">
        <v>0</v>
      </c>
    </row>
    <row r="1076" spans="1:2" ht="15.6" x14ac:dyDescent="0.3">
      <c r="A1076" s="1" t="s">
        <v>2338</v>
      </c>
      <c r="B1076" s="51">
        <v>0</v>
      </c>
    </row>
    <row r="1077" spans="1:2" ht="15.6" x14ac:dyDescent="0.3">
      <c r="A1077" s="1" t="s">
        <v>2340</v>
      </c>
      <c r="B1077" s="51">
        <v>0</v>
      </c>
    </row>
    <row r="1078" spans="1:2" ht="15.6" x14ac:dyDescent="0.3">
      <c r="A1078" s="1" t="s">
        <v>2342</v>
      </c>
      <c r="B1078" s="51">
        <v>0</v>
      </c>
    </row>
    <row r="1079" spans="1:2" ht="15.6" x14ac:dyDescent="0.3">
      <c r="A1079" s="1" t="s">
        <v>2343</v>
      </c>
      <c r="B1079" s="51">
        <v>0</v>
      </c>
    </row>
    <row r="1080" spans="1:2" ht="15.6" x14ac:dyDescent="0.3">
      <c r="A1080" s="1" t="s">
        <v>2339</v>
      </c>
      <c r="B1080" s="51">
        <v>0</v>
      </c>
    </row>
    <row r="1081" spans="1:2" ht="15.6" x14ac:dyDescent="0.3">
      <c r="A1081" s="1" t="s">
        <v>2335</v>
      </c>
      <c r="B1081" s="51">
        <v>0</v>
      </c>
    </row>
    <row r="1082" spans="1:2" ht="15.6" x14ac:dyDescent="0.3">
      <c r="A1082" s="1" t="s">
        <v>2344</v>
      </c>
      <c r="B1082" s="51">
        <v>0</v>
      </c>
    </row>
    <row r="1083" spans="1:2" ht="15.6" x14ac:dyDescent="0.3">
      <c r="A1083" s="1" t="s">
        <v>2346</v>
      </c>
      <c r="B1083" s="51">
        <v>0</v>
      </c>
    </row>
    <row r="1084" spans="1:2" ht="15.6" x14ac:dyDescent="0.3">
      <c r="A1084" s="1" t="s">
        <v>2336</v>
      </c>
      <c r="B1084" s="51">
        <v>0</v>
      </c>
    </row>
    <row r="1085" spans="1:2" ht="15.6" x14ac:dyDescent="0.3">
      <c r="A1085" s="1" t="s">
        <v>2347</v>
      </c>
      <c r="B1085" s="51">
        <v>0</v>
      </c>
    </row>
    <row r="1086" spans="1:2" ht="15.6" x14ac:dyDescent="0.3">
      <c r="A1086" s="1" t="s">
        <v>2337</v>
      </c>
      <c r="B1086" s="51">
        <v>0</v>
      </c>
    </row>
    <row r="1087" spans="1:2" ht="15.6" x14ac:dyDescent="0.3">
      <c r="A1087" s="1" t="s">
        <v>2345</v>
      </c>
      <c r="B1087" s="51">
        <v>0</v>
      </c>
    </row>
    <row r="1088" spans="1:2" ht="15.6" x14ac:dyDescent="0.3">
      <c r="A1088" s="1" t="s">
        <v>2341</v>
      </c>
      <c r="B1088" s="51">
        <v>0</v>
      </c>
    </row>
    <row r="1089" spans="1:2" ht="15.6" x14ac:dyDescent="0.3">
      <c r="A1089" s="1" t="s">
        <v>2517</v>
      </c>
      <c r="B1089" s="51">
        <v>0</v>
      </c>
    </row>
    <row r="1090" spans="1:2" ht="15.6" x14ac:dyDescent="0.3">
      <c r="A1090" s="1" t="s">
        <v>2455</v>
      </c>
      <c r="B1090" s="51">
        <v>0</v>
      </c>
    </row>
    <row r="1091" spans="1:2" ht="15.6" x14ac:dyDescent="0.3">
      <c r="A1091" s="1" t="s">
        <v>2456</v>
      </c>
      <c r="B1091" s="51">
        <v>0</v>
      </c>
    </row>
    <row r="1092" spans="1:2" ht="15.6" x14ac:dyDescent="0.3">
      <c r="A1092" s="1" t="s">
        <v>2457</v>
      </c>
      <c r="B1092" s="51">
        <v>0</v>
      </c>
    </row>
    <row r="1093" spans="1:2" ht="15.6" x14ac:dyDescent="0.3">
      <c r="A1093" s="1" t="s">
        <v>2458</v>
      </c>
      <c r="B1093" s="51">
        <v>0</v>
      </c>
    </row>
    <row r="1094" spans="1:2" ht="15.6" x14ac:dyDescent="0.3">
      <c r="A1094" s="1" t="s">
        <v>2459</v>
      </c>
      <c r="B1094" s="51">
        <v>0</v>
      </c>
    </row>
    <row r="1095" spans="1:2" ht="15.6" x14ac:dyDescent="0.3">
      <c r="A1095" s="1" t="s">
        <v>2460</v>
      </c>
      <c r="B1095" s="51">
        <v>0</v>
      </c>
    </row>
    <row r="1096" spans="1:2" ht="15.6" x14ac:dyDescent="0.3">
      <c r="A1096" s="1" t="s">
        <v>2461</v>
      </c>
      <c r="B1096" s="51">
        <v>0</v>
      </c>
    </row>
    <row r="1097" spans="1:2" ht="15.6" x14ac:dyDescent="0.3">
      <c r="A1097" s="1" t="s">
        <v>2462</v>
      </c>
      <c r="B1097" s="51">
        <v>0</v>
      </c>
    </row>
    <row r="1098" spans="1:2" ht="15.6" x14ac:dyDescent="0.3">
      <c r="A1098" s="1" t="s">
        <v>2463</v>
      </c>
      <c r="B1098" s="51">
        <v>0</v>
      </c>
    </row>
    <row r="1099" spans="1:2" ht="15.6" x14ac:dyDescent="0.3">
      <c r="A1099" s="1" t="s">
        <v>2464</v>
      </c>
      <c r="B1099" s="51">
        <v>0</v>
      </c>
    </row>
    <row r="1100" spans="1:2" ht="15.6" x14ac:dyDescent="0.3">
      <c r="A1100" s="1" t="s">
        <v>2465</v>
      </c>
      <c r="B1100" s="51">
        <v>0</v>
      </c>
    </row>
    <row r="1101" spans="1:2" ht="15.6" x14ac:dyDescent="0.3">
      <c r="A1101" s="1" t="s">
        <v>2466</v>
      </c>
      <c r="B1101" s="51">
        <v>0</v>
      </c>
    </row>
    <row r="1102" spans="1:2" ht="15.6" x14ac:dyDescent="0.3">
      <c r="A1102" s="1" t="s">
        <v>2467</v>
      </c>
      <c r="B1102" s="51">
        <v>0</v>
      </c>
    </row>
    <row r="1103" spans="1:2" ht="15.6" x14ac:dyDescent="0.3">
      <c r="A1103" s="1" t="s">
        <v>2468</v>
      </c>
      <c r="B1103" s="51">
        <v>0</v>
      </c>
    </row>
    <row r="1104" spans="1:2" ht="15.6" x14ac:dyDescent="0.3">
      <c r="A1104" s="1" t="s">
        <v>2469</v>
      </c>
      <c r="B1104" s="51">
        <v>0</v>
      </c>
    </row>
    <row r="1105" spans="1:2" ht="15.6" x14ac:dyDescent="0.3">
      <c r="A1105" s="1" t="s">
        <v>2470</v>
      </c>
      <c r="B1105" s="51">
        <v>0</v>
      </c>
    </row>
    <row r="1106" spans="1:2" ht="15.6" x14ac:dyDescent="0.3">
      <c r="A1106" s="1" t="s">
        <v>2471</v>
      </c>
      <c r="B1106" s="51">
        <v>0</v>
      </c>
    </row>
    <row r="1107" spans="1:2" ht="15.6" x14ac:dyDescent="0.3">
      <c r="A1107" s="1" t="s">
        <v>2472</v>
      </c>
      <c r="B1107" s="51">
        <v>0</v>
      </c>
    </row>
    <row r="1108" spans="1:2" ht="15.6" x14ac:dyDescent="0.3">
      <c r="A1108" s="1" t="s">
        <v>2473</v>
      </c>
      <c r="B1108" s="51">
        <v>0</v>
      </c>
    </row>
    <row r="1109" spans="1:2" ht="15.6" x14ac:dyDescent="0.3">
      <c r="A1109" s="1" t="s">
        <v>2474</v>
      </c>
      <c r="B1109" s="51">
        <v>0</v>
      </c>
    </row>
    <row r="1110" spans="1:2" ht="15.6" x14ac:dyDescent="0.3">
      <c r="A1110" s="1" t="s">
        <v>2475</v>
      </c>
      <c r="B1110" s="51">
        <v>0</v>
      </c>
    </row>
    <row r="1111" spans="1:2" ht="15.6" x14ac:dyDescent="0.3">
      <c r="A1111" s="1" t="s">
        <v>2476</v>
      </c>
      <c r="B1111" s="51">
        <v>0</v>
      </c>
    </row>
    <row r="1112" spans="1:2" ht="15.6" x14ac:dyDescent="0.3">
      <c r="A1112" s="1" t="s">
        <v>2477</v>
      </c>
      <c r="B1112" s="51">
        <v>0</v>
      </c>
    </row>
    <row r="1113" spans="1:2" ht="15.6" x14ac:dyDescent="0.3">
      <c r="A1113" s="1" t="s">
        <v>2478</v>
      </c>
      <c r="B1113" s="51">
        <v>0</v>
      </c>
    </row>
    <row r="1114" spans="1:2" ht="15.6" x14ac:dyDescent="0.3">
      <c r="A1114" s="1" t="s">
        <v>2480</v>
      </c>
      <c r="B1114" s="51">
        <v>0</v>
      </c>
    </row>
    <row r="1115" spans="1:2" ht="15.6" x14ac:dyDescent="0.3">
      <c r="A1115" s="1" t="s">
        <v>2481</v>
      </c>
      <c r="B1115" s="51">
        <v>0</v>
      </c>
    </row>
    <row r="1116" spans="1:2" ht="15.6" x14ac:dyDescent="0.3">
      <c r="A1116" s="1" t="s">
        <v>2482</v>
      </c>
      <c r="B1116" s="51">
        <v>0</v>
      </c>
    </row>
    <row r="1117" spans="1:2" ht="15.6" x14ac:dyDescent="0.3">
      <c r="A1117" s="1" t="s">
        <v>2483</v>
      </c>
      <c r="B1117" s="51">
        <v>0</v>
      </c>
    </row>
    <row r="1118" spans="1:2" ht="15.6" x14ac:dyDescent="0.3">
      <c r="A1118" s="1" t="s">
        <v>2484</v>
      </c>
      <c r="B1118" s="51">
        <v>0</v>
      </c>
    </row>
    <row r="1119" spans="1:2" ht="15.6" x14ac:dyDescent="0.3">
      <c r="A1119" s="1" t="s">
        <v>2485</v>
      </c>
      <c r="B1119" s="51">
        <v>0</v>
      </c>
    </row>
    <row r="1120" spans="1:2" ht="15.6" x14ac:dyDescent="0.3">
      <c r="A1120" s="1" t="s">
        <v>2486</v>
      </c>
      <c r="B1120" s="51">
        <v>0</v>
      </c>
    </row>
    <row r="1121" spans="1:2" ht="15.6" x14ac:dyDescent="0.3">
      <c r="A1121" s="1" t="s">
        <v>2487</v>
      </c>
      <c r="B1121" s="51">
        <v>0</v>
      </c>
    </row>
    <row r="1122" spans="1:2" ht="15.6" x14ac:dyDescent="0.3">
      <c r="A1122" s="1" t="s">
        <v>2488</v>
      </c>
      <c r="B1122" s="51">
        <v>0</v>
      </c>
    </row>
    <row r="1123" spans="1:2" ht="15.6" x14ac:dyDescent="0.3">
      <c r="A1123" s="1" t="s">
        <v>2489</v>
      </c>
      <c r="B1123" s="51">
        <v>0</v>
      </c>
    </row>
    <row r="1124" spans="1:2" ht="15.6" x14ac:dyDescent="0.3">
      <c r="A1124" s="1" t="s">
        <v>2490</v>
      </c>
      <c r="B1124" s="51">
        <v>0</v>
      </c>
    </row>
    <row r="1125" spans="1:2" ht="15.6" x14ac:dyDescent="0.3">
      <c r="A1125" s="1" t="s">
        <v>2491</v>
      </c>
      <c r="B1125" s="51">
        <v>0</v>
      </c>
    </row>
    <row r="1126" spans="1:2" ht="15.6" x14ac:dyDescent="0.3">
      <c r="A1126" s="1" t="s">
        <v>2492</v>
      </c>
      <c r="B1126" s="51">
        <v>0</v>
      </c>
    </row>
    <row r="1127" spans="1:2" ht="15.6" x14ac:dyDescent="0.3">
      <c r="A1127" s="1" t="s">
        <v>2493</v>
      </c>
      <c r="B1127" s="51">
        <v>0</v>
      </c>
    </row>
    <row r="1128" spans="1:2" ht="15.6" x14ac:dyDescent="0.3">
      <c r="A1128" s="1" t="s">
        <v>2494</v>
      </c>
      <c r="B1128" s="51">
        <v>0</v>
      </c>
    </row>
    <row r="1129" spans="1:2" ht="15.6" x14ac:dyDescent="0.3">
      <c r="A1129" s="1" t="s">
        <v>2495</v>
      </c>
      <c r="B1129" s="51">
        <v>0</v>
      </c>
    </row>
    <row r="1130" spans="1:2" ht="15.6" x14ac:dyDescent="0.3">
      <c r="A1130" s="1" t="s">
        <v>2496</v>
      </c>
      <c r="B1130" s="51">
        <v>0</v>
      </c>
    </row>
    <row r="1131" spans="1:2" ht="15.6" x14ac:dyDescent="0.3">
      <c r="A1131" s="1" t="s">
        <v>2497</v>
      </c>
      <c r="B1131" s="51">
        <v>0</v>
      </c>
    </row>
    <row r="1132" spans="1:2" ht="15.6" x14ac:dyDescent="0.3">
      <c r="A1132" s="1" t="s">
        <v>2498</v>
      </c>
      <c r="B1132" s="51">
        <v>0</v>
      </c>
    </row>
    <row r="1133" spans="1:2" ht="15.6" x14ac:dyDescent="0.3">
      <c r="A1133" s="1" t="s">
        <v>2499</v>
      </c>
      <c r="B1133" s="51">
        <v>0</v>
      </c>
    </row>
    <row r="1134" spans="1:2" ht="15.6" x14ac:dyDescent="0.3">
      <c r="A1134" s="1" t="s">
        <v>2500</v>
      </c>
      <c r="B1134" s="51">
        <v>0</v>
      </c>
    </row>
    <row r="1135" spans="1:2" ht="15.6" x14ac:dyDescent="0.3">
      <c r="A1135" s="1" t="s">
        <v>2501</v>
      </c>
      <c r="B1135" s="51">
        <v>0</v>
      </c>
    </row>
    <row r="1136" spans="1:2" ht="15.6" x14ac:dyDescent="0.3">
      <c r="A1136" s="1" t="s">
        <v>2502</v>
      </c>
      <c r="B1136" s="51">
        <v>0</v>
      </c>
    </row>
    <row r="1137" spans="1:2" ht="15.6" x14ac:dyDescent="0.3">
      <c r="A1137" s="1" t="s">
        <v>2503</v>
      </c>
      <c r="B1137" s="51">
        <v>0</v>
      </c>
    </row>
    <row r="1138" spans="1:2" ht="15.6" x14ac:dyDescent="0.3">
      <c r="A1138" s="1" t="s">
        <v>2504</v>
      </c>
      <c r="B1138" s="51">
        <v>0</v>
      </c>
    </row>
    <row r="1139" spans="1:2" ht="15.6" x14ac:dyDescent="0.3">
      <c r="A1139" s="1" t="s">
        <v>2505</v>
      </c>
      <c r="B1139" s="51">
        <v>0</v>
      </c>
    </row>
    <row r="1140" spans="1:2" ht="15.6" x14ac:dyDescent="0.3">
      <c r="A1140" s="1" t="s">
        <v>2506</v>
      </c>
      <c r="B1140" s="51">
        <v>0</v>
      </c>
    </row>
    <row r="1141" spans="1:2" ht="15.6" x14ac:dyDescent="0.3">
      <c r="A1141" s="1" t="s">
        <v>2507</v>
      </c>
      <c r="B1141" s="51">
        <v>0</v>
      </c>
    </row>
    <row r="1142" spans="1:2" ht="15.6" x14ac:dyDescent="0.3">
      <c r="A1142" s="1" t="s">
        <v>2508</v>
      </c>
      <c r="B1142" s="51">
        <v>0</v>
      </c>
    </row>
    <row r="1143" spans="1:2" ht="15.6" x14ac:dyDescent="0.3">
      <c r="A1143" s="1" t="s">
        <v>2509</v>
      </c>
      <c r="B1143" s="51">
        <v>0</v>
      </c>
    </row>
    <row r="1144" spans="1:2" ht="15.6" x14ac:dyDescent="0.3">
      <c r="A1144" s="1" t="s">
        <v>2510</v>
      </c>
      <c r="B1144" s="51">
        <v>0</v>
      </c>
    </row>
    <row r="1145" spans="1:2" ht="15.6" x14ac:dyDescent="0.3">
      <c r="A1145" s="1" t="s">
        <v>2511</v>
      </c>
      <c r="B1145" s="51">
        <v>0</v>
      </c>
    </row>
    <row r="1146" spans="1:2" ht="15.6" x14ac:dyDescent="0.3">
      <c r="A1146" s="1" t="s">
        <v>2512</v>
      </c>
      <c r="B1146" s="51">
        <v>0</v>
      </c>
    </row>
    <row r="1147" spans="1:2" ht="15.6" x14ac:dyDescent="0.3">
      <c r="A1147" s="1" t="s">
        <v>2513</v>
      </c>
      <c r="B1147" s="51">
        <v>0</v>
      </c>
    </row>
    <row r="1148" spans="1:2" ht="15.6" x14ac:dyDescent="0.3">
      <c r="A1148" s="1" t="s">
        <v>2514</v>
      </c>
      <c r="B1148" s="51">
        <v>0</v>
      </c>
    </row>
    <row r="1149" spans="1:2" ht="15.6" x14ac:dyDescent="0.3">
      <c r="A1149" s="1" t="s">
        <v>2537</v>
      </c>
      <c r="B1149" s="51">
        <v>0</v>
      </c>
    </row>
    <row r="1150" spans="1:2" ht="15.6" x14ac:dyDescent="0.3">
      <c r="A1150" s="1" t="s">
        <v>2546</v>
      </c>
      <c r="B1150" s="51">
        <v>0</v>
      </c>
    </row>
    <row r="1151" spans="1:2" ht="15.6" x14ac:dyDescent="0.3">
      <c r="A1151" s="1" t="s">
        <v>2547</v>
      </c>
      <c r="B1151" s="51">
        <v>0</v>
      </c>
    </row>
    <row r="1152" spans="1:2" ht="15.6" x14ac:dyDescent="0.3">
      <c r="A1152" s="1" t="s">
        <v>2548</v>
      </c>
      <c r="B1152" s="51">
        <v>0</v>
      </c>
    </row>
    <row r="1153" spans="1:2" ht="15.6" x14ac:dyDescent="0.3">
      <c r="A1153" s="1" t="s">
        <v>2549</v>
      </c>
      <c r="B1153" s="51">
        <v>0</v>
      </c>
    </row>
    <row r="1154" spans="1:2" ht="15.6" x14ac:dyDescent="0.3">
      <c r="A1154" s="1" t="s">
        <v>2550</v>
      </c>
      <c r="B1154" s="51">
        <v>0</v>
      </c>
    </row>
    <row r="1155" spans="1:2" ht="15.6" x14ac:dyDescent="0.3">
      <c r="A1155" s="1" t="s">
        <v>2551</v>
      </c>
      <c r="B1155" s="51">
        <v>0</v>
      </c>
    </row>
    <row r="1156" spans="1:2" ht="15.6" x14ac:dyDescent="0.3">
      <c r="A1156" s="1" t="s">
        <v>2552</v>
      </c>
      <c r="B1156" s="51">
        <v>0</v>
      </c>
    </row>
    <row r="1157" spans="1:2" ht="15.6" x14ac:dyDescent="0.3">
      <c r="A1157" s="1" t="s">
        <v>2515</v>
      </c>
      <c r="B1157" s="51">
        <v>0</v>
      </c>
    </row>
    <row r="1158" spans="1:2" ht="15.6" x14ac:dyDescent="0.3">
      <c r="A1158" s="1" t="s">
        <v>2553</v>
      </c>
      <c r="B1158" s="51">
        <v>0</v>
      </c>
    </row>
    <row r="1159" spans="1:2" ht="15.6" x14ac:dyDescent="0.3">
      <c r="A1159" s="1" t="s">
        <v>2554</v>
      </c>
      <c r="B1159" s="51">
        <v>0</v>
      </c>
    </row>
    <row r="1160" spans="1:2" ht="15.6" x14ac:dyDescent="0.3">
      <c r="A1160" s="1" t="s">
        <v>2556</v>
      </c>
      <c r="B1160" s="51">
        <v>0</v>
      </c>
    </row>
    <row r="1161" spans="1:2" ht="15.6" x14ac:dyDescent="0.3">
      <c r="A1161" s="1" t="s">
        <v>2557</v>
      </c>
      <c r="B1161" s="51">
        <v>0</v>
      </c>
    </row>
    <row r="1162" spans="1:2" ht="15.6" x14ac:dyDescent="0.3">
      <c r="A1162" s="1" t="s">
        <v>2558</v>
      </c>
      <c r="B1162" s="51">
        <v>0</v>
      </c>
    </row>
    <row r="1163" spans="1:2" ht="15.6" x14ac:dyDescent="0.3">
      <c r="A1163" s="1" t="s">
        <v>2559</v>
      </c>
      <c r="B1163" s="51">
        <v>0</v>
      </c>
    </row>
    <row r="1164" spans="1:2" ht="15.6" x14ac:dyDescent="0.3">
      <c r="A1164" s="1" t="s">
        <v>2561</v>
      </c>
      <c r="B1164" s="51">
        <v>0</v>
      </c>
    </row>
    <row r="1165" spans="1:2" ht="15.6" x14ac:dyDescent="0.3">
      <c r="A1165" s="1" t="s">
        <v>2532</v>
      </c>
      <c r="B1165" s="51">
        <v>0</v>
      </c>
    </row>
    <row r="1166" spans="1:2" ht="15.6" x14ac:dyDescent="0.3">
      <c r="A1166" s="1" t="s">
        <v>2533</v>
      </c>
      <c r="B1166" s="51">
        <v>0</v>
      </c>
    </row>
    <row r="1167" spans="1:2" ht="15.6" x14ac:dyDescent="0.3">
      <c r="A1167" s="1" t="s">
        <v>2534</v>
      </c>
      <c r="B1167" s="51">
        <v>0</v>
      </c>
    </row>
    <row r="1168" spans="1:2" ht="15.6" x14ac:dyDescent="0.3">
      <c r="A1168" s="1" t="s">
        <v>2535</v>
      </c>
      <c r="B1168" s="51">
        <v>0</v>
      </c>
    </row>
    <row r="1169" spans="1:2" ht="15.6" x14ac:dyDescent="0.3">
      <c r="A1169" s="1" t="s">
        <v>2536</v>
      </c>
      <c r="B1169" s="51">
        <v>0</v>
      </c>
    </row>
    <row r="1170" spans="1:2" ht="15.6" x14ac:dyDescent="0.3">
      <c r="A1170" s="1" t="s">
        <v>2539</v>
      </c>
      <c r="B1170" s="51">
        <v>0</v>
      </c>
    </row>
    <row r="1171" spans="1:2" ht="15.6" x14ac:dyDescent="0.3">
      <c r="A1171" s="1" t="s">
        <v>2540</v>
      </c>
      <c r="B1171" s="51">
        <v>0</v>
      </c>
    </row>
    <row r="1172" spans="1:2" ht="15.6" x14ac:dyDescent="0.3">
      <c r="A1172" s="1" t="s">
        <v>2541</v>
      </c>
      <c r="B1172" s="51">
        <v>0</v>
      </c>
    </row>
    <row r="1173" spans="1:2" ht="15.6" x14ac:dyDescent="0.3">
      <c r="A1173" s="1" t="s">
        <v>2516</v>
      </c>
      <c r="B1173" s="51">
        <v>0</v>
      </c>
    </row>
    <row r="1174" spans="1:2" ht="15.6" x14ac:dyDescent="0.3">
      <c r="A1174" s="1" t="s">
        <v>2542</v>
      </c>
      <c r="B1174" s="51">
        <v>0</v>
      </c>
    </row>
    <row r="1175" spans="1:2" ht="15.6" x14ac:dyDescent="0.3">
      <c r="A1175" s="1" t="s">
        <v>2543</v>
      </c>
      <c r="B1175" s="51">
        <v>0</v>
      </c>
    </row>
    <row r="1176" spans="1:2" ht="15.6" x14ac:dyDescent="0.3">
      <c r="A1176" s="1" t="s">
        <v>2544</v>
      </c>
      <c r="B1176" s="51">
        <v>0</v>
      </c>
    </row>
    <row r="1177" spans="1:2" ht="15.6" x14ac:dyDescent="0.3">
      <c r="A1177" s="1" t="s">
        <v>2545</v>
      </c>
      <c r="B1177" s="51">
        <v>0</v>
      </c>
    </row>
    <row r="1178" spans="1:2" ht="15.6" x14ac:dyDescent="0.3">
      <c r="A1178" s="1" t="s">
        <v>2518</v>
      </c>
      <c r="B1178" s="51">
        <v>0</v>
      </c>
    </row>
    <row r="1179" spans="1:2" ht="15.6" x14ac:dyDescent="0.3">
      <c r="A1179" s="1" t="s">
        <v>2520</v>
      </c>
      <c r="B1179" s="51">
        <v>0</v>
      </c>
    </row>
    <row r="1180" spans="1:2" ht="15.6" x14ac:dyDescent="0.3">
      <c r="A1180" s="1" t="s">
        <v>2521</v>
      </c>
      <c r="B1180" s="51">
        <v>0</v>
      </c>
    </row>
    <row r="1181" spans="1:2" ht="15.6" x14ac:dyDescent="0.3">
      <c r="A1181" s="1" t="s">
        <v>2519</v>
      </c>
      <c r="B1181" s="51">
        <v>0</v>
      </c>
    </row>
    <row r="1182" spans="1:2" ht="15.6" x14ac:dyDescent="0.3">
      <c r="A1182" s="1" t="s">
        <v>2523</v>
      </c>
      <c r="B1182" s="51">
        <v>0</v>
      </c>
    </row>
    <row r="1183" spans="1:2" ht="15.6" x14ac:dyDescent="0.3">
      <c r="A1183" s="1" t="s">
        <v>2525</v>
      </c>
      <c r="B1183" s="51">
        <v>0</v>
      </c>
    </row>
    <row r="1184" spans="1:2" ht="15.6" x14ac:dyDescent="0.3">
      <c r="A1184" s="1" t="s">
        <v>2526</v>
      </c>
      <c r="B1184" s="51">
        <v>0</v>
      </c>
    </row>
    <row r="1185" spans="1:2" ht="15.6" x14ac:dyDescent="0.3">
      <c r="A1185" s="1" t="s">
        <v>2524</v>
      </c>
      <c r="B1185" s="51">
        <v>0</v>
      </c>
    </row>
    <row r="1186" spans="1:2" ht="15.6" x14ac:dyDescent="0.3">
      <c r="A1186" s="1" t="s">
        <v>2522</v>
      </c>
      <c r="B1186" s="51">
        <v>0</v>
      </c>
    </row>
    <row r="1187" spans="1:2" ht="15.6" x14ac:dyDescent="0.3">
      <c r="A1187" s="1" t="s">
        <v>2562</v>
      </c>
      <c r="B1187" s="51">
        <v>0</v>
      </c>
    </row>
    <row r="1188" spans="1:2" ht="15.6" x14ac:dyDescent="0.3">
      <c r="A1188" s="1" t="s">
        <v>2527</v>
      </c>
      <c r="B1188" s="51">
        <v>0</v>
      </c>
    </row>
    <row r="1189" spans="1:2" ht="15.6" x14ac:dyDescent="0.3">
      <c r="A1189" s="1" t="s">
        <v>2528</v>
      </c>
      <c r="B1189" s="51">
        <v>0</v>
      </c>
    </row>
    <row r="1190" spans="1:2" ht="15.6" x14ac:dyDescent="0.3">
      <c r="A1190" s="1" t="s">
        <v>2529</v>
      </c>
      <c r="B1190" s="51">
        <v>0</v>
      </c>
    </row>
    <row r="1191" spans="1:2" ht="15.6" x14ac:dyDescent="0.3">
      <c r="A1191" s="1" t="s">
        <v>2530</v>
      </c>
      <c r="B1191" s="51">
        <v>0</v>
      </c>
    </row>
    <row r="1192" spans="1:2" ht="15.6" x14ac:dyDescent="0.3">
      <c r="A1192" s="1" t="s">
        <v>2531</v>
      </c>
      <c r="B1192" s="51">
        <v>0</v>
      </c>
    </row>
    <row r="1193" spans="1:2" ht="15.6" x14ac:dyDescent="0.3">
      <c r="A1193" s="1" t="s">
        <v>2564</v>
      </c>
      <c r="B1193" s="51">
        <v>0</v>
      </c>
    </row>
    <row r="1194" spans="1:2" ht="15.6" x14ac:dyDescent="0.3">
      <c r="A1194" s="1" t="s">
        <v>2566</v>
      </c>
      <c r="B1194" s="51">
        <v>0</v>
      </c>
    </row>
    <row r="1195" spans="1:2" ht="15.6" x14ac:dyDescent="0.3">
      <c r="A1195" s="1" t="s">
        <v>2567</v>
      </c>
      <c r="B1195" s="51">
        <v>0</v>
      </c>
    </row>
    <row r="1196" spans="1:2" ht="15.6" x14ac:dyDescent="0.3">
      <c r="A1196" s="1" t="s">
        <v>2568</v>
      </c>
      <c r="B1196" s="51">
        <v>0</v>
      </c>
    </row>
    <row r="1197" spans="1:2" ht="15.6" x14ac:dyDescent="0.3">
      <c r="A1197" s="1" t="s">
        <v>2569</v>
      </c>
      <c r="B1197" s="51">
        <v>0</v>
      </c>
    </row>
    <row r="1198" spans="1:2" ht="15.6" x14ac:dyDescent="0.3">
      <c r="A1198" s="1" t="s">
        <v>2570</v>
      </c>
      <c r="B1198" s="51">
        <v>0</v>
      </c>
    </row>
    <row r="1199" spans="1:2" ht="15.6" x14ac:dyDescent="0.3">
      <c r="A1199" s="1" t="s">
        <v>2571</v>
      </c>
      <c r="B1199" s="51">
        <v>0</v>
      </c>
    </row>
    <row r="1200" spans="1:2" ht="15.6" x14ac:dyDescent="0.3">
      <c r="A1200" s="1" t="s">
        <v>2572</v>
      </c>
      <c r="B1200" s="51">
        <v>0</v>
      </c>
    </row>
    <row r="1201" spans="1:2" ht="15.6" x14ac:dyDescent="0.3">
      <c r="A1201" s="1" t="s">
        <v>2573</v>
      </c>
      <c r="B1201" s="51">
        <v>0</v>
      </c>
    </row>
    <row r="1202" spans="1:2" ht="15.6" x14ac:dyDescent="0.3">
      <c r="A1202" s="1" t="s">
        <v>2574</v>
      </c>
      <c r="B1202" s="51">
        <v>0</v>
      </c>
    </row>
    <row r="1203" spans="1:2" ht="15.6" x14ac:dyDescent="0.3">
      <c r="A1203" s="1" t="s">
        <v>2575</v>
      </c>
      <c r="B1203" s="51">
        <v>0</v>
      </c>
    </row>
    <row r="1204" spans="1:2" ht="15.6" x14ac:dyDescent="0.3">
      <c r="A1204" s="1" t="s">
        <v>2576</v>
      </c>
      <c r="B1204" s="51">
        <v>0</v>
      </c>
    </row>
    <row r="1205" spans="1:2" ht="15.6" x14ac:dyDescent="0.3">
      <c r="A1205" s="1" t="s">
        <v>2577</v>
      </c>
      <c r="B1205" s="51">
        <v>0</v>
      </c>
    </row>
    <row r="1206" spans="1:2" ht="15.6" x14ac:dyDescent="0.3">
      <c r="A1206" s="1" t="s">
        <v>2565</v>
      </c>
      <c r="B1206" s="51">
        <v>0</v>
      </c>
    </row>
    <row r="1207" spans="1:2" ht="15.6" x14ac:dyDescent="0.3">
      <c r="A1207" s="1" t="s">
        <v>2538</v>
      </c>
      <c r="B1207" s="51">
        <v>0</v>
      </c>
    </row>
    <row r="1208" spans="1:2" ht="15.6" x14ac:dyDescent="0.3">
      <c r="A1208" s="1" t="s">
        <v>2555</v>
      </c>
      <c r="B1208" s="51">
        <v>0</v>
      </c>
    </row>
    <row r="1209" spans="1:2" ht="15.6" x14ac:dyDescent="0.3">
      <c r="A1209" s="1" t="s">
        <v>2560</v>
      </c>
      <c r="B1209" s="51">
        <v>0</v>
      </c>
    </row>
    <row r="1210" spans="1:2" ht="15.6" x14ac:dyDescent="0.3">
      <c r="A1210" s="1" t="s">
        <v>2563</v>
      </c>
      <c r="B1210" s="51">
        <v>0</v>
      </c>
    </row>
    <row r="1211" spans="1:2" ht="15.6" x14ac:dyDescent="0.3">
      <c r="A1211" s="1" t="s">
        <v>2603</v>
      </c>
      <c r="B1211" s="51">
        <v>0</v>
      </c>
    </row>
    <row r="1212" spans="1:2" ht="15.6" x14ac:dyDescent="0.3">
      <c r="A1212" s="1" t="s">
        <v>2606</v>
      </c>
      <c r="B1212" s="51">
        <v>0</v>
      </c>
    </row>
    <row r="1213" spans="1:2" ht="15.6" x14ac:dyDescent="0.3">
      <c r="A1213" s="1" t="s">
        <v>2607</v>
      </c>
      <c r="B1213" s="51">
        <v>0</v>
      </c>
    </row>
    <row r="1214" spans="1:2" ht="15.6" x14ac:dyDescent="0.3">
      <c r="A1214" s="1" t="s">
        <v>2608</v>
      </c>
      <c r="B1214" s="51">
        <v>0</v>
      </c>
    </row>
    <row r="1215" spans="1:2" ht="15.6" x14ac:dyDescent="0.3">
      <c r="A1215" s="1" t="s">
        <v>2609</v>
      </c>
      <c r="B1215" s="51">
        <v>0</v>
      </c>
    </row>
    <row r="1216" spans="1:2" ht="15.6" x14ac:dyDescent="0.3">
      <c r="A1216" s="1" t="s">
        <v>2610</v>
      </c>
      <c r="B1216" s="51">
        <v>0</v>
      </c>
    </row>
    <row r="1217" spans="1:2" ht="15.6" x14ac:dyDescent="0.3">
      <c r="A1217" s="1" t="s">
        <v>2611</v>
      </c>
      <c r="B1217" s="51">
        <v>0</v>
      </c>
    </row>
    <row r="1218" spans="1:2" ht="15.6" x14ac:dyDescent="0.3">
      <c r="A1218" s="1" t="s">
        <v>2618</v>
      </c>
      <c r="B1218" s="51">
        <v>0</v>
      </c>
    </row>
    <row r="1219" spans="1:2" ht="15.6" x14ac:dyDescent="0.3">
      <c r="A1219" s="1" t="s">
        <v>2619</v>
      </c>
      <c r="B1219" s="51">
        <v>0</v>
      </c>
    </row>
    <row r="1220" spans="1:2" ht="15.6" x14ac:dyDescent="0.3">
      <c r="A1220" s="1" t="s">
        <v>2620</v>
      </c>
      <c r="B1220" s="51">
        <v>0</v>
      </c>
    </row>
    <row r="1221" spans="1:2" ht="15.6" x14ac:dyDescent="0.3">
      <c r="A1221" s="1" t="s">
        <v>2621</v>
      </c>
      <c r="B1221" s="51">
        <v>0</v>
      </c>
    </row>
    <row r="1222" spans="1:2" ht="15.6" x14ac:dyDescent="0.3">
      <c r="A1222" s="1" t="s">
        <v>2629</v>
      </c>
      <c r="B1222" s="51">
        <v>0</v>
      </c>
    </row>
    <row r="1223" spans="1:2" ht="15.6" x14ac:dyDescent="0.3">
      <c r="A1223" s="1" t="s">
        <v>2630</v>
      </c>
      <c r="B1223" s="51">
        <v>0</v>
      </c>
    </row>
    <row r="1224" spans="1:2" ht="15.6" x14ac:dyDescent="0.3">
      <c r="A1224" s="1" t="s">
        <v>2633</v>
      </c>
      <c r="B1224" s="51">
        <v>0</v>
      </c>
    </row>
    <row r="1225" spans="1:2" ht="15.6" x14ac:dyDescent="0.3">
      <c r="A1225" s="1" t="s">
        <v>2635</v>
      </c>
      <c r="B1225" s="51">
        <v>0</v>
      </c>
    </row>
    <row r="1226" spans="1:2" ht="50.4" customHeight="1" x14ac:dyDescent="0.3">
      <c r="A1226" s="1" t="s">
        <v>2636</v>
      </c>
      <c r="B1226" s="51">
        <v>0</v>
      </c>
    </row>
    <row r="1227" spans="1:2" ht="15.6" x14ac:dyDescent="0.3">
      <c r="A1227" s="1" t="s">
        <v>1916</v>
      </c>
      <c r="B1227" s="51">
        <v>0</v>
      </c>
    </row>
  </sheetData>
  <autoFilter ref="A1:B1227" xr:uid="{AF2197A0-CF57-48FC-9239-84F5C5CF4AB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FFA8-CAD3-499F-8A7B-66593EAE860A}">
  <sheetPr>
    <tabColor theme="4" tint="0.39997558519241921"/>
  </sheetPr>
  <dimension ref="B3:M1278"/>
  <sheetViews>
    <sheetView topLeftCell="A1266" zoomScale="85" zoomScaleNormal="85" workbookViewId="0">
      <selection activeCell="D1290" sqref="D1290"/>
    </sheetView>
  </sheetViews>
  <sheetFormatPr defaultColWidth="9.109375" defaultRowHeight="15" x14ac:dyDescent="0.3"/>
  <cols>
    <col min="1" max="1" width="3.5546875" style="6" customWidth="1"/>
    <col min="2" max="2" width="7.33203125" style="4" customWidth="1"/>
    <col min="3" max="3" width="12.5546875" style="4" customWidth="1"/>
    <col min="4" max="4" width="74.109375" style="6" customWidth="1"/>
    <col min="5" max="5" width="13.88671875" style="4" customWidth="1"/>
    <col min="6" max="6" width="8.44140625" style="4" customWidth="1"/>
    <col min="7" max="7" width="11" style="6" customWidth="1"/>
    <col min="8" max="8" width="16.77734375" style="6" customWidth="1"/>
    <col min="9" max="9" width="12.5546875" style="6" customWidth="1"/>
    <col min="10" max="10" width="14.21875" style="4" customWidth="1"/>
    <col min="11" max="11" width="22.33203125" style="6" customWidth="1"/>
    <col min="12" max="12" width="21" style="6" customWidth="1"/>
    <col min="13" max="13" width="31.44140625" style="6" bestFit="1" customWidth="1"/>
    <col min="14" max="16384" width="9.109375" style="6"/>
  </cols>
  <sheetData>
    <row r="3" spans="2:13" s="4" customFormat="1" x14ac:dyDescent="0.3">
      <c r="B3" s="4" t="s">
        <v>0</v>
      </c>
      <c r="C3" s="4" t="s">
        <v>902</v>
      </c>
      <c r="D3" s="4" t="s">
        <v>1</v>
      </c>
      <c r="E3" s="8" t="s">
        <v>2</v>
      </c>
      <c r="F3" s="4" t="s">
        <v>919</v>
      </c>
      <c r="G3" s="4" t="s">
        <v>894</v>
      </c>
      <c r="H3" s="4" t="s">
        <v>895</v>
      </c>
      <c r="I3" s="4" t="s">
        <v>896</v>
      </c>
      <c r="J3" s="4" t="s">
        <v>897</v>
      </c>
      <c r="K3" s="4" t="s">
        <v>891</v>
      </c>
      <c r="L3" s="4" t="s">
        <v>892</v>
      </c>
      <c r="M3" s="4" t="s">
        <v>2018</v>
      </c>
    </row>
    <row r="4" spans="2:13" x14ac:dyDescent="0.3">
      <c r="B4" s="4">
        <f t="shared" ref="B4:B67" si="0">ROW()-3</f>
        <v>1</v>
      </c>
      <c r="C4" s="5">
        <v>46148</v>
      </c>
      <c r="D4" s="10" t="str" cm="1">
        <f t="array" ref="D4">_xlfn.XLOOKUP(Table4[[#This Row],[Malın kodu]],Table1[[#All],[Malın kodu]],Table1[[#All],[Malın adı]],"xəta",0)</f>
        <v>Fırça / N143 (şotka pas qara)</v>
      </c>
      <c r="E4" s="8" t="s">
        <v>1983</v>
      </c>
      <c r="F4" s="4" t="s">
        <v>920</v>
      </c>
      <c r="G4" s="4">
        <v>3</v>
      </c>
      <c r="H4" s="4">
        <v>1</v>
      </c>
      <c r="I4" s="4">
        <f>Table4[[#This Row],[Malın miqdarı]]*Table4[[#This Row],[Vahidin qiyməti]]</f>
        <v>3</v>
      </c>
      <c r="J4" s="4" t="s">
        <v>1905</v>
      </c>
      <c r="K4" s="4" t="s">
        <v>1992</v>
      </c>
      <c r="L4" s="4" t="s">
        <v>2067</v>
      </c>
      <c r="M4" s="4" t="s">
        <v>2348</v>
      </c>
    </row>
    <row r="5" spans="2:13" x14ac:dyDescent="0.3">
      <c r="B5" s="4">
        <f t="shared" si="0"/>
        <v>2</v>
      </c>
      <c r="C5" s="5">
        <v>46148</v>
      </c>
      <c r="D5" s="10" t="str" cm="1">
        <f t="array" ref="D5">_xlfn.XLOOKUP(Table4[[#This Row],[Malın kodu]],Table1[[#All],[Malın kodu]],Table1[[#All],[Malın adı]],"xəta",0)</f>
        <v>Bıçaq / oboy / N115</v>
      </c>
      <c r="E5" s="8" t="s">
        <v>2069</v>
      </c>
      <c r="F5" s="4" t="s">
        <v>920</v>
      </c>
      <c r="G5" s="4">
        <v>2</v>
      </c>
      <c r="H5" s="4">
        <v>1.2</v>
      </c>
      <c r="I5" s="4">
        <f>Table4[[#This Row],[Malın miqdarı]]*Table4[[#This Row],[Vahidin qiyməti]]</f>
        <v>2.4</v>
      </c>
      <c r="J5" s="4" t="s">
        <v>1905</v>
      </c>
      <c r="K5" s="4" t="s">
        <v>1992</v>
      </c>
      <c r="L5" s="4" t="s">
        <v>2067</v>
      </c>
      <c r="M5" s="4" t="s">
        <v>2348</v>
      </c>
    </row>
    <row r="6" spans="2:13" x14ac:dyDescent="0.3">
      <c r="B6" s="4">
        <f t="shared" si="0"/>
        <v>3</v>
      </c>
      <c r="C6" s="5">
        <v>46148</v>
      </c>
      <c r="D6" s="10" t="str" cm="1">
        <f t="array" ref="D6">_xlfn.XLOOKUP(Table4[[#This Row],[Malın kodu]],Table1[[#All],[Malın kodu]],Table1[[#All],[Malın adı]],"xəta",0)</f>
        <v>Qıfıl / VAZ</v>
      </c>
      <c r="E6" s="8" t="s">
        <v>2078</v>
      </c>
      <c r="F6" s="4" t="s">
        <v>920</v>
      </c>
      <c r="G6" s="4">
        <v>3</v>
      </c>
      <c r="H6" s="4">
        <v>4.5</v>
      </c>
      <c r="I6" s="4">
        <f>Table4[[#This Row],[Malın miqdarı]]*Table4[[#This Row],[Vahidin qiyməti]]</f>
        <v>13.5</v>
      </c>
      <c r="J6" s="4" t="s">
        <v>1905</v>
      </c>
      <c r="K6" s="4" t="s">
        <v>1992</v>
      </c>
      <c r="L6" s="4" t="s">
        <v>2067</v>
      </c>
      <c r="M6" s="4" t="s">
        <v>2348</v>
      </c>
    </row>
    <row r="7" spans="2:13" x14ac:dyDescent="0.3">
      <c r="B7" s="4">
        <f t="shared" si="0"/>
        <v>4</v>
      </c>
      <c r="C7" s="5">
        <v>46148</v>
      </c>
      <c r="D7" s="10" t="str" cm="1">
        <f t="array" ref="D7">_xlfn.XLOOKUP(Table4[[#This Row],[Malın kodu]],Table1[[#All],[Malın kodu]],Table1[[#All],[Malın adı]],"xəta",0)</f>
        <v>Qıfıl / Extra 70</v>
      </c>
      <c r="E7" s="8" t="s">
        <v>2079</v>
      </c>
      <c r="F7" s="4" t="s">
        <v>920</v>
      </c>
      <c r="G7" s="4">
        <v>2</v>
      </c>
      <c r="H7" s="4">
        <v>2.2000000000000002</v>
      </c>
      <c r="I7" s="4">
        <f>Table4[[#This Row],[Malın miqdarı]]*Table4[[#This Row],[Vahidin qiyməti]]</f>
        <v>4.4000000000000004</v>
      </c>
      <c r="J7" s="4" t="s">
        <v>1905</v>
      </c>
      <c r="K7" s="4" t="s">
        <v>1992</v>
      </c>
      <c r="L7" s="4" t="s">
        <v>2067</v>
      </c>
      <c r="M7" s="4" t="s">
        <v>2348</v>
      </c>
    </row>
    <row r="8" spans="2:13" x14ac:dyDescent="0.3">
      <c r="B8" s="4">
        <f t="shared" si="0"/>
        <v>5</v>
      </c>
      <c r="C8" s="5">
        <v>46148</v>
      </c>
      <c r="D8" s="10" t="str" cm="1">
        <f t="array" ref="D8">_xlfn.XLOOKUP(Table4[[#This Row],[Malın kodu]],Table1[[#All],[Malın kodu]],Table1[[#All],[Malın adı]],"xəta",0)</f>
        <v>Projektor / led / 200 Vt</v>
      </c>
      <c r="E8" s="8" t="s">
        <v>2080</v>
      </c>
      <c r="F8" s="4" t="s">
        <v>920</v>
      </c>
      <c r="G8" s="4">
        <v>3</v>
      </c>
      <c r="H8" s="4">
        <v>30</v>
      </c>
      <c r="I8" s="4">
        <f>Table4[[#This Row],[Malın miqdarı]]*Table4[[#This Row],[Vahidin qiyməti]]</f>
        <v>90</v>
      </c>
      <c r="J8" s="4" t="s">
        <v>1905</v>
      </c>
      <c r="K8" s="4" t="s">
        <v>1992</v>
      </c>
      <c r="L8" s="4" t="s">
        <v>2067</v>
      </c>
      <c r="M8" s="4" t="s">
        <v>2348</v>
      </c>
    </row>
    <row r="9" spans="2:13" x14ac:dyDescent="0.3">
      <c r="B9" s="4">
        <f t="shared" si="0"/>
        <v>6</v>
      </c>
      <c r="C9" s="5">
        <v>46148</v>
      </c>
      <c r="D9" s="10" t="str" cm="1">
        <f t="array" ref="D9">_xlfn.XLOOKUP(Table4[[#This Row],[Malın kodu]],Table1[[#All],[Malın kodu]],Table1[[#All],[Malın adı]],"xəta",0)</f>
        <v>Lampa / 12 Vt / ağ / kürəvi</v>
      </c>
      <c r="E9" s="8" t="s">
        <v>2081</v>
      </c>
      <c r="F9" s="4" t="s">
        <v>920</v>
      </c>
      <c r="G9" s="4">
        <v>10</v>
      </c>
      <c r="H9" s="4">
        <v>1.2</v>
      </c>
      <c r="I9" s="4">
        <f>Table4[[#This Row],[Malın miqdarı]]*Table4[[#This Row],[Vahidin qiyməti]]</f>
        <v>12</v>
      </c>
      <c r="J9" s="4" t="s">
        <v>1905</v>
      </c>
      <c r="K9" s="4" t="s">
        <v>1992</v>
      </c>
      <c r="L9" s="4" t="s">
        <v>2067</v>
      </c>
      <c r="M9" s="4" t="s">
        <v>2348</v>
      </c>
    </row>
    <row r="10" spans="2:13" x14ac:dyDescent="0.3">
      <c r="B10" s="4">
        <f t="shared" si="0"/>
        <v>7</v>
      </c>
      <c r="C10" s="5">
        <v>46148</v>
      </c>
      <c r="D10" s="10" t="str" cm="1">
        <f t="array" ref="D10">_xlfn.XLOOKUP(Table4[[#This Row],[Malın kodu]],Table1[[#All],[Malın kodu]],Table1[[#All],[Malın adı]],"xəta",0)</f>
        <v>Əlcək / göy</v>
      </c>
      <c r="E10" s="8" t="s">
        <v>2082</v>
      </c>
      <c r="F10" s="4" t="s">
        <v>920</v>
      </c>
      <c r="G10" s="4">
        <v>2</v>
      </c>
      <c r="H10" s="4">
        <v>5</v>
      </c>
      <c r="I10" s="4">
        <f>Table4[[#This Row],[Malın miqdarı]]*Table4[[#This Row],[Vahidin qiyməti]]</f>
        <v>10</v>
      </c>
      <c r="J10" s="4" t="s">
        <v>1905</v>
      </c>
      <c r="K10" s="4" t="s">
        <v>1992</v>
      </c>
      <c r="L10" s="4" t="s">
        <v>2067</v>
      </c>
      <c r="M10" s="4" t="s">
        <v>2348</v>
      </c>
    </row>
    <row r="11" spans="2:13" x14ac:dyDescent="0.3">
      <c r="B11" s="4">
        <f t="shared" si="0"/>
        <v>8</v>
      </c>
      <c r="C11" s="5">
        <v>46148</v>
      </c>
      <c r="D11" s="10" t="str" cm="1">
        <f t="array" ref="D11">_xlfn.XLOOKUP(Table4[[#This Row],[Malın kodu]],Table1[[#All],[Malın kodu]],Table1[[#All],[Malın adı]],"xəta",0)</f>
        <v>Metrə / 10m / "Fisko" / N88</v>
      </c>
      <c r="E11" s="8" t="s">
        <v>2083</v>
      </c>
      <c r="F11" s="4" t="s">
        <v>920</v>
      </c>
      <c r="G11" s="4">
        <v>1</v>
      </c>
      <c r="H11" s="4">
        <v>3</v>
      </c>
      <c r="I11" s="4">
        <f>Table4[[#This Row],[Malın miqdarı]]*Table4[[#This Row],[Vahidin qiyməti]]</f>
        <v>3</v>
      </c>
      <c r="J11" s="4" t="s">
        <v>1905</v>
      </c>
      <c r="K11" s="4" t="s">
        <v>1992</v>
      </c>
      <c r="L11" s="4" t="s">
        <v>2067</v>
      </c>
      <c r="M11" s="4" t="s">
        <v>2348</v>
      </c>
    </row>
    <row r="12" spans="2:13" x14ac:dyDescent="0.3">
      <c r="B12" s="4">
        <f t="shared" si="0"/>
        <v>9</v>
      </c>
      <c r="C12" s="5">
        <v>46148</v>
      </c>
      <c r="D12" s="10" t="str" cm="1">
        <f t="array" ref="D12">_xlfn.XLOOKUP(Table4[[#This Row],[Malın kodu]],Table1[[#All],[Malın kodu]],Table1[[#All],[Malın adı]],"xəta",0)</f>
        <v>Araba təkəri</v>
      </c>
      <c r="E12" s="8" t="s">
        <v>2084</v>
      </c>
      <c r="F12" s="4" t="s">
        <v>920</v>
      </c>
      <c r="G12" s="4">
        <v>1</v>
      </c>
      <c r="H12" s="4">
        <v>5</v>
      </c>
      <c r="I12" s="4">
        <f>Table4[[#This Row],[Malın miqdarı]]*Table4[[#This Row],[Vahidin qiyməti]]</f>
        <v>5</v>
      </c>
      <c r="J12" s="4" t="s">
        <v>1905</v>
      </c>
      <c r="K12" s="4" t="s">
        <v>1992</v>
      </c>
      <c r="L12" s="4" t="s">
        <v>2067</v>
      </c>
      <c r="M12" s="4" t="s">
        <v>2348</v>
      </c>
    </row>
    <row r="13" spans="2:13" x14ac:dyDescent="0.3">
      <c r="B13" s="4">
        <f t="shared" si="0"/>
        <v>10</v>
      </c>
      <c r="C13" s="5">
        <v>46148</v>
      </c>
      <c r="D13" s="10" t="str" cm="1">
        <f t="array" ref="D13">_xlfn.XLOOKUP(Table4[[#This Row],[Malın kodu]],Table1[[#All],[Malın kodu]],Table1[[#All],[Malın adı]],"xəta",0)</f>
        <v>Kömür / laqonda üçün / "Conan"</v>
      </c>
      <c r="E13" s="8" t="s">
        <v>2085</v>
      </c>
      <c r="F13" s="4" t="s">
        <v>920</v>
      </c>
      <c r="G13" s="4">
        <v>1</v>
      </c>
      <c r="H13" s="4">
        <v>5.5</v>
      </c>
      <c r="I13" s="4">
        <f>Table4[[#This Row],[Malın miqdarı]]*Table4[[#This Row],[Vahidin qiyməti]]</f>
        <v>5.5</v>
      </c>
      <c r="J13" s="4" t="s">
        <v>1905</v>
      </c>
      <c r="K13" s="4" t="s">
        <v>1992</v>
      </c>
      <c r="L13" s="4" t="s">
        <v>2067</v>
      </c>
      <c r="M13" s="4" t="s">
        <v>2348</v>
      </c>
    </row>
    <row r="14" spans="2:13" x14ac:dyDescent="0.3">
      <c r="B14" s="4">
        <f t="shared" si="0"/>
        <v>11</v>
      </c>
      <c r="C14" s="5">
        <v>46149</v>
      </c>
      <c r="D14" s="10" t="str" cm="1">
        <f t="array" ref="D14">_xlfn.XLOOKUP(Table4[[#This Row],[Malın kodu]],Table1[[#All],[Malın kodu]],Table1[[#All],[Malın adı]],"xəta",0)</f>
        <v>Potric uzatma prizi / 5x32A / 225</v>
      </c>
      <c r="E14" s="8" t="s">
        <v>2110</v>
      </c>
      <c r="F14" s="4" t="s">
        <v>920</v>
      </c>
      <c r="G14" s="4">
        <v>20</v>
      </c>
      <c r="H14" s="4">
        <v>5.5</v>
      </c>
      <c r="I14" s="4">
        <f>Table4[[#This Row],[Malın miqdarı]]*Table4[[#This Row],[Vahidin qiyməti]]</f>
        <v>110</v>
      </c>
      <c r="J14" s="4" t="s">
        <v>1905</v>
      </c>
      <c r="K14" s="4" t="s">
        <v>1990</v>
      </c>
      <c r="L14" s="4" t="s">
        <v>2062</v>
      </c>
      <c r="M14" s="4" t="s">
        <v>2349</v>
      </c>
    </row>
    <row r="15" spans="2:13" x14ac:dyDescent="0.3">
      <c r="B15" s="4">
        <f t="shared" si="0"/>
        <v>12</v>
      </c>
      <c r="C15" s="5">
        <v>46149</v>
      </c>
      <c r="D15" s="10" t="str" cm="1">
        <f t="array" ref="D15">_xlfn.XLOOKUP(Table4[[#This Row],[Malın kodu]],Table1[[#All],[Malın kodu]],Table1[[#All],[Malın adı]],"xəta",0)</f>
        <v>MİQRİK XCK-J108 POTRİC</v>
      </c>
      <c r="E15" s="8" t="s">
        <v>2111</v>
      </c>
      <c r="F15" s="4" t="s">
        <v>920</v>
      </c>
      <c r="G15" s="4">
        <v>4</v>
      </c>
      <c r="H15" s="4">
        <v>12</v>
      </c>
      <c r="I15" s="4">
        <f>Table4[[#This Row],[Malın miqdarı]]*Table4[[#This Row],[Vahidin qiyməti]]</f>
        <v>48</v>
      </c>
      <c r="J15" s="4" t="s">
        <v>1905</v>
      </c>
      <c r="K15" s="4" t="s">
        <v>1990</v>
      </c>
      <c r="L15" s="4" t="s">
        <v>2062</v>
      </c>
      <c r="M15" s="4" t="s">
        <v>2349</v>
      </c>
    </row>
    <row r="16" spans="2:13" x14ac:dyDescent="0.3">
      <c r="B16" s="4">
        <f t="shared" si="0"/>
        <v>13</v>
      </c>
      <c r="C16" s="5">
        <v>46149</v>
      </c>
      <c r="D16" s="10" t="str" cm="1">
        <f t="array" ref="D16">_xlfn.XLOOKUP(Table4[[#This Row],[Malın kodu]],Table1[[#All],[Malın kodu]],Table1[[#All],[Malın adı]],"xəta",0)</f>
        <v>Kabel / 2x2.5 / NEXANS H07VV-F 0,6/1 KV</v>
      </c>
      <c r="E16" s="8" t="s">
        <v>2112</v>
      </c>
      <c r="F16" s="4" t="s">
        <v>925</v>
      </c>
      <c r="G16" s="4">
        <v>100</v>
      </c>
      <c r="H16" s="4">
        <v>1.3</v>
      </c>
      <c r="I16" s="4">
        <f>Table4[[#This Row],[Malın miqdarı]]*Table4[[#This Row],[Vahidin qiyməti]]</f>
        <v>130</v>
      </c>
      <c r="J16" s="4" t="s">
        <v>1905</v>
      </c>
      <c r="K16" s="4" t="s">
        <v>1990</v>
      </c>
      <c r="L16" s="4" t="s">
        <v>2062</v>
      </c>
      <c r="M16" s="4" t="s">
        <v>2349</v>
      </c>
    </row>
    <row r="17" spans="2:13" x14ac:dyDescent="0.3">
      <c r="B17" s="4">
        <f t="shared" si="0"/>
        <v>14</v>
      </c>
      <c r="C17" s="5">
        <v>46149</v>
      </c>
      <c r="D17" s="10" t="str" cm="1">
        <f t="array" ref="D17">_xlfn.XLOOKUP(Table4[[#This Row],[Malın kodu]],Table1[[#All],[Malın kodu]],Table1[[#All],[Malın adı]],"xəta",0)</f>
        <v>Kabel / 2x4 / NEXANS H07VV-F 0,6/1 KV</v>
      </c>
      <c r="E17" s="8" t="s">
        <v>2113</v>
      </c>
      <c r="F17" s="4" t="s">
        <v>925</v>
      </c>
      <c r="G17" s="4">
        <v>100</v>
      </c>
      <c r="H17" s="4">
        <v>2</v>
      </c>
      <c r="I17" s="4">
        <f>Table4[[#This Row],[Malın miqdarı]]*Table4[[#This Row],[Vahidin qiyməti]]</f>
        <v>200</v>
      </c>
      <c r="J17" s="4" t="s">
        <v>1905</v>
      </c>
      <c r="K17" s="4" t="s">
        <v>1990</v>
      </c>
      <c r="L17" s="4" t="s">
        <v>2062</v>
      </c>
      <c r="M17" s="4" t="s">
        <v>2349</v>
      </c>
    </row>
    <row r="18" spans="2:13" x14ac:dyDescent="0.3">
      <c r="B18" s="4">
        <f t="shared" si="0"/>
        <v>15</v>
      </c>
      <c r="C18" s="5">
        <v>46149</v>
      </c>
      <c r="D18" s="10" t="str" cm="1">
        <f t="array" ref="D18">_xlfn.XLOOKUP(Table4[[#This Row],[Malın kodu]],Table1[[#All],[Malın kodu]],Table1[[#All],[Malın adı]],"xəta",0)</f>
        <v>TAYRAP / 5x250 / QARA</v>
      </c>
      <c r="E18" s="8" t="s">
        <v>2114</v>
      </c>
      <c r="F18" s="4" t="s">
        <v>920</v>
      </c>
      <c r="G18" s="4">
        <v>10</v>
      </c>
      <c r="H18" s="4">
        <v>1.5</v>
      </c>
      <c r="I18" s="4">
        <f>Table4[[#This Row],[Malın miqdarı]]*Table4[[#This Row],[Vahidin qiyməti]]</f>
        <v>15</v>
      </c>
      <c r="J18" s="4" t="s">
        <v>1905</v>
      </c>
      <c r="K18" s="4" t="s">
        <v>1990</v>
      </c>
      <c r="L18" s="4" t="s">
        <v>2062</v>
      </c>
      <c r="M18" s="4" t="s">
        <v>2349</v>
      </c>
    </row>
    <row r="19" spans="2:13" x14ac:dyDescent="0.3">
      <c r="B19" s="4">
        <f t="shared" si="0"/>
        <v>16</v>
      </c>
      <c r="C19" s="5">
        <v>46149</v>
      </c>
      <c r="D19" s="10" t="str" cm="1">
        <f t="array" ref="D19">_xlfn.XLOOKUP(Table4[[#This Row],[Malın kodu]],Table1[[#All],[Malın kodu]],Table1[[#All],[Malın adı]],"xəta",0)</f>
        <v>Ucluq / mis / DT95</v>
      </c>
      <c r="E19" s="8" t="s">
        <v>2115</v>
      </c>
      <c r="F19" s="4" t="s">
        <v>920</v>
      </c>
      <c r="G19" s="4">
        <v>20</v>
      </c>
      <c r="H19" s="4">
        <v>3.2</v>
      </c>
      <c r="I19" s="4">
        <f>Table4[[#This Row],[Malın miqdarı]]*Table4[[#This Row],[Vahidin qiyməti]]</f>
        <v>64</v>
      </c>
      <c r="J19" s="4" t="s">
        <v>1905</v>
      </c>
      <c r="K19" s="4" t="s">
        <v>1990</v>
      </c>
      <c r="L19" s="4" t="s">
        <v>2062</v>
      </c>
      <c r="M19" s="4" t="s">
        <v>2349</v>
      </c>
    </row>
    <row r="20" spans="2:13" x14ac:dyDescent="0.3">
      <c r="B20" s="4">
        <f t="shared" si="0"/>
        <v>17</v>
      </c>
      <c r="C20" s="5">
        <v>46149</v>
      </c>
      <c r="D20" s="10" t="str" cm="1">
        <f t="array" ref="D20">_xlfn.XLOOKUP(Table4[[#This Row],[Malın kodu]],Table1[[#All],[Malın kodu]],Table1[[#All],[Malın adı]],"xəta",0)</f>
        <v>Press 120</v>
      </c>
      <c r="E20" s="8" t="s">
        <v>2116</v>
      </c>
      <c r="F20" s="4" t="s">
        <v>920</v>
      </c>
      <c r="G20" s="4">
        <v>1</v>
      </c>
      <c r="H20" s="4">
        <v>60</v>
      </c>
      <c r="I20" s="4">
        <f>Table4[[#This Row],[Malın miqdarı]]*Table4[[#This Row],[Vahidin qiyməti]]</f>
        <v>60</v>
      </c>
      <c r="J20" s="4" t="s">
        <v>1905</v>
      </c>
      <c r="K20" s="4" t="s">
        <v>1990</v>
      </c>
      <c r="L20" s="4" t="s">
        <v>2062</v>
      </c>
      <c r="M20" s="4" t="s">
        <v>2349</v>
      </c>
    </row>
    <row r="21" spans="2:13" x14ac:dyDescent="0.3">
      <c r="B21" s="4">
        <f t="shared" si="0"/>
        <v>18</v>
      </c>
      <c r="C21" s="5">
        <v>46149</v>
      </c>
      <c r="D21" s="10" t="str" cm="1">
        <f t="array" ref="D21">_xlfn.XLOOKUP(Table4[[#This Row],[Malın kodu]],Table1[[#All],[Malın kodu]],Table1[[#All],[Malın adı]],"xəta",0)</f>
        <v>Projektor / led / 100 Vt / mini</v>
      </c>
      <c r="E21" s="8" t="s">
        <v>2117</v>
      </c>
      <c r="F21" s="4" t="s">
        <v>920</v>
      </c>
      <c r="G21" s="4">
        <v>10</v>
      </c>
      <c r="H21" s="4">
        <v>15</v>
      </c>
      <c r="I21" s="4">
        <f>Table4[[#This Row],[Malın miqdarı]]*Table4[[#This Row],[Vahidin qiyməti]]</f>
        <v>150</v>
      </c>
      <c r="J21" s="4" t="s">
        <v>1905</v>
      </c>
      <c r="K21" s="4" t="s">
        <v>1990</v>
      </c>
      <c r="L21" s="4" t="s">
        <v>2062</v>
      </c>
      <c r="M21" s="4" t="s">
        <v>2349</v>
      </c>
    </row>
    <row r="22" spans="2:13" x14ac:dyDescent="0.3">
      <c r="B22" s="4">
        <f t="shared" si="0"/>
        <v>19</v>
      </c>
      <c r="C22" s="5">
        <v>46149</v>
      </c>
      <c r="D22" s="10" t="str" cm="1">
        <f t="array" ref="D22">_xlfn.XLOOKUP(Table4[[#This Row],[Malın kodu]],Table1[[#All],[Malın kodu]],Table1[[#All],[Malın adı]],"xəta",0)</f>
        <v>Potric / 5x32A / FİŞ 025</v>
      </c>
      <c r="E22" s="8" t="s">
        <v>2118</v>
      </c>
      <c r="F22" s="4" t="s">
        <v>920</v>
      </c>
      <c r="G22" s="4">
        <v>20</v>
      </c>
      <c r="H22" s="4">
        <v>5.9</v>
      </c>
      <c r="I22" s="4">
        <f>Table4[[#This Row],[Malın miqdarı]]*Table4[[#This Row],[Vahidin qiyməti]]</f>
        <v>118</v>
      </c>
      <c r="J22" s="4" t="s">
        <v>1905</v>
      </c>
      <c r="K22" s="4" t="s">
        <v>1990</v>
      </c>
      <c r="L22" s="4" t="s">
        <v>2062</v>
      </c>
      <c r="M22" s="4" t="s">
        <v>2349</v>
      </c>
    </row>
    <row r="23" spans="2:13" x14ac:dyDescent="0.3">
      <c r="B23" s="4">
        <f t="shared" si="0"/>
        <v>20</v>
      </c>
      <c r="C23" s="5">
        <v>46174</v>
      </c>
      <c r="D23" s="10" t="str" cm="1">
        <f t="array" ref="D23">_xlfn.XLOOKUP(Table4[[#This Row],[Malın kodu]],Table1[[#All],[Malın kodu]],Table1[[#All],[Malın adı]],"xəta",0)</f>
        <v>Filtr/ yağ/ ZP3375 MG/ "FİL"/Türkiyə istehsalı</v>
      </c>
      <c r="E23" s="8" t="s">
        <v>930</v>
      </c>
      <c r="F23" s="4" t="s">
        <v>920</v>
      </c>
      <c r="G23" s="4">
        <v>1</v>
      </c>
      <c r="H23" s="4"/>
      <c r="I23" s="4">
        <f>Table4[[#This Row],[Malın miqdarı]]*Table4[[#This Row],[Vahidin qiyməti]]</f>
        <v>0</v>
      </c>
      <c r="J23" s="4" t="s">
        <v>899</v>
      </c>
      <c r="K23" s="4" t="s">
        <v>893</v>
      </c>
      <c r="L23" s="4">
        <f>_xlfn.XLOOKUP(Table4[[#This Row],[Kontragentin adı]],Table2[Kontragentin adı],Table2[Müqavilə nömrəsi],"Xəta",0)</f>
        <v>0</v>
      </c>
      <c r="M23" s="4">
        <f>_xlfn.XLOOKUP(Table4[[#This Row],[Kontragentin adı]],Table2[Kontragentin adı],Table2[Müqavilə nömrəsi],"Xəta",0)</f>
        <v>0</v>
      </c>
    </row>
    <row r="24" spans="2:13" x14ac:dyDescent="0.3">
      <c r="B24" s="4">
        <f t="shared" si="0"/>
        <v>21</v>
      </c>
      <c r="C24" s="5">
        <v>46174</v>
      </c>
      <c r="D24" s="10" t="str" cm="1">
        <f t="array" ref="D24">_xlfn.XLOOKUP(Table4[[#This Row],[Malın kodu]],Table1[[#All],[Malın kodu]],Table1[[#All],[Malın adı]],"xəta",0)</f>
        <v>Filtr/ yağ/ ZP520/ "FİL"/Türkiyə istehsalı</v>
      </c>
      <c r="E24" s="8" t="s">
        <v>931</v>
      </c>
      <c r="F24" s="4" t="s">
        <v>920</v>
      </c>
      <c r="G24" s="4">
        <v>1</v>
      </c>
      <c r="H24" s="4"/>
      <c r="I24" s="4">
        <f>Table4[[#This Row],[Malın miqdarı]]*Table4[[#This Row],[Vahidin qiyməti]]</f>
        <v>0</v>
      </c>
      <c r="J24" s="4" t="s">
        <v>899</v>
      </c>
      <c r="K24" s="4" t="s">
        <v>893</v>
      </c>
      <c r="L24" s="4">
        <f>_xlfn.XLOOKUP(Table4[[#This Row],[Kontragentin adı]],Table2[Kontragentin adı],Table2[Müqavilə nömrəsi],"Xəta",0)</f>
        <v>0</v>
      </c>
      <c r="M24" s="4">
        <f>_xlfn.XLOOKUP(Table4[[#This Row],[Kontragentin adı]],Table2[Kontragentin adı],Table2[Müqavilə nömrəsi],"Xəta",0)</f>
        <v>0</v>
      </c>
    </row>
    <row r="25" spans="2:13" x14ac:dyDescent="0.3">
      <c r="B25" s="4">
        <f t="shared" si="0"/>
        <v>22</v>
      </c>
      <c r="C25" s="5">
        <v>46174</v>
      </c>
      <c r="D25" s="10" t="str" cm="1">
        <f t="array" ref="D25">_xlfn.XLOOKUP(Table4[[#This Row],[Malın kodu]],Table1[[#All],[Malın kodu]],Table1[[#All],[Malın adı]],"xəta",0)</f>
        <v>Kabel qoruyucu gövdə / alüminium / kontaktor üçün</v>
      </c>
      <c r="E25" s="8" t="s">
        <v>932</v>
      </c>
      <c r="F25" s="4" t="s">
        <v>920</v>
      </c>
      <c r="G25" s="4">
        <v>17</v>
      </c>
      <c r="H25" s="4"/>
      <c r="I25" s="4">
        <f>Table4[[#This Row],[Malın miqdarı]]*Table4[[#This Row],[Vahidin qiyməti]]</f>
        <v>0</v>
      </c>
      <c r="J25" s="4" t="s">
        <v>899</v>
      </c>
      <c r="K25" s="4" t="s">
        <v>893</v>
      </c>
      <c r="L25" s="4">
        <f>_xlfn.XLOOKUP(Table4[[#This Row],[Kontragentin adı]],Table2[Kontragentin adı],Table2[Müqavilə nömrəsi],"Xəta",0)</f>
        <v>0</v>
      </c>
      <c r="M25" s="4">
        <f>_xlfn.XLOOKUP(Table4[[#This Row],[Kontragentin adı]],Table2[Kontragentin adı],Table2[Müqavilə nömrəsi],"Xəta",0)</f>
        <v>0</v>
      </c>
    </row>
    <row r="26" spans="2:13" x14ac:dyDescent="0.3">
      <c r="B26" s="4">
        <f t="shared" si="0"/>
        <v>23</v>
      </c>
      <c r="C26" s="5">
        <v>46174</v>
      </c>
      <c r="D26" s="10" t="str" cm="1">
        <f t="array" ref="D26">_xlfn.XLOOKUP(Table4[[#This Row],[Malın kodu]],Table1[[#All],[Malın kodu]],Table1[[#All],[Malın adı]],"xəta",0)</f>
        <v>Gərginlik sabitləşdiricisi / 1 faza / "ANDELİ" / SVC-200000VA</v>
      </c>
      <c r="E26" s="8" t="s">
        <v>933</v>
      </c>
      <c r="F26" s="4" t="s">
        <v>920</v>
      </c>
      <c r="G26" s="4">
        <v>1</v>
      </c>
      <c r="H26" s="4"/>
      <c r="I26" s="4">
        <f>Table4[[#This Row],[Malın miqdarı]]*Table4[[#This Row],[Vahidin qiyməti]]</f>
        <v>0</v>
      </c>
      <c r="J26" s="4" t="s">
        <v>899</v>
      </c>
      <c r="K26" s="4" t="s">
        <v>893</v>
      </c>
      <c r="L26" s="4">
        <f>_xlfn.XLOOKUP(Table4[[#This Row],[Kontragentin adı]],Table2[Kontragentin adı],Table2[Müqavilə nömrəsi],"Xəta",0)</f>
        <v>0</v>
      </c>
      <c r="M26" s="4">
        <f>_xlfn.XLOOKUP(Table4[[#This Row],[Kontragentin adı]],Table2[Kontragentin adı],Table2[Müqavilə nömrəsi],"Xəta",0)</f>
        <v>0</v>
      </c>
    </row>
    <row r="27" spans="2:13" x14ac:dyDescent="0.3">
      <c r="B27" s="4">
        <f t="shared" si="0"/>
        <v>24</v>
      </c>
      <c r="C27" s="5">
        <v>46174</v>
      </c>
      <c r="D27" s="10" t="str" cm="1">
        <f t="array" ref="D27">_xlfn.XLOOKUP(Table4[[#This Row],[Malın kodu]],Table1[[#All],[Malın kodu]],Table1[[#All],[Malın adı]],"xəta",0)</f>
        <v>Elektrik lövhə / 550x800mm / metal</v>
      </c>
      <c r="E27" s="8" t="s">
        <v>934</v>
      </c>
      <c r="F27" s="4" t="s">
        <v>920</v>
      </c>
      <c r="G27" s="4">
        <v>1</v>
      </c>
      <c r="H27" s="4"/>
      <c r="I27" s="4">
        <f>Table4[[#This Row],[Malın miqdarı]]*Table4[[#This Row],[Vahidin qiyməti]]</f>
        <v>0</v>
      </c>
      <c r="J27" s="4" t="s">
        <v>899</v>
      </c>
      <c r="K27" s="4" t="s">
        <v>893</v>
      </c>
      <c r="L27" s="4">
        <f>_xlfn.XLOOKUP(Table4[[#This Row],[Kontragentin adı]],Table2[Kontragentin adı],Table2[Müqavilə nömrəsi],"Xəta",0)</f>
        <v>0</v>
      </c>
      <c r="M27" s="4">
        <f>_xlfn.XLOOKUP(Table4[[#This Row],[Kontragentin adı]],Table2[Kontragentin adı],Table2[Müqavilə nömrəsi],"Xəta",0)</f>
        <v>0</v>
      </c>
    </row>
    <row r="28" spans="2:13" x14ac:dyDescent="0.3">
      <c r="B28" s="4">
        <f t="shared" si="0"/>
        <v>25</v>
      </c>
      <c r="C28" s="5">
        <v>46174</v>
      </c>
      <c r="D28" s="10" t="str" cm="1">
        <f t="array" ref="D28">_xlfn.XLOOKUP(Table4[[#This Row],[Malın kodu]],Table1[[#All],[Malın kodu]],Table1[[#All],[Malın adı]],"xəta",0)</f>
        <v>Kabel qoruyucu gövdə / alüminium / kontaktor ilə</v>
      </c>
      <c r="E28" s="8" t="s">
        <v>935</v>
      </c>
      <c r="F28" s="4" t="s">
        <v>921</v>
      </c>
      <c r="G28" s="4">
        <v>6</v>
      </c>
      <c r="H28" s="4"/>
      <c r="I28" s="4">
        <f>Table4[[#This Row],[Malın miqdarı]]*Table4[[#This Row],[Vahidin qiyməti]]</f>
        <v>0</v>
      </c>
      <c r="J28" s="4" t="s">
        <v>899</v>
      </c>
      <c r="K28" s="4" t="s">
        <v>893</v>
      </c>
      <c r="L28" s="4">
        <f>_xlfn.XLOOKUP(Table4[[#This Row],[Kontragentin adı]],Table2[Kontragentin adı],Table2[Müqavilə nömrəsi],"Xəta",0)</f>
        <v>0</v>
      </c>
      <c r="M28" s="4">
        <f>_xlfn.XLOOKUP(Table4[[#This Row],[Kontragentin adı]],Table2[Kontragentin adı],Table2[Müqavilə nömrəsi],"Xəta",0)</f>
        <v>0</v>
      </c>
    </row>
    <row r="29" spans="2:13" x14ac:dyDescent="0.3">
      <c r="B29" s="4">
        <f t="shared" si="0"/>
        <v>26</v>
      </c>
      <c r="C29" s="5">
        <v>46174</v>
      </c>
      <c r="D29" s="10" t="str" cm="1">
        <f t="array" ref="D29">_xlfn.XLOOKUP(Table4[[#This Row],[Malın kodu]],Table1[[#All],[Malın kodu]],Table1[[#All],[Malın adı]],"xəta",0)</f>
        <v>Filtr/ yağ/ ZP540 A/ "FİL"/Türkiyə istehsalı</v>
      </c>
      <c r="E29" s="8" t="s">
        <v>936</v>
      </c>
      <c r="F29" s="4" t="s">
        <v>920</v>
      </c>
      <c r="G29" s="4">
        <v>1</v>
      </c>
      <c r="H29" s="4"/>
      <c r="I29" s="4">
        <f>Table4[[#This Row],[Malın miqdarı]]*Table4[[#This Row],[Vahidin qiyməti]]</f>
        <v>0</v>
      </c>
      <c r="J29" s="4" t="s">
        <v>899</v>
      </c>
      <c r="K29" s="4" t="s">
        <v>893</v>
      </c>
      <c r="L29" s="4">
        <f>_xlfn.XLOOKUP(Table4[[#This Row],[Kontragentin adı]],Table2[Kontragentin adı],Table2[Müqavilə nömrəsi],"Xəta",0)</f>
        <v>0</v>
      </c>
      <c r="M29" s="4">
        <f>_xlfn.XLOOKUP(Table4[[#This Row],[Kontragentin adı]],Table2[Kontragentin adı],Table2[Müqavilə nömrəsi],"Xəta",0)</f>
        <v>0</v>
      </c>
    </row>
    <row r="30" spans="2:13" x14ac:dyDescent="0.3">
      <c r="B30" s="4">
        <f t="shared" si="0"/>
        <v>27</v>
      </c>
      <c r="C30" s="5">
        <v>46174</v>
      </c>
      <c r="D30" s="10" t="str" cm="1">
        <f t="array" ref="D30">_xlfn.XLOOKUP(Table4[[#This Row],[Malın kodu]],Table1[[#All],[Malın kodu]],Table1[[#All],[Malın adı]],"xəta",0)</f>
        <v>Laboratoriya sınaq qabları / podnos tipli / paslanmaz metal</v>
      </c>
      <c r="E30" s="8" t="s">
        <v>937</v>
      </c>
      <c r="F30" s="4" t="s">
        <v>920</v>
      </c>
      <c r="G30" s="4">
        <v>12</v>
      </c>
      <c r="H30" s="4"/>
      <c r="I30" s="4">
        <f>Table4[[#This Row],[Malın miqdarı]]*Table4[[#This Row],[Vahidin qiyməti]]</f>
        <v>0</v>
      </c>
      <c r="J30" s="4" t="s">
        <v>899</v>
      </c>
      <c r="K30" s="4" t="s">
        <v>893</v>
      </c>
      <c r="L30" s="4">
        <f>_xlfn.XLOOKUP(Table4[[#This Row],[Kontragentin adı]],Table2[Kontragentin adı],Table2[Müqavilə nömrəsi],"Xəta",0)</f>
        <v>0</v>
      </c>
      <c r="M30" s="4">
        <f>_xlfn.XLOOKUP(Table4[[#This Row],[Kontragentin adı]],Table2[Kontragentin adı],Table2[Müqavilə nömrəsi],"Xəta",0)</f>
        <v>0</v>
      </c>
    </row>
    <row r="31" spans="2:13" x14ac:dyDescent="0.3">
      <c r="B31" s="4">
        <f t="shared" si="0"/>
        <v>28</v>
      </c>
      <c r="C31" s="5">
        <v>46174</v>
      </c>
      <c r="D31" s="10" t="str" cm="1">
        <f t="array" ref="D31">_xlfn.XLOOKUP(Table4[[#This Row],[Malın kodu]],Table1[[#All],[Malın kodu]],Table1[[#All],[Malın adı]],"xəta",0)</f>
        <v>Laboratoriya sınaq qabları / kolba / plastik</v>
      </c>
      <c r="E31" s="8" t="s">
        <v>938</v>
      </c>
      <c r="F31" s="4" t="s">
        <v>921</v>
      </c>
      <c r="G31" s="4">
        <v>1</v>
      </c>
      <c r="H31" s="4"/>
      <c r="I31" s="4">
        <f>Table4[[#This Row],[Malın miqdarı]]*Table4[[#This Row],[Vahidin qiyməti]]</f>
        <v>0</v>
      </c>
      <c r="J31" s="4" t="s">
        <v>899</v>
      </c>
      <c r="K31" s="4" t="s">
        <v>893</v>
      </c>
      <c r="L31" s="4">
        <f>_xlfn.XLOOKUP(Table4[[#This Row],[Kontragentin adı]],Table2[Kontragentin adı],Table2[Müqavilə nömrəsi],"Xəta",0)</f>
        <v>0</v>
      </c>
      <c r="M31" s="4">
        <f>_xlfn.XLOOKUP(Table4[[#This Row],[Kontragentin adı]],Table2[Kontragentin adı],Table2[Müqavilə nömrəsi],"Xəta",0)</f>
        <v>0</v>
      </c>
    </row>
    <row r="32" spans="2:13" x14ac:dyDescent="0.3">
      <c r="B32" s="4">
        <f t="shared" si="0"/>
        <v>29</v>
      </c>
      <c r="C32" s="5">
        <v>46174</v>
      </c>
      <c r="D32" s="10" t="str" cm="1">
        <f t="array" ref="D32">_xlfn.XLOOKUP(Table4[[#This Row],[Malın kodu]],Table1[[#All],[Malın kodu]],Table1[[#All],[Malın adı]],"xəta",0)</f>
        <v>Filtr/ yanacaq/ PL 270 / "SCT" / Turbomax</v>
      </c>
      <c r="E32" s="8" t="s">
        <v>939</v>
      </c>
      <c r="F32" s="4" t="s">
        <v>920</v>
      </c>
      <c r="G32" s="4">
        <v>1</v>
      </c>
      <c r="H32" s="4"/>
      <c r="I32" s="4">
        <f>Table4[[#This Row],[Malın miqdarı]]*Table4[[#This Row],[Vahidin qiyməti]]</f>
        <v>0</v>
      </c>
      <c r="J32" s="4" t="s">
        <v>899</v>
      </c>
      <c r="K32" s="4" t="s">
        <v>893</v>
      </c>
      <c r="L32" s="4">
        <f>_xlfn.XLOOKUP(Table4[[#This Row],[Kontragentin adı]],Table2[Kontragentin adı],Table2[Müqavilə nömrəsi],"Xəta",0)</f>
        <v>0</v>
      </c>
      <c r="M32" s="4">
        <f>_xlfn.XLOOKUP(Table4[[#This Row],[Kontragentin adı]],Table2[Kontragentin adı],Table2[Müqavilə nömrəsi],"Xəta",0)</f>
        <v>0</v>
      </c>
    </row>
    <row r="33" spans="2:13" x14ac:dyDescent="0.3">
      <c r="B33" s="4">
        <f t="shared" si="0"/>
        <v>30</v>
      </c>
      <c r="C33" s="5">
        <v>46174</v>
      </c>
      <c r="D33" s="10" t="str" cm="1">
        <f t="array" ref="D33">_xlfn.XLOOKUP(Table4[[#This Row],[Malın kodu]],Table1[[#All],[Malın kodu]],Table1[[#All],[Malın adı]],"xəta",0)</f>
        <v>Filtr/ yanacaq/ ZP3043 FMB/ "FİL"/Türkiyə istehsalı</v>
      </c>
      <c r="E33" s="8" t="s">
        <v>940</v>
      </c>
      <c r="F33" s="4" t="s">
        <v>920</v>
      </c>
      <c r="G33" s="4">
        <v>2</v>
      </c>
      <c r="H33" s="4"/>
      <c r="I33" s="4">
        <f>Table4[[#This Row],[Malın miqdarı]]*Table4[[#This Row],[Vahidin qiyməti]]</f>
        <v>0</v>
      </c>
      <c r="J33" s="4" t="s">
        <v>899</v>
      </c>
      <c r="K33" s="4" t="s">
        <v>893</v>
      </c>
      <c r="L33" s="4">
        <f>_xlfn.XLOOKUP(Table4[[#This Row],[Kontragentin adı]],Table2[Kontragentin adı],Table2[Müqavilə nömrəsi],"Xəta",0)</f>
        <v>0</v>
      </c>
      <c r="M33" s="4">
        <f>_xlfn.XLOOKUP(Table4[[#This Row],[Kontragentin adı]],Table2[Kontragentin adı],Table2[Müqavilə nömrəsi],"Xəta",0)</f>
        <v>0</v>
      </c>
    </row>
    <row r="34" spans="2:13" x14ac:dyDescent="0.3">
      <c r="B34" s="4">
        <f t="shared" si="0"/>
        <v>31</v>
      </c>
      <c r="C34" s="5">
        <v>46174</v>
      </c>
      <c r="D34" s="10" t="str" cm="1">
        <f t="array" ref="D34">_xlfn.XLOOKUP(Table4[[#This Row],[Malın kodu]],Table1[[#All],[Malın kodu]],Table1[[#All],[Malın adı]],"xəta",0)</f>
        <v>Filtr/ yağ/ ZP531/ "FİL"/Türkiyə istehsalı</v>
      </c>
      <c r="E34" s="8" t="s">
        <v>941</v>
      </c>
      <c r="F34" s="4" t="s">
        <v>920</v>
      </c>
      <c r="G34" s="4">
        <v>1</v>
      </c>
      <c r="H34" s="4"/>
      <c r="I34" s="4">
        <f>Table4[[#This Row],[Malın miqdarı]]*Table4[[#This Row],[Vahidin qiyməti]]</f>
        <v>0</v>
      </c>
      <c r="J34" s="4" t="s">
        <v>899</v>
      </c>
      <c r="K34" s="4" t="s">
        <v>893</v>
      </c>
      <c r="L34" s="4">
        <f>_xlfn.XLOOKUP(Table4[[#This Row],[Kontragentin adı]],Table2[Kontragentin adı],Table2[Müqavilə nömrəsi],"Xəta",0)</f>
        <v>0</v>
      </c>
      <c r="M34" s="4">
        <f>_xlfn.XLOOKUP(Table4[[#This Row],[Kontragentin adı]],Table2[Kontragentin adı],Table2[Müqavilə nömrəsi],"Xəta",0)</f>
        <v>0</v>
      </c>
    </row>
    <row r="35" spans="2:13" x14ac:dyDescent="0.3">
      <c r="B35" s="4">
        <f t="shared" si="0"/>
        <v>32</v>
      </c>
      <c r="C35" s="5">
        <v>46174</v>
      </c>
      <c r="D35" s="10" t="str" cm="1">
        <f t="array" ref="D35">_xlfn.XLOOKUP(Table4[[#This Row],[Malın kodu]],Table1[[#All],[Malın kodu]],Table1[[#All],[Malın adı]],"xəta",0)</f>
        <v>Filtr/ yanacaq/ ZP8048 FP/ "FİL"/Türkiyə istehsalı</v>
      </c>
      <c r="E35" s="8" t="s">
        <v>942</v>
      </c>
      <c r="F35" s="4" t="s">
        <v>920</v>
      </c>
      <c r="G35" s="4">
        <v>6</v>
      </c>
      <c r="H35" s="4"/>
      <c r="I35" s="4">
        <f>Table4[[#This Row],[Malın miqdarı]]*Table4[[#This Row],[Vahidin qiyməti]]</f>
        <v>0</v>
      </c>
      <c r="J35" s="4" t="s">
        <v>899</v>
      </c>
      <c r="K35" s="4" t="s">
        <v>893</v>
      </c>
      <c r="L35" s="4">
        <f>_xlfn.XLOOKUP(Table4[[#This Row],[Kontragentin adı]],Table2[Kontragentin adı],Table2[Müqavilə nömrəsi],"Xəta",0)</f>
        <v>0</v>
      </c>
      <c r="M35" s="4">
        <f>_xlfn.XLOOKUP(Table4[[#This Row],[Kontragentin adı]],Table2[Kontragentin adı],Table2[Müqavilə nömrəsi],"Xəta",0)</f>
        <v>0</v>
      </c>
    </row>
    <row r="36" spans="2:13" x14ac:dyDescent="0.3">
      <c r="B36" s="4">
        <f t="shared" si="0"/>
        <v>33</v>
      </c>
      <c r="C36" s="5">
        <v>46174</v>
      </c>
      <c r="D36" s="10" t="str" cm="1">
        <f t="array" ref="D36">_xlfn.XLOOKUP(Table4[[#This Row],[Malın kodu]],Table1[[#All],[Malın kodu]],Table1[[#All],[Malın adı]],"xəta",0)</f>
        <v>Filtr/ yanacaq/ ZP8003 FM/ "FİL"/Türkiyə istehsalı</v>
      </c>
      <c r="E36" s="8" t="s">
        <v>943</v>
      </c>
      <c r="F36" s="4" t="s">
        <v>920</v>
      </c>
      <c r="G36" s="4">
        <v>2</v>
      </c>
      <c r="H36" s="4"/>
      <c r="I36" s="4">
        <f>Table4[[#This Row],[Malın miqdarı]]*Table4[[#This Row],[Vahidin qiyməti]]</f>
        <v>0</v>
      </c>
      <c r="J36" s="4" t="s">
        <v>899</v>
      </c>
      <c r="K36" s="4" t="s">
        <v>893</v>
      </c>
      <c r="L36" s="4">
        <f>_xlfn.XLOOKUP(Table4[[#This Row],[Kontragentin adı]],Table2[Kontragentin adı],Table2[Müqavilə nömrəsi],"Xəta",0)</f>
        <v>0</v>
      </c>
      <c r="M36" s="4">
        <f>_xlfn.XLOOKUP(Table4[[#This Row],[Kontragentin adı]],Table2[Kontragentin adı],Table2[Müqavilə nömrəsi],"Xəta",0)</f>
        <v>0</v>
      </c>
    </row>
    <row r="37" spans="2:13" x14ac:dyDescent="0.3">
      <c r="B37" s="4">
        <f t="shared" si="0"/>
        <v>34</v>
      </c>
      <c r="C37" s="5">
        <v>46174</v>
      </c>
      <c r="D37" s="10" t="str" cm="1">
        <f t="array" ref="D37">_xlfn.XLOOKUP(Table4[[#This Row],[Malın kodu]],Table1[[#All],[Malın kodu]],Table1[[#All],[Malın adı]],"xəta",0)</f>
        <v>Filtr/ yağ/ ML1517/ "FİL"/Türkiyə istehsalı</v>
      </c>
      <c r="E37" s="8" t="s">
        <v>944</v>
      </c>
      <c r="F37" s="4" t="s">
        <v>920</v>
      </c>
      <c r="G37" s="4">
        <v>7</v>
      </c>
      <c r="H37" s="4"/>
      <c r="I37" s="4">
        <f>Table4[[#This Row],[Malın miqdarı]]*Table4[[#This Row],[Vahidin qiyməti]]</f>
        <v>0</v>
      </c>
      <c r="J37" s="4" t="s">
        <v>899</v>
      </c>
      <c r="K37" s="4" t="s">
        <v>893</v>
      </c>
      <c r="L37" s="4">
        <f>_xlfn.XLOOKUP(Table4[[#This Row],[Kontragentin adı]],Table2[Kontragentin adı],Table2[Müqavilə nömrəsi],"Xəta",0)</f>
        <v>0</v>
      </c>
      <c r="M37" s="4">
        <f>_xlfn.XLOOKUP(Table4[[#This Row],[Kontragentin adı]],Table2[Kontragentin adı],Table2[Müqavilə nömrəsi],"Xəta",0)</f>
        <v>0</v>
      </c>
    </row>
    <row r="38" spans="2:13" x14ac:dyDescent="0.3">
      <c r="B38" s="4">
        <f t="shared" si="0"/>
        <v>35</v>
      </c>
      <c r="C38" s="5">
        <v>46174</v>
      </c>
      <c r="D38" s="10" t="str" cm="1">
        <f t="array" ref="D38">_xlfn.XLOOKUP(Table4[[#This Row],[Malın kodu]],Table1[[#All],[Malın kodu]],Table1[[#All],[Malın adı]],"xəta",0)</f>
        <v>Filtr/ yanacaq/ MFE1593/ "FİL"/Türkiyə istehsalı</v>
      </c>
      <c r="E38" s="8" t="s">
        <v>945</v>
      </c>
      <c r="F38" s="4" t="s">
        <v>920</v>
      </c>
      <c r="G38" s="4">
        <v>3</v>
      </c>
      <c r="H38" s="4"/>
      <c r="I38" s="4">
        <f>Table4[[#This Row],[Malın miqdarı]]*Table4[[#This Row],[Vahidin qiyməti]]</f>
        <v>0</v>
      </c>
      <c r="J38" s="4" t="s">
        <v>899</v>
      </c>
      <c r="K38" s="4" t="s">
        <v>893</v>
      </c>
      <c r="L38" s="4">
        <f>_xlfn.XLOOKUP(Table4[[#This Row],[Kontragentin adı]],Table2[Kontragentin adı],Table2[Müqavilə nömrəsi],"Xəta",0)</f>
        <v>0</v>
      </c>
      <c r="M38" s="4">
        <f>_xlfn.XLOOKUP(Table4[[#This Row],[Kontragentin adı]],Table2[Kontragentin adı],Table2[Müqavilə nömrəsi],"Xəta",0)</f>
        <v>0</v>
      </c>
    </row>
    <row r="39" spans="2:13" x14ac:dyDescent="0.3">
      <c r="B39" s="4">
        <f t="shared" si="0"/>
        <v>36</v>
      </c>
      <c r="C39" s="5">
        <v>46174</v>
      </c>
      <c r="D39" s="10" t="str" cm="1">
        <f t="array" ref="D39">_xlfn.XLOOKUP(Table4[[#This Row],[Malın kodu]],Table1[[#All],[Malın kodu]],Table1[[#All],[Malın adı]],"xəta",0)</f>
        <v>Filtr/ yanacaq/ MFE1489/ "FİL"/Türkiyə istehsalı</v>
      </c>
      <c r="E39" s="8" t="s">
        <v>946</v>
      </c>
      <c r="F39" s="4" t="s">
        <v>920</v>
      </c>
      <c r="G39" s="4">
        <v>1</v>
      </c>
      <c r="H39" s="4"/>
      <c r="I39" s="4">
        <f>Table4[[#This Row],[Malın miqdarı]]*Table4[[#This Row],[Vahidin qiyməti]]</f>
        <v>0</v>
      </c>
      <c r="J39" s="4" t="s">
        <v>899</v>
      </c>
      <c r="K39" s="4" t="s">
        <v>893</v>
      </c>
      <c r="L39" s="4">
        <f>_xlfn.XLOOKUP(Table4[[#This Row],[Kontragentin adı]],Table2[Kontragentin adı],Table2[Müqavilə nömrəsi],"Xəta",0)</f>
        <v>0</v>
      </c>
      <c r="M39" s="4">
        <f>_xlfn.XLOOKUP(Table4[[#This Row],[Kontragentin adı]],Table2[Kontragentin adı],Table2[Müqavilə nömrəsi],"Xəta",0)</f>
        <v>0</v>
      </c>
    </row>
    <row r="40" spans="2:13" x14ac:dyDescent="0.3">
      <c r="B40" s="4">
        <f t="shared" si="0"/>
        <v>37</v>
      </c>
      <c r="C40" s="5">
        <v>46174</v>
      </c>
      <c r="D40" s="10" t="str" cm="1">
        <f t="array" ref="D40">_xlfn.XLOOKUP(Table4[[#This Row],[Malın kodu]],Table1[[#All],[Malın kodu]],Table1[[#All],[Malın adı]],"xəta",0)</f>
        <v>Filtr/ yağ/ ZP 24 C/ "FİL"/Türkiyə istehsalı</v>
      </c>
      <c r="E40" s="8" t="s">
        <v>947</v>
      </c>
      <c r="F40" s="4" t="s">
        <v>920</v>
      </c>
      <c r="G40" s="4">
        <v>1</v>
      </c>
      <c r="H40" s="4"/>
      <c r="I40" s="4">
        <f>Table4[[#This Row],[Malın miqdarı]]*Table4[[#This Row],[Vahidin qiyməti]]</f>
        <v>0</v>
      </c>
      <c r="J40" s="4" t="s">
        <v>899</v>
      </c>
      <c r="K40" s="4" t="s">
        <v>893</v>
      </c>
      <c r="L40" s="4">
        <f>_xlfn.XLOOKUP(Table4[[#This Row],[Kontragentin adı]],Table2[Kontragentin adı],Table2[Müqavilə nömrəsi],"Xəta",0)</f>
        <v>0</v>
      </c>
      <c r="M40" s="4">
        <f>_xlfn.XLOOKUP(Table4[[#This Row],[Kontragentin adı]],Table2[Kontragentin adı],Table2[Müqavilə nömrəsi],"Xəta",0)</f>
        <v>0</v>
      </c>
    </row>
    <row r="41" spans="2:13" x14ac:dyDescent="0.3">
      <c r="B41" s="4">
        <f t="shared" si="0"/>
        <v>38</v>
      </c>
      <c r="C41" s="5">
        <v>46174</v>
      </c>
      <c r="D41" s="10" t="str" cm="1">
        <f t="array" ref="D41">_xlfn.XLOOKUP(Table4[[#This Row],[Malın kodu]],Table1[[#All],[Malın kodu]],Table1[[#All],[Malın adı]],"xəta",0)</f>
        <v>Filtr/ yanacaq/ TF1480/ "FİL"/Türkiyə istehsalı</v>
      </c>
      <c r="E41" s="8" t="s">
        <v>948</v>
      </c>
      <c r="F41" s="4" t="s">
        <v>920</v>
      </c>
      <c r="G41" s="4">
        <v>1</v>
      </c>
      <c r="H41" s="4"/>
      <c r="I41" s="4">
        <f>Table4[[#This Row],[Malın miqdarı]]*Table4[[#This Row],[Vahidin qiyməti]]</f>
        <v>0</v>
      </c>
      <c r="J41" s="4" t="s">
        <v>899</v>
      </c>
      <c r="K41" s="4" t="s">
        <v>893</v>
      </c>
      <c r="L41" s="4">
        <f>_xlfn.XLOOKUP(Table4[[#This Row],[Kontragentin adı]],Table2[Kontragentin adı],Table2[Müqavilə nömrəsi],"Xəta",0)</f>
        <v>0</v>
      </c>
      <c r="M41" s="4">
        <f>_xlfn.XLOOKUP(Table4[[#This Row],[Kontragentin adı]],Table2[Kontragentin adı],Table2[Müqavilə nömrəsi],"Xəta",0)</f>
        <v>0</v>
      </c>
    </row>
    <row r="42" spans="2:13" x14ac:dyDescent="0.3">
      <c r="B42" s="4">
        <f t="shared" si="0"/>
        <v>39</v>
      </c>
      <c r="C42" s="5">
        <v>46174</v>
      </c>
      <c r="D42" s="10" t="str" cm="1">
        <f t="array" ref="D42">_xlfn.XLOOKUP(Table4[[#This Row],[Malın kodu]],Table1[[#All],[Malın kodu]],Table1[[#All],[Malın adı]],"xəta",0)</f>
        <v>Filtr/ hava/ MLE 1606/ "FİL"/Türkiyə istehsalı</v>
      </c>
      <c r="E42" s="8" t="s">
        <v>949</v>
      </c>
      <c r="F42" s="4" t="s">
        <v>920</v>
      </c>
      <c r="G42" s="4">
        <v>2</v>
      </c>
      <c r="H42" s="4"/>
      <c r="I42" s="4">
        <f>Table4[[#This Row],[Malın miqdarı]]*Table4[[#This Row],[Vahidin qiyməti]]</f>
        <v>0</v>
      </c>
      <c r="J42" s="4" t="s">
        <v>899</v>
      </c>
      <c r="K42" s="4" t="s">
        <v>893</v>
      </c>
      <c r="L42" s="4">
        <f>_xlfn.XLOOKUP(Table4[[#This Row],[Kontragentin adı]],Table2[Kontragentin adı],Table2[Müqavilə nömrəsi],"Xəta",0)</f>
        <v>0</v>
      </c>
      <c r="M42" s="4">
        <f>_xlfn.XLOOKUP(Table4[[#This Row],[Kontragentin adı]],Table2[Kontragentin adı],Table2[Müqavilə nömrəsi],"Xəta",0)</f>
        <v>0</v>
      </c>
    </row>
    <row r="43" spans="2:13" x14ac:dyDescent="0.3">
      <c r="B43" s="4">
        <f t="shared" si="0"/>
        <v>40</v>
      </c>
      <c r="C43" s="5">
        <v>46174</v>
      </c>
      <c r="D43" s="10" t="str" cm="1">
        <f t="array" ref="D43">_xlfn.XLOOKUP(Table4[[#This Row],[Malın kodu]],Table1[[#All],[Malın kodu]],Table1[[#All],[Malın adı]],"xəta",0)</f>
        <v>Filtr/ kabin/ HC 7265/ "FİL"/Türkiyə istehsalı</v>
      </c>
      <c r="E43" s="8" t="s">
        <v>950</v>
      </c>
      <c r="F43" s="4" t="s">
        <v>920</v>
      </c>
      <c r="G43" s="4">
        <v>3</v>
      </c>
      <c r="H43" s="4"/>
      <c r="I43" s="4">
        <f>Table4[[#This Row],[Malın miqdarı]]*Table4[[#This Row],[Vahidin qiyməti]]</f>
        <v>0</v>
      </c>
      <c r="J43" s="4" t="s">
        <v>899</v>
      </c>
      <c r="K43" s="4" t="s">
        <v>893</v>
      </c>
      <c r="L43" s="4">
        <f>_xlfn.XLOOKUP(Table4[[#This Row],[Kontragentin adı]],Table2[Kontragentin adı],Table2[Müqavilə nömrəsi],"Xəta",0)</f>
        <v>0</v>
      </c>
      <c r="M43" s="4">
        <f>_xlfn.XLOOKUP(Table4[[#This Row],[Kontragentin adı]],Table2[Kontragentin adı],Table2[Müqavilə nömrəsi],"Xəta",0)</f>
        <v>0</v>
      </c>
    </row>
    <row r="44" spans="2:13" x14ac:dyDescent="0.3">
      <c r="B44" s="4">
        <f t="shared" si="0"/>
        <v>41</v>
      </c>
      <c r="C44" s="5">
        <v>46174</v>
      </c>
      <c r="D44" s="10" t="str" cm="1">
        <f t="array" ref="D44">_xlfn.XLOOKUP(Table4[[#This Row],[Malın kodu]],Table1[[#All],[Malın kodu]],Table1[[#All],[Malın adı]],"xəta",0)</f>
        <v>Filtr/ yanacaq/ WK712\2/ "MANN"/ Almaniya istehsalı</v>
      </c>
      <c r="E44" s="8" t="s">
        <v>951</v>
      </c>
      <c r="F44" s="4" t="s">
        <v>920</v>
      </c>
      <c r="G44" s="4">
        <v>11</v>
      </c>
      <c r="H44" s="4"/>
      <c r="I44" s="4">
        <f>Table4[[#This Row],[Malın miqdarı]]*Table4[[#This Row],[Vahidin qiyməti]]</f>
        <v>0</v>
      </c>
      <c r="J44" s="4" t="s">
        <v>899</v>
      </c>
      <c r="K44" s="4" t="s">
        <v>893</v>
      </c>
      <c r="L44" s="4">
        <f>_xlfn.XLOOKUP(Table4[[#This Row],[Kontragentin adı]],Table2[Kontragentin adı],Table2[Müqavilə nömrəsi],"Xəta",0)</f>
        <v>0</v>
      </c>
      <c r="M44" s="4">
        <f>_xlfn.XLOOKUP(Table4[[#This Row],[Kontragentin adı]],Table2[Kontragentin adı],Table2[Müqavilə nömrəsi],"Xəta",0)</f>
        <v>0</v>
      </c>
    </row>
    <row r="45" spans="2:13" x14ac:dyDescent="0.3">
      <c r="B45" s="4">
        <f t="shared" si="0"/>
        <v>42</v>
      </c>
      <c r="C45" s="5">
        <v>46174</v>
      </c>
      <c r="D45" s="10" t="str" cm="1">
        <f t="array" ref="D45">_xlfn.XLOOKUP(Table4[[#This Row],[Malın kodu]],Table1[[#All],[Malın kodu]],Table1[[#All],[Malın adı]],"xəta",0)</f>
        <v>Filtr/ yağ/ W11102\35/ "MANN"/ Almaniya istehsalı</v>
      </c>
      <c r="E45" s="8" t="s">
        <v>952</v>
      </c>
      <c r="F45" s="4" t="s">
        <v>920</v>
      </c>
      <c r="G45" s="4">
        <v>2</v>
      </c>
      <c r="H45" s="4"/>
      <c r="I45" s="4">
        <f>Table4[[#This Row],[Malın miqdarı]]*Table4[[#This Row],[Vahidin qiyməti]]</f>
        <v>0</v>
      </c>
      <c r="J45" s="4" t="s">
        <v>899</v>
      </c>
      <c r="K45" s="4" t="s">
        <v>893</v>
      </c>
      <c r="L45" s="4">
        <f>_xlfn.XLOOKUP(Table4[[#This Row],[Kontragentin adı]],Table2[Kontragentin adı],Table2[Müqavilə nömrəsi],"Xəta",0)</f>
        <v>0</v>
      </c>
      <c r="M45" s="4">
        <f>_xlfn.XLOOKUP(Table4[[#This Row],[Kontragentin adı]],Table2[Kontragentin adı],Table2[Müqavilə nömrəsi],"Xəta",0)</f>
        <v>0</v>
      </c>
    </row>
    <row r="46" spans="2:13" x14ac:dyDescent="0.3">
      <c r="B46" s="4">
        <f t="shared" si="0"/>
        <v>43</v>
      </c>
      <c r="C46" s="5">
        <v>46174</v>
      </c>
      <c r="D46" s="10" t="str" cm="1">
        <f t="array" ref="D46">_xlfn.XLOOKUP(Table4[[#This Row],[Malın kodu]],Table1[[#All],[Malın kodu]],Table1[[#All],[Malın adı]],"xəta",0)</f>
        <v>Filtr/ yanacaq/ P917\2 X/ "MANN"/ Almaniya istehsalı</v>
      </c>
      <c r="E46" s="8" t="s">
        <v>953</v>
      </c>
      <c r="F46" s="4" t="s">
        <v>920</v>
      </c>
      <c r="G46" s="4">
        <v>1</v>
      </c>
      <c r="H46" s="4"/>
      <c r="I46" s="4">
        <f>Table4[[#This Row],[Malın miqdarı]]*Table4[[#This Row],[Vahidin qiyməti]]</f>
        <v>0</v>
      </c>
      <c r="J46" s="4" t="s">
        <v>899</v>
      </c>
      <c r="K46" s="4" t="s">
        <v>893</v>
      </c>
      <c r="L46" s="4">
        <f>_xlfn.XLOOKUP(Table4[[#This Row],[Kontragentin adı]],Table2[Kontragentin adı],Table2[Müqavilə nömrəsi],"Xəta",0)</f>
        <v>0</v>
      </c>
      <c r="M46" s="4">
        <f>_xlfn.XLOOKUP(Table4[[#This Row],[Kontragentin adı]],Table2[Kontragentin adı],Table2[Müqavilə nömrəsi],"Xəta",0)</f>
        <v>0</v>
      </c>
    </row>
    <row r="47" spans="2:13" x14ac:dyDescent="0.3">
      <c r="B47" s="4">
        <f t="shared" si="0"/>
        <v>44</v>
      </c>
      <c r="C47" s="5">
        <v>46174</v>
      </c>
      <c r="D47" s="10" t="str" cm="1">
        <f t="array" ref="D47">_xlfn.XLOOKUP(Table4[[#This Row],[Malın kodu]],Table1[[#All],[Malın kodu]],Table1[[#All],[Malın adı]],"xəta",0)</f>
        <v>Filtr/ yağ/ W610\3/ "MANN"/ Almaniya istehsalı</v>
      </c>
      <c r="E47" s="8" t="s">
        <v>954</v>
      </c>
      <c r="F47" s="4" t="s">
        <v>920</v>
      </c>
      <c r="G47" s="4">
        <v>1</v>
      </c>
      <c r="H47" s="4"/>
      <c r="I47" s="4">
        <f>Table4[[#This Row],[Malın miqdarı]]*Table4[[#This Row],[Vahidin qiyməti]]</f>
        <v>0</v>
      </c>
      <c r="J47" s="4" t="s">
        <v>899</v>
      </c>
      <c r="K47" s="4" t="s">
        <v>893</v>
      </c>
      <c r="L47" s="4">
        <f>_xlfn.XLOOKUP(Table4[[#This Row],[Kontragentin adı]],Table2[Kontragentin adı],Table2[Müqavilə nömrəsi],"Xəta",0)</f>
        <v>0</v>
      </c>
      <c r="M47" s="4">
        <f>_xlfn.XLOOKUP(Table4[[#This Row],[Kontragentin adı]],Table2[Kontragentin adı],Table2[Müqavilə nömrəsi],"Xəta",0)</f>
        <v>0</v>
      </c>
    </row>
    <row r="48" spans="2:13" x14ac:dyDescent="0.3">
      <c r="B48" s="4">
        <f t="shared" si="0"/>
        <v>45</v>
      </c>
      <c r="C48" s="5">
        <v>46174</v>
      </c>
      <c r="D48" s="10" t="str" cm="1">
        <f t="array" ref="D48">_xlfn.XLOOKUP(Table4[[#This Row],[Malın kodu]],Table1[[#All],[Malın kodu]],Table1[[#All],[Malın adı]],"xəta",0)</f>
        <v>Filtr/ yağ/ 61000070005H/ "WEICHAI"/ Çin istehsalı</v>
      </c>
      <c r="E48" s="8" t="s">
        <v>955</v>
      </c>
      <c r="F48" s="4" t="s">
        <v>920</v>
      </c>
      <c r="G48" s="4">
        <v>1</v>
      </c>
      <c r="H48" s="4"/>
      <c r="I48" s="4">
        <f>Table4[[#This Row],[Malın miqdarı]]*Table4[[#This Row],[Vahidin qiyməti]]</f>
        <v>0</v>
      </c>
      <c r="J48" s="4" t="s">
        <v>899</v>
      </c>
      <c r="K48" s="4" t="s">
        <v>893</v>
      </c>
      <c r="L48" s="4">
        <f>_xlfn.XLOOKUP(Table4[[#This Row],[Kontragentin adı]],Table2[Kontragentin adı],Table2[Müqavilə nömrəsi],"Xəta",0)</f>
        <v>0</v>
      </c>
      <c r="M48" s="4">
        <f>_xlfn.XLOOKUP(Table4[[#This Row],[Kontragentin adı]],Table2[Kontragentin adı],Table2[Müqavilə nömrəsi],"Xəta",0)</f>
        <v>0</v>
      </c>
    </row>
    <row r="49" spans="2:13" x14ac:dyDescent="0.3">
      <c r="B49" s="4">
        <f t="shared" si="0"/>
        <v>46</v>
      </c>
      <c r="C49" s="5">
        <v>46174</v>
      </c>
      <c r="D49" s="10" t="str" cm="1">
        <f t="array" ref="D49">_xlfn.XLOOKUP(Table4[[#This Row],[Malın kodu]],Table1[[#All],[Malın kodu]],Table1[[#All],[Malın adı]],"xəta",0)</f>
        <v>Filtr/ hava/ DR5122 B/ "Delsa"/Türkiyə istehsalı</v>
      </c>
      <c r="E49" s="8" t="s">
        <v>956</v>
      </c>
      <c r="F49" s="4" t="s">
        <v>920</v>
      </c>
      <c r="G49" s="4">
        <v>2</v>
      </c>
      <c r="H49" s="4"/>
      <c r="I49" s="4">
        <f>Table4[[#This Row],[Malın miqdarı]]*Table4[[#This Row],[Vahidin qiyməti]]</f>
        <v>0</v>
      </c>
      <c r="J49" s="4" t="s">
        <v>899</v>
      </c>
      <c r="K49" s="4" t="s">
        <v>893</v>
      </c>
      <c r="L49" s="4">
        <f>_xlfn.XLOOKUP(Table4[[#This Row],[Kontragentin adı]],Table2[Kontragentin adı],Table2[Müqavilə nömrəsi],"Xəta",0)</f>
        <v>0</v>
      </c>
      <c r="M49" s="4">
        <f>_xlfn.XLOOKUP(Table4[[#This Row],[Kontragentin adı]],Table2[Kontragentin adı],Table2[Müqavilə nömrəsi],"Xəta",0)</f>
        <v>0</v>
      </c>
    </row>
    <row r="50" spans="2:13" x14ac:dyDescent="0.3">
      <c r="B50" s="4">
        <f t="shared" si="0"/>
        <v>47</v>
      </c>
      <c r="C50" s="5">
        <v>46174</v>
      </c>
      <c r="D50" s="10" t="str" cm="1">
        <f t="array" ref="D50">_xlfn.XLOOKUP(Table4[[#This Row],[Malın kodu]],Table1[[#All],[Malın kodu]],Table1[[#All],[Malın adı]],"xəta",0)</f>
        <v>Filtr/ yağ/ DS1307/ "Delsa"/Türkiyə istehsalı</v>
      </c>
      <c r="E50" s="8" t="s">
        <v>957</v>
      </c>
      <c r="F50" s="4" t="s">
        <v>920</v>
      </c>
      <c r="G50" s="4">
        <v>1</v>
      </c>
      <c r="H50" s="4"/>
      <c r="I50" s="4">
        <f>Table4[[#This Row],[Malın miqdarı]]*Table4[[#This Row],[Vahidin qiyməti]]</f>
        <v>0</v>
      </c>
      <c r="J50" s="4" t="s">
        <v>899</v>
      </c>
      <c r="K50" s="4" t="s">
        <v>893</v>
      </c>
      <c r="L50" s="4">
        <f>_xlfn.XLOOKUP(Table4[[#This Row],[Kontragentin adı]],Table2[Kontragentin adı],Table2[Müqavilə nömrəsi],"Xəta",0)</f>
        <v>0</v>
      </c>
      <c r="M50" s="4">
        <f>_xlfn.XLOOKUP(Table4[[#This Row],[Kontragentin adı]],Table2[Kontragentin adı],Table2[Müqavilə nömrəsi],"Xəta",0)</f>
        <v>0</v>
      </c>
    </row>
    <row r="51" spans="2:13" x14ac:dyDescent="0.3">
      <c r="B51" s="4">
        <f t="shared" si="0"/>
        <v>48</v>
      </c>
      <c r="C51" s="5">
        <v>46174</v>
      </c>
      <c r="D51" s="10" t="str" cm="1">
        <f t="array" ref="D51">_xlfn.XLOOKUP(Table4[[#This Row],[Malın kodu]],Table1[[#All],[Malın kodu]],Table1[[#All],[Malın adı]],"xəta",0)</f>
        <v>Filtr/ yanacaq/ DS1430F/ "Delsa"/Türkiyə istehsalı</v>
      </c>
      <c r="E51" s="8" t="s">
        <v>958</v>
      </c>
      <c r="F51" s="4" t="s">
        <v>920</v>
      </c>
      <c r="G51" s="4">
        <v>1</v>
      </c>
      <c r="H51" s="4"/>
      <c r="I51" s="4">
        <f>Table4[[#This Row],[Malın miqdarı]]*Table4[[#This Row],[Vahidin qiyməti]]</f>
        <v>0</v>
      </c>
      <c r="J51" s="4" t="s">
        <v>899</v>
      </c>
      <c r="K51" s="4" t="s">
        <v>893</v>
      </c>
      <c r="L51" s="4">
        <f>_xlfn.XLOOKUP(Table4[[#This Row],[Kontragentin adı]],Table2[Kontragentin adı],Table2[Müqavilə nömrəsi],"Xəta",0)</f>
        <v>0</v>
      </c>
      <c r="M51" s="4">
        <f>_xlfn.XLOOKUP(Table4[[#This Row],[Kontragentin adı]],Table2[Kontragentin adı],Table2[Müqavilə nömrəsi],"Xəta",0)</f>
        <v>0</v>
      </c>
    </row>
    <row r="52" spans="2:13" x14ac:dyDescent="0.3">
      <c r="B52" s="4">
        <f t="shared" si="0"/>
        <v>49</v>
      </c>
      <c r="C52" s="5">
        <v>46174</v>
      </c>
      <c r="D52" s="10" t="str" cm="1">
        <f t="array" ref="D52">_xlfn.XLOOKUP(Table4[[#This Row],[Malın kodu]],Table1[[#All],[Malın kodu]],Table1[[#All],[Malın adı]],"xəta",0)</f>
        <v>Filtr/ yağ/ DS1068MG/ "Delsa"/Türkiyə istehsalı</v>
      </c>
      <c r="E52" s="8" t="s">
        <v>959</v>
      </c>
      <c r="F52" s="4" t="s">
        <v>920</v>
      </c>
      <c r="G52" s="4">
        <v>5</v>
      </c>
      <c r="H52" s="4"/>
      <c r="I52" s="4">
        <f>Table4[[#This Row],[Malın miqdarı]]*Table4[[#This Row],[Vahidin qiyməti]]</f>
        <v>0</v>
      </c>
      <c r="J52" s="4" t="s">
        <v>899</v>
      </c>
      <c r="K52" s="4" t="s">
        <v>893</v>
      </c>
      <c r="L52" s="4">
        <f>_xlfn.XLOOKUP(Table4[[#This Row],[Kontragentin adı]],Table2[Kontragentin adı],Table2[Müqavilə nömrəsi],"Xəta",0)</f>
        <v>0</v>
      </c>
      <c r="M52" s="4">
        <f>_xlfn.XLOOKUP(Table4[[#This Row],[Kontragentin adı]],Table2[Kontragentin adı],Table2[Müqavilə nömrəsi],"Xəta",0)</f>
        <v>0</v>
      </c>
    </row>
    <row r="53" spans="2:13" x14ac:dyDescent="0.3">
      <c r="B53" s="4">
        <f t="shared" si="0"/>
        <v>50</v>
      </c>
      <c r="C53" s="5">
        <v>46174</v>
      </c>
      <c r="D53" s="10" t="str" cm="1">
        <f t="array" ref="D53">_xlfn.XLOOKUP(Table4[[#This Row],[Malın kodu]],Table1[[#All],[Malın kodu]],Table1[[#All],[Malın adı]],"xəta",0)</f>
        <v>Filtr/ yağ/ CS1416/ "Sampion"/Türkiyə istehsalı</v>
      </c>
      <c r="E53" s="8" t="s">
        <v>960</v>
      </c>
      <c r="F53" s="4" t="s">
        <v>920</v>
      </c>
      <c r="G53" s="4">
        <v>1</v>
      </c>
      <c r="H53" s="4"/>
      <c r="I53" s="4">
        <f>Table4[[#This Row],[Malın miqdarı]]*Table4[[#This Row],[Vahidin qiyməti]]</f>
        <v>0</v>
      </c>
      <c r="J53" s="4" t="s">
        <v>899</v>
      </c>
      <c r="K53" s="4" t="s">
        <v>893</v>
      </c>
      <c r="L53" s="4">
        <f>_xlfn.XLOOKUP(Table4[[#This Row],[Kontragentin adı]],Table2[Kontragentin adı],Table2[Müqavilə nömrəsi],"Xəta",0)</f>
        <v>0</v>
      </c>
      <c r="M53" s="4">
        <f>_xlfn.XLOOKUP(Table4[[#This Row],[Kontragentin adı]],Table2[Kontragentin adı],Table2[Müqavilə nömrəsi],"Xəta",0)</f>
        <v>0</v>
      </c>
    </row>
    <row r="54" spans="2:13" x14ac:dyDescent="0.3">
      <c r="B54" s="4">
        <f t="shared" si="0"/>
        <v>51</v>
      </c>
      <c r="C54" s="5">
        <v>46174</v>
      </c>
      <c r="D54" s="10" t="str" cm="1">
        <f t="array" ref="D54">_xlfn.XLOOKUP(Table4[[#This Row],[Malın kodu]],Table1[[#All],[Malın kodu]],Table1[[#All],[Malın adı]],"xəta",0)</f>
        <v>Filtr/ yanacaq/ CS0169M/ "Sampion"/Türkiyə istehsalı</v>
      </c>
      <c r="E54" s="8" t="s">
        <v>961</v>
      </c>
      <c r="F54" s="4" t="s">
        <v>920</v>
      </c>
      <c r="G54" s="4">
        <v>1</v>
      </c>
      <c r="H54" s="4"/>
      <c r="I54" s="4">
        <f>Table4[[#This Row],[Malın miqdarı]]*Table4[[#This Row],[Vahidin qiyməti]]</f>
        <v>0</v>
      </c>
      <c r="J54" s="4" t="s">
        <v>899</v>
      </c>
      <c r="K54" s="4" t="s">
        <v>893</v>
      </c>
      <c r="L54" s="4">
        <f>_xlfn.XLOOKUP(Table4[[#This Row],[Kontragentin adı]],Table2[Kontragentin adı],Table2[Müqavilə nömrəsi],"Xəta",0)</f>
        <v>0</v>
      </c>
      <c r="M54" s="4">
        <f>_xlfn.XLOOKUP(Table4[[#This Row],[Kontragentin adı]],Table2[Kontragentin adı],Table2[Müqavilə nömrəsi],"Xəta",0)</f>
        <v>0</v>
      </c>
    </row>
    <row r="55" spans="2:13" x14ac:dyDescent="0.3">
      <c r="B55" s="4">
        <f t="shared" si="0"/>
        <v>52</v>
      </c>
      <c r="C55" s="5">
        <v>46174</v>
      </c>
      <c r="D55" s="10" t="str" cm="1">
        <f t="array" ref="D55">_xlfn.XLOOKUP(Table4[[#This Row],[Malın kodu]],Table1[[#All],[Malın kodu]],Table1[[#All],[Malın adı]],"xəta",0)</f>
        <v>Filtr/ yanacaq/ CS1439M/ "Sampion"/Türkiyə istehsalı</v>
      </c>
      <c r="E55" s="8" t="s">
        <v>962</v>
      </c>
      <c r="F55" s="4" t="s">
        <v>920</v>
      </c>
      <c r="G55" s="4">
        <v>3</v>
      </c>
      <c r="H55" s="4"/>
      <c r="I55" s="4">
        <f>Table4[[#This Row],[Malın miqdarı]]*Table4[[#This Row],[Vahidin qiyməti]]</f>
        <v>0</v>
      </c>
      <c r="J55" s="4" t="s">
        <v>899</v>
      </c>
      <c r="K55" s="4" t="s">
        <v>893</v>
      </c>
      <c r="L55" s="4">
        <f>_xlfn.XLOOKUP(Table4[[#This Row],[Kontragentin adı]],Table2[Kontragentin adı],Table2[Müqavilə nömrəsi],"Xəta",0)</f>
        <v>0</v>
      </c>
      <c r="M55" s="4">
        <f>_xlfn.XLOOKUP(Table4[[#This Row],[Kontragentin adı]],Table2[Kontragentin adı],Table2[Müqavilə nömrəsi],"Xəta",0)</f>
        <v>0</v>
      </c>
    </row>
    <row r="56" spans="2:13" x14ac:dyDescent="0.3">
      <c r="B56" s="4">
        <f t="shared" si="0"/>
        <v>53</v>
      </c>
      <c r="C56" s="5">
        <v>46174</v>
      </c>
      <c r="D56" s="10" t="str" cm="1">
        <f t="array" ref="D56">_xlfn.XLOOKUP(Table4[[#This Row],[Malın kodu]],Table1[[#All],[Malın kodu]],Table1[[#All],[Malın adı]],"xəta",0)</f>
        <v>Filtr/ yanacaq/ CS1589M/ "Sampion"/Türkiyə istehsalı</v>
      </c>
      <c r="E56" s="8" t="s">
        <v>963</v>
      </c>
      <c r="F56" s="4" t="s">
        <v>920</v>
      </c>
      <c r="G56" s="4">
        <v>3</v>
      </c>
      <c r="H56" s="4"/>
      <c r="I56" s="4">
        <f>Table4[[#This Row],[Malın miqdarı]]*Table4[[#This Row],[Vahidin qiyməti]]</f>
        <v>0</v>
      </c>
      <c r="J56" s="4" t="s">
        <v>899</v>
      </c>
      <c r="K56" s="4" t="s">
        <v>893</v>
      </c>
      <c r="L56" s="4">
        <f>_xlfn.XLOOKUP(Table4[[#This Row],[Kontragentin adı]],Table2[Kontragentin adı],Table2[Müqavilə nömrəsi],"Xəta",0)</f>
        <v>0</v>
      </c>
      <c r="M56" s="4">
        <f>_xlfn.XLOOKUP(Table4[[#This Row],[Kontragentin adı]],Table2[Kontragentin adı],Table2[Müqavilə nömrəsi],"Xəta",0)</f>
        <v>0</v>
      </c>
    </row>
    <row r="57" spans="2:13" x14ac:dyDescent="0.3">
      <c r="B57" s="4">
        <f t="shared" si="0"/>
        <v>54</v>
      </c>
      <c r="C57" s="5">
        <v>46174</v>
      </c>
      <c r="D57" s="10" t="str" cm="1">
        <f t="array" ref="D57">_xlfn.XLOOKUP(Table4[[#This Row],[Malın kodu]],Table1[[#All],[Malın kodu]],Table1[[#All],[Malın adı]],"xəta",0)</f>
        <v>Filtr/ yanacaq/ CE1366MEX L/ "Sampion"/Türkiyə istehsalı</v>
      </c>
      <c r="E57" s="8" t="s">
        <v>964</v>
      </c>
      <c r="F57" s="4" t="s">
        <v>920</v>
      </c>
      <c r="G57" s="4">
        <v>2</v>
      </c>
      <c r="H57" s="4"/>
      <c r="I57" s="4">
        <f>Table4[[#This Row],[Malın miqdarı]]*Table4[[#This Row],[Vahidin qiyməti]]</f>
        <v>0</v>
      </c>
      <c r="J57" s="4" t="s">
        <v>899</v>
      </c>
      <c r="K57" s="4" t="s">
        <v>893</v>
      </c>
      <c r="L57" s="4">
        <f>_xlfn.XLOOKUP(Table4[[#This Row],[Kontragentin adı]],Table2[Kontragentin adı],Table2[Müqavilə nömrəsi],"Xəta",0)</f>
        <v>0</v>
      </c>
      <c r="M57" s="4">
        <f>_xlfn.XLOOKUP(Table4[[#This Row],[Kontragentin adı]],Table2[Kontragentin adı],Table2[Müqavilə nömrəsi],"Xəta",0)</f>
        <v>0</v>
      </c>
    </row>
    <row r="58" spans="2:13" x14ac:dyDescent="0.3">
      <c r="B58" s="4">
        <f t="shared" si="0"/>
        <v>55</v>
      </c>
      <c r="C58" s="5">
        <v>46174</v>
      </c>
      <c r="D58" s="10" t="str" cm="1">
        <f t="array" ref="D58">_xlfn.XLOOKUP(Table4[[#This Row],[Malın kodu]],Table1[[#All],[Malın kodu]],Table1[[#All],[Malın adı]],"xəta",0)</f>
        <v>Filtr/ yanacaq/ CS1430MVL/ "Sampion"/Türkiyə istehsalı</v>
      </c>
      <c r="E58" s="8" t="s">
        <v>965</v>
      </c>
      <c r="F58" s="4" t="s">
        <v>920</v>
      </c>
      <c r="G58" s="4">
        <v>6</v>
      </c>
      <c r="H58" s="4"/>
      <c r="I58" s="4">
        <f>Table4[[#This Row],[Malın miqdarı]]*Table4[[#This Row],[Vahidin qiyməti]]</f>
        <v>0</v>
      </c>
      <c r="J58" s="4" t="s">
        <v>899</v>
      </c>
      <c r="K58" s="4" t="s">
        <v>893</v>
      </c>
      <c r="L58" s="4">
        <f>_xlfn.XLOOKUP(Table4[[#This Row],[Kontragentin adı]],Table2[Kontragentin adı],Table2[Müqavilə nömrəsi],"Xəta",0)</f>
        <v>0</v>
      </c>
      <c r="M58" s="4">
        <f>_xlfn.XLOOKUP(Table4[[#This Row],[Kontragentin adı]],Table2[Kontragentin adı],Table2[Müqavilə nömrəsi],"Xəta",0)</f>
        <v>0</v>
      </c>
    </row>
    <row r="59" spans="2:13" x14ac:dyDescent="0.3">
      <c r="B59" s="4">
        <f t="shared" si="0"/>
        <v>56</v>
      </c>
      <c r="C59" s="5">
        <v>46174</v>
      </c>
      <c r="D59" s="10" t="str" cm="1">
        <f t="array" ref="D59">_xlfn.XLOOKUP(Table4[[#This Row],[Malın kodu]],Table1[[#All],[Malın kodu]],Table1[[#All],[Malın adı]],"xəta",0)</f>
        <v>Filtr/ yağ/ CS1521/ "Sampion"/Türkiyə istehsalı</v>
      </c>
      <c r="E59" s="8" t="s">
        <v>966</v>
      </c>
      <c r="F59" s="4" t="s">
        <v>920</v>
      </c>
      <c r="G59" s="4">
        <v>2</v>
      </c>
      <c r="H59" s="4"/>
      <c r="I59" s="4">
        <f>Table4[[#This Row],[Malın miqdarı]]*Table4[[#This Row],[Vahidin qiyməti]]</f>
        <v>0</v>
      </c>
      <c r="J59" s="4" t="s">
        <v>899</v>
      </c>
      <c r="K59" s="4" t="s">
        <v>893</v>
      </c>
      <c r="L59" s="4">
        <f>_xlfn.XLOOKUP(Table4[[#This Row],[Kontragentin adı]],Table2[Kontragentin adı],Table2[Müqavilə nömrəsi],"Xəta",0)</f>
        <v>0</v>
      </c>
      <c r="M59" s="4">
        <f>_xlfn.XLOOKUP(Table4[[#This Row],[Kontragentin adı]],Table2[Kontragentin adı],Table2[Müqavilə nömrəsi],"Xəta",0)</f>
        <v>0</v>
      </c>
    </row>
    <row r="60" spans="2:13" x14ac:dyDescent="0.3">
      <c r="B60" s="4">
        <f t="shared" si="0"/>
        <v>57</v>
      </c>
      <c r="C60" s="5">
        <v>46174</v>
      </c>
      <c r="D60" s="10" t="str" cm="1">
        <f t="array" ref="D60">_xlfn.XLOOKUP(Table4[[#This Row],[Malın kodu]],Table1[[#All],[Malın kodu]],Table1[[#All],[Malın adı]],"xəta",0)</f>
        <v>Filtr/ yağ/ CS0038/ "Sampion"/Türkiyə istehsalı</v>
      </c>
      <c r="E60" s="8" t="s">
        <v>967</v>
      </c>
      <c r="F60" s="4" t="s">
        <v>920</v>
      </c>
      <c r="G60" s="4">
        <v>5</v>
      </c>
      <c r="H60" s="4"/>
      <c r="I60" s="4">
        <f>Table4[[#This Row],[Malın miqdarı]]*Table4[[#This Row],[Vahidin qiyməti]]</f>
        <v>0</v>
      </c>
      <c r="J60" s="4" t="s">
        <v>899</v>
      </c>
      <c r="K60" s="4" t="s">
        <v>893</v>
      </c>
      <c r="L60" s="4">
        <f>_xlfn.XLOOKUP(Table4[[#This Row],[Kontragentin adı]],Table2[Kontragentin adı],Table2[Müqavilə nömrəsi],"Xəta",0)</f>
        <v>0</v>
      </c>
      <c r="M60" s="4">
        <f>_xlfn.XLOOKUP(Table4[[#This Row],[Kontragentin adı]],Table2[Kontragentin adı],Table2[Müqavilə nömrəsi],"Xəta",0)</f>
        <v>0</v>
      </c>
    </row>
    <row r="61" spans="2:13" x14ac:dyDescent="0.3">
      <c r="B61" s="4">
        <f t="shared" si="0"/>
        <v>58</v>
      </c>
      <c r="C61" s="5">
        <v>46174</v>
      </c>
      <c r="D61" s="10" t="str" cm="1">
        <f t="array" ref="D61">_xlfn.XLOOKUP(Table4[[#This Row],[Malın kodu]],Table1[[#All],[Malın kodu]],Table1[[#All],[Malın adı]],"xəta",0)</f>
        <v>Filtr/ yağ/ CS1558/ "Sampion"/Türkiyə istehsalı</v>
      </c>
      <c r="E61" s="8" t="s">
        <v>968</v>
      </c>
      <c r="F61" s="4" t="s">
        <v>920</v>
      </c>
      <c r="G61" s="4">
        <v>1</v>
      </c>
      <c r="H61" s="4"/>
      <c r="I61" s="4">
        <f>Table4[[#This Row],[Malın miqdarı]]*Table4[[#This Row],[Vahidin qiyməti]]</f>
        <v>0</v>
      </c>
      <c r="J61" s="4" t="s">
        <v>899</v>
      </c>
      <c r="K61" s="4" t="s">
        <v>893</v>
      </c>
      <c r="L61" s="4">
        <f>_xlfn.XLOOKUP(Table4[[#This Row],[Kontragentin adı]],Table2[Kontragentin adı],Table2[Müqavilə nömrəsi],"Xəta",0)</f>
        <v>0</v>
      </c>
      <c r="M61" s="4">
        <f>_xlfn.XLOOKUP(Table4[[#This Row],[Kontragentin adı]],Table2[Kontragentin adı],Table2[Müqavilə nömrəsi],"Xəta",0)</f>
        <v>0</v>
      </c>
    </row>
    <row r="62" spans="2:13" x14ac:dyDescent="0.3">
      <c r="B62" s="4">
        <f t="shared" si="0"/>
        <v>59</v>
      </c>
      <c r="C62" s="5">
        <v>46174</v>
      </c>
      <c r="D62" s="10" t="str" cm="1">
        <f t="array" ref="D62">_xlfn.XLOOKUP(Table4[[#This Row],[Malın kodu]],Table1[[#All],[Malın kodu]],Table1[[#All],[Malın adı]],"xəta",0)</f>
        <v>Filtr/ yağ/ B7033/ "Baldwin"/ABŞ istehsalı</v>
      </c>
      <c r="E62" s="8" t="s">
        <v>969</v>
      </c>
      <c r="F62" s="4" t="s">
        <v>920</v>
      </c>
      <c r="G62" s="4">
        <v>3</v>
      </c>
      <c r="H62" s="4"/>
      <c r="I62" s="4">
        <f>Table4[[#This Row],[Malın miqdarı]]*Table4[[#This Row],[Vahidin qiyməti]]</f>
        <v>0</v>
      </c>
      <c r="J62" s="4" t="s">
        <v>899</v>
      </c>
      <c r="K62" s="4" t="s">
        <v>893</v>
      </c>
      <c r="L62" s="4">
        <f>_xlfn.XLOOKUP(Table4[[#This Row],[Kontragentin adı]],Table2[Kontragentin adı],Table2[Müqavilə nömrəsi],"Xəta",0)</f>
        <v>0</v>
      </c>
      <c r="M62" s="4">
        <f>_xlfn.XLOOKUP(Table4[[#This Row],[Kontragentin adı]],Table2[Kontragentin adı],Table2[Müqavilə nömrəsi],"Xəta",0)</f>
        <v>0</v>
      </c>
    </row>
    <row r="63" spans="2:13" x14ac:dyDescent="0.3">
      <c r="B63" s="4">
        <f t="shared" si="0"/>
        <v>60</v>
      </c>
      <c r="C63" s="5">
        <v>46174</v>
      </c>
      <c r="D63" s="10" t="str" cm="1">
        <f t="array" ref="D63">_xlfn.XLOOKUP(Table4[[#This Row],[Malın kodu]],Table1[[#All],[Malın kodu]],Table1[[#All],[Malın adı]],"xəta",0)</f>
        <v>Filtr/ yağ/ B7259/ "Baldwin"/ABŞ istehsalı</v>
      </c>
      <c r="E63" s="8" t="s">
        <v>970</v>
      </c>
      <c r="F63" s="4" t="s">
        <v>920</v>
      </c>
      <c r="G63" s="4">
        <v>2</v>
      </c>
      <c r="H63" s="4"/>
      <c r="I63" s="4">
        <f>Table4[[#This Row],[Malın miqdarı]]*Table4[[#This Row],[Vahidin qiyməti]]</f>
        <v>0</v>
      </c>
      <c r="J63" s="4" t="s">
        <v>899</v>
      </c>
      <c r="K63" s="4" t="s">
        <v>893</v>
      </c>
      <c r="L63" s="4">
        <f>_xlfn.XLOOKUP(Table4[[#This Row],[Kontragentin adı]],Table2[Kontragentin adı],Table2[Müqavilə nömrəsi],"Xəta",0)</f>
        <v>0</v>
      </c>
      <c r="M63" s="4">
        <f>_xlfn.XLOOKUP(Table4[[#This Row],[Kontragentin adı]],Table2[Kontragentin adı],Table2[Müqavilə nömrəsi],"Xəta",0)</f>
        <v>0</v>
      </c>
    </row>
    <row r="64" spans="2:13" x14ac:dyDescent="0.3">
      <c r="B64" s="4">
        <f t="shared" si="0"/>
        <v>61</v>
      </c>
      <c r="C64" s="5">
        <v>46174</v>
      </c>
      <c r="D64" s="10" t="str" cm="1">
        <f t="array" ref="D64">_xlfn.XLOOKUP(Table4[[#This Row],[Malın kodu]],Table1[[#All],[Malın kodu]],Table1[[#All],[Malın adı]],"xəta",0)</f>
        <v>Filtr/ yağ/ SP401/ "ASAS"/ Türkiyə istehsalı</v>
      </c>
      <c r="E64" s="8" t="s">
        <v>971</v>
      </c>
      <c r="F64" s="4" t="s">
        <v>920</v>
      </c>
      <c r="G64" s="4">
        <v>2</v>
      </c>
      <c r="H64" s="4"/>
      <c r="I64" s="4">
        <f>Table4[[#This Row],[Malın miqdarı]]*Table4[[#This Row],[Vahidin qiyməti]]</f>
        <v>0</v>
      </c>
      <c r="J64" s="4" t="s">
        <v>899</v>
      </c>
      <c r="K64" s="4" t="s">
        <v>893</v>
      </c>
      <c r="L64" s="4">
        <f>_xlfn.XLOOKUP(Table4[[#This Row],[Kontragentin adı]],Table2[Kontragentin adı],Table2[Müqavilə nömrəsi],"Xəta",0)</f>
        <v>0</v>
      </c>
      <c r="M64" s="4">
        <f>_xlfn.XLOOKUP(Table4[[#This Row],[Kontragentin adı]],Table2[Kontragentin adı],Table2[Müqavilə nömrəsi],"Xəta",0)</f>
        <v>0</v>
      </c>
    </row>
    <row r="65" spans="2:13" x14ac:dyDescent="0.3">
      <c r="B65" s="4">
        <f t="shared" si="0"/>
        <v>62</v>
      </c>
      <c r="C65" s="5">
        <v>46174</v>
      </c>
      <c r="D65" s="10" t="str" cm="1">
        <f t="array" ref="D65">_xlfn.XLOOKUP(Table4[[#This Row],[Malın kodu]],Table1[[#All],[Malın kodu]],Table1[[#All],[Malın adı]],"xəta",0)</f>
        <v>Filtr/ yanacaq/ F323045/ "Atom"/ Türkiyə istehsalı</v>
      </c>
      <c r="E65" s="8" t="s">
        <v>972</v>
      </c>
      <c r="F65" s="4" t="s">
        <v>920</v>
      </c>
      <c r="G65" s="4">
        <v>1</v>
      </c>
      <c r="H65" s="4"/>
      <c r="I65" s="4">
        <f>Table4[[#This Row],[Malın miqdarı]]*Table4[[#This Row],[Vahidin qiyməti]]</f>
        <v>0</v>
      </c>
      <c r="J65" s="4" t="s">
        <v>899</v>
      </c>
      <c r="K65" s="4" t="s">
        <v>893</v>
      </c>
      <c r="L65" s="4">
        <f>_xlfn.XLOOKUP(Table4[[#This Row],[Kontragentin adı]],Table2[Kontragentin adı],Table2[Müqavilə nömrəsi],"Xəta",0)</f>
        <v>0</v>
      </c>
      <c r="M65" s="4">
        <f>_xlfn.XLOOKUP(Table4[[#This Row],[Kontragentin adı]],Table2[Kontragentin adı],Table2[Müqavilə nömrəsi],"Xəta",0)</f>
        <v>0</v>
      </c>
    </row>
    <row r="66" spans="2:13" x14ac:dyDescent="0.3">
      <c r="B66" s="4">
        <f t="shared" si="0"/>
        <v>63</v>
      </c>
      <c r="C66" s="5">
        <v>46174</v>
      </c>
      <c r="D66" s="10" t="str" cm="1">
        <f t="array" ref="D66">_xlfn.XLOOKUP(Table4[[#This Row],[Malın kodu]],Table1[[#All],[Malın kodu]],Table1[[#All],[Malın adı]],"xəta",0)</f>
        <v>Filtr/ yanacaq/ F323072/ "Atom"/ Türkiyə istehsalı</v>
      </c>
      <c r="E66" s="8" t="s">
        <v>973</v>
      </c>
      <c r="F66" s="4" t="s">
        <v>920</v>
      </c>
      <c r="G66" s="4">
        <v>2</v>
      </c>
      <c r="H66" s="4"/>
      <c r="I66" s="4">
        <f>Table4[[#This Row],[Malın miqdarı]]*Table4[[#This Row],[Vahidin qiyməti]]</f>
        <v>0</v>
      </c>
      <c r="J66" s="4" t="s">
        <v>899</v>
      </c>
      <c r="K66" s="4" t="s">
        <v>893</v>
      </c>
      <c r="L66" s="4">
        <f>_xlfn.XLOOKUP(Table4[[#This Row],[Kontragentin adı]],Table2[Kontragentin adı],Table2[Müqavilə nömrəsi],"Xəta",0)</f>
        <v>0</v>
      </c>
      <c r="M66" s="4">
        <f>_xlfn.XLOOKUP(Table4[[#This Row],[Kontragentin adı]],Table2[Kontragentin adı],Table2[Müqavilə nömrəsi],"Xəta",0)</f>
        <v>0</v>
      </c>
    </row>
    <row r="67" spans="2:13" x14ac:dyDescent="0.3">
      <c r="B67" s="4">
        <f t="shared" si="0"/>
        <v>64</v>
      </c>
      <c r="C67" s="5">
        <v>46174</v>
      </c>
      <c r="D67" s="10" t="str" cm="1">
        <f t="array" ref="D67">_xlfn.XLOOKUP(Table4[[#This Row],[Malın kodu]],Table1[[#All],[Malın kodu]],Table1[[#All],[Malın adı]],"xəta",0)</f>
        <v>Filtr/ yağ/ ON1024C/ "ONFIL"/ Türkiyə istehsalı</v>
      </c>
      <c r="E67" s="8" t="s">
        <v>974</v>
      </c>
      <c r="F67" s="4" t="s">
        <v>920</v>
      </c>
      <c r="G67" s="4">
        <v>1</v>
      </c>
      <c r="H67" s="4"/>
      <c r="I67" s="4">
        <f>Table4[[#This Row],[Malın miqdarı]]*Table4[[#This Row],[Vahidin qiyməti]]</f>
        <v>0</v>
      </c>
      <c r="J67" s="4" t="s">
        <v>899</v>
      </c>
      <c r="K67" s="4" t="s">
        <v>893</v>
      </c>
      <c r="L67" s="4">
        <f>_xlfn.XLOOKUP(Table4[[#This Row],[Kontragentin adı]],Table2[Kontragentin adı],Table2[Müqavilə nömrəsi],"Xəta",0)</f>
        <v>0</v>
      </c>
      <c r="M67" s="4">
        <f>_xlfn.XLOOKUP(Table4[[#This Row],[Kontragentin adı]],Table2[Kontragentin adı],Table2[Müqavilə nömrəsi],"Xəta",0)</f>
        <v>0</v>
      </c>
    </row>
    <row r="68" spans="2:13" x14ac:dyDescent="0.3">
      <c r="B68" s="4">
        <f t="shared" ref="B68:B131" si="1">ROW()-3</f>
        <v>65</v>
      </c>
      <c r="C68" s="5">
        <v>46174</v>
      </c>
      <c r="D68" s="10" t="str" cm="1">
        <f t="array" ref="D68">_xlfn.XLOOKUP(Table4[[#This Row],[Malın kodu]],Table1[[#All],[Malın kodu]],Table1[[#All],[Malın adı]],"xəta",0)</f>
        <v>Filtr/ hidravlik/ H1129/ "Bavaria"/ Türkiyə istehsalı</v>
      </c>
      <c r="E68" s="8" t="s">
        <v>975</v>
      </c>
      <c r="F68" s="4" t="s">
        <v>920</v>
      </c>
      <c r="G68" s="4">
        <v>1</v>
      </c>
      <c r="H68" s="4"/>
      <c r="I68" s="4">
        <f>Table4[[#This Row],[Malın miqdarı]]*Table4[[#This Row],[Vahidin qiyməti]]</f>
        <v>0</v>
      </c>
      <c r="J68" s="4" t="s">
        <v>899</v>
      </c>
      <c r="K68" s="4" t="s">
        <v>893</v>
      </c>
      <c r="L68" s="4">
        <f>_xlfn.XLOOKUP(Table4[[#This Row],[Kontragentin adı]],Table2[Kontragentin adı],Table2[Müqavilə nömrəsi],"Xəta",0)</f>
        <v>0</v>
      </c>
      <c r="M68" s="4">
        <f>_xlfn.XLOOKUP(Table4[[#This Row],[Kontragentin adı]],Table2[Kontragentin adı],Table2[Müqavilə nömrəsi],"Xəta",0)</f>
        <v>0</v>
      </c>
    </row>
    <row r="69" spans="2:13" x14ac:dyDescent="0.3">
      <c r="B69" s="4">
        <f t="shared" si="1"/>
        <v>66</v>
      </c>
      <c r="C69" s="5">
        <v>46174</v>
      </c>
      <c r="D69" s="10" t="str" cm="1">
        <f t="array" ref="D69">_xlfn.XLOOKUP(Table4[[#This Row],[Malın kodu]],Table1[[#All],[Malın kodu]],Table1[[#All],[Malın adı]],"xəta",0)</f>
        <v>Filtr/ hidravlik/362-1163/ "CAT"/ ABŞ istehsalı</v>
      </c>
      <c r="E69" s="8" t="s">
        <v>976</v>
      </c>
      <c r="F69" s="4" t="s">
        <v>920</v>
      </c>
      <c r="G69" s="4">
        <v>2</v>
      </c>
      <c r="H69" s="4"/>
      <c r="I69" s="4">
        <f>Table4[[#This Row],[Malın miqdarı]]*Table4[[#This Row],[Vahidin qiyməti]]</f>
        <v>0</v>
      </c>
      <c r="J69" s="4" t="s">
        <v>899</v>
      </c>
      <c r="K69" s="4" t="s">
        <v>893</v>
      </c>
      <c r="L69" s="4">
        <f>_xlfn.XLOOKUP(Table4[[#This Row],[Kontragentin adı]],Table2[Kontragentin adı],Table2[Müqavilə nömrəsi],"Xəta",0)</f>
        <v>0</v>
      </c>
      <c r="M69" s="4">
        <f>_xlfn.XLOOKUP(Table4[[#This Row],[Kontragentin adı]],Table2[Kontragentin adı],Table2[Müqavilə nömrəsi],"Xəta",0)</f>
        <v>0</v>
      </c>
    </row>
    <row r="70" spans="2:13" x14ac:dyDescent="0.3">
      <c r="B70" s="4">
        <f t="shared" si="1"/>
        <v>67</v>
      </c>
      <c r="C70" s="5">
        <v>46174</v>
      </c>
      <c r="D70" s="10" t="str" cm="1">
        <f t="array" ref="D70">_xlfn.XLOOKUP(Table4[[#This Row],[Malın kodu]],Table1[[#All],[Malın kodu]],Table1[[#All],[Malın adı]],"xəta",0)</f>
        <v>Filtr/ hava/ 252-5002/ "CAT"/ ABŞ istehsalı</v>
      </c>
      <c r="E70" s="8" t="s">
        <v>977</v>
      </c>
      <c r="F70" s="4" t="s">
        <v>920</v>
      </c>
      <c r="G70" s="4">
        <v>1</v>
      </c>
      <c r="H70" s="4"/>
      <c r="I70" s="4">
        <f>Table4[[#This Row],[Malın miqdarı]]*Table4[[#This Row],[Vahidin qiyməti]]</f>
        <v>0</v>
      </c>
      <c r="J70" s="4" t="s">
        <v>899</v>
      </c>
      <c r="K70" s="4" t="s">
        <v>893</v>
      </c>
      <c r="L70" s="4">
        <f>_xlfn.XLOOKUP(Table4[[#This Row],[Kontragentin adı]],Table2[Kontragentin adı],Table2[Müqavilə nömrəsi],"Xəta",0)</f>
        <v>0</v>
      </c>
      <c r="M70" s="4">
        <f>_xlfn.XLOOKUP(Table4[[#This Row],[Kontragentin adı]],Table2[Kontragentin adı],Table2[Müqavilə nömrəsi],"Xəta",0)</f>
        <v>0</v>
      </c>
    </row>
    <row r="71" spans="2:13" x14ac:dyDescent="0.3">
      <c r="B71" s="4">
        <f t="shared" si="1"/>
        <v>68</v>
      </c>
      <c r="C71" s="5">
        <v>46174</v>
      </c>
      <c r="D71" s="10" t="str" cm="1">
        <f t="array" ref="D71">_xlfn.XLOOKUP(Table4[[#This Row],[Malın kodu]],Table1[[#All],[Malın kodu]],Table1[[#All],[Malın adı]],"xəta",0)</f>
        <v>Filtr/ hava/ C 15248/ SHF 500/ "TUC"/ Çin istehsalı</v>
      </c>
      <c r="E71" s="8" t="s">
        <v>978</v>
      </c>
      <c r="F71" s="4" t="s">
        <v>920</v>
      </c>
      <c r="G71" s="4">
        <v>1</v>
      </c>
      <c r="H71" s="4"/>
      <c r="I71" s="4">
        <f>Table4[[#This Row],[Malın miqdarı]]*Table4[[#This Row],[Vahidin qiyməti]]</f>
        <v>0</v>
      </c>
      <c r="J71" s="4" t="s">
        <v>899</v>
      </c>
      <c r="K71" s="4" t="s">
        <v>893</v>
      </c>
      <c r="L71" s="4">
        <f>_xlfn.XLOOKUP(Table4[[#This Row],[Kontragentin adı]],Table2[Kontragentin adı],Table2[Müqavilə nömrəsi],"Xəta",0)</f>
        <v>0</v>
      </c>
      <c r="M71" s="4">
        <f>_xlfn.XLOOKUP(Table4[[#This Row],[Kontragentin adı]],Table2[Kontragentin adı],Table2[Müqavilə nömrəsi],"Xəta",0)</f>
        <v>0</v>
      </c>
    </row>
    <row r="72" spans="2:13" x14ac:dyDescent="0.3">
      <c r="B72" s="4">
        <f t="shared" si="1"/>
        <v>69</v>
      </c>
      <c r="C72" s="5">
        <v>46174</v>
      </c>
      <c r="D72" s="10" t="str" cm="1">
        <f t="array" ref="D72">_xlfn.XLOOKUP(Table4[[#This Row],[Malın kodu]],Table1[[#All],[Malın kodu]],Table1[[#All],[Malın adı]],"xəta",0)</f>
        <v>Filtr/ hava/ HP 2527/ "FİL"/ Türkiyə istehsalı</v>
      </c>
      <c r="E72" s="8" t="s">
        <v>979</v>
      </c>
      <c r="F72" s="4" t="s">
        <v>920</v>
      </c>
      <c r="G72" s="4">
        <v>2</v>
      </c>
      <c r="H72" s="4"/>
      <c r="I72" s="4">
        <f>Table4[[#This Row],[Malın miqdarı]]*Table4[[#This Row],[Vahidin qiyməti]]</f>
        <v>0</v>
      </c>
      <c r="J72" s="4" t="s">
        <v>899</v>
      </c>
      <c r="K72" s="4" t="s">
        <v>893</v>
      </c>
      <c r="L72" s="4">
        <f>_xlfn.XLOOKUP(Table4[[#This Row],[Kontragentin adı]],Table2[Kontragentin adı],Table2[Müqavilə nömrəsi],"Xəta",0)</f>
        <v>0</v>
      </c>
      <c r="M72" s="4">
        <f>_xlfn.XLOOKUP(Table4[[#This Row],[Kontragentin adı]],Table2[Kontragentin adı],Table2[Müqavilə nömrəsi],"Xəta",0)</f>
        <v>0</v>
      </c>
    </row>
    <row r="73" spans="2:13" x14ac:dyDescent="0.3">
      <c r="B73" s="4">
        <f t="shared" si="1"/>
        <v>70</v>
      </c>
      <c r="C73" s="5">
        <v>46174</v>
      </c>
      <c r="D73" s="10" t="str" cm="1">
        <f t="array" ref="D73">_xlfn.XLOOKUP(Table4[[#This Row],[Malın kodu]],Table1[[#All],[Malın kodu]],Table1[[#All],[Malın adı]],"xəta",0)</f>
        <v>Filtr/ hava/ HP 2528/ "FİL"/ Türkiyə istehsalı</v>
      </c>
      <c r="E73" s="8" t="s">
        <v>980</v>
      </c>
      <c r="F73" s="4" t="s">
        <v>920</v>
      </c>
      <c r="G73" s="4">
        <v>2</v>
      </c>
      <c r="H73" s="4"/>
      <c r="I73" s="4">
        <f>Table4[[#This Row],[Malın miqdarı]]*Table4[[#This Row],[Vahidin qiyməti]]</f>
        <v>0</v>
      </c>
      <c r="J73" s="4" t="s">
        <v>899</v>
      </c>
      <c r="K73" s="4" t="s">
        <v>893</v>
      </c>
      <c r="L73" s="4">
        <f>_xlfn.XLOOKUP(Table4[[#This Row],[Kontragentin adı]],Table2[Kontragentin adı],Table2[Müqavilə nömrəsi],"Xəta",0)</f>
        <v>0</v>
      </c>
      <c r="M73" s="4">
        <f>_xlfn.XLOOKUP(Table4[[#This Row],[Kontragentin adı]],Table2[Kontragentin adı],Table2[Müqavilə nömrəsi],"Xəta",0)</f>
        <v>0</v>
      </c>
    </row>
    <row r="74" spans="2:13" x14ac:dyDescent="0.3">
      <c r="B74" s="4">
        <f t="shared" si="1"/>
        <v>71</v>
      </c>
      <c r="C74" s="5">
        <v>46174</v>
      </c>
      <c r="D74" s="10" t="str" cm="1">
        <f t="array" ref="D74">_xlfn.XLOOKUP(Table4[[#This Row],[Malın kodu]],Table1[[#All],[Malın kodu]],Table1[[#All],[Malın adı]],"xəta",0)</f>
        <v>Filtr/ hava/ P53-2474/ "Donaldson"/ İngiltərə istehsalı</v>
      </c>
      <c r="E74" s="8" t="s">
        <v>981</v>
      </c>
      <c r="F74" s="4" t="s">
        <v>920</v>
      </c>
      <c r="G74" s="4">
        <v>1</v>
      </c>
      <c r="H74" s="4"/>
      <c r="I74" s="4">
        <f>Table4[[#This Row],[Malın miqdarı]]*Table4[[#This Row],[Vahidin qiyməti]]</f>
        <v>0</v>
      </c>
      <c r="J74" s="4" t="s">
        <v>899</v>
      </c>
      <c r="K74" s="4" t="s">
        <v>893</v>
      </c>
      <c r="L74" s="4">
        <f>_xlfn.XLOOKUP(Table4[[#This Row],[Kontragentin adı]],Table2[Kontragentin adı],Table2[Müqavilə nömrəsi],"Xəta",0)</f>
        <v>0</v>
      </c>
      <c r="M74" s="4">
        <f>_xlfn.XLOOKUP(Table4[[#This Row],[Kontragentin adı]],Table2[Kontragentin adı],Table2[Müqavilə nömrəsi],"Xəta",0)</f>
        <v>0</v>
      </c>
    </row>
    <row r="75" spans="2:13" x14ac:dyDescent="0.3">
      <c r="B75" s="4">
        <f t="shared" si="1"/>
        <v>72</v>
      </c>
      <c r="C75" s="5">
        <v>46174</v>
      </c>
      <c r="D75" s="10" t="str" cm="1">
        <f t="array" ref="D75">_xlfn.XLOOKUP(Table4[[#This Row],[Malın kodu]],Table1[[#All],[Malın kodu]],Table1[[#All],[Malın adı]],"xəta",0)</f>
        <v>Filtr/ hava/ P53-2473/ "Donaldson"/ İngiltərə istehsalı</v>
      </c>
      <c r="E75" s="8" t="s">
        <v>982</v>
      </c>
      <c r="F75" s="4" t="s">
        <v>920</v>
      </c>
      <c r="G75" s="4">
        <v>1</v>
      </c>
      <c r="H75" s="4"/>
      <c r="I75" s="4">
        <f>Table4[[#This Row],[Malın miqdarı]]*Table4[[#This Row],[Vahidin qiyməti]]</f>
        <v>0</v>
      </c>
      <c r="J75" s="4" t="s">
        <v>899</v>
      </c>
      <c r="K75" s="4" t="s">
        <v>893</v>
      </c>
      <c r="L75" s="4">
        <f>_xlfn.XLOOKUP(Table4[[#This Row],[Kontragentin adı]],Table2[Kontragentin adı],Table2[Müqavilə nömrəsi],"Xəta",0)</f>
        <v>0</v>
      </c>
      <c r="M75" s="4">
        <f>_xlfn.XLOOKUP(Table4[[#This Row],[Kontragentin adı]],Table2[Kontragentin adı],Table2[Müqavilə nömrəsi],"Xəta",0)</f>
        <v>0</v>
      </c>
    </row>
    <row r="76" spans="2:13" x14ac:dyDescent="0.3">
      <c r="B76" s="4">
        <f t="shared" si="1"/>
        <v>73</v>
      </c>
      <c r="C76" s="5">
        <v>46174</v>
      </c>
      <c r="D76" s="10" t="str" cm="1">
        <f t="array" ref="D76">_xlfn.XLOOKUP(Table4[[#This Row],[Malın kodu]],Table1[[#All],[Malın kodu]],Table1[[#All],[Malın adı]],"xəta",0)</f>
        <v>Filtr/ hava/ 32/925682/ "JCB"/ Çexiya istehsalı</v>
      </c>
      <c r="E76" s="8" t="s">
        <v>983</v>
      </c>
      <c r="F76" s="4" t="s">
        <v>920</v>
      </c>
      <c r="G76" s="4">
        <v>1</v>
      </c>
      <c r="H76" s="4"/>
      <c r="I76" s="4">
        <f>Table4[[#This Row],[Malın miqdarı]]*Table4[[#This Row],[Vahidin qiyməti]]</f>
        <v>0</v>
      </c>
      <c r="J76" s="4" t="s">
        <v>899</v>
      </c>
      <c r="K76" s="4" t="s">
        <v>893</v>
      </c>
      <c r="L76" s="4">
        <f>_xlfn.XLOOKUP(Table4[[#This Row],[Kontragentin adı]],Table2[Kontragentin adı],Table2[Müqavilə nömrəsi],"Xəta",0)</f>
        <v>0</v>
      </c>
      <c r="M76" s="4">
        <f>_xlfn.XLOOKUP(Table4[[#This Row],[Kontragentin adı]],Table2[Kontragentin adı],Table2[Müqavilə nömrəsi],"Xəta",0)</f>
        <v>0</v>
      </c>
    </row>
    <row r="77" spans="2:13" x14ac:dyDescent="0.3">
      <c r="B77" s="4">
        <f t="shared" si="1"/>
        <v>74</v>
      </c>
      <c r="C77" s="5">
        <v>46174</v>
      </c>
      <c r="D77" s="10" t="str" cm="1">
        <f t="array" ref="D77">_xlfn.XLOOKUP(Table4[[#This Row],[Malın kodu]],Table1[[#All],[Malın kodu]],Table1[[#All],[Malın adı]],"xəta",0)</f>
        <v>Filtr/ hava/ SHF 5004/ 5005/ "Sure"/ ABŞ istehsalı</v>
      </c>
      <c r="E77" s="8" t="s">
        <v>984</v>
      </c>
      <c r="F77" s="4" t="s">
        <v>920</v>
      </c>
      <c r="G77" s="4">
        <v>1</v>
      </c>
      <c r="H77" s="4"/>
      <c r="I77" s="4">
        <f>Table4[[#This Row],[Malın miqdarı]]*Table4[[#This Row],[Vahidin qiyməti]]</f>
        <v>0</v>
      </c>
      <c r="J77" s="4" t="s">
        <v>899</v>
      </c>
      <c r="K77" s="4" t="s">
        <v>893</v>
      </c>
      <c r="L77" s="4">
        <f>_xlfn.XLOOKUP(Table4[[#This Row],[Kontragentin adı]],Table2[Kontragentin adı],Table2[Müqavilə nömrəsi],"Xəta",0)</f>
        <v>0</v>
      </c>
      <c r="M77" s="4">
        <f>_xlfn.XLOOKUP(Table4[[#This Row],[Kontragentin adı]],Table2[Kontragentin adı],Table2[Müqavilə nömrəsi],"Xəta",0)</f>
        <v>0</v>
      </c>
    </row>
    <row r="78" spans="2:13" x14ac:dyDescent="0.3">
      <c r="B78" s="4">
        <f t="shared" si="1"/>
        <v>75</v>
      </c>
      <c r="C78" s="5">
        <v>46174</v>
      </c>
      <c r="D78" s="10" t="str" cm="1">
        <f t="array" ref="D78">_xlfn.XLOOKUP(Table4[[#This Row],[Malın kodu]],Table1[[#All],[Malın kodu]],Table1[[#All],[Malın adı]],"xəta",0)</f>
        <v>Filtr/ hava/ L2579 P/ "GSP"/ Çin istehsalı</v>
      </c>
      <c r="E78" s="8" t="s">
        <v>985</v>
      </c>
      <c r="F78" s="4" t="s">
        <v>920</v>
      </c>
      <c r="G78" s="4">
        <v>2</v>
      </c>
      <c r="H78" s="4"/>
      <c r="I78" s="4">
        <f>Table4[[#This Row],[Malın miqdarı]]*Table4[[#This Row],[Vahidin qiyməti]]</f>
        <v>0</v>
      </c>
      <c r="J78" s="4" t="s">
        <v>899</v>
      </c>
      <c r="K78" s="4" t="s">
        <v>893</v>
      </c>
      <c r="L78" s="4">
        <f>_xlfn.XLOOKUP(Table4[[#This Row],[Kontragentin adı]],Table2[Kontragentin adı],Table2[Müqavilə nömrəsi],"Xəta",0)</f>
        <v>0</v>
      </c>
      <c r="M78" s="4">
        <f>_xlfn.XLOOKUP(Table4[[#This Row],[Kontragentin adı]],Table2[Kontragentin adı],Table2[Müqavilə nömrəsi],"Xəta",0)</f>
        <v>0</v>
      </c>
    </row>
    <row r="79" spans="2:13" x14ac:dyDescent="0.3">
      <c r="B79" s="4">
        <f t="shared" si="1"/>
        <v>76</v>
      </c>
      <c r="C79" s="5">
        <v>46174</v>
      </c>
      <c r="D79" s="10" t="str" cm="1">
        <f t="array" ref="D79">_xlfn.XLOOKUP(Table4[[#This Row],[Malın kodu]],Table1[[#All],[Malın kodu]],Table1[[#All],[Malın adı]],"xəta",0)</f>
        <v>Filtr/ hava/ F15190/ "Atom"/ Türkiyə istehsalı</v>
      </c>
      <c r="E79" s="8" t="s">
        <v>986</v>
      </c>
      <c r="F79" s="4" t="s">
        <v>920</v>
      </c>
      <c r="G79" s="4">
        <v>1</v>
      </c>
      <c r="H79" s="4"/>
      <c r="I79" s="4">
        <f>Table4[[#This Row],[Malın miqdarı]]*Table4[[#This Row],[Vahidin qiyməti]]</f>
        <v>0</v>
      </c>
      <c r="J79" s="4" t="s">
        <v>899</v>
      </c>
      <c r="K79" s="4" t="s">
        <v>893</v>
      </c>
      <c r="L79" s="4">
        <f>_xlfn.XLOOKUP(Table4[[#This Row],[Kontragentin adı]],Table2[Kontragentin adı],Table2[Müqavilə nömrəsi],"Xəta",0)</f>
        <v>0</v>
      </c>
      <c r="M79" s="4">
        <f>_xlfn.XLOOKUP(Table4[[#This Row],[Kontragentin adı]],Table2[Kontragentin adı],Table2[Müqavilə nömrəsi],"Xəta",0)</f>
        <v>0</v>
      </c>
    </row>
    <row r="80" spans="2:13" x14ac:dyDescent="0.3">
      <c r="B80" s="4">
        <f t="shared" si="1"/>
        <v>77</v>
      </c>
      <c r="C80" s="5">
        <v>46174</v>
      </c>
      <c r="D80" s="10" t="str" cm="1">
        <f t="array" ref="D80">_xlfn.XLOOKUP(Table4[[#This Row],[Malın kodu]],Table1[[#All],[Malın kodu]],Table1[[#All],[Malın adı]],"xəta",0)</f>
        <v>Filtr/ hava/ AF 1822/ "TUC"/ Çin istehsalı</v>
      </c>
      <c r="E80" s="8" t="s">
        <v>987</v>
      </c>
      <c r="F80" s="4" t="s">
        <v>920</v>
      </c>
      <c r="G80" s="4">
        <v>2</v>
      </c>
      <c r="H80" s="4"/>
      <c r="I80" s="4">
        <f>Table4[[#This Row],[Malın miqdarı]]*Table4[[#This Row],[Vahidin qiyməti]]</f>
        <v>0</v>
      </c>
      <c r="J80" s="4" t="s">
        <v>899</v>
      </c>
      <c r="K80" s="4" t="s">
        <v>893</v>
      </c>
      <c r="L80" s="4">
        <f>_xlfn.XLOOKUP(Table4[[#This Row],[Kontragentin adı]],Table2[Kontragentin adı],Table2[Müqavilə nömrəsi],"Xəta",0)</f>
        <v>0</v>
      </c>
      <c r="M80" s="4">
        <f>_xlfn.XLOOKUP(Table4[[#This Row],[Kontragentin adı]],Table2[Kontragentin adı],Table2[Müqavilə nömrəsi],"Xəta",0)</f>
        <v>0</v>
      </c>
    </row>
    <row r="81" spans="2:13" x14ac:dyDescent="0.3">
      <c r="B81" s="4">
        <f t="shared" si="1"/>
        <v>78</v>
      </c>
      <c r="C81" s="5">
        <v>46174</v>
      </c>
      <c r="D81" s="10" t="str" cm="1">
        <f t="array" ref="D81">_xlfn.XLOOKUP(Table4[[#This Row],[Malın kodu]],Table1[[#All],[Malın kodu]],Table1[[#All],[Malın adı]],"xəta",0)</f>
        <v>Filtr/ hava/ SHF 365/ "TUC"/ Çin istehsalı</v>
      </c>
      <c r="E81" s="8" t="s">
        <v>988</v>
      </c>
      <c r="F81" s="4" t="s">
        <v>920</v>
      </c>
      <c r="G81" s="4">
        <v>1</v>
      </c>
      <c r="H81" s="4"/>
      <c r="I81" s="4">
        <f>Table4[[#This Row],[Malın miqdarı]]*Table4[[#This Row],[Vahidin qiyməti]]</f>
        <v>0</v>
      </c>
      <c r="J81" s="4" t="s">
        <v>899</v>
      </c>
      <c r="K81" s="4" t="s">
        <v>893</v>
      </c>
      <c r="L81" s="4">
        <f>_xlfn.XLOOKUP(Table4[[#This Row],[Kontragentin adı]],Table2[Kontragentin adı],Table2[Müqavilə nömrəsi],"Xəta",0)</f>
        <v>0</v>
      </c>
      <c r="M81" s="4">
        <f>_xlfn.XLOOKUP(Table4[[#This Row],[Kontragentin adı]],Table2[Kontragentin adı],Table2[Müqavilə nömrəsi],"Xəta",0)</f>
        <v>0</v>
      </c>
    </row>
    <row r="82" spans="2:13" x14ac:dyDescent="0.3">
      <c r="B82" s="4">
        <f t="shared" si="1"/>
        <v>79</v>
      </c>
      <c r="C82" s="5">
        <v>46174</v>
      </c>
      <c r="D82" s="10" t="str" cm="1">
        <f t="array" ref="D82">_xlfn.XLOOKUP(Table4[[#This Row],[Malın kodu]],Table1[[#All],[Malın kodu]],Table1[[#All],[Malın adı]],"xəta",0)</f>
        <v>Filtr/ hava/ C13103/ "TUC"/ Çin istehsalı</v>
      </c>
      <c r="E82" s="8" t="s">
        <v>989</v>
      </c>
      <c r="F82" s="4" t="s">
        <v>920</v>
      </c>
      <c r="G82" s="4">
        <v>1</v>
      </c>
      <c r="H82" s="4"/>
      <c r="I82" s="4">
        <f>Table4[[#This Row],[Malın miqdarı]]*Table4[[#This Row],[Vahidin qiyməti]]</f>
        <v>0</v>
      </c>
      <c r="J82" s="4" t="s">
        <v>899</v>
      </c>
      <c r="K82" s="4" t="s">
        <v>893</v>
      </c>
      <c r="L82" s="4">
        <f>_xlfn.XLOOKUP(Table4[[#This Row],[Kontragentin adı]],Table2[Kontragentin adı],Table2[Müqavilə nömrəsi],"Xəta",0)</f>
        <v>0</v>
      </c>
      <c r="M82" s="4">
        <f>_xlfn.XLOOKUP(Table4[[#This Row],[Kontragentin adı]],Table2[Kontragentin adı],Table2[Müqavilə nömrəsi],"Xəta",0)</f>
        <v>0</v>
      </c>
    </row>
    <row r="83" spans="2:13" x14ac:dyDescent="0.3">
      <c r="B83" s="4">
        <f t="shared" si="1"/>
        <v>80</v>
      </c>
      <c r="C83" s="5">
        <v>46174</v>
      </c>
      <c r="D83" s="10" t="str" cm="1">
        <f t="array" ref="D83">_xlfn.XLOOKUP(Table4[[#This Row],[Malın kodu]],Table1[[#All],[Malın kodu]],Table1[[#All],[Malın adı]],"xəta",0)</f>
        <v>Filtr/ yanacaq/ 6754-71-6140/ "Komatsu"/ Yaponiya istehsalı</v>
      </c>
      <c r="E83" s="8" t="s">
        <v>990</v>
      </c>
      <c r="F83" s="4" t="s">
        <v>920</v>
      </c>
      <c r="G83" s="4">
        <v>1</v>
      </c>
      <c r="H83" s="4"/>
      <c r="I83" s="4">
        <f>Table4[[#This Row],[Malın miqdarı]]*Table4[[#This Row],[Vahidin qiyməti]]</f>
        <v>0</v>
      </c>
      <c r="J83" s="4" t="s">
        <v>899</v>
      </c>
      <c r="K83" s="4" t="s">
        <v>893</v>
      </c>
      <c r="L83" s="4">
        <f>_xlfn.XLOOKUP(Table4[[#This Row],[Kontragentin adı]],Table2[Kontragentin adı],Table2[Müqavilə nömrəsi],"Xəta",0)</f>
        <v>0</v>
      </c>
      <c r="M83" s="4">
        <f>_xlfn.XLOOKUP(Table4[[#This Row],[Kontragentin adı]],Table2[Kontragentin adı],Table2[Müqavilə nömrəsi],"Xəta",0)</f>
        <v>0</v>
      </c>
    </row>
    <row r="84" spans="2:13" x14ac:dyDescent="0.3">
      <c r="B84" s="4">
        <f t="shared" si="1"/>
        <v>81</v>
      </c>
      <c r="C84" s="5">
        <v>46174</v>
      </c>
      <c r="D84" s="10" t="str" cm="1">
        <f t="array" ref="D84">_xlfn.XLOOKUP(Table4[[#This Row],[Malın kodu]],Table1[[#All],[Malın kodu]],Table1[[#All],[Malın adı]],"xəta",0)</f>
        <v>Filtr/ yanacaq/ FC-1003/ "Sakura"/ İndoneziya istehsalı</v>
      </c>
      <c r="E84" s="8" t="s">
        <v>991</v>
      </c>
      <c r="F84" s="4" t="s">
        <v>920</v>
      </c>
      <c r="G84" s="4">
        <v>4</v>
      </c>
      <c r="H84" s="4"/>
      <c r="I84" s="4">
        <f>Table4[[#This Row],[Malın miqdarı]]*Table4[[#This Row],[Vahidin qiyməti]]</f>
        <v>0</v>
      </c>
      <c r="J84" s="4" t="s">
        <v>899</v>
      </c>
      <c r="K84" s="4" t="s">
        <v>893</v>
      </c>
      <c r="L84" s="4">
        <f>_xlfn.XLOOKUP(Table4[[#This Row],[Kontragentin adı]],Table2[Kontragentin adı],Table2[Müqavilə nömrəsi],"Xəta",0)</f>
        <v>0</v>
      </c>
      <c r="M84" s="4">
        <f>_xlfn.XLOOKUP(Table4[[#This Row],[Kontragentin adı]],Table2[Kontragentin adı],Table2[Müqavilə nömrəsi],"Xəta",0)</f>
        <v>0</v>
      </c>
    </row>
    <row r="85" spans="2:13" x14ac:dyDescent="0.3">
      <c r="B85" s="4">
        <f t="shared" si="1"/>
        <v>82</v>
      </c>
      <c r="C85" s="5">
        <v>46174</v>
      </c>
      <c r="D85" s="10" t="str" cm="1">
        <f t="array" ref="D85">_xlfn.XLOOKUP(Table4[[#This Row],[Malın kodu]],Table1[[#All],[Malın kodu]],Table1[[#All],[Malın adı]],"xəta",0)</f>
        <v>Filtr/ yağ/ P554403/ "Donaldson"/ Meksika istehsalı</v>
      </c>
      <c r="E85" s="8" t="s">
        <v>992</v>
      </c>
      <c r="F85" s="4" t="s">
        <v>920</v>
      </c>
      <c r="G85" s="4">
        <v>5</v>
      </c>
      <c r="H85" s="4"/>
      <c r="I85" s="4">
        <f>Table4[[#This Row],[Malın miqdarı]]*Table4[[#This Row],[Vahidin qiyməti]]</f>
        <v>0</v>
      </c>
      <c r="J85" s="4" t="s">
        <v>899</v>
      </c>
      <c r="K85" s="4" t="s">
        <v>893</v>
      </c>
      <c r="L85" s="4">
        <f>_xlfn.XLOOKUP(Table4[[#This Row],[Kontragentin adı]],Table2[Kontragentin adı],Table2[Müqavilə nömrəsi],"Xəta",0)</f>
        <v>0</v>
      </c>
      <c r="M85" s="4">
        <f>_xlfn.XLOOKUP(Table4[[#This Row],[Kontragentin adı]],Table2[Kontragentin adı],Table2[Müqavilə nömrəsi],"Xəta",0)</f>
        <v>0</v>
      </c>
    </row>
    <row r="86" spans="2:13" x14ac:dyDescent="0.3">
      <c r="B86" s="4">
        <f t="shared" si="1"/>
        <v>83</v>
      </c>
      <c r="C86" s="5">
        <v>46174</v>
      </c>
      <c r="D86" s="10" t="str" cm="1">
        <f t="array" ref="D86">_xlfn.XLOOKUP(Table4[[#This Row],[Malın kodu]],Table1[[#All],[Malın kodu]],Table1[[#All],[Malın adı]],"xəta",0)</f>
        <v>Filtr/ yağ/ SP450/ "Asas"/ Türkiyə istehsalı</v>
      </c>
      <c r="E86" s="8" t="s">
        <v>993</v>
      </c>
      <c r="F86" s="4" t="s">
        <v>920</v>
      </c>
      <c r="G86" s="4">
        <v>3</v>
      </c>
      <c r="H86" s="4"/>
      <c r="I86" s="4">
        <f>Table4[[#This Row],[Malın miqdarı]]*Table4[[#This Row],[Vahidin qiyməti]]</f>
        <v>0</v>
      </c>
      <c r="J86" s="4" t="s">
        <v>899</v>
      </c>
      <c r="K86" s="4" t="s">
        <v>893</v>
      </c>
      <c r="L86" s="4">
        <f>_xlfn.XLOOKUP(Table4[[#This Row],[Kontragentin adı]],Table2[Kontragentin adı],Table2[Müqavilə nömrəsi],"Xəta",0)</f>
        <v>0</v>
      </c>
      <c r="M86" s="4">
        <f>_xlfn.XLOOKUP(Table4[[#This Row],[Kontragentin adı]],Table2[Kontragentin adı],Table2[Müqavilə nömrəsi],"Xəta",0)</f>
        <v>0</v>
      </c>
    </row>
    <row r="87" spans="2:13" x14ac:dyDescent="0.3">
      <c r="B87" s="4">
        <f t="shared" si="1"/>
        <v>84</v>
      </c>
      <c r="C87" s="5">
        <v>46174</v>
      </c>
      <c r="D87" s="10" t="str" cm="1">
        <f t="array" ref="D87">_xlfn.XLOOKUP(Table4[[#This Row],[Malın kodu]],Table1[[#All],[Malın kodu]],Table1[[#All],[Malın adı]],"xəta",0)</f>
        <v>Filtr/ hidravlik/ P550148/ "Donaldson"/ İtaliya istehsalı</v>
      </c>
      <c r="E87" s="8" t="s">
        <v>994</v>
      </c>
      <c r="F87" s="4" t="s">
        <v>920</v>
      </c>
      <c r="G87" s="4">
        <v>1</v>
      </c>
      <c r="H87" s="4"/>
      <c r="I87" s="4">
        <f>Table4[[#This Row],[Malın miqdarı]]*Table4[[#This Row],[Vahidin qiyməti]]</f>
        <v>0</v>
      </c>
      <c r="J87" s="4" t="s">
        <v>899</v>
      </c>
      <c r="K87" s="4" t="s">
        <v>893</v>
      </c>
      <c r="L87" s="4">
        <f>_xlfn.XLOOKUP(Table4[[#This Row],[Kontragentin adı]],Table2[Kontragentin adı],Table2[Müqavilə nömrəsi],"Xəta",0)</f>
        <v>0</v>
      </c>
      <c r="M87" s="4">
        <f>_xlfn.XLOOKUP(Table4[[#This Row],[Kontragentin adı]],Table2[Kontragentin adı],Table2[Müqavilə nömrəsi],"Xəta",0)</f>
        <v>0</v>
      </c>
    </row>
    <row r="88" spans="2:13" x14ac:dyDescent="0.3">
      <c r="B88" s="4">
        <f t="shared" si="1"/>
        <v>85</v>
      </c>
      <c r="C88" s="5">
        <v>46174</v>
      </c>
      <c r="D88" s="10" t="str" cm="1">
        <f t="array" ref="D88">_xlfn.XLOOKUP(Table4[[#This Row],[Malın kodu]],Table1[[#All],[Malın kodu]],Table1[[#All],[Malın adı]],"xəta",0)</f>
        <v>Filtr/ yanacaq/ P551315/ "Donaldson"/ ABŞ istehsalı</v>
      </c>
      <c r="E88" s="8" t="s">
        <v>995</v>
      </c>
      <c r="F88" s="4" t="s">
        <v>920</v>
      </c>
      <c r="G88" s="4">
        <v>1</v>
      </c>
      <c r="H88" s="4"/>
      <c r="I88" s="4">
        <f>Table4[[#This Row],[Malın miqdarı]]*Table4[[#This Row],[Vahidin qiyməti]]</f>
        <v>0</v>
      </c>
      <c r="J88" s="4" t="s">
        <v>899</v>
      </c>
      <c r="K88" s="4" t="s">
        <v>893</v>
      </c>
      <c r="L88" s="4">
        <f>_xlfn.XLOOKUP(Table4[[#This Row],[Kontragentin adı]],Table2[Kontragentin adı],Table2[Müqavilə nömrəsi],"Xəta",0)</f>
        <v>0</v>
      </c>
      <c r="M88" s="4">
        <f>_xlfn.XLOOKUP(Table4[[#This Row],[Kontragentin adı]],Table2[Kontragentin adı],Table2[Müqavilə nömrəsi],"Xəta",0)</f>
        <v>0</v>
      </c>
    </row>
    <row r="89" spans="2:13" x14ac:dyDescent="0.3">
      <c r="B89" s="4">
        <f t="shared" si="1"/>
        <v>86</v>
      </c>
      <c r="C89" s="5">
        <v>46174</v>
      </c>
      <c r="D89" s="10" t="str" cm="1">
        <f t="array" ref="D89">_xlfn.XLOOKUP(Table4[[#This Row],[Malın kodu]],Table1[[#All],[Malın kodu]],Table1[[#All],[Malın adı]],"xəta",0)</f>
        <v>Filtr/ yağ/ P550008/ "Donaldson"/ ABŞ istehsalı</v>
      </c>
      <c r="E89" s="8" t="s">
        <v>996</v>
      </c>
      <c r="F89" s="4" t="s">
        <v>920</v>
      </c>
      <c r="G89" s="4">
        <v>1</v>
      </c>
      <c r="H89" s="4"/>
      <c r="I89" s="4">
        <f>Table4[[#This Row],[Malın miqdarı]]*Table4[[#This Row],[Vahidin qiyməti]]</f>
        <v>0</v>
      </c>
      <c r="J89" s="4" t="s">
        <v>899</v>
      </c>
      <c r="K89" s="4" t="s">
        <v>893</v>
      </c>
      <c r="L89" s="4">
        <f>_xlfn.XLOOKUP(Table4[[#This Row],[Kontragentin adı]],Table2[Kontragentin adı],Table2[Müqavilə nömrəsi],"Xəta",0)</f>
        <v>0</v>
      </c>
      <c r="M89" s="4">
        <f>_xlfn.XLOOKUP(Table4[[#This Row],[Kontragentin adı]],Table2[Kontragentin adı],Table2[Müqavilə nömrəsi],"Xəta",0)</f>
        <v>0</v>
      </c>
    </row>
    <row r="90" spans="2:13" x14ac:dyDescent="0.3">
      <c r="B90" s="4">
        <f t="shared" si="1"/>
        <v>87</v>
      </c>
      <c r="C90" s="5">
        <v>46174</v>
      </c>
      <c r="D90" s="10" t="str" cm="1">
        <f t="array" ref="D90">_xlfn.XLOOKUP(Table4[[#This Row],[Malın kodu]],Table1[[#All],[Malın kodu]],Table1[[#All],[Malın adı]],"xəta",0)</f>
        <v>Filtr/ yağ/ ZP 3375 MG/ "Fil"/ Türkiyə istehsalı</v>
      </c>
      <c r="E90" s="8" t="s">
        <v>997</v>
      </c>
      <c r="F90" s="4" t="s">
        <v>920</v>
      </c>
      <c r="G90" s="4">
        <v>1</v>
      </c>
      <c r="H90" s="4"/>
      <c r="I90" s="4">
        <f>Table4[[#This Row],[Malın miqdarı]]*Table4[[#This Row],[Vahidin qiyməti]]</f>
        <v>0</v>
      </c>
      <c r="J90" s="4" t="s">
        <v>899</v>
      </c>
      <c r="K90" s="4" t="s">
        <v>893</v>
      </c>
      <c r="L90" s="4">
        <f>_xlfn.XLOOKUP(Table4[[#This Row],[Kontragentin adı]],Table2[Kontragentin adı],Table2[Müqavilə nömrəsi],"Xəta",0)</f>
        <v>0</v>
      </c>
      <c r="M90" s="4">
        <f>_xlfn.XLOOKUP(Table4[[#This Row],[Kontragentin adı]],Table2[Kontragentin adı],Table2[Müqavilə nömrəsi],"Xəta",0)</f>
        <v>0</v>
      </c>
    </row>
    <row r="91" spans="2:13" x14ac:dyDescent="0.3">
      <c r="B91" s="4">
        <f t="shared" si="1"/>
        <v>88</v>
      </c>
      <c r="C91" s="5">
        <v>46174</v>
      </c>
      <c r="D91" s="10" t="str" cm="1">
        <f t="array" ref="D91">_xlfn.XLOOKUP(Table4[[#This Row],[Malın kodu]],Table1[[#All],[Malın kodu]],Table1[[#All],[Malın adı]],"xəta",0)</f>
        <v>Filtr/ yağ/ DS 1169/ "Delsa"/ Türkiyə istehsalı</v>
      </c>
      <c r="E91" s="8" t="s">
        <v>998</v>
      </c>
      <c r="F91" s="4" t="s">
        <v>920</v>
      </c>
      <c r="G91" s="4">
        <v>1</v>
      </c>
      <c r="H91" s="4"/>
      <c r="I91" s="4">
        <f>Table4[[#This Row],[Malın miqdarı]]*Table4[[#This Row],[Vahidin qiyməti]]</f>
        <v>0</v>
      </c>
      <c r="J91" s="4" t="s">
        <v>899</v>
      </c>
      <c r="K91" s="4" t="s">
        <v>893</v>
      </c>
      <c r="L91" s="4">
        <f>_xlfn.XLOOKUP(Table4[[#This Row],[Kontragentin adı]],Table2[Kontragentin adı],Table2[Müqavilə nömrəsi],"Xəta",0)</f>
        <v>0</v>
      </c>
      <c r="M91" s="4">
        <f>_xlfn.XLOOKUP(Table4[[#This Row],[Kontragentin adı]],Table2[Kontragentin adı],Table2[Müqavilə nömrəsi],"Xəta",0)</f>
        <v>0</v>
      </c>
    </row>
    <row r="92" spans="2:13" x14ac:dyDescent="0.3">
      <c r="B92" s="4">
        <f t="shared" si="1"/>
        <v>89</v>
      </c>
      <c r="C92" s="5">
        <v>46174</v>
      </c>
      <c r="D92" s="10" t="str" cm="1">
        <f t="array" ref="D92">_xlfn.XLOOKUP(Table4[[#This Row],[Malın kodu]],Table1[[#All],[Malın kodu]],Table1[[#All],[Malın adı]],"xəta",0)</f>
        <v>Filtr/ yağ/ BT 8417/ "Baldwin"/ ABŞ istehsalı</v>
      </c>
      <c r="E92" s="8" t="s">
        <v>999</v>
      </c>
      <c r="F92" s="4" t="s">
        <v>920</v>
      </c>
      <c r="G92" s="4">
        <v>1</v>
      </c>
      <c r="H92" s="4"/>
      <c r="I92" s="4">
        <f>Table4[[#This Row],[Malın miqdarı]]*Table4[[#This Row],[Vahidin qiyməti]]</f>
        <v>0</v>
      </c>
      <c r="J92" s="4" t="s">
        <v>899</v>
      </c>
      <c r="K92" s="4" t="s">
        <v>893</v>
      </c>
      <c r="L92" s="4">
        <f>_xlfn.XLOOKUP(Table4[[#This Row],[Kontragentin adı]],Table2[Kontragentin adı],Table2[Müqavilə nömrəsi],"Xəta",0)</f>
        <v>0</v>
      </c>
      <c r="M92" s="4">
        <f>_xlfn.XLOOKUP(Table4[[#This Row],[Kontragentin adı]],Table2[Kontragentin adı],Table2[Müqavilə nömrəsi],"Xəta",0)</f>
        <v>0</v>
      </c>
    </row>
    <row r="93" spans="2:13" x14ac:dyDescent="0.3">
      <c r="B93" s="4">
        <f t="shared" si="1"/>
        <v>90</v>
      </c>
      <c r="C93" s="5">
        <v>46174</v>
      </c>
      <c r="D93" s="10" t="str" cm="1">
        <f t="array" ref="D93">_xlfn.XLOOKUP(Table4[[#This Row],[Malın kodu]],Table1[[#All],[Malın kodu]],Table1[[#All],[Malın adı]],"xəta",0)</f>
        <v>Filtr/ hidravlik/ HF 6359/ "Fleetguard"/ ABŞ istehsalı</v>
      </c>
      <c r="E93" s="8" t="s">
        <v>1000</v>
      </c>
      <c r="F93" s="4" t="s">
        <v>920</v>
      </c>
      <c r="G93" s="4">
        <v>1</v>
      </c>
      <c r="H93" s="4"/>
      <c r="I93" s="4">
        <f>Table4[[#This Row],[Malın miqdarı]]*Table4[[#This Row],[Vahidin qiyməti]]</f>
        <v>0</v>
      </c>
      <c r="J93" s="4" t="s">
        <v>899</v>
      </c>
      <c r="K93" s="4" t="s">
        <v>893</v>
      </c>
      <c r="L93" s="4">
        <f>_xlfn.XLOOKUP(Table4[[#This Row],[Kontragentin adı]],Table2[Kontragentin adı],Table2[Müqavilə nömrəsi],"Xəta",0)</f>
        <v>0</v>
      </c>
      <c r="M93" s="4">
        <f>_xlfn.XLOOKUP(Table4[[#This Row],[Kontragentin adı]],Table2[Kontragentin adı],Table2[Müqavilə nömrəsi],"Xəta",0)</f>
        <v>0</v>
      </c>
    </row>
    <row r="94" spans="2:13" x14ac:dyDescent="0.3">
      <c r="B94" s="4">
        <f t="shared" si="1"/>
        <v>91</v>
      </c>
      <c r="C94" s="5">
        <v>46174</v>
      </c>
      <c r="D94" s="10" t="str" cm="1">
        <f t="array" ref="D94">_xlfn.XLOOKUP(Table4[[#This Row],[Malın kodu]],Table1[[#All],[Malın kodu]],Table1[[#All],[Malın adı]],"xəta",0)</f>
        <v>Filtr/ hidravlik/ HF 35018/ "Fleetguard"/ ABŞ istehsalı</v>
      </c>
      <c r="E94" s="8" t="s">
        <v>1001</v>
      </c>
      <c r="F94" s="4" t="s">
        <v>920</v>
      </c>
      <c r="G94" s="4">
        <v>1</v>
      </c>
      <c r="H94" s="4"/>
      <c r="I94" s="4">
        <f>Table4[[#This Row],[Malın miqdarı]]*Table4[[#This Row],[Vahidin qiyməti]]</f>
        <v>0</v>
      </c>
      <c r="J94" s="4" t="s">
        <v>899</v>
      </c>
      <c r="K94" s="4" t="s">
        <v>893</v>
      </c>
      <c r="L94" s="4">
        <f>_xlfn.XLOOKUP(Table4[[#This Row],[Kontragentin adı]],Table2[Kontragentin adı],Table2[Müqavilə nömrəsi],"Xəta",0)</f>
        <v>0</v>
      </c>
      <c r="M94" s="4">
        <f>_xlfn.XLOOKUP(Table4[[#This Row],[Kontragentin adı]],Table2[Kontragentin adı],Table2[Müqavilə nömrəsi],"Xəta",0)</f>
        <v>0</v>
      </c>
    </row>
    <row r="95" spans="2:13" x14ac:dyDescent="0.3">
      <c r="B95" s="4">
        <f t="shared" si="1"/>
        <v>92</v>
      </c>
      <c r="C95" s="5">
        <v>46174</v>
      </c>
      <c r="D95" s="10" t="str" cm="1">
        <f t="array" ref="D95">_xlfn.XLOOKUP(Table4[[#This Row],[Malın kodu]],Table1[[#All],[Malın kodu]],Table1[[#All],[Malın adı]],"xəta",0)</f>
        <v>Filtr/ su separatoru/ FS 1240/ "Fleetguard"/ Meksika istehsalı</v>
      </c>
      <c r="E95" s="8" t="s">
        <v>1002</v>
      </c>
      <c r="F95" s="4" t="s">
        <v>920</v>
      </c>
      <c r="G95" s="4">
        <v>2</v>
      </c>
      <c r="H95" s="4"/>
      <c r="I95" s="4">
        <f>Table4[[#This Row],[Malın miqdarı]]*Table4[[#This Row],[Vahidin qiyməti]]</f>
        <v>0</v>
      </c>
      <c r="J95" s="4" t="s">
        <v>899</v>
      </c>
      <c r="K95" s="4" t="s">
        <v>893</v>
      </c>
      <c r="L95" s="4">
        <f>_xlfn.XLOOKUP(Table4[[#This Row],[Kontragentin adı]],Table2[Kontragentin adı],Table2[Müqavilə nömrəsi],"Xəta",0)</f>
        <v>0</v>
      </c>
      <c r="M95" s="4">
        <f>_xlfn.XLOOKUP(Table4[[#This Row],[Kontragentin adı]],Table2[Kontragentin adı],Table2[Müqavilə nömrəsi],"Xəta",0)</f>
        <v>0</v>
      </c>
    </row>
    <row r="96" spans="2:13" x14ac:dyDescent="0.3">
      <c r="B96" s="4">
        <f t="shared" si="1"/>
        <v>93</v>
      </c>
      <c r="C96" s="5">
        <v>46174</v>
      </c>
      <c r="D96" s="10" t="str" cm="1">
        <f t="array" ref="D96">_xlfn.XLOOKUP(Table4[[#This Row],[Malın kodu]],Table1[[#All],[Malın kodu]],Table1[[#All],[Malın adı]],"xəta",0)</f>
        <v>Filtr/ yanacaq/ FF167/ "Fleetguard"/ Türkiyə istehsalı</v>
      </c>
      <c r="E96" s="8" t="s">
        <v>1003</v>
      </c>
      <c r="F96" s="4" t="s">
        <v>920</v>
      </c>
      <c r="G96" s="4">
        <v>3</v>
      </c>
      <c r="H96" s="4"/>
      <c r="I96" s="4">
        <f>Table4[[#This Row],[Malın miqdarı]]*Table4[[#This Row],[Vahidin qiyməti]]</f>
        <v>0</v>
      </c>
      <c r="J96" s="4" t="s">
        <v>899</v>
      </c>
      <c r="K96" s="4" t="s">
        <v>893</v>
      </c>
      <c r="L96" s="4">
        <f>_xlfn.XLOOKUP(Table4[[#This Row],[Kontragentin adı]],Table2[Kontragentin adı],Table2[Müqavilə nömrəsi],"Xəta",0)</f>
        <v>0</v>
      </c>
      <c r="M96" s="4">
        <f>_xlfn.XLOOKUP(Table4[[#This Row],[Kontragentin adı]],Table2[Kontragentin adı],Table2[Müqavilə nömrəsi],"Xəta",0)</f>
        <v>0</v>
      </c>
    </row>
    <row r="97" spans="2:13" x14ac:dyDescent="0.3">
      <c r="B97" s="4">
        <f t="shared" si="1"/>
        <v>94</v>
      </c>
      <c r="C97" s="5">
        <v>46174</v>
      </c>
      <c r="D97" s="10" t="str" cm="1">
        <f t="array" ref="D97">_xlfn.XLOOKUP(Table4[[#This Row],[Malın kodu]],Table1[[#All],[Malın kodu]],Table1[[#All],[Malın adı]],"xəta",0)</f>
        <v>Filtr/ yanacaq/ FF5089/ "Fleetguard"/ ABŞ istehsalı</v>
      </c>
      <c r="E97" s="8" t="s">
        <v>1004</v>
      </c>
      <c r="F97" s="4" t="s">
        <v>920</v>
      </c>
      <c r="G97" s="4">
        <v>1</v>
      </c>
      <c r="H97" s="4"/>
      <c r="I97" s="4">
        <f>Table4[[#This Row],[Malın miqdarı]]*Table4[[#This Row],[Vahidin qiyməti]]</f>
        <v>0</v>
      </c>
      <c r="J97" s="4" t="s">
        <v>899</v>
      </c>
      <c r="K97" s="4" t="s">
        <v>893</v>
      </c>
      <c r="L97" s="4">
        <f>_xlfn.XLOOKUP(Table4[[#This Row],[Kontragentin adı]],Table2[Kontragentin adı],Table2[Müqavilə nömrəsi],"Xəta",0)</f>
        <v>0</v>
      </c>
      <c r="M97" s="4">
        <f>_xlfn.XLOOKUP(Table4[[#This Row],[Kontragentin adı]],Table2[Kontragentin adı],Table2[Müqavilə nömrəsi],"Xəta",0)</f>
        <v>0</v>
      </c>
    </row>
    <row r="98" spans="2:13" x14ac:dyDescent="0.3">
      <c r="B98" s="4">
        <f t="shared" si="1"/>
        <v>95</v>
      </c>
      <c r="C98" s="5">
        <v>46174</v>
      </c>
      <c r="D98" s="10" t="str" cm="1">
        <f t="array" ref="D98">_xlfn.XLOOKUP(Table4[[#This Row],[Malın kodu]],Table1[[#All],[Malın kodu]],Table1[[#All],[Malın adı]],"xəta",0)</f>
        <v>Filtr / hava / DR 5182 R / "Delsa" / Türkiyə istehsalı</v>
      </c>
      <c r="E98" s="8" t="s">
        <v>1005</v>
      </c>
      <c r="F98" s="4" t="s">
        <v>920</v>
      </c>
      <c r="G98" s="4">
        <v>4</v>
      </c>
      <c r="H98" s="4"/>
      <c r="I98" s="4">
        <f>Table4[[#This Row],[Malın miqdarı]]*Table4[[#This Row],[Vahidin qiyməti]]</f>
        <v>0</v>
      </c>
      <c r="J98" s="4" t="s">
        <v>899</v>
      </c>
      <c r="K98" s="4" t="s">
        <v>893</v>
      </c>
      <c r="L98" s="4">
        <f>_xlfn.XLOOKUP(Table4[[#This Row],[Kontragentin adı]],Table2[Kontragentin adı],Table2[Müqavilə nömrəsi],"Xəta",0)</f>
        <v>0</v>
      </c>
      <c r="M98" s="4">
        <f>_xlfn.XLOOKUP(Table4[[#This Row],[Kontragentin adı]],Table2[Kontragentin adı],Table2[Müqavilə nömrəsi],"Xəta",0)</f>
        <v>0</v>
      </c>
    </row>
    <row r="99" spans="2:13" x14ac:dyDescent="0.3">
      <c r="B99" s="4">
        <f t="shared" si="1"/>
        <v>96</v>
      </c>
      <c r="C99" s="5">
        <v>46174</v>
      </c>
      <c r="D99" s="10" t="str" cm="1">
        <f t="array" ref="D99">_xlfn.XLOOKUP(Table4[[#This Row],[Malın kodu]],Table1[[#All],[Malın kodu]],Table1[[#All],[Malın adı]],"xəta",0)</f>
        <v>Filtr / hava / CR 0237 / 0238 / "Sampiyon" / Türkiyə istehsalı</v>
      </c>
      <c r="E99" s="8" t="s">
        <v>1006</v>
      </c>
      <c r="F99" s="4" t="s">
        <v>920</v>
      </c>
      <c r="G99" s="4">
        <v>1</v>
      </c>
      <c r="H99" s="4"/>
      <c r="I99" s="4">
        <f>Table4[[#This Row],[Malın miqdarı]]*Table4[[#This Row],[Vahidin qiyməti]]</f>
        <v>0</v>
      </c>
      <c r="J99" s="4" t="s">
        <v>899</v>
      </c>
      <c r="K99" s="4" t="s">
        <v>893</v>
      </c>
      <c r="L99" s="4">
        <f>_xlfn.XLOOKUP(Table4[[#This Row],[Kontragentin adı]],Table2[Kontragentin adı],Table2[Müqavilə nömrəsi],"Xəta",0)</f>
        <v>0</v>
      </c>
      <c r="M99" s="4">
        <f>_xlfn.XLOOKUP(Table4[[#This Row],[Kontragentin adı]],Table2[Kontragentin adı],Table2[Müqavilə nömrəsi],"Xəta",0)</f>
        <v>0</v>
      </c>
    </row>
    <row r="100" spans="2:13" x14ac:dyDescent="0.3">
      <c r="B100" s="4">
        <f t="shared" si="1"/>
        <v>97</v>
      </c>
      <c r="C100" s="5">
        <v>46174</v>
      </c>
      <c r="D100" s="10" t="str" cm="1">
        <f t="array" ref="D100">_xlfn.XLOOKUP(Table4[[#This Row],[Malın kodu]],Table1[[#All],[Malın kodu]],Table1[[#All],[Malın adı]],"xəta",0)</f>
        <v>Filtr / hava / CR 0091 / 0092 / "Sampiyon" / Türkiyə istehsalı</v>
      </c>
      <c r="E100" s="8" t="s">
        <v>1007</v>
      </c>
      <c r="F100" s="4" t="s">
        <v>920</v>
      </c>
      <c r="G100" s="4">
        <v>3</v>
      </c>
      <c r="H100" s="4"/>
      <c r="I100" s="4">
        <f>Table4[[#This Row],[Malın miqdarı]]*Table4[[#This Row],[Vahidin qiyməti]]</f>
        <v>0</v>
      </c>
      <c r="J100" s="4" t="s">
        <v>899</v>
      </c>
      <c r="K100" s="4" t="s">
        <v>893</v>
      </c>
      <c r="L100" s="4">
        <f>_xlfn.XLOOKUP(Table4[[#This Row],[Kontragentin adı]],Table2[Kontragentin adı],Table2[Müqavilə nömrəsi],"Xəta",0)</f>
        <v>0</v>
      </c>
      <c r="M100" s="4">
        <f>_xlfn.XLOOKUP(Table4[[#This Row],[Kontragentin adı]],Table2[Kontragentin adı],Table2[Müqavilə nömrəsi],"Xəta",0)</f>
        <v>0</v>
      </c>
    </row>
    <row r="101" spans="2:13" x14ac:dyDescent="0.3">
      <c r="B101" s="4">
        <f t="shared" si="1"/>
        <v>98</v>
      </c>
      <c r="C101" s="5">
        <v>46174</v>
      </c>
      <c r="D101" s="10" t="str" cm="1">
        <f t="array" ref="D101">_xlfn.XLOOKUP(Table4[[#This Row],[Malın kodu]],Table1[[#All],[Malın kodu]],Table1[[#All],[Malın adı]],"xəta",0)</f>
        <v>Filtr / hava / CR 0037 / 0038 / "Sampiyon" / Türkiyə istehsalı</v>
      </c>
      <c r="E101" s="8" t="s">
        <v>1008</v>
      </c>
      <c r="F101" s="4" t="s">
        <v>920</v>
      </c>
      <c r="G101" s="4">
        <v>1</v>
      </c>
      <c r="H101" s="4"/>
      <c r="I101" s="4">
        <f>Table4[[#This Row],[Malın miqdarı]]*Table4[[#This Row],[Vahidin qiyməti]]</f>
        <v>0</v>
      </c>
      <c r="J101" s="4" t="s">
        <v>899</v>
      </c>
      <c r="K101" s="4" t="s">
        <v>893</v>
      </c>
      <c r="L101" s="4">
        <f>_xlfn.XLOOKUP(Table4[[#This Row],[Kontragentin adı]],Table2[Kontragentin adı],Table2[Müqavilə nömrəsi],"Xəta",0)</f>
        <v>0</v>
      </c>
      <c r="M101" s="4">
        <f>_xlfn.XLOOKUP(Table4[[#This Row],[Kontragentin adı]],Table2[Kontragentin adı],Table2[Müqavilə nömrəsi],"Xəta",0)</f>
        <v>0</v>
      </c>
    </row>
    <row r="102" spans="2:13" x14ac:dyDescent="0.3">
      <c r="B102" s="4">
        <f t="shared" si="1"/>
        <v>99</v>
      </c>
      <c r="C102" s="5">
        <v>46174</v>
      </c>
      <c r="D102" s="10" t="str" cm="1">
        <f t="array" ref="D102">_xlfn.XLOOKUP(Table4[[#This Row],[Malın kodu]],Table1[[#All],[Malın kodu]],Table1[[#All],[Malın adı]],"xəta",0)</f>
        <v>Filtr / hava / 321-4302/ "CAT" 315 üçün / "CAT" / ABŞ istehsalı /  1</v>
      </c>
      <c r="E102" s="8" t="s">
        <v>1009</v>
      </c>
      <c r="F102" s="4" t="s">
        <v>920</v>
      </c>
      <c r="G102" s="4">
        <v>1</v>
      </c>
      <c r="H102" s="4"/>
      <c r="I102" s="4">
        <f>Table4[[#This Row],[Malın miqdarı]]*Table4[[#This Row],[Vahidin qiyməti]]</f>
        <v>0</v>
      </c>
      <c r="J102" s="4" t="s">
        <v>899</v>
      </c>
      <c r="K102" s="4" t="s">
        <v>893</v>
      </c>
      <c r="L102" s="4">
        <f>_xlfn.XLOOKUP(Table4[[#This Row],[Kontragentin adı]],Table2[Kontragentin adı],Table2[Müqavilə nömrəsi],"Xəta",0)</f>
        <v>0</v>
      </c>
      <c r="M102" s="4">
        <f>_xlfn.XLOOKUP(Table4[[#This Row],[Kontragentin adı]],Table2[Kontragentin adı],Table2[Müqavilə nömrəsi],"Xəta",0)</f>
        <v>0</v>
      </c>
    </row>
    <row r="103" spans="2:13" x14ac:dyDescent="0.3">
      <c r="B103" s="4">
        <f t="shared" si="1"/>
        <v>100</v>
      </c>
      <c r="C103" s="5">
        <v>46174</v>
      </c>
      <c r="D103" s="10" t="str" cm="1">
        <f t="array" ref="D103">_xlfn.XLOOKUP(Table4[[#This Row],[Malın kodu]],Table1[[#All],[Malın kodu]],Table1[[#All],[Malın adı]],"xəta",0)</f>
        <v>Termostat / 235-4960 X / "CAT" / ABŞ istehsalı</v>
      </c>
      <c r="E103" s="8" t="s">
        <v>1010</v>
      </c>
      <c r="F103" s="4" t="s">
        <v>920</v>
      </c>
      <c r="G103" s="4">
        <v>1</v>
      </c>
      <c r="H103" s="4"/>
      <c r="I103" s="4">
        <f>Table4[[#This Row],[Malın miqdarı]]*Table4[[#This Row],[Vahidin qiyməti]]</f>
        <v>0</v>
      </c>
      <c r="J103" s="4" t="s">
        <v>899</v>
      </c>
      <c r="K103" s="4" t="s">
        <v>893</v>
      </c>
      <c r="L103" s="4">
        <f>_xlfn.XLOOKUP(Table4[[#This Row],[Kontragentin adı]],Table2[Kontragentin adı],Table2[Müqavilə nömrəsi],"Xəta",0)</f>
        <v>0</v>
      </c>
      <c r="M103" s="4">
        <f>_xlfn.XLOOKUP(Table4[[#This Row],[Kontragentin adı]],Table2[Kontragentin adı],Table2[Müqavilə nömrəsi],"Xəta",0)</f>
        <v>0</v>
      </c>
    </row>
    <row r="104" spans="2:13" x14ac:dyDescent="0.3">
      <c r="B104" s="4">
        <f t="shared" si="1"/>
        <v>101</v>
      </c>
      <c r="C104" s="5">
        <v>46174</v>
      </c>
      <c r="D104" s="10" t="str" cm="1">
        <f t="array" ref="D104">_xlfn.XLOOKUP(Table4[[#This Row],[Malın kodu]],Table1[[#All],[Malın kodu]],Table1[[#All],[Malın adı]],"xəta",0)</f>
        <v>Filtr / hava / əl kompakteri üçün / Çin istehsalı</v>
      </c>
      <c r="E104" s="8" t="s">
        <v>1011</v>
      </c>
      <c r="F104" s="4" t="s">
        <v>920</v>
      </c>
      <c r="G104" s="4">
        <v>2</v>
      </c>
      <c r="H104" s="4"/>
      <c r="I104" s="4">
        <f>Table4[[#This Row],[Malın miqdarı]]*Table4[[#This Row],[Vahidin qiyməti]]</f>
        <v>0</v>
      </c>
      <c r="J104" s="4" t="s">
        <v>899</v>
      </c>
      <c r="K104" s="4" t="s">
        <v>893</v>
      </c>
      <c r="L104" s="4">
        <f>_xlfn.XLOOKUP(Table4[[#This Row],[Kontragentin adı]],Table2[Kontragentin adı],Table2[Müqavilə nömrəsi],"Xəta",0)</f>
        <v>0</v>
      </c>
      <c r="M104" s="4">
        <f>_xlfn.XLOOKUP(Table4[[#This Row],[Kontragentin adı]],Table2[Kontragentin adı],Table2[Müqavilə nömrəsi],"Xəta",0)</f>
        <v>0</v>
      </c>
    </row>
    <row r="105" spans="2:13" x14ac:dyDescent="0.3">
      <c r="B105" s="4">
        <f t="shared" si="1"/>
        <v>102</v>
      </c>
      <c r="C105" s="5">
        <v>46174</v>
      </c>
      <c r="D105" s="10" t="str" cm="1">
        <f t="array" ref="D105">_xlfn.XLOOKUP(Table4[[#This Row],[Malın kodu]],Table1[[#All],[Malın kodu]],Table1[[#All],[Malın adı]],"xəta",0)</f>
        <v>Filtr / yanacaq / CR 091 C 25 R / "OMT" / İtaliya istehsalı</v>
      </c>
      <c r="E105" s="8" t="s">
        <v>1012</v>
      </c>
      <c r="F105" s="4" t="s">
        <v>920</v>
      </c>
      <c r="G105" s="4">
        <v>4</v>
      </c>
      <c r="H105" s="4"/>
      <c r="I105" s="4">
        <f>Table4[[#This Row],[Malın miqdarı]]*Table4[[#This Row],[Vahidin qiyməti]]</f>
        <v>0</v>
      </c>
      <c r="J105" s="4" t="s">
        <v>899</v>
      </c>
      <c r="K105" s="4" t="s">
        <v>893</v>
      </c>
      <c r="L105" s="4">
        <f>_xlfn.XLOOKUP(Table4[[#This Row],[Kontragentin adı]],Table2[Kontragentin adı],Table2[Müqavilə nömrəsi],"Xəta",0)</f>
        <v>0</v>
      </c>
      <c r="M105" s="4">
        <f>_xlfn.XLOOKUP(Table4[[#This Row],[Kontragentin adı]],Table2[Kontragentin adı],Table2[Müqavilə nömrəsi],"Xəta",0)</f>
        <v>0</v>
      </c>
    </row>
    <row r="106" spans="2:13" x14ac:dyDescent="0.3">
      <c r="B106" s="4">
        <f t="shared" si="1"/>
        <v>103</v>
      </c>
      <c r="C106" s="5">
        <v>46174</v>
      </c>
      <c r="D106" s="10" t="str" cm="1">
        <f t="array" ref="D106">_xlfn.XLOOKUP(Table4[[#This Row],[Malın kodu]],Table1[[#All],[Malın kodu]],Table1[[#All],[Malın adı]],"xəta",0)</f>
        <v>Filtr / yanacaq / FF 5381 / "Fleetguard" / İtaliya istehsalı</v>
      </c>
      <c r="E106" s="8" t="s">
        <v>1013</v>
      </c>
      <c r="F106" s="4" t="s">
        <v>920</v>
      </c>
      <c r="G106" s="4">
        <v>1</v>
      </c>
      <c r="H106" s="4"/>
      <c r="I106" s="4">
        <f>Table4[[#This Row],[Malın miqdarı]]*Table4[[#This Row],[Vahidin qiyməti]]</f>
        <v>0</v>
      </c>
      <c r="J106" s="4" t="s">
        <v>899</v>
      </c>
      <c r="K106" s="4" t="s">
        <v>893</v>
      </c>
      <c r="L106" s="4">
        <f>_xlfn.XLOOKUP(Table4[[#This Row],[Kontragentin adı]],Table2[Kontragentin adı],Table2[Müqavilə nömrəsi],"Xəta",0)</f>
        <v>0</v>
      </c>
      <c r="M106" s="4">
        <f>_xlfn.XLOOKUP(Table4[[#This Row],[Kontragentin adı]],Table2[Kontragentin adı],Table2[Müqavilə nömrəsi],"Xəta",0)</f>
        <v>0</v>
      </c>
    </row>
    <row r="107" spans="2:13" x14ac:dyDescent="0.3">
      <c r="B107" s="4">
        <f t="shared" si="1"/>
        <v>104</v>
      </c>
      <c r="C107" s="5">
        <v>46174</v>
      </c>
      <c r="D107" s="10" t="str" cm="1">
        <f t="array" ref="D107">_xlfn.XLOOKUP(Table4[[#This Row],[Malın kodu]],Table1[[#All],[Malın kodu]],Table1[[#All],[Malın adı]],"xəta",0)</f>
        <v>Filtr / hava / 3466687 / "Turbomax" / Çin istehsalı</v>
      </c>
      <c r="E107" s="8" t="s">
        <v>1014</v>
      </c>
      <c r="F107" s="4" t="s">
        <v>920</v>
      </c>
      <c r="G107" s="4">
        <v>4</v>
      </c>
      <c r="H107" s="4"/>
      <c r="I107" s="4">
        <f>Table4[[#This Row],[Malın miqdarı]]*Table4[[#This Row],[Vahidin qiyməti]]</f>
        <v>0</v>
      </c>
      <c r="J107" s="4" t="s">
        <v>899</v>
      </c>
      <c r="K107" s="4" t="s">
        <v>893</v>
      </c>
      <c r="L107" s="4">
        <f>_xlfn.XLOOKUP(Table4[[#This Row],[Kontragentin adı]],Table2[Kontragentin adı],Table2[Müqavilə nömrəsi],"Xəta",0)</f>
        <v>0</v>
      </c>
      <c r="M107" s="4">
        <f>_xlfn.XLOOKUP(Table4[[#This Row],[Kontragentin adı]],Table2[Kontragentin adı],Table2[Müqavilə nömrəsi],"Xəta",0)</f>
        <v>0</v>
      </c>
    </row>
    <row r="108" spans="2:13" x14ac:dyDescent="0.3">
      <c r="B108" s="4">
        <f t="shared" si="1"/>
        <v>105</v>
      </c>
      <c r="C108" s="5">
        <v>46174</v>
      </c>
      <c r="D108" s="10" t="str" cm="1">
        <f t="array" ref="D108">_xlfn.XLOOKUP(Table4[[#This Row],[Malın kodu]],Table1[[#All],[Malın kodu]],Table1[[#All],[Malın adı]],"xəta",0)</f>
        <v>Filtr / hava / 3466688 / "Turbomax" / Çin istehsalı</v>
      </c>
      <c r="E108" s="8" t="s">
        <v>1015</v>
      </c>
      <c r="F108" s="4" t="s">
        <v>920</v>
      </c>
      <c r="G108" s="4">
        <v>4</v>
      </c>
      <c r="H108" s="4"/>
      <c r="I108" s="4">
        <f>Table4[[#This Row],[Malın miqdarı]]*Table4[[#This Row],[Vahidin qiyməti]]</f>
        <v>0</v>
      </c>
      <c r="J108" s="4" t="s">
        <v>899</v>
      </c>
      <c r="K108" s="4" t="s">
        <v>893</v>
      </c>
      <c r="L108" s="4">
        <f>_xlfn.XLOOKUP(Table4[[#This Row],[Kontragentin adı]],Table2[Kontragentin adı],Table2[Müqavilə nömrəsi],"Xəta",0)</f>
        <v>0</v>
      </c>
      <c r="M108" s="4">
        <f>_xlfn.XLOOKUP(Table4[[#This Row],[Kontragentin adı]],Table2[Kontragentin adı],Table2[Müqavilə nömrəsi],"Xəta",0)</f>
        <v>0</v>
      </c>
    </row>
    <row r="109" spans="2:13" x14ac:dyDescent="0.3">
      <c r="B109" s="4">
        <f t="shared" si="1"/>
        <v>106</v>
      </c>
      <c r="C109" s="5">
        <v>46174</v>
      </c>
      <c r="D109" s="10" t="str" cm="1">
        <f t="array" ref="D109">_xlfn.XLOOKUP(Table4[[#This Row],[Malın kodu]],Table1[[#All],[Malın kodu]],Table1[[#All],[Malın adı]],"xəta",0)</f>
        <v>Mufta / polietilen / elektrofizyon / d 63mm / 30V / "NTG" / Türkiyə istehsalı</v>
      </c>
      <c r="E109" s="8" t="s">
        <v>1016</v>
      </c>
      <c r="F109" s="4" t="s">
        <v>920</v>
      </c>
      <c r="G109" s="4">
        <v>8</v>
      </c>
      <c r="H109" s="4"/>
      <c r="I109" s="4">
        <f>Table4[[#This Row],[Malın miqdarı]]*Table4[[#This Row],[Vahidin qiyməti]]</f>
        <v>0</v>
      </c>
      <c r="J109" s="4" t="s">
        <v>899</v>
      </c>
      <c r="K109" s="4" t="s">
        <v>893</v>
      </c>
      <c r="L109" s="4">
        <f>_xlfn.XLOOKUP(Table4[[#This Row],[Kontragentin adı]],Table2[Kontragentin adı],Table2[Müqavilə nömrəsi],"Xəta",0)</f>
        <v>0</v>
      </c>
      <c r="M109" s="4">
        <f>_xlfn.XLOOKUP(Table4[[#This Row],[Kontragentin adı]],Table2[Kontragentin adı],Table2[Müqavilə nömrəsi],"Xəta",0)</f>
        <v>0</v>
      </c>
    </row>
    <row r="110" spans="2:13" x14ac:dyDescent="0.3">
      <c r="B110" s="4">
        <f t="shared" si="1"/>
        <v>107</v>
      </c>
      <c r="C110" s="5">
        <v>46174</v>
      </c>
      <c r="D110" s="10" t="str" cm="1">
        <f t="array" ref="D110">_xlfn.XLOOKUP(Table4[[#This Row],[Malın kodu]],Table1[[#All],[Malın kodu]],Table1[[#All],[Malın adı]],"xəta",0)</f>
        <v>Mufta / polietilen / elektrofizyon / d 63mm / 30V / "Borfit" / Türkiyə istehsalı</v>
      </c>
      <c r="E110" s="8" t="s">
        <v>1017</v>
      </c>
      <c r="F110" s="4" t="s">
        <v>920</v>
      </c>
      <c r="G110" s="4">
        <v>16</v>
      </c>
      <c r="H110" s="4"/>
      <c r="I110" s="4">
        <f>Table4[[#This Row],[Malın miqdarı]]*Table4[[#This Row],[Vahidin qiyməti]]</f>
        <v>0</v>
      </c>
      <c r="J110" s="4" t="s">
        <v>899</v>
      </c>
      <c r="K110" s="4" t="s">
        <v>893</v>
      </c>
      <c r="L110" s="4">
        <f>_xlfn.XLOOKUP(Table4[[#This Row],[Kontragentin adı]],Table2[Kontragentin adı],Table2[Müqavilə nömrəsi],"Xəta",0)</f>
        <v>0</v>
      </c>
      <c r="M110" s="4">
        <f>_xlfn.XLOOKUP(Table4[[#This Row],[Kontragentin adı]],Table2[Kontragentin adı],Table2[Müqavilə nömrəsi],"Xəta",0)</f>
        <v>0</v>
      </c>
    </row>
    <row r="111" spans="2:13" x14ac:dyDescent="0.3">
      <c r="B111" s="4">
        <f t="shared" si="1"/>
        <v>108</v>
      </c>
      <c r="C111" s="5">
        <v>46174</v>
      </c>
      <c r="D111" s="10" t="str" cm="1">
        <f t="array" ref="D111">_xlfn.XLOOKUP(Table4[[#This Row],[Malın kodu]],Table1[[#All],[Malın kodu]],Table1[[#All],[Malın adı]],"xəta",0)</f>
        <v>Mufta / polietilen / elektrofizyon / d 63mm / 40V / "Dokerler" / Türkiyə istehsalı</v>
      </c>
      <c r="E111" s="8" t="s">
        <v>1018</v>
      </c>
      <c r="F111" s="4" t="s">
        <v>920</v>
      </c>
      <c r="G111" s="4">
        <v>21</v>
      </c>
      <c r="H111" s="4"/>
      <c r="I111" s="4">
        <f>Table4[[#This Row],[Malın miqdarı]]*Table4[[#This Row],[Vahidin qiyməti]]</f>
        <v>0</v>
      </c>
      <c r="J111" s="4" t="s">
        <v>899</v>
      </c>
      <c r="K111" s="4" t="s">
        <v>893</v>
      </c>
      <c r="L111" s="4">
        <f>_xlfn.XLOOKUP(Table4[[#This Row],[Kontragentin adı]],Table2[Kontragentin adı],Table2[Müqavilə nömrəsi],"Xəta",0)</f>
        <v>0</v>
      </c>
      <c r="M111" s="4">
        <f>_xlfn.XLOOKUP(Table4[[#This Row],[Kontragentin adı]],Table2[Kontragentin adı],Table2[Müqavilə nömrəsi],"Xəta",0)</f>
        <v>0</v>
      </c>
    </row>
    <row r="112" spans="2:13" x14ac:dyDescent="0.3">
      <c r="B112" s="4">
        <f t="shared" si="1"/>
        <v>109</v>
      </c>
      <c r="C112" s="5">
        <v>46174</v>
      </c>
      <c r="D112" s="10" t="str" cm="1">
        <f t="array" ref="D112">_xlfn.XLOOKUP(Table4[[#This Row],[Malın kodu]],Table1[[#All],[Malın kodu]],Table1[[#All],[Malın adı]],"xəta",0)</f>
        <v>Mufta / polietilen / elektrofizyon / d 50mm / 35V / "Borfit" / Türkiyə istehsalı</v>
      </c>
      <c r="E112" s="8" t="s">
        <v>1019</v>
      </c>
      <c r="F112" s="4" t="s">
        <v>920</v>
      </c>
      <c r="G112" s="4">
        <v>9</v>
      </c>
      <c r="H112" s="4"/>
      <c r="I112" s="4">
        <f>Table4[[#This Row],[Malın miqdarı]]*Table4[[#This Row],[Vahidin qiyməti]]</f>
        <v>0</v>
      </c>
      <c r="J112" s="4" t="s">
        <v>899</v>
      </c>
      <c r="K112" s="4" t="s">
        <v>893</v>
      </c>
      <c r="L112" s="4">
        <f>_xlfn.XLOOKUP(Table4[[#This Row],[Kontragentin adı]],Table2[Kontragentin adı],Table2[Müqavilə nömrəsi],"Xəta",0)</f>
        <v>0</v>
      </c>
      <c r="M112" s="4">
        <f>_xlfn.XLOOKUP(Table4[[#This Row],[Kontragentin adı]],Table2[Kontragentin adı],Table2[Müqavilə nömrəsi],"Xəta",0)</f>
        <v>0</v>
      </c>
    </row>
    <row r="113" spans="2:13" x14ac:dyDescent="0.3">
      <c r="B113" s="4">
        <f t="shared" si="1"/>
        <v>110</v>
      </c>
      <c r="C113" s="5">
        <v>46174</v>
      </c>
      <c r="D113" s="10" t="str" cm="1">
        <f t="array" ref="D113">_xlfn.XLOOKUP(Table4[[#This Row],[Malın kodu]],Table1[[#All],[Malın kodu]],Table1[[#All],[Malın adı]],"xəta",0)</f>
        <v>Xamut / polietilen / elektrofizyon / d 63mm / "Georg Fisher" / İsveçrə istehsalı</v>
      </c>
      <c r="E113" s="8" t="s">
        <v>1020</v>
      </c>
      <c r="F113" s="4" t="s">
        <v>920</v>
      </c>
      <c r="G113" s="4">
        <v>1</v>
      </c>
      <c r="H113" s="4"/>
      <c r="I113" s="4">
        <f>Table4[[#This Row],[Malın miqdarı]]*Table4[[#This Row],[Vahidin qiyməti]]</f>
        <v>0</v>
      </c>
      <c r="J113" s="4" t="s">
        <v>899</v>
      </c>
      <c r="K113" s="4" t="s">
        <v>893</v>
      </c>
      <c r="L113" s="4">
        <f>_xlfn.XLOOKUP(Table4[[#This Row],[Kontragentin adı]],Table2[Kontragentin adı],Table2[Müqavilə nömrəsi],"Xəta",0)</f>
        <v>0</v>
      </c>
      <c r="M113" s="4">
        <f>_xlfn.XLOOKUP(Table4[[#This Row],[Kontragentin adı]],Table2[Kontragentin adı],Table2[Müqavilə nömrəsi],"Xəta",0)</f>
        <v>0</v>
      </c>
    </row>
    <row r="114" spans="2:13" x14ac:dyDescent="0.3">
      <c r="B114" s="4">
        <f t="shared" si="1"/>
        <v>111</v>
      </c>
      <c r="C114" s="5">
        <v>46174</v>
      </c>
      <c r="D114" s="10" t="str" cm="1">
        <f t="array" ref="D114">_xlfn.XLOOKUP(Table4[[#This Row],[Malın kodu]],Table1[[#All],[Malın kodu]],Table1[[#All],[Malın adı]],"xəta",0)</f>
        <v>Keçid / polietilen / d 63-50mm</v>
      </c>
      <c r="E114" s="8" t="s">
        <v>1021</v>
      </c>
      <c r="F114" s="4" t="s">
        <v>920</v>
      </c>
      <c r="G114" s="4">
        <v>2</v>
      </c>
      <c r="H114" s="4"/>
      <c r="I114" s="4">
        <f>Table4[[#This Row],[Malın miqdarı]]*Table4[[#This Row],[Vahidin qiyməti]]</f>
        <v>0</v>
      </c>
      <c r="J114" s="4" t="s">
        <v>899</v>
      </c>
      <c r="K114" s="4" t="s">
        <v>893</v>
      </c>
      <c r="L114" s="4">
        <f>_xlfn.XLOOKUP(Table4[[#This Row],[Kontragentin adı]],Table2[Kontragentin adı],Table2[Müqavilə nömrəsi],"Xəta",0)</f>
        <v>0</v>
      </c>
      <c r="M114" s="4">
        <f>_xlfn.XLOOKUP(Table4[[#This Row],[Kontragentin adı]],Table2[Kontragentin adı],Table2[Müqavilə nömrəsi],"Xəta",0)</f>
        <v>0</v>
      </c>
    </row>
    <row r="115" spans="2:13" x14ac:dyDescent="0.3">
      <c r="B115" s="4">
        <f t="shared" si="1"/>
        <v>112</v>
      </c>
      <c r="C115" s="5">
        <v>46174</v>
      </c>
      <c r="D115" s="10" t="str" cm="1">
        <f t="array" ref="D115">_xlfn.XLOOKUP(Table4[[#This Row],[Malın kodu]],Table1[[#All],[Malın kodu]],Table1[[#All],[Malın adı]],"xəta",0)</f>
        <v>Qapaq / polietilen / d 110mm / "Borfit"/ Türkiyə istehsalı</v>
      </c>
      <c r="E115" s="8" t="s">
        <v>1022</v>
      </c>
      <c r="F115" s="4" t="s">
        <v>920</v>
      </c>
      <c r="G115" s="4">
        <v>2</v>
      </c>
      <c r="H115" s="4"/>
      <c r="I115" s="4">
        <f>Table4[[#This Row],[Malın miqdarı]]*Table4[[#This Row],[Vahidin qiyməti]]</f>
        <v>0</v>
      </c>
      <c r="J115" s="4" t="s">
        <v>899</v>
      </c>
      <c r="K115" s="4" t="s">
        <v>893</v>
      </c>
      <c r="L115" s="4">
        <f>_xlfn.XLOOKUP(Table4[[#This Row],[Kontragentin adı]],Table2[Kontragentin adı],Table2[Müqavilə nömrəsi],"Xəta",0)</f>
        <v>0</v>
      </c>
      <c r="M115" s="4">
        <f>_xlfn.XLOOKUP(Table4[[#This Row],[Kontragentin adı]],Table2[Kontragentin adı],Table2[Müqavilə nömrəsi],"Xəta",0)</f>
        <v>0</v>
      </c>
    </row>
    <row r="116" spans="2:13" x14ac:dyDescent="0.3">
      <c r="B116" s="4">
        <f t="shared" si="1"/>
        <v>113</v>
      </c>
      <c r="C116" s="5">
        <v>46174</v>
      </c>
      <c r="D116" s="10" t="str" cm="1">
        <f t="array" ref="D116">_xlfn.XLOOKUP(Table4[[#This Row],[Malın kodu]],Table1[[#All],[Malın kodu]],Table1[[#All],[Malın adı]],"xəta",0)</f>
        <v>Üçlük / polietilen / d 63-32mm / "Borfit"/ Türkiyə istehsalı</v>
      </c>
      <c r="E116" s="8" t="s">
        <v>1023</v>
      </c>
      <c r="F116" s="4" t="s">
        <v>920</v>
      </c>
      <c r="G116" s="4">
        <v>7</v>
      </c>
      <c r="H116" s="4"/>
      <c r="I116" s="4">
        <f>Table4[[#This Row],[Malın miqdarı]]*Table4[[#This Row],[Vahidin qiyməti]]</f>
        <v>0</v>
      </c>
      <c r="J116" s="4" t="s">
        <v>899</v>
      </c>
      <c r="K116" s="4" t="s">
        <v>893</v>
      </c>
      <c r="L116" s="4">
        <f>_xlfn.XLOOKUP(Table4[[#This Row],[Kontragentin adı]],Table2[Kontragentin adı],Table2[Müqavilə nömrəsi],"Xəta",0)</f>
        <v>0</v>
      </c>
      <c r="M116" s="4">
        <f>_xlfn.XLOOKUP(Table4[[#This Row],[Kontragentin adı]],Table2[Kontragentin adı],Table2[Müqavilə nömrəsi],"Xəta",0)</f>
        <v>0</v>
      </c>
    </row>
    <row r="117" spans="2:13" x14ac:dyDescent="0.3">
      <c r="B117" s="4">
        <f t="shared" si="1"/>
        <v>114</v>
      </c>
      <c r="C117" s="5">
        <v>46174</v>
      </c>
      <c r="D117" s="10" t="str" cm="1">
        <f t="array" ref="D117">_xlfn.XLOOKUP(Table4[[#This Row],[Malın kodu]],Table1[[#All],[Malın kodu]],Table1[[#All],[Malın adı]],"xəta",0)</f>
        <v>Dirsək / polietilen / d 63mm</v>
      </c>
      <c r="E117" s="8" t="s">
        <v>1024</v>
      </c>
      <c r="F117" s="4" t="s">
        <v>920</v>
      </c>
      <c r="G117" s="4">
        <v>1</v>
      </c>
      <c r="H117" s="4"/>
      <c r="I117" s="4">
        <f>Table4[[#This Row],[Malın miqdarı]]*Table4[[#This Row],[Vahidin qiyməti]]</f>
        <v>0</v>
      </c>
      <c r="J117" s="4" t="s">
        <v>899</v>
      </c>
      <c r="K117" s="4" t="s">
        <v>893</v>
      </c>
      <c r="L117" s="4">
        <f>_xlfn.XLOOKUP(Table4[[#This Row],[Kontragentin adı]],Table2[Kontragentin adı],Table2[Müqavilə nömrəsi],"Xəta",0)</f>
        <v>0</v>
      </c>
      <c r="M117" s="4">
        <f>_xlfn.XLOOKUP(Table4[[#This Row],[Kontragentin adı]],Table2[Kontragentin adı],Table2[Müqavilə nömrəsi],"Xəta",0)</f>
        <v>0</v>
      </c>
    </row>
    <row r="118" spans="2:13" x14ac:dyDescent="0.3">
      <c r="B118" s="4">
        <f t="shared" si="1"/>
        <v>115</v>
      </c>
      <c r="C118" s="5">
        <v>46174</v>
      </c>
      <c r="D118" s="10" t="str" cm="1">
        <f t="array" ref="D118">_xlfn.XLOOKUP(Table4[[#This Row],[Malın kodu]],Table1[[#All],[Malın kodu]],Table1[[#All],[Malın adı]],"xəta",0)</f>
        <v>Dirsək / polietilen / d 160mm / "Tega" / Türkiyə istehsalı</v>
      </c>
      <c r="E118" s="8" t="s">
        <v>1025</v>
      </c>
      <c r="F118" s="4" t="s">
        <v>920</v>
      </c>
      <c r="G118" s="4">
        <v>6</v>
      </c>
      <c r="H118" s="4"/>
      <c r="I118" s="4">
        <f>Table4[[#This Row],[Malın miqdarı]]*Table4[[#This Row],[Vahidin qiyməti]]</f>
        <v>0</v>
      </c>
      <c r="J118" s="4" t="s">
        <v>899</v>
      </c>
      <c r="K118" s="4" t="s">
        <v>893</v>
      </c>
      <c r="L118" s="4">
        <f>_xlfn.XLOOKUP(Table4[[#This Row],[Kontragentin adı]],Table2[Kontragentin adı],Table2[Müqavilə nömrəsi],"Xəta",0)</f>
        <v>0</v>
      </c>
      <c r="M118" s="4">
        <f>_xlfn.XLOOKUP(Table4[[#This Row],[Kontragentin adı]],Table2[Kontragentin adı],Table2[Müqavilə nömrəsi],"Xəta",0)</f>
        <v>0</v>
      </c>
    </row>
    <row r="119" spans="2:13" x14ac:dyDescent="0.3">
      <c r="B119" s="4">
        <f t="shared" si="1"/>
        <v>116</v>
      </c>
      <c r="C119" s="5">
        <v>46174</v>
      </c>
      <c r="D119" s="10" t="str" cm="1">
        <f t="array" ref="D119">_xlfn.XLOOKUP(Table4[[#This Row],[Malın kodu]],Table1[[#All],[Malın kodu]],Table1[[#All],[Malın adı]],"xəta",0)</f>
        <v>Üçlük / PVC-UH / d 160mm / "Pimtaş" / Türkiyə istehsalı</v>
      </c>
      <c r="E119" s="8" t="s">
        <v>1026</v>
      </c>
      <c r="F119" s="4" t="s">
        <v>920</v>
      </c>
      <c r="G119" s="4">
        <v>3</v>
      </c>
      <c r="H119" s="4"/>
      <c r="I119" s="4">
        <f>Table4[[#This Row],[Malın miqdarı]]*Table4[[#This Row],[Vahidin qiyməti]]</f>
        <v>0</v>
      </c>
      <c r="J119" s="4" t="s">
        <v>899</v>
      </c>
      <c r="K119" s="4" t="s">
        <v>893</v>
      </c>
      <c r="L119" s="4">
        <f>_xlfn.XLOOKUP(Table4[[#This Row],[Kontragentin adı]],Table2[Kontragentin adı],Table2[Müqavilə nömrəsi],"Xəta",0)</f>
        <v>0</v>
      </c>
      <c r="M119" s="4">
        <f>_xlfn.XLOOKUP(Table4[[#This Row],[Kontragentin adı]],Table2[Kontragentin adı],Table2[Müqavilə nömrəsi],"Xəta",0)</f>
        <v>0</v>
      </c>
    </row>
    <row r="120" spans="2:13" x14ac:dyDescent="0.3">
      <c r="B120" s="4">
        <f t="shared" si="1"/>
        <v>117</v>
      </c>
      <c r="C120" s="5">
        <v>46174</v>
      </c>
      <c r="D120" s="10" t="str" cm="1">
        <f t="array" ref="D120">_xlfn.XLOOKUP(Table4[[#This Row],[Malın kodu]],Table1[[#All],[Malın kodu]],Table1[[#All],[Malın adı]],"xəta",0)</f>
        <v>Birləşdirici / polietilen / çöl yivli / d 63mm / Türkiyə istehsalı</v>
      </c>
      <c r="E120" s="8" t="s">
        <v>1027</v>
      </c>
      <c r="F120" s="4" t="s">
        <v>920</v>
      </c>
      <c r="G120" s="4">
        <v>15</v>
      </c>
      <c r="H120" s="4"/>
      <c r="I120" s="4">
        <f>Table4[[#This Row],[Malın miqdarı]]*Table4[[#This Row],[Vahidin qiyməti]]</f>
        <v>0</v>
      </c>
      <c r="J120" s="4" t="s">
        <v>899</v>
      </c>
      <c r="K120" s="4" t="s">
        <v>893</v>
      </c>
      <c r="L120" s="4">
        <f>_xlfn.XLOOKUP(Table4[[#This Row],[Kontragentin adı]],Table2[Kontragentin adı],Table2[Müqavilə nömrəsi],"Xəta",0)</f>
        <v>0</v>
      </c>
      <c r="M120" s="4">
        <f>_xlfn.XLOOKUP(Table4[[#This Row],[Kontragentin adı]],Table2[Kontragentin adı],Table2[Müqavilə nömrəsi],"Xəta",0)</f>
        <v>0</v>
      </c>
    </row>
    <row r="121" spans="2:13" x14ac:dyDescent="0.3">
      <c r="B121" s="4">
        <f t="shared" si="1"/>
        <v>118</v>
      </c>
      <c r="C121" s="5">
        <v>46174</v>
      </c>
      <c r="D121" s="10" t="str" cm="1">
        <f t="array" ref="D121">_xlfn.XLOOKUP(Table4[[#This Row],[Malın kodu]],Table1[[#All],[Malın kodu]],Table1[[#All],[Malın adı]],"xəta",0)</f>
        <v>Üçlük / PVC / d 110mm / "Hill FUN" / Türkiyə istehsalı</v>
      </c>
      <c r="E121" s="8" t="s">
        <v>1028</v>
      </c>
      <c r="F121" s="4" t="s">
        <v>920</v>
      </c>
      <c r="G121" s="4">
        <v>2</v>
      </c>
      <c r="H121" s="4"/>
      <c r="I121" s="4">
        <f>Table4[[#This Row],[Malın miqdarı]]*Table4[[#This Row],[Vahidin qiyməti]]</f>
        <v>0</v>
      </c>
      <c r="J121" s="4" t="s">
        <v>899</v>
      </c>
      <c r="K121" s="4" t="s">
        <v>893</v>
      </c>
      <c r="L121" s="4">
        <f>_xlfn.XLOOKUP(Table4[[#This Row],[Kontragentin adı]],Table2[Kontragentin adı],Table2[Müqavilə nömrəsi],"Xəta",0)</f>
        <v>0</v>
      </c>
      <c r="M121" s="4">
        <f>_xlfn.XLOOKUP(Table4[[#This Row],[Kontragentin adı]],Table2[Kontragentin adı],Table2[Müqavilə nömrəsi],"Xəta",0)</f>
        <v>0</v>
      </c>
    </row>
    <row r="122" spans="2:13" x14ac:dyDescent="0.3">
      <c r="B122" s="4">
        <f t="shared" si="1"/>
        <v>119</v>
      </c>
      <c r="C122" s="5">
        <v>46174</v>
      </c>
      <c r="D122" s="10" t="str" cm="1">
        <f t="array" ref="D122">_xlfn.XLOOKUP(Table4[[#This Row],[Malın kodu]],Table1[[#All],[Malın kodu]],Table1[[#All],[Malın adı]],"xəta",0)</f>
        <v>Dirsək / polietilen / d 32mm / "Borfit" / Türkiyə istehsalı</v>
      </c>
      <c r="E122" s="8" t="s">
        <v>1029</v>
      </c>
      <c r="F122" s="4" t="s">
        <v>920</v>
      </c>
      <c r="G122" s="4">
        <v>12</v>
      </c>
      <c r="H122" s="4"/>
      <c r="I122" s="4">
        <f>Table4[[#This Row],[Malın miqdarı]]*Table4[[#This Row],[Vahidin qiyməti]]</f>
        <v>0</v>
      </c>
      <c r="J122" s="4" t="s">
        <v>899</v>
      </c>
      <c r="K122" s="4" t="s">
        <v>893</v>
      </c>
      <c r="L122" s="4">
        <f>_xlfn.XLOOKUP(Table4[[#This Row],[Kontragentin adı]],Table2[Kontragentin adı],Table2[Müqavilə nömrəsi],"Xəta",0)</f>
        <v>0</v>
      </c>
      <c r="M122" s="4">
        <f>_xlfn.XLOOKUP(Table4[[#This Row],[Kontragentin adı]],Table2[Kontragentin adı],Table2[Müqavilə nömrəsi],"Xəta",0)</f>
        <v>0</v>
      </c>
    </row>
    <row r="123" spans="2:13" x14ac:dyDescent="0.3">
      <c r="B123" s="4">
        <f t="shared" si="1"/>
        <v>120</v>
      </c>
      <c r="C123" s="5">
        <v>46174</v>
      </c>
      <c r="D123" s="10" t="str" cm="1">
        <f t="array" ref="D123">_xlfn.XLOOKUP(Table4[[#This Row],[Malın kodu]],Table1[[#All],[Malın kodu]],Table1[[#All],[Malın adı]],"xəta",0)</f>
        <v>Üçlük / polietilen / d 32mm / "Borfit" / Türkiyə istehsalı</v>
      </c>
      <c r="E123" s="8" t="s">
        <v>1030</v>
      </c>
      <c r="F123" s="4" t="s">
        <v>920</v>
      </c>
      <c r="G123" s="4">
        <v>4</v>
      </c>
      <c r="H123" s="4"/>
      <c r="I123" s="4">
        <f>Table4[[#This Row],[Malın miqdarı]]*Table4[[#This Row],[Vahidin qiyməti]]</f>
        <v>0</v>
      </c>
      <c r="J123" s="4" t="s">
        <v>899</v>
      </c>
      <c r="K123" s="4" t="s">
        <v>893</v>
      </c>
      <c r="L123" s="4">
        <f>_xlfn.XLOOKUP(Table4[[#This Row],[Kontragentin adı]],Table2[Kontragentin adı],Table2[Müqavilə nömrəsi],"Xəta",0)</f>
        <v>0</v>
      </c>
      <c r="M123" s="4">
        <f>_xlfn.XLOOKUP(Table4[[#This Row],[Kontragentin adı]],Table2[Kontragentin adı],Table2[Müqavilə nömrəsi],"Xəta",0)</f>
        <v>0</v>
      </c>
    </row>
    <row r="124" spans="2:13" x14ac:dyDescent="0.3">
      <c r="B124" s="4">
        <f t="shared" si="1"/>
        <v>121</v>
      </c>
      <c r="C124" s="5">
        <v>46174</v>
      </c>
      <c r="D124" s="10" t="str" cm="1">
        <f t="array" ref="D124">_xlfn.XLOOKUP(Table4[[#This Row],[Malın kodu]],Table1[[#All],[Malın kodu]],Table1[[#All],[Malın adı]],"xəta",0)</f>
        <v>Birləşdirici / polietilen / çöl yivli / d 32mm / "Borfit" / Türkiyə istehsalı</v>
      </c>
      <c r="E124" s="8" t="s">
        <v>1031</v>
      </c>
      <c r="F124" s="4" t="s">
        <v>920</v>
      </c>
      <c r="G124" s="4">
        <v>5</v>
      </c>
      <c r="H124" s="4"/>
      <c r="I124" s="4">
        <f>Table4[[#This Row],[Malın miqdarı]]*Table4[[#This Row],[Vahidin qiyməti]]</f>
        <v>0</v>
      </c>
      <c r="J124" s="4" t="s">
        <v>899</v>
      </c>
      <c r="K124" s="4" t="s">
        <v>893</v>
      </c>
      <c r="L124" s="4">
        <f>_xlfn.XLOOKUP(Table4[[#This Row],[Kontragentin adı]],Table2[Kontragentin adı],Table2[Müqavilə nömrəsi],"Xəta",0)</f>
        <v>0</v>
      </c>
      <c r="M124" s="4">
        <f>_xlfn.XLOOKUP(Table4[[#This Row],[Kontragentin adı]],Table2[Kontragentin adı],Table2[Müqavilə nömrəsi],"Xəta",0)</f>
        <v>0</v>
      </c>
    </row>
    <row r="125" spans="2:13" x14ac:dyDescent="0.3">
      <c r="B125" s="4">
        <f t="shared" si="1"/>
        <v>122</v>
      </c>
      <c r="C125" s="5">
        <v>46174</v>
      </c>
      <c r="D125" s="10" t="str" cm="1">
        <f t="array" ref="D125">_xlfn.XLOOKUP(Table4[[#This Row],[Malın kodu]],Table1[[#All],[Malın kodu]],Table1[[#All],[Malın adı]],"xəta",0)</f>
        <v>Qapaq / polietilen / d 32mm / "Borfit" / Türkiyə istehsalı</v>
      </c>
      <c r="E125" s="8" t="s">
        <v>1032</v>
      </c>
      <c r="F125" s="4" t="s">
        <v>920</v>
      </c>
      <c r="G125" s="4">
        <v>11</v>
      </c>
      <c r="H125" s="4"/>
      <c r="I125" s="4">
        <f>Table4[[#This Row],[Malın miqdarı]]*Table4[[#This Row],[Vahidin qiyməti]]</f>
        <v>0</v>
      </c>
      <c r="J125" s="4" t="s">
        <v>899</v>
      </c>
      <c r="K125" s="4" t="s">
        <v>893</v>
      </c>
      <c r="L125" s="4">
        <f>_xlfn.XLOOKUP(Table4[[#This Row],[Kontragentin adı]],Table2[Kontragentin adı],Table2[Müqavilə nömrəsi],"Xəta",0)</f>
        <v>0</v>
      </c>
      <c r="M125" s="4">
        <f>_xlfn.XLOOKUP(Table4[[#This Row],[Kontragentin adı]],Table2[Kontragentin adı],Table2[Müqavilə nömrəsi],"Xəta",0)</f>
        <v>0</v>
      </c>
    </row>
    <row r="126" spans="2:13" x14ac:dyDescent="0.3">
      <c r="B126" s="4">
        <f t="shared" si="1"/>
        <v>123</v>
      </c>
      <c r="C126" s="5">
        <v>46174</v>
      </c>
      <c r="D126" s="10" t="str" cm="1">
        <f t="array" ref="D126">_xlfn.XLOOKUP(Table4[[#This Row],[Malın kodu]],Table1[[#All],[Malın kodu]],Table1[[#All],[Malın adı]],"xəta",0)</f>
        <v>Su filtri / d 20 mm / polipropilen / A</v>
      </c>
      <c r="E126" s="8" t="s">
        <v>1033</v>
      </c>
      <c r="F126" s="4" t="s">
        <v>920</v>
      </c>
      <c r="G126" s="4">
        <v>291</v>
      </c>
      <c r="H126" s="4"/>
      <c r="I126" s="4">
        <f>Table4[[#This Row],[Malın miqdarı]]*Table4[[#This Row],[Vahidin qiyməti]]</f>
        <v>0</v>
      </c>
      <c r="J126" s="4" t="s">
        <v>899</v>
      </c>
      <c r="K126" s="4" t="s">
        <v>893</v>
      </c>
      <c r="L126" s="4">
        <f>_xlfn.XLOOKUP(Table4[[#This Row],[Kontragentin adı]],Table2[Kontragentin adı],Table2[Müqavilə nömrəsi],"Xəta",0)</f>
        <v>0</v>
      </c>
      <c r="M126" s="4">
        <f>_xlfn.XLOOKUP(Table4[[#This Row],[Kontragentin adı]],Table2[Kontragentin adı],Table2[Müqavilə nömrəsi],"Xəta",0)</f>
        <v>0</v>
      </c>
    </row>
    <row r="127" spans="2:13" x14ac:dyDescent="0.3">
      <c r="B127" s="4">
        <f t="shared" si="1"/>
        <v>124</v>
      </c>
      <c r="C127" s="5">
        <v>46174</v>
      </c>
      <c r="D127" s="10" t="str" cm="1">
        <f t="array" ref="D127">_xlfn.XLOOKUP(Table4[[#This Row],[Malın kodu]],Table1[[#All],[Malın kodu]],Table1[[#All],[Malın adı]],"xəta",0)</f>
        <v>Qapaq / polipropilen / d 20 mm / Metal / Türkiyə</v>
      </c>
      <c r="E127" s="8" t="s">
        <v>1034</v>
      </c>
      <c r="F127" s="4" t="s">
        <v>920</v>
      </c>
      <c r="G127" s="4">
        <v>3</v>
      </c>
      <c r="H127" s="4"/>
      <c r="I127" s="4">
        <f>Table4[[#This Row],[Malın miqdarı]]*Table4[[#This Row],[Vahidin qiyməti]]</f>
        <v>0</v>
      </c>
      <c r="J127" s="4" t="s">
        <v>899</v>
      </c>
      <c r="K127" s="4" t="s">
        <v>893</v>
      </c>
      <c r="L127" s="4">
        <f>_xlfn.XLOOKUP(Table4[[#This Row],[Kontragentin adı]],Table2[Kontragentin adı],Table2[Müqavilə nömrəsi],"Xəta",0)</f>
        <v>0</v>
      </c>
      <c r="M127" s="4">
        <f>_xlfn.XLOOKUP(Table4[[#This Row],[Kontragentin adı]],Table2[Kontragentin adı],Table2[Müqavilə nömrəsi],"Xəta",0)</f>
        <v>0</v>
      </c>
    </row>
    <row r="128" spans="2:13" x14ac:dyDescent="0.3">
      <c r="B128" s="4">
        <f t="shared" si="1"/>
        <v>125</v>
      </c>
      <c r="C128" s="5">
        <v>46174</v>
      </c>
      <c r="D128" s="10" t="str" cm="1">
        <f t="array" ref="D128">_xlfn.XLOOKUP(Table4[[#This Row],[Malın kodu]],Table1[[#All],[Malın kodu]],Table1[[#All],[Malın adı]],"xəta",0)</f>
        <v>Mufta / d 20 mm / polipropilen / A</v>
      </c>
      <c r="E128" s="8" t="s">
        <v>1035</v>
      </c>
      <c r="F128" s="4" t="s">
        <v>920</v>
      </c>
      <c r="G128" s="4">
        <v>1</v>
      </c>
      <c r="H128" s="4"/>
      <c r="I128" s="4">
        <f>Table4[[#This Row],[Malın miqdarı]]*Table4[[#This Row],[Vahidin qiyməti]]</f>
        <v>0</v>
      </c>
      <c r="J128" s="4" t="s">
        <v>899</v>
      </c>
      <c r="K128" s="4" t="s">
        <v>893</v>
      </c>
      <c r="L128" s="4">
        <f>_xlfn.XLOOKUP(Table4[[#This Row],[Kontragentin adı]],Table2[Kontragentin adı],Table2[Müqavilə nömrəsi],"Xəta",0)</f>
        <v>0</v>
      </c>
      <c r="M128" s="4">
        <f>_xlfn.XLOOKUP(Table4[[#This Row],[Kontragentin adı]],Table2[Kontragentin adı],Table2[Müqavilə nömrəsi],"Xəta",0)</f>
        <v>0</v>
      </c>
    </row>
    <row r="129" spans="2:13" x14ac:dyDescent="0.3">
      <c r="B129" s="4">
        <f t="shared" si="1"/>
        <v>126</v>
      </c>
      <c r="C129" s="5">
        <v>46174</v>
      </c>
      <c r="D129" s="10" t="str" cm="1">
        <f t="array" ref="D129">_xlfn.XLOOKUP(Table4[[#This Row],[Malın kodu]],Table1[[#All],[Malın kodu]],Table1[[#All],[Malın adı]],"xəta",0)</f>
        <v>Tıxac/ vint üçün/ 10 mm/ plastik/ "Metak"</v>
      </c>
      <c r="E129" s="8" t="s">
        <v>1036</v>
      </c>
      <c r="F129" s="4" t="s">
        <v>922</v>
      </c>
      <c r="G129" s="4">
        <v>2</v>
      </c>
      <c r="H129" s="4"/>
      <c r="I129" s="4">
        <f>Table4[[#This Row],[Malın miqdarı]]*Table4[[#This Row],[Vahidin qiyməti]]</f>
        <v>0</v>
      </c>
      <c r="J129" s="4" t="s">
        <v>899</v>
      </c>
      <c r="K129" s="4" t="s">
        <v>893</v>
      </c>
      <c r="L129" s="4">
        <f>_xlfn.XLOOKUP(Table4[[#This Row],[Kontragentin adı]],Table2[Kontragentin adı],Table2[Müqavilə nömrəsi],"Xəta",0)</f>
        <v>0</v>
      </c>
      <c r="M129" s="4">
        <f>_xlfn.XLOOKUP(Table4[[#This Row],[Kontragentin adı]],Table2[Kontragentin adı],Table2[Müqavilə nömrəsi],"Xəta",0)</f>
        <v>0</v>
      </c>
    </row>
    <row r="130" spans="2:13" x14ac:dyDescent="0.3">
      <c r="B130" s="4">
        <f t="shared" si="1"/>
        <v>127</v>
      </c>
      <c r="C130" s="5">
        <v>46174</v>
      </c>
      <c r="D130" s="10" t="str" cm="1">
        <f t="array" ref="D130">_xlfn.XLOOKUP(Table4[[#This Row],[Malın kodu]],Table1[[#All],[Malın kodu]],Table1[[#All],[Malın adı]],"xəta",0)</f>
        <v>Tıxac/ vint üçün/ 8 mm/ plastik/ "Metak"</v>
      </c>
      <c r="E130" s="8" t="s">
        <v>1037</v>
      </c>
      <c r="F130" s="4" t="s">
        <v>922</v>
      </c>
      <c r="G130" s="4">
        <v>4</v>
      </c>
      <c r="H130" s="4"/>
      <c r="I130" s="4">
        <f>Table4[[#This Row],[Malın miqdarı]]*Table4[[#This Row],[Vahidin qiyməti]]</f>
        <v>0</v>
      </c>
      <c r="J130" s="4" t="s">
        <v>899</v>
      </c>
      <c r="K130" s="4" t="s">
        <v>893</v>
      </c>
      <c r="L130" s="4">
        <f>_xlfn.XLOOKUP(Table4[[#This Row],[Kontragentin adı]],Table2[Kontragentin adı],Table2[Müqavilə nömrəsi],"Xəta",0)</f>
        <v>0</v>
      </c>
      <c r="M130" s="4">
        <f>_xlfn.XLOOKUP(Table4[[#This Row],[Kontragentin adı]],Table2[Kontragentin adı],Table2[Müqavilə nömrəsi],"Xəta",0)</f>
        <v>0</v>
      </c>
    </row>
    <row r="131" spans="2:13" x14ac:dyDescent="0.3">
      <c r="B131" s="4">
        <f t="shared" si="1"/>
        <v>128</v>
      </c>
      <c r="C131" s="5">
        <v>46174</v>
      </c>
      <c r="D131" s="10" t="str" cm="1">
        <f t="array" ref="D131">_xlfn.XLOOKUP(Table4[[#This Row],[Malın kodu]],Table1[[#All],[Malın kodu]],Table1[[#All],[Malın adı]],"xəta",0)</f>
        <v>İzolyasiya materialı / boru üçün / PE / "Qingdao"/ Çin istehsalı</v>
      </c>
      <c r="E131" s="8" t="s">
        <v>1038</v>
      </c>
      <c r="F131" s="4" t="s">
        <v>920</v>
      </c>
      <c r="G131" s="4">
        <v>10</v>
      </c>
      <c r="H131" s="4"/>
      <c r="I131" s="4">
        <f>Table4[[#This Row],[Malın miqdarı]]*Table4[[#This Row],[Vahidin qiyməti]]</f>
        <v>0</v>
      </c>
      <c r="J131" s="4" t="s">
        <v>899</v>
      </c>
      <c r="K131" s="4" t="s">
        <v>893</v>
      </c>
      <c r="L131" s="4">
        <f>_xlfn.XLOOKUP(Table4[[#This Row],[Kontragentin adı]],Table2[Kontragentin adı],Table2[Müqavilə nömrəsi],"Xəta",0)</f>
        <v>0</v>
      </c>
      <c r="M131" s="4">
        <f>_xlfn.XLOOKUP(Table4[[#This Row],[Kontragentin adı]],Table2[Kontragentin adı],Table2[Müqavilə nömrəsi],"Xəta",0)</f>
        <v>0</v>
      </c>
    </row>
    <row r="132" spans="2:13" x14ac:dyDescent="0.3">
      <c r="B132" s="4">
        <f t="shared" ref="B132:B195" si="2">ROW()-3</f>
        <v>129</v>
      </c>
      <c r="C132" s="5">
        <v>46174</v>
      </c>
      <c r="D132" s="10" t="str" cm="1">
        <f t="array" ref="D132">_xlfn.XLOOKUP(Table4[[#This Row],[Malın kodu]],Table1[[#All],[Malın kodu]],Table1[[#All],[Malın adı]],"xəta",0)</f>
        <v>Elektrik soket /16 Amp / IP44 / Type 114 / "Botric"/ Türkiyə istehsalı</v>
      </c>
      <c r="E132" s="8" t="s">
        <v>1039</v>
      </c>
      <c r="F132" s="4" t="s">
        <v>920</v>
      </c>
      <c r="G132" s="4">
        <v>8</v>
      </c>
      <c r="H132" s="4"/>
      <c r="I132" s="4">
        <f>Table4[[#This Row],[Malın miqdarı]]*Table4[[#This Row],[Vahidin qiyməti]]</f>
        <v>0</v>
      </c>
      <c r="J132" s="4" t="s">
        <v>899</v>
      </c>
      <c r="K132" s="4" t="s">
        <v>893</v>
      </c>
      <c r="L132" s="4">
        <f>_xlfn.XLOOKUP(Table4[[#This Row],[Kontragentin adı]],Table2[Kontragentin adı],Table2[Müqavilə nömrəsi],"Xəta",0)</f>
        <v>0</v>
      </c>
      <c r="M132" s="4">
        <f>_xlfn.XLOOKUP(Table4[[#This Row],[Kontragentin adı]],Table2[Kontragentin adı],Table2[Müqavilə nömrəsi],"Xəta",0)</f>
        <v>0</v>
      </c>
    </row>
    <row r="133" spans="2:13" x14ac:dyDescent="0.3">
      <c r="B133" s="4">
        <f t="shared" si="2"/>
        <v>130</v>
      </c>
      <c r="C133" s="5">
        <v>46174</v>
      </c>
      <c r="D133" s="10" t="str" cm="1">
        <f t="array" ref="D133">_xlfn.XLOOKUP(Table4[[#This Row],[Malın kodu]],Table1[[#All],[Malın kodu]],Table1[[#All],[Malın adı]],"xəta",0)</f>
        <v>Elektrik soket/ 16 Amp/ IP44/ Type 014/ "Botric"/ Türkiyə istehsalı</v>
      </c>
      <c r="E133" s="8" t="s">
        <v>1040</v>
      </c>
      <c r="F133" s="4" t="s">
        <v>920</v>
      </c>
      <c r="G133" s="4">
        <v>8</v>
      </c>
      <c r="H133" s="4"/>
      <c r="I133" s="4">
        <f>Table4[[#This Row],[Malın miqdarı]]*Table4[[#This Row],[Vahidin qiyməti]]</f>
        <v>0</v>
      </c>
      <c r="J133" s="4" t="s">
        <v>899</v>
      </c>
      <c r="K133" s="4" t="s">
        <v>893</v>
      </c>
      <c r="L133" s="4">
        <f>_xlfn.XLOOKUP(Table4[[#This Row],[Kontragentin adı]],Table2[Kontragentin adı],Table2[Müqavilə nömrəsi],"Xəta",0)</f>
        <v>0</v>
      </c>
      <c r="M133" s="4">
        <f>_xlfn.XLOOKUP(Table4[[#This Row],[Kontragentin adı]],Table2[Kontragentin adı],Table2[Müqavilə nömrəsi],"Xəta",0)</f>
        <v>0</v>
      </c>
    </row>
    <row r="134" spans="2:13" x14ac:dyDescent="0.3">
      <c r="B134" s="4">
        <f t="shared" si="2"/>
        <v>131</v>
      </c>
      <c r="C134" s="5">
        <v>46174</v>
      </c>
      <c r="D134" s="10" t="str" cm="1">
        <f t="array" ref="D134">_xlfn.XLOOKUP(Table4[[#This Row],[Malın kodu]],Table1[[#All],[Malın kodu]],Table1[[#All],[Malın adı]],"xəta",0)</f>
        <v>Elektrik soket/ 63 Amp/ IP67/ Type 234/ "Botric"/ Türkiyə istehsalı</v>
      </c>
      <c r="E134" s="8" t="s">
        <v>1041</v>
      </c>
      <c r="F134" s="4" t="s">
        <v>920</v>
      </c>
      <c r="G134" s="4">
        <v>3</v>
      </c>
      <c r="H134" s="4"/>
      <c r="I134" s="4">
        <f>Table4[[#This Row],[Malın miqdarı]]*Table4[[#This Row],[Vahidin qiyməti]]</f>
        <v>0</v>
      </c>
      <c r="J134" s="4" t="s">
        <v>899</v>
      </c>
      <c r="K134" s="4" t="s">
        <v>893</v>
      </c>
      <c r="L134" s="4">
        <f>_xlfn.XLOOKUP(Table4[[#This Row],[Kontragentin adı]],Table2[Kontragentin adı],Table2[Müqavilə nömrəsi],"Xəta",0)</f>
        <v>0</v>
      </c>
      <c r="M134" s="4">
        <f>_xlfn.XLOOKUP(Table4[[#This Row],[Kontragentin adı]],Table2[Kontragentin adı],Table2[Müqavilə nömrəsi],"Xəta",0)</f>
        <v>0</v>
      </c>
    </row>
    <row r="135" spans="2:13" x14ac:dyDescent="0.3">
      <c r="B135" s="4">
        <f t="shared" si="2"/>
        <v>132</v>
      </c>
      <c r="C135" s="5">
        <v>46174</v>
      </c>
      <c r="D135" s="10" t="str" cm="1">
        <f t="array" ref="D135">_xlfn.XLOOKUP(Table4[[#This Row],[Malın kodu]],Table1[[#All],[Malın kodu]],Table1[[#All],[Malın adı]],"xəta",0)</f>
        <v>Doldurma tapançası/ 600ml</v>
      </c>
      <c r="E135" s="8" t="s">
        <v>1042</v>
      </c>
      <c r="F135" s="4" t="s">
        <v>920</v>
      </c>
      <c r="G135" s="4">
        <v>3</v>
      </c>
      <c r="H135" s="4"/>
      <c r="I135" s="4">
        <f>Table4[[#This Row],[Malın miqdarı]]*Table4[[#This Row],[Vahidin qiyməti]]</f>
        <v>0</v>
      </c>
      <c r="J135" s="4" t="s">
        <v>899</v>
      </c>
      <c r="K135" s="4" t="s">
        <v>893</v>
      </c>
      <c r="L135" s="4">
        <f>_xlfn.XLOOKUP(Table4[[#This Row],[Kontragentin adı]],Table2[Kontragentin adı],Table2[Müqavilə nömrəsi],"Xəta",0)</f>
        <v>0</v>
      </c>
      <c r="M135" s="4">
        <f>_xlfn.XLOOKUP(Table4[[#This Row],[Kontragentin adı]],Table2[Kontragentin adı],Table2[Müqavilə nömrəsi],"Xəta",0)</f>
        <v>0</v>
      </c>
    </row>
    <row r="136" spans="2:13" x14ac:dyDescent="0.3">
      <c r="B136" s="4">
        <f t="shared" si="2"/>
        <v>133</v>
      </c>
      <c r="C136" s="5">
        <v>46174</v>
      </c>
      <c r="D136" s="10" t="str" cm="1">
        <f t="array" ref="D136">_xlfn.XLOOKUP(Table4[[#This Row],[Malın kodu]],Table1[[#All],[Malın kodu]],Table1[[#All],[Malın adı]],"xəta",0)</f>
        <v>Cihaz / rütubət ölçən / 160°C / "Radwag" / MA 50.R / Polşa istehsalı</v>
      </c>
      <c r="E136" s="8" t="s">
        <v>1043</v>
      </c>
      <c r="F136" s="4" t="s">
        <v>920</v>
      </c>
      <c r="G136" s="4">
        <v>1</v>
      </c>
      <c r="H136" s="4"/>
      <c r="I136" s="4">
        <f>Table4[[#This Row],[Malın miqdarı]]*Table4[[#This Row],[Vahidin qiyməti]]</f>
        <v>0</v>
      </c>
      <c r="J136" s="4" t="s">
        <v>899</v>
      </c>
      <c r="K136" s="4" t="s">
        <v>893</v>
      </c>
      <c r="L136" s="4">
        <f>_xlfn.XLOOKUP(Table4[[#This Row],[Kontragentin adı]],Table2[Kontragentin adı],Table2[Müqavilə nömrəsi],"Xəta",0)</f>
        <v>0</v>
      </c>
      <c r="M136" s="4">
        <f>_xlfn.XLOOKUP(Table4[[#This Row],[Kontragentin adı]],Table2[Kontragentin adı],Table2[Müqavilə nömrəsi],"Xəta",0)</f>
        <v>0</v>
      </c>
    </row>
    <row r="137" spans="2:13" x14ac:dyDescent="0.3">
      <c r="B137" s="4">
        <f t="shared" si="2"/>
        <v>134</v>
      </c>
      <c r="C137" s="5">
        <v>46174</v>
      </c>
      <c r="D137" s="10" t="str" cm="1">
        <f t="array" ref="D137">_xlfn.XLOOKUP(Table4[[#This Row],[Malın kodu]],Table1[[#All],[Malın kodu]],Table1[[#All],[Malın adı]],"xəta",0)</f>
        <v>Qum saatı</v>
      </c>
      <c r="E137" s="8" t="s">
        <v>1044</v>
      </c>
      <c r="F137" s="4" t="s">
        <v>921</v>
      </c>
      <c r="G137" s="4">
        <v>1</v>
      </c>
      <c r="H137" s="4"/>
      <c r="I137" s="4">
        <f>Table4[[#This Row],[Malın miqdarı]]*Table4[[#This Row],[Vahidin qiyməti]]</f>
        <v>0</v>
      </c>
      <c r="J137" s="4" t="s">
        <v>899</v>
      </c>
      <c r="K137" s="4" t="s">
        <v>893</v>
      </c>
      <c r="L137" s="4">
        <f>_xlfn.XLOOKUP(Table4[[#This Row],[Kontragentin adı]],Table2[Kontragentin adı],Table2[Müqavilə nömrəsi],"Xəta",0)</f>
        <v>0</v>
      </c>
      <c r="M137" s="4">
        <f>_xlfn.XLOOKUP(Table4[[#This Row],[Kontragentin adı]],Table2[Kontragentin adı],Table2[Müqavilə nömrəsi],"Xəta",0)</f>
        <v>0</v>
      </c>
    </row>
    <row r="138" spans="2:13" x14ac:dyDescent="0.3">
      <c r="B138" s="4">
        <f t="shared" si="2"/>
        <v>135</v>
      </c>
      <c r="C138" s="5">
        <v>46174</v>
      </c>
      <c r="D138" s="10" t="str" cm="1">
        <f t="array" ref="D138">_xlfn.XLOOKUP(Table4[[#This Row],[Malın kodu]],Table1[[#All],[Malın kodu]],Table1[[#All],[Malın adı]],"xəta",0)</f>
        <v>İp / kapron / tikinti</v>
      </c>
      <c r="E138" s="8" t="s">
        <v>1045</v>
      </c>
      <c r="F138" s="4" t="s">
        <v>920</v>
      </c>
      <c r="G138" s="4">
        <v>10</v>
      </c>
      <c r="H138" s="4"/>
      <c r="I138" s="4">
        <f>Table4[[#This Row],[Malın miqdarı]]*Table4[[#This Row],[Vahidin qiyməti]]</f>
        <v>0</v>
      </c>
      <c r="J138" s="4" t="s">
        <v>899</v>
      </c>
      <c r="K138" s="4" t="s">
        <v>893</v>
      </c>
      <c r="L138" s="4">
        <f>_xlfn.XLOOKUP(Table4[[#This Row],[Kontragentin adı]],Table2[Kontragentin adı],Table2[Müqavilə nömrəsi],"Xəta",0)</f>
        <v>0</v>
      </c>
      <c r="M138" s="4">
        <f>_xlfn.XLOOKUP(Table4[[#This Row],[Kontragentin adı]],Table2[Kontragentin adı],Table2[Müqavilə nömrəsi],"Xəta",0)</f>
        <v>0</v>
      </c>
    </row>
    <row r="139" spans="2:13" x14ac:dyDescent="0.3">
      <c r="B139" s="4">
        <f t="shared" si="2"/>
        <v>136</v>
      </c>
      <c r="C139" s="5">
        <v>46174</v>
      </c>
      <c r="D139" s="10" t="str" cm="1">
        <f t="array" ref="D139">_xlfn.XLOOKUP(Table4[[#This Row],[Malın kodu]],Table1[[#All],[Malın kodu]],Table1[[#All],[Malın adı]],"xəta",0)</f>
        <v>Qutu / plastik / su sayğacı üçün</v>
      </c>
      <c r="E139" s="8" t="s">
        <v>1046</v>
      </c>
      <c r="F139" s="4" t="s">
        <v>920</v>
      </c>
      <c r="G139" s="4">
        <v>1</v>
      </c>
      <c r="H139" s="4"/>
      <c r="I139" s="4">
        <f>Table4[[#This Row],[Malın miqdarı]]*Table4[[#This Row],[Vahidin qiyməti]]</f>
        <v>0</v>
      </c>
      <c r="J139" s="4" t="s">
        <v>899</v>
      </c>
      <c r="K139" s="4" t="s">
        <v>893</v>
      </c>
      <c r="L139" s="4">
        <f>_xlfn.XLOOKUP(Table4[[#This Row],[Kontragentin adı]],Table2[Kontragentin adı],Table2[Müqavilə nömrəsi],"Xəta",0)</f>
        <v>0</v>
      </c>
      <c r="M139" s="4">
        <f>_xlfn.XLOOKUP(Table4[[#This Row],[Kontragentin adı]],Table2[Kontragentin adı],Table2[Müqavilə nömrəsi],"Xəta",0)</f>
        <v>0</v>
      </c>
    </row>
    <row r="140" spans="2:13" x14ac:dyDescent="0.3">
      <c r="B140" s="4">
        <f t="shared" si="2"/>
        <v>137</v>
      </c>
      <c r="C140" s="5">
        <v>46174</v>
      </c>
      <c r="D140" s="10" t="str" cm="1">
        <f t="array" ref="D140">_xlfn.XLOOKUP(Table4[[#This Row],[Malın kodu]],Table1[[#All],[Malın kodu]],Table1[[#All],[Malın adı]],"xəta",0)</f>
        <v>Monitor / kompüter üçün / 23,8 inch / "Dell" / SE2416H / Çin istehsalı</v>
      </c>
      <c r="E140" s="8" t="s">
        <v>1047</v>
      </c>
      <c r="F140" s="4" t="s">
        <v>920</v>
      </c>
      <c r="G140" s="4">
        <v>1</v>
      </c>
      <c r="H140" s="4"/>
      <c r="I140" s="4">
        <f>Table4[[#This Row],[Malın miqdarı]]*Table4[[#This Row],[Vahidin qiyməti]]</f>
        <v>0</v>
      </c>
      <c r="J140" s="4" t="s">
        <v>899</v>
      </c>
      <c r="K140" s="4" t="s">
        <v>893</v>
      </c>
      <c r="L140" s="4">
        <f>_xlfn.XLOOKUP(Table4[[#This Row],[Kontragentin adı]],Table2[Kontragentin adı],Table2[Müqavilə nömrəsi],"Xəta",0)</f>
        <v>0</v>
      </c>
      <c r="M140" s="4">
        <f>_xlfn.XLOOKUP(Table4[[#This Row],[Kontragentin adı]],Table2[Kontragentin adı],Table2[Müqavilə nömrəsi],"Xəta",0)</f>
        <v>0</v>
      </c>
    </row>
    <row r="141" spans="2:13" x14ac:dyDescent="0.3">
      <c r="B141" s="4">
        <f t="shared" si="2"/>
        <v>138</v>
      </c>
      <c r="C141" s="5">
        <v>46174</v>
      </c>
      <c r="D141" s="10" t="str" cm="1">
        <f t="array" ref="D141">_xlfn.XLOOKUP(Table4[[#This Row],[Malın kodu]],Table1[[#All],[Malın kodu]],Table1[[#All],[Malın adı]],"xəta",0)</f>
        <v>Monitor / kompüter üçün / 21,45 inch / "HP" / V2265 / Çin istehsalı</v>
      </c>
      <c r="E141" s="8" t="s">
        <v>1048</v>
      </c>
      <c r="F141" s="4" t="s">
        <v>920</v>
      </c>
      <c r="G141" s="4">
        <v>1</v>
      </c>
      <c r="H141" s="4"/>
      <c r="I141" s="4">
        <f>Table4[[#This Row],[Malın miqdarı]]*Table4[[#This Row],[Vahidin qiyməti]]</f>
        <v>0</v>
      </c>
      <c r="J141" s="4" t="s">
        <v>899</v>
      </c>
      <c r="K141" s="4" t="s">
        <v>893</v>
      </c>
      <c r="L141" s="4">
        <f>_xlfn.XLOOKUP(Table4[[#This Row],[Kontragentin adı]],Table2[Kontragentin adı],Table2[Müqavilə nömrəsi],"Xəta",0)</f>
        <v>0</v>
      </c>
      <c r="M141" s="4">
        <f>_xlfn.XLOOKUP(Table4[[#This Row],[Kontragentin adı]],Table2[Kontragentin adı],Table2[Müqavilə nömrəsi],"Xəta",0)</f>
        <v>0</v>
      </c>
    </row>
    <row r="142" spans="2:13" x14ac:dyDescent="0.3">
      <c r="B142" s="4">
        <f t="shared" si="2"/>
        <v>139</v>
      </c>
      <c r="C142" s="5">
        <v>46174</v>
      </c>
      <c r="D142" s="10" t="str" cm="1">
        <f t="array" ref="D142">_xlfn.XLOOKUP(Table4[[#This Row],[Malın kodu]],Table1[[#All],[Malın kodu]],Table1[[#All],[Malın adı]],"xəta",0)</f>
        <v>Monitor / kompüter üçün / 17 inch / "Sony" / SDM-HS74 / Çin istehsalı</v>
      </c>
      <c r="E142" s="8" t="s">
        <v>1049</v>
      </c>
      <c r="F142" s="4" t="s">
        <v>920</v>
      </c>
      <c r="G142" s="4">
        <v>1</v>
      </c>
      <c r="H142" s="4"/>
      <c r="I142" s="4">
        <f>Table4[[#This Row],[Malın miqdarı]]*Table4[[#This Row],[Vahidin qiyməti]]</f>
        <v>0</v>
      </c>
      <c r="J142" s="4" t="s">
        <v>899</v>
      </c>
      <c r="K142" s="4" t="s">
        <v>893</v>
      </c>
      <c r="L142" s="4">
        <f>_xlfn.XLOOKUP(Table4[[#This Row],[Kontragentin adı]],Table2[Kontragentin adı],Table2[Müqavilə nömrəsi],"Xəta",0)</f>
        <v>0</v>
      </c>
      <c r="M142" s="4">
        <f>_xlfn.XLOOKUP(Table4[[#This Row],[Kontragentin adı]],Table2[Kontragentin adı],Table2[Müqavilə nömrəsi],"Xəta",0)</f>
        <v>0</v>
      </c>
    </row>
    <row r="143" spans="2:13" x14ac:dyDescent="0.3">
      <c r="B143" s="4">
        <f t="shared" si="2"/>
        <v>140</v>
      </c>
      <c r="C143" s="5">
        <v>46174</v>
      </c>
      <c r="D143" s="10" t="str" cm="1">
        <f t="array" ref="D143">_xlfn.XLOOKUP(Table4[[#This Row],[Malın kodu]],Table1[[#All],[Malın kodu]],Table1[[#All],[Malın adı]],"xəta",0)</f>
        <v>Monitor / 20 inch / "HP" / HP 2011X / Çin istehsalı</v>
      </c>
      <c r="E143" s="8" t="s">
        <v>1050</v>
      </c>
      <c r="F143" s="4" t="s">
        <v>920</v>
      </c>
      <c r="G143" s="4">
        <v>1</v>
      </c>
      <c r="H143" s="4"/>
      <c r="I143" s="4">
        <f>Table4[[#This Row],[Malın miqdarı]]*Table4[[#This Row],[Vahidin qiyməti]]</f>
        <v>0</v>
      </c>
      <c r="J143" s="4" t="s">
        <v>899</v>
      </c>
      <c r="K143" s="4" t="s">
        <v>893</v>
      </c>
      <c r="L143" s="4">
        <f>_xlfn.XLOOKUP(Table4[[#This Row],[Kontragentin adı]],Table2[Kontragentin adı],Table2[Müqavilə nömrəsi],"Xəta",0)</f>
        <v>0</v>
      </c>
      <c r="M143" s="4">
        <f>_xlfn.XLOOKUP(Table4[[#This Row],[Kontragentin adı]],Table2[Kontragentin adı],Table2[Müqavilə nömrəsi],"Xəta",0)</f>
        <v>0</v>
      </c>
    </row>
    <row r="144" spans="2:13" x14ac:dyDescent="0.3">
      <c r="B144" s="4">
        <f t="shared" si="2"/>
        <v>141</v>
      </c>
      <c r="C144" s="5">
        <v>46174</v>
      </c>
      <c r="D144" s="10" t="str" cm="1">
        <f t="array" ref="D144">_xlfn.XLOOKUP(Table4[[#This Row],[Malın kodu]],Table1[[#All],[Malın kodu]],Table1[[#All],[Malın adı]],"xəta",0)</f>
        <v>Monitor / 18,5 inch / "PHILIPS" / 200V4L / Çin istehsalı</v>
      </c>
      <c r="E144" s="8" t="s">
        <v>1051</v>
      </c>
      <c r="F144" s="4" t="s">
        <v>920</v>
      </c>
      <c r="G144" s="4">
        <v>1</v>
      </c>
      <c r="H144" s="4"/>
      <c r="I144" s="4">
        <f>Table4[[#This Row],[Malın miqdarı]]*Table4[[#This Row],[Vahidin qiyməti]]</f>
        <v>0</v>
      </c>
      <c r="J144" s="4" t="s">
        <v>899</v>
      </c>
      <c r="K144" s="4" t="s">
        <v>893</v>
      </c>
      <c r="L144" s="4">
        <f>_xlfn.XLOOKUP(Table4[[#This Row],[Kontragentin adı]],Table2[Kontragentin adı],Table2[Müqavilə nömrəsi],"Xəta",0)</f>
        <v>0</v>
      </c>
      <c r="M144" s="4">
        <f>_xlfn.XLOOKUP(Table4[[#This Row],[Kontragentin adı]],Table2[Kontragentin adı],Table2[Müqavilə nömrəsi],"Xəta",0)</f>
        <v>0</v>
      </c>
    </row>
    <row r="145" spans="2:13" x14ac:dyDescent="0.3">
      <c r="B145" s="4">
        <f t="shared" si="2"/>
        <v>142</v>
      </c>
      <c r="C145" s="5">
        <v>46174</v>
      </c>
      <c r="D145" s="10" t="str" cm="1">
        <f t="array" ref="D145">_xlfn.XLOOKUP(Table4[[#This Row],[Malın kodu]],Table1[[#All],[Malın kodu]],Table1[[#All],[Malın adı]],"xəta",0)</f>
        <v>TV / 23,6 inch / "LG" / 24MT47V-PZ / Koreya istehsalı</v>
      </c>
      <c r="E145" s="8" t="s">
        <v>1052</v>
      </c>
      <c r="F145" s="4" t="s">
        <v>920</v>
      </c>
      <c r="G145" s="4">
        <v>1</v>
      </c>
      <c r="H145" s="4"/>
      <c r="I145" s="4">
        <f>Table4[[#This Row],[Malın miqdarı]]*Table4[[#This Row],[Vahidin qiyməti]]</f>
        <v>0</v>
      </c>
      <c r="J145" s="4" t="s">
        <v>899</v>
      </c>
      <c r="K145" s="4" t="s">
        <v>893</v>
      </c>
      <c r="L145" s="4">
        <f>_xlfn.XLOOKUP(Table4[[#This Row],[Kontragentin adı]],Table2[Kontragentin adı],Table2[Müqavilə nömrəsi],"Xəta",0)</f>
        <v>0</v>
      </c>
      <c r="M145" s="4">
        <f>_xlfn.XLOOKUP(Table4[[#This Row],[Kontragentin adı]],Table2[Kontragentin adı],Table2[Müqavilə nömrəsi],"Xəta",0)</f>
        <v>0</v>
      </c>
    </row>
    <row r="146" spans="2:13" x14ac:dyDescent="0.3">
      <c r="B146" s="4">
        <f t="shared" si="2"/>
        <v>143</v>
      </c>
      <c r="C146" s="5">
        <v>46174</v>
      </c>
      <c r="D146" s="10" t="str" cm="1">
        <f t="array" ref="D146">_xlfn.XLOOKUP(Table4[[#This Row],[Malın kodu]],Table1[[#All],[Malın kodu]],Table1[[#All],[Malın adı]],"xəta",0)</f>
        <v>Prosessor / T6 / "Zalman"</v>
      </c>
      <c r="E146" s="8" t="s">
        <v>1053</v>
      </c>
      <c r="F146" s="4" t="s">
        <v>920</v>
      </c>
      <c r="G146" s="4">
        <v>1</v>
      </c>
      <c r="H146" s="4"/>
      <c r="I146" s="4">
        <f>Table4[[#This Row],[Malın miqdarı]]*Table4[[#This Row],[Vahidin qiyməti]]</f>
        <v>0</v>
      </c>
      <c r="J146" s="4" t="s">
        <v>899</v>
      </c>
      <c r="K146" s="4" t="s">
        <v>893</v>
      </c>
      <c r="L146" s="4">
        <f>_xlfn.XLOOKUP(Table4[[#This Row],[Kontragentin adı]],Table2[Kontragentin adı],Table2[Müqavilə nömrəsi],"Xəta",0)</f>
        <v>0</v>
      </c>
      <c r="M146" s="4">
        <f>_xlfn.XLOOKUP(Table4[[#This Row],[Kontragentin adı]],Table2[Kontragentin adı],Table2[Müqavilə nömrəsi],"Xəta",0)</f>
        <v>0</v>
      </c>
    </row>
    <row r="147" spans="2:13" x14ac:dyDescent="0.3">
      <c r="B147" s="4">
        <f t="shared" si="2"/>
        <v>144</v>
      </c>
      <c r="C147" s="5">
        <v>46174</v>
      </c>
      <c r="D147" s="10" t="str" cm="1">
        <f t="array" ref="D147">_xlfn.XLOOKUP(Table4[[#This Row],[Malın kodu]],Table1[[#All],[Malın kodu]],Table1[[#All],[Malın adı]],"xəta",0)</f>
        <v>Personal kompüter / Intel Core 2 Duo / "HP" / Compaq DX7400</v>
      </c>
      <c r="E147" s="8" t="s">
        <v>1054</v>
      </c>
      <c r="F147" s="4" t="s">
        <v>920</v>
      </c>
      <c r="G147" s="4">
        <v>1</v>
      </c>
      <c r="H147" s="4"/>
      <c r="I147" s="4">
        <f>Table4[[#This Row],[Malın miqdarı]]*Table4[[#This Row],[Vahidin qiyməti]]</f>
        <v>0</v>
      </c>
      <c r="J147" s="4" t="s">
        <v>899</v>
      </c>
      <c r="K147" s="4" t="s">
        <v>893</v>
      </c>
      <c r="L147" s="4">
        <f>_xlfn.XLOOKUP(Table4[[#This Row],[Kontragentin adı]],Table2[Kontragentin adı],Table2[Müqavilə nömrəsi],"Xəta",0)</f>
        <v>0</v>
      </c>
      <c r="M147" s="4">
        <f>_xlfn.XLOOKUP(Table4[[#This Row],[Kontragentin adı]],Table2[Kontragentin adı],Table2[Müqavilə nömrəsi],"Xəta",0)</f>
        <v>0</v>
      </c>
    </row>
    <row r="148" spans="2:13" x14ac:dyDescent="0.3">
      <c r="B148" s="4">
        <f t="shared" si="2"/>
        <v>145</v>
      </c>
      <c r="C148" s="5">
        <v>46174</v>
      </c>
      <c r="D148" s="10" t="str" cm="1">
        <f t="array" ref="D148">_xlfn.XLOOKUP(Table4[[#This Row],[Malın kodu]],Table1[[#All],[Malın kodu]],Table1[[#All],[Malın adı]],"xəta",0)</f>
        <v>Klaviatura / "A4Tech"</v>
      </c>
      <c r="E148" s="8" t="s">
        <v>1055</v>
      </c>
      <c r="F148" s="4" t="s">
        <v>920</v>
      </c>
      <c r="G148" s="4">
        <v>1</v>
      </c>
      <c r="H148" s="4"/>
      <c r="I148" s="4">
        <f>Table4[[#This Row],[Malın miqdarı]]*Table4[[#This Row],[Vahidin qiyməti]]</f>
        <v>0</v>
      </c>
      <c r="J148" s="4" t="s">
        <v>899</v>
      </c>
      <c r="K148" s="4" t="s">
        <v>893</v>
      </c>
      <c r="L148" s="4">
        <f>_xlfn.XLOOKUP(Table4[[#This Row],[Kontragentin adı]],Table2[Kontragentin adı],Table2[Müqavilə nömrəsi],"Xəta",0)</f>
        <v>0</v>
      </c>
      <c r="M148" s="4">
        <f>_xlfn.XLOOKUP(Table4[[#This Row],[Kontragentin adı]],Table2[Kontragentin adı],Table2[Müqavilə nömrəsi],"Xəta",0)</f>
        <v>0</v>
      </c>
    </row>
    <row r="149" spans="2:13" x14ac:dyDescent="0.3">
      <c r="B149" s="4">
        <f t="shared" si="2"/>
        <v>146</v>
      </c>
      <c r="C149" s="5">
        <v>46174</v>
      </c>
      <c r="D149" s="10" t="str" cm="1">
        <f t="array" ref="D149">_xlfn.XLOOKUP(Table4[[#This Row],[Malın kodu]],Table1[[#All],[Malın kodu]],Table1[[#All],[Malın adı]],"xəta",0)</f>
        <v>Mouse / "A4Tech"</v>
      </c>
      <c r="E149" s="8" t="s">
        <v>1056</v>
      </c>
      <c r="F149" s="4" t="s">
        <v>920</v>
      </c>
      <c r="G149" s="4">
        <v>1</v>
      </c>
      <c r="H149" s="4"/>
      <c r="I149" s="4">
        <f>Table4[[#This Row],[Malın miqdarı]]*Table4[[#This Row],[Vahidin qiyməti]]</f>
        <v>0</v>
      </c>
      <c r="J149" s="4" t="s">
        <v>899</v>
      </c>
      <c r="K149" s="4" t="s">
        <v>893</v>
      </c>
      <c r="L149" s="4">
        <f>_xlfn.XLOOKUP(Table4[[#This Row],[Kontragentin adı]],Table2[Kontragentin adı],Table2[Müqavilə nömrəsi],"Xəta",0)</f>
        <v>0</v>
      </c>
      <c r="M149" s="4">
        <f>_xlfn.XLOOKUP(Table4[[#This Row],[Kontragentin adı]],Table2[Kontragentin adı],Table2[Müqavilə nömrəsi],"Xəta",0)</f>
        <v>0</v>
      </c>
    </row>
    <row r="150" spans="2:13" x14ac:dyDescent="0.3">
      <c r="B150" s="4">
        <f t="shared" si="2"/>
        <v>147</v>
      </c>
      <c r="C150" s="5">
        <v>46174</v>
      </c>
      <c r="D150" s="10" t="str" cm="1">
        <f t="array" ref="D150">_xlfn.XLOOKUP(Table4[[#This Row],[Malın kodu]],Table1[[#All],[Malın kodu]],Table1[[#All],[Malın adı]],"xəta",0)</f>
        <v>Alət / qazma / 1850 Wt / "REMS" / 180010 R220 / Almaniya istehsalı</v>
      </c>
      <c r="E150" s="8" t="s">
        <v>1057</v>
      </c>
      <c r="F150" s="4" t="s">
        <v>920</v>
      </c>
      <c r="G150" s="4">
        <v>1</v>
      </c>
      <c r="H150" s="4"/>
      <c r="I150" s="4">
        <f>Table4[[#This Row],[Malın miqdarı]]*Table4[[#This Row],[Vahidin qiyməti]]</f>
        <v>0</v>
      </c>
      <c r="J150" s="4" t="s">
        <v>899</v>
      </c>
      <c r="K150" s="4" t="s">
        <v>893</v>
      </c>
      <c r="L150" s="4">
        <f>_xlfn.XLOOKUP(Table4[[#This Row],[Kontragentin adı]],Table2[Kontragentin adı],Table2[Müqavilə nömrəsi],"Xəta",0)</f>
        <v>0</v>
      </c>
      <c r="M150" s="4">
        <f>_xlfn.XLOOKUP(Table4[[#This Row],[Kontragentin adı]],Table2[Kontragentin adı],Table2[Müqavilə nömrəsi],"Xəta",0)</f>
        <v>0</v>
      </c>
    </row>
    <row r="151" spans="2:13" x14ac:dyDescent="0.3">
      <c r="B151" s="4">
        <f t="shared" si="2"/>
        <v>148</v>
      </c>
      <c r="C151" s="5">
        <v>46174</v>
      </c>
      <c r="D151" s="10" t="str" cm="1">
        <f t="array" ref="D151">_xlfn.XLOOKUP(Table4[[#This Row],[Malın kodu]],Table1[[#All],[Malın kodu]],Table1[[#All],[Malın adı]],"xəta",0)</f>
        <v>Maklovitsa fırçası</v>
      </c>
      <c r="E151" s="8" t="s">
        <v>1058</v>
      </c>
      <c r="F151" s="4" t="s">
        <v>920</v>
      </c>
      <c r="G151" s="4">
        <v>2</v>
      </c>
      <c r="H151" s="4"/>
      <c r="I151" s="4">
        <f>Table4[[#This Row],[Malın miqdarı]]*Table4[[#This Row],[Vahidin qiyməti]]</f>
        <v>0</v>
      </c>
      <c r="J151" s="4" t="s">
        <v>899</v>
      </c>
      <c r="K151" s="4" t="s">
        <v>893</v>
      </c>
      <c r="L151" s="4">
        <f>_xlfn.XLOOKUP(Table4[[#This Row],[Kontragentin adı]],Table2[Kontragentin adı],Table2[Müqavilə nömrəsi],"Xəta",0)</f>
        <v>0</v>
      </c>
      <c r="M151" s="4">
        <f>_xlfn.XLOOKUP(Table4[[#This Row],[Kontragentin adı]],Table2[Kontragentin adı],Table2[Müqavilə nömrəsi],"Xəta",0)</f>
        <v>0</v>
      </c>
    </row>
    <row r="152" spans="2:13" x14ac:dyDescent="0.3">
      <c r="B152" s="4">
        <f t="shared" si="2"/>
        <v>149</v>
      </c>
      <c r="C152" s="5">
        <v>46174</v>
      </c>
      <c r="D152" s="10" t="str" cm="1">
        <f t="array" ref="D152">_xlfn.XLOOKUP(Table4[[#This Row],[Malın kodu]],Table1[[#All],[Malın kodu]],Table1[[#All],[Malın adı]],"xəta",0)</f>
        <v>Qızdırıcı fen / 2000 Wt / "Raf" / Çin istehsalı</v>
      </c>
      <c r="E152" s="8" t="s">
        <v>1059</v>
      </c>
      <c r="F152" s="4" t="s">
        <v>920</v>
      </c>
      <c r="G152" s="4">
        <v>2</v>
      </c>
      <c r="H152" s="4"/>
      <c r="I152" s="4">
        <f>Table4[[#This Row],[Malın miqdarı]]*Table4[[#This Row],[Vahidin qiyməti]]</f>
        <v>0</v>
      </c>
      <c r="J152" s="4" t="s">
        <v>899</v>
      </c>
      <c r="K152" s="4" t="s">
        <v>893</v>
      </c>
      <c r="L152" s="4">
        <f>_xlfn.XLOOKUP(Table4[[#This Row],[Kontragentin adı]],Table2[Kontragentin adı],Table2[Müqavilə nömrəsi],"Xəta",0)</f>
        <v>0</v>
      </c>
      <c r="M152" s="4">
        <f>_xlfn.XLOOKUP(Table4[[#This Row],[Kontragentin adı]],Table2[Kontragentin adı],Table2[Müqavilə nömrəsi],"Xəta",0)</f>
        <v>0</v>
      </c>
    </row>
    <row r="153" spans="2:13" x14ac:dyDescent="0.3">
      <c r="B153" s="4">
        <f t="shared" si="2"/>
        <v>150</v>
      </c>
      <c r="C153" s="5">
        <v>46174</v>
      </c>
      <c r="D153" s="10" t="str" cm="1">
        <f t="array" ref="D153">_xlfn.XLOOKUP(Table4[[#This Row],[Malın kodu]],Table1[[#All],[Malın kodu]],Table1[[#All],[Malın adı]],"xəta",0)</f>
        <v>Gərginlik tənzimləyicisi (Stabilizator) / 20 kVt / "Andeli" / SVC-2000 VA / Çin istehsalı</v>
      </c>
      <c r="E153" s="8" t="s">
        <v>1060</v>
      </c>
      <c r="F153" s="4" t="s">
        <v>920</v>
      </c>
      <c r="G153" s="4">
        <v>1</v>
      </c>
      <c r="H153" s="4"/>
      <c r="I153" s="4">
        <f>Table4[[#This Row],[Malın miqdarı]]*Table4[[#This Row],[Vahidin qiyməti]]</f>
        <v>0</v>
      </c>
      <c r="J153" s="4" t="s">
        <v>899</v>
      </c>
      <c r="K153" s="4" t="s">
        <v>893</v>
      </c>
      <c r="L153" s="4">
        <f>_xlfn.XLOOKUP(Table4[[#This Row],[Kontragentin adı]],Table2[Kontragentin adı],Table2[Müqavilə nömrəsi],"Xəta",0)</f>
        <v>0</v>
      </c>
      <c r="M153" s="4">
        <f>_xlfn.XLOOKUP(Table4[[#This Row],[Kontragentin adı]],Table2[Kontragentin adı],Table2[Müqavilə nömrəsi],"Xəta",0)</f>
        <v>0</v>
      </c>
    </row>
    <row r="154" spans="2:13" x14ac:dyDescent="0.3">
      <c r="B154" s="4">
        <f t="shared" si="2"/>
        <v>151</v>
      </c>
      <c r="C154" s="5">
        <v>46174</v>
      </c>
      <c r="D154" s="10" t="str" cm="1">
        <f t="array" ref="D154">_xlfn.XLOOKUP(Table4[[#This Row],[Malın kodu]],Table1[[#All],[Malın kodu]],Table1[[#All],[Malın adı]],"xəta",0)</f>
        <v>Printer / "HP" / MFP M181FW / Vyetnam istehsalı</v>
      </c>
      <c r="E154" s="8" t="s">
        <v>1061</v>
      </c>
      <c r="F154" s="4" t="s">
        <v>920</v>
      </c>
      <c r="G154" s="4">
        <v>1</v>
      </c>
      <c r="H154" s="4"/>
      <c r="I154" s="4">
        <f>Table4[[#This Row],[Malın miqdarı]]*Table4[[#This Row],[Vahidin qiyməti]]</f>
        <v>0</v>
      </c>
      <c r="J154" s="4" t="s">
        <v>899</v>
      </c>
      <c r="K154" s="4" t="s">
        <v>893</v>
      </c>
      <c r="L154" s="4">
        <f>_xlfn.XLOOKUP(Table4[[#This Row],[Kontragentin adı]],Table2[Kontragentin adı],Table2[Müqavilə nömrəsi],"Xəta",0)</f>
        <v>0</v>
      </c>
      <c r="M154" s="4">
        <f>_xlfn.XLOOKUP(Table4[[#This Row],[Kontragentin adı]],Table2[Kontragentin adı],Table2[Müqavilə nömrəsi],"Xəta",0)</f>
        <v>0</v>
      </c>
    </row>
    <row r="155" spans="2:13" x14ac:dyDescent="0.3">
      <c r="B155" s="4">
        <f t="shared" si="2"/>
        <v>152</v>
      </c>
      <c r="C155" s="5">
        <v>46174</v>
      </c>
      <c r="D155" s="10" t="str" cm="1">
        <f t="array" ref="D155">_xlfn.XLOOKUP(Table4[[#This Row],[Malın kodu]],Table1[[#All],[Malın kodu]],Table1[[#All],[Malın adı]],"xəta",0)</f>
        <v>Elektrik mişar / 2350 Wt / d 235 mm / "Viktor" /  Çin istehsalı</v>
      </c>
      <c r="E155" s="8" t="s">
        <v>1062</v>
      </c>
      <c r="F155" s="4" t="s">
        <v>920</v>
      </c>
      <c r="G155" s="4">
        <v>1</v>
      </c>
      <c r="H155" s="4"/>
      <c r="I155" s="4">
        <f>Table4[[#This Row],[Malın miqdarı]]*Table4[[#This Row],[Vahidin qiyməti]]</f>
        <v>0</v>
      </c>
      <c r="J155" s="4" t="s">
        <v>899</v>
      </c>
      <c r="K155" s="4" t="s">
        <v>893</v>
      </c>
      <c r="L155" s="4">
        <f>_xlfn.XLOOKUP(Table4[[#This Row],[Kontragentin adı]],Table2[Kontragentin adı],Table2[Müqavilə nömrəsi],"Xəta",0)</f>
        <v>0</v>
      </c>
      <c r="M155" s="4">
        <f>_xlfn.XLOOKUP(Table4[[#This Row],[Kontragentin adı]],Table2[Kontragentin adı],Table2[Müqavilə nömrəsi],"Xəta",0)</f>
        <v>0</v>
      </c>
    </row>
    <row r="156" spans="2:13" x14ac:dyDescent="0.3">
      <c r="B156" s="4">
        <f t="shared" si="2"/>
        <v>153</v>
      </c>
      <c r="C156" s="5">
        <v>46174</v>
      </c>
      <c r="D156" s="10" t="str" cm="1">
        <f t="array" ref="D156">_xlfn.XLOOKUP(Table4[[#This Row],[Malın kodu]],Table1[[#All],[Malın kodu]],Table1[[#All],[Malın adı]],"xəta",0)</f>
        <v>Perforator / "Bosch" / GBH 11 DE / Almaniya istehsalı</v>
      </c>
      <c r="E156" s="8" t="s">
        <v>1063</v>
      </c>
      <c r="F156" s="4" t="s">
        <v>920</v>
      </c>
      <c r="G156" s="4">
        <v>1</v>
      </c>
      <c r="H156" s="4"/>
      <c r="I156" s="4">
        <f>Table4[[#This Row],[Malın miqdarı]]*Table4[[#This Row],[Vahidin qiyməti]]</f>
        <v>0</v>
      </c>
      <c r="J156" s="4" t="s">
        <v>899</v>
      </c>
      <c r="K156" s="4" t="s">
        <v>893</v>
      </c>
      <c r="L156" s="4">
        <f>_xlfn.XLOOKUP(Table4[[#This Row],[Kontragentin adı]],Table2[Kontragentin adı],Table2[Müqavilə nömrəsi],"Xəta",0)</f>
        <v>0</v>
      </c>
      <c r="M156" s="4">
        <f>_xlfn.XLOOKUP(Table4[[#This Row],[Kontragentin adı]],Table2[Kontragentin adı],Table2[Müqavilə nömrəsi],"Xəta",0)</f>
        <v>0</v>
      </c>
    </row>
    <row r="157" spans="2:13" x14ac:dyDescent="0.3">
      <c r="B157" s="4">
        <f t="shared" si="2"/>
        <v>154</v>
      </c>
      <c r="C157" s="5">
        <v>46174</v>
      </c>
      <c r="D157" s="10" t="str" cm="1">
        <f t="array" ref="D157">_xlfn.XLOOKUP(Table4[[#This Row],[Malın kodu]],Table1[[#All],[Malın kodu]],Table1[[#All],[Malın adı]],"xəta",0)</f>
        <v>Pika / 25 x 400 mm / pnevmatik çəkic üçün / Çin istehsalı</v>
      </c>
      <c r="E157" s="8" t="s">
        <v>1064</v>
      </c>
      <c r="F157" s="4" t="s">
        <v>920</v>
      </c>
      <c r="G157" s="4">
        <v>8</v>
      </c>
      <c r="H157" s="4"/>
      <c r="I157" s="4">
        <f>Table4[[#This Row],[Malın miqdarı]]*Table4[[#This Row],[Vahidin qiyməti]]</f>
        <v>0</v>
      </c>
      <c r="J157" s="4" t="s">
        <v>899</v>
      </c>
      <c r="K157" s="4" t="s">
        <v>893</v>
      </c>
      <c r="L157" s="4">
        <f>_xlfn.XLOOKUP(Table4[[#This Row],[Kontragentin adı]],Table2[Kontragentin adı],Table2[Müqavilə nömrəsi],"Xəta",0)</f>
        <v>0</v>
      </c>
      <c r="M157" s="4">
        <f>_xlfn.XLOOKUP(Table4[[#This Row],[Kontragentin adı]],Table2[Kontragentin adı],Table2[Müqavilə nömrəsi],"Xəta",0)</f>
        <v>0</v>
      </c>
    </row>
    <row r="158" spans="2:13" x14ac:dyDescent="0.3">
      <c r="B158" s="4">
        <f t="shared" si="2"/>
        <v>155</v>
      </c>
      <c r="C158" s="5">
        <v>46174</v>
      </c>
      <c r="D158" s="10" t="str" cm="1">
        <f t="array" ref="D158">_xlfn.XLOOKUP(Table4[[#This Row],[Malın kodu]],Table1[[#All],[Malın kodu]],Table1[[#All],[Malın adı]],"xəta",0)</f>
        <v>Təkər / əl arabası üçün</v>
      </c>
      <c r="E158" s="8" t="s">
        <v>1065</v>
      </c>
      <c r="F158" s="4" t="s">
        <v>920</v>
      </c>
      <c r="G158" s="4">
        <v>2</v>
      </c>
      <c r="H158" s="4"/>
      <c r="I158" s="4">
        <f>Table4[[#This Row],[Malın miqdarı]]*Table4[[#This Row],[Vahidin qiyməti]]</f>
        <v>0</v>
      </c>
      <c r="J158" s="4" t="s">
        <v>899</v>
      </c>
      <c r="K158" s="4" t="s">
        <v>893</v>
      </c>
      <c r="L158" s="4">
        <f>_xlfn.XLOOKUP(Table4[[#This Row],[Kontragentin adı]],Table2[Kontragentin adı],Table2[Müqavilə nömrəsi],"Xəta",0)</f>
        <v>0</v>
      </c>
      <c r="M158" s="4">
        <f>_xlfn.XLOOKUP(Table4[[#This Row],[Kontragentin adı]],Table2[Kontragentin adı],Table2[Müqavilə nömrəsi],"Xəta",0)</f>
        <v>0</v>
      </c>
    </row>
    <row r="159" spans="2:13" x14ac:dyDescent="0.3">
      <c r="B159" s="4">
        <f t="shared" si="2"/>
        <v>156</v>
      </c>
      <c r="C159" s="5">
        <v>46174</v>
      </c>
      <c r="D159" s="10" t="str" cm="1">
        <f t="array" ref="D159">_xlfn.XLOOKUP(Table4[[#This Row],[Malın kodu]],Table1[[#All],[Malın kodu]],Table1[[#All],[Malın adı]],"xəta",0)</f>
        <v>Manometr / 10 Bar / "Pakkens" / Türkiyə istehsalı</v>
      </c>
      <c r="E159" s="8" t="s">
        <v>1066</v>
      </c>
      <c r="F159" s="4" t="s">
        <v>920</v>
      </c>
      <c r="G159" s="4">
        <v>2</v>
      </c>
      <c r="H159" s="4"/>
      <c r="I159" s="4">
        <f>Table4[[#This Row],[Malın miqdarı]]*Table4[[#This Row],[Vahidin qiyməti]]</f>
        <v>0</v>
      </c>
      <c r="J159" s="4" t="s">
        <v>899</v>
      </c>
      <c r="K159" s="4" t="s">
        <v>893</v>
      </c>
      <c r="L159" s="4">
        <f>_xlfn.XLOOKUP(Table4[[#This Row],[Kontragentin adı]],Table2[Kontragentin adı],Table2[Müqavilə nömrəsi],"Xəta",0)</f>
        <v>0</v>
      </c>
      <c r="M159" s="4">
        <f>_xlfn.XLOOKUP(Table4[[#This Row],[Kontragentin adı]],Table2[Kontragentin adı],Table2[Müqavilə nömrəsi],"Xəta",0)</f>
        <v>0</v>
      </c>
    </row>
    <row r="160" spans="2:13" x14ac:dyDescent="0.3">
      <c r="B160" s="4">
        <f t="shared" si="2"/>
        <v>157</v>
      </c>
      <c r="C160" s="5">
        <v>46174</v>
      </c>
      <c r="D160" s="10" t="str" cm="1">
        <f t="array" ref="D160">_xlfn.XLOOKUP(Table4[[#This Row],[Malın kodu]],Table1[[#All],[Malın kodu]],Table1[[#All],[Malın adı]],"xəta",0)</f>
        <v>Mişar başlığı dəsti</v>
      </c>
      <c r="E160" s="8" t="s">
        <v>1067</v>
      </c>
      <c r="F160" s="4" t="s">
        <v>920</v>
      </c>
      <c r="G160" s="4">
        <v>1</v>
      </c>
      <c r="H160" s="4"/>
      <c r="I160" s="4">
        <f>Table4[[#This Row],[Malın miqdarı]]*Table4[[#This Row],[Vahidin qiyməti]]</f>
        <v>0</v>
      </c>
      <c r="J160" s="4" t="s">
        <v>899</v>
      </c>
      <c r="K160" s="4" t="s">
        <v>893</v>
      </c>
      <c r="L160" s="4">
        <f>_xlfn.XLOOKUP(Table4[[#This Row],[Kontragentin adı]],Table2[Kontragentin adı],Table2[Müqavilə nömrəsi],"Xəta",0)</f>
        <v>0</v>
      </c>
      <c r="M160" s="4">
        <f>_xlfn.XLOOKUP(Table4[[#This Row],[Kontragentin adı]],Table2[Kontragentin adı],Table2[Müqavilə nömrəsi],"Xəta",0)</f>
        <v>0</v>
      </c>
    </row>
    <row r="161" spans="2:13" x14ac:dyDescent="0.3">
      <c r="B161" s="4">
        <f t="shared" si="2"/>
        <v>158</v>
      </c>
      <c r="C161" s="5">
        <v>46174</v>
      </c>
      <c r="D161" s="10" t="str" cm="1">
        <f t="array" ref="D161">_xlfn.XLOOKUP(Table4[[#This Row],[Malın kodu]],Table1[[#All],[Malın kodu]],Table1[[#All],[Malın adı]],"xəta",0)</f>
        <v>Boya / sprey / mavi / 400 ml / "Grabond" / Çin istehsalı</v>
      </c>
      <c r="E161" s="8" t="s">
        <v>1068</v>
      </c>
      <c r="F161" s="4" t="s">
        <v>920</v>
      </c>
      <c r="G161" s="4">
        <v>1</v>
      </c>
      <c r="H161" s="4"/>
      <c r="I161" s="4">
        <f>Table4[[#This Row],[Malın miqdarı]]*Table4[[#This Row],[Vahidin qiyməti]]</f>
        <v>0</v>
      </c>
      <c r="J161" s="4" t="s">
        <v>899</v>
      </c>
      <c r="K161" s="4" t="s">
        <v>893</v>
      </c>
      <c r="L161" s="4">
        <f>_xlfn.XLOOKUP(Table4[[#This Row],[Kontragentin adı]],Table2[Kontragentin adı],Table2[Müqavilə nömrəsi],"Xəta",0)</f>
        <v>0</v>
      </c>
      <c r="M161" s="4">
        <f>_xlfn.XLOOKUP(Table4[[#This Row],[Kontragentin adı]],Table2[Kontragentin adı],Table2[Müqavilə nömrəsi],"Xəta",0)</f>
        <v>0</v>
      </c>
    </row>
    <row r="162" spans="2:13" x14ac:dyDescent="0.3">
      <c r="B162" s="4">
        <f t="shared" si="2"/>
        <v>159</v>
      </c>
      <c r="C162" s="5">
        <v>46174</v>
      </c>
      <c r="D162" s="10" t="str" cm="1">
        <f t="array" ref="D162">_xlfn.XLOOKUP(Table4[[#This Row],[Malın kodu]],Table1[[#All],[Malın kodu]],Table1[[#All],[Malın adı]],"xəta",0)</f>
        <v>Boya / sprey / göy / 400 ml / "Grabond" / Çin istehsalı</v>
      </c>
      <c r="E162" s="8" t="s">
        <v>1069</v>
      </c>
      <c r="F162" s="4" t="s">
        <v>920</v>
      </c>
      <c r="G162" s="4">
        <v>1</v>
      </c>
      <c r="H162" s="4"/>
      <c r="I162" s="4">
        <f>Table4[[#This Row],[Malın miqdarı]]*Table4[[#This Row],[Vahidin qiyməti]]</f>
        <v>0</v>
      </c>
      <c r="J162" s="4" t="s">
        <v>899</v>
      </c>
      <c r="K162" s="4" t="s">
        <v>893</v>
      </c>
      <c r="L162" s="4">
        <f>_xlfn.XLOOKUP(Table4[[#This Row],[Kontragentin adı]],Table2[Kontragentin adı],Table2[Müqavilə nömrəsi],"Xəta",0)</f>
        <v>0</v>
      </c>
      <c r="M162" s="4">
        <f>_xlfn.XLOOKUP(Table4[[#This Row],[Kontragentin adı]],Table2[Kontragentin adı],Table2[Müqavilə nömrəsi],"Xəta",0)</f>
        <v>0</v>
      </c>
    </row>
    <row r="163" spans="2:13" x14ac:dyDescent="0.3">
      <c r="B163" s="4">
        <f t="shared" si="2"/>
        <v>160</v>
      </c>
      <c r="C163" s="5">
        <v>46174</v>
      </c>
      <c r="D163" s="10" t="str" cm="1">
        <f t="array" ref="D163">_xlfn.XLOOKUP(Table4[[#This Row],[Malın kodu]],Table1[[#All],[Malın kodu]],Table1[[#All],[Malın adı]],"xəta",0)</f>
        <v>Boya / sprey / qırmızı / 400 ml / "Vakko" / Çin</v>
      </c>
      <c r="E163" s="8" t="s">
        <v>1070</v>
      </c>
      <c r="F163" s="4" t="s">
        <v>920</v>
      </c>
      <c r="G163" s="4">
        <v>1</v>
      </c>
      <c r="H163" s="4"/>
      <c r="I163" s="4">
        <f>Table4[[#This Row],[Malın miqdarı]]*Table4[[#This Row],[Vahidin qiyməti]]</f>
        <v>0</v>
      </c>
      <c r="J163" s="4" t="s">
        <v>899</v>
      </c>
      <c r="K163" s="4" t="s">
        <v>893</v>
      </c>
      <c r="L163" s="4">
        <f>_xlfn.XLOOKUP(Table4[[#This Row],[Kontragentin adı]],Table2[Kontragentin adı],Table2[Müqavilə nömrəsi],"Xəta",0)</f>
        <v>0</v>
      </c>
      <c r="M163" s="4">
        <f>_xlfn.XLOOKUP(Table4[[#This Row],[Kontragentin adı]],Table2[Kontragentin adı],Table2[Müqavilə nömrəsi],"Xəta",0)</f>
        <v>0</v>
      </c>
    </row>
    <row r="164" spans="2:13" x14ac:dyDescent="0.3">
      <c r="B164" s="4">
        <f t="shared" si="2"/>
        <v>161</v>
      </c>
      <c r="C164" s="5">
        <v>46174</v>
      </c>
      <c r="D164" s="10" t="str" cm="1">
        <f t="array" ref="D164">_xlfn.XLOOKUP(Table4[[#This Row],[Malın kodu]],Table1[[#All],[Malın kodu]],Table1[[#All],[Malın adı]],"xəta",0)</f>
        <v>Yapışdırıcı / poliuretan / suya davamlı / 600 ml / "APEL" / PA300 / Türkiyə istehsalı</v>
      </c>
      <c r="E164" s="8" t="s">
        <v>1071</v>
      </c>
      <c r="F164" s="4" t="s">
        <v>920</v>
      </c>
      <c r="G164" s="4">
        <v>2</v>
      </c>
      <c r="H164" s="4"/>
      <c r="I164" s="4">
        <f>Table4[[#This Row],[Malın miqdarı]]*Table4[[#This Row],[Vahidin qiyməti]]</f>
        <v>0</v>
      </c>
      <c r="J164" s="4" t="s">
        <v>899</v>
      </c>
      <c r="K164" s="4" t="s">
        <v>893</v>
      </c>
      <c r="L164" s="4">
        <f>_xlfn.XLOOKUP(Table4[[#This Row],[Kontragentin adı]],Table2[Kontragentin adı],Table2[Müqavilə nömrəsi],"Xəta",0)</f>
        <v>0</v>
      </c>
      <c r="M164" s="4">
        <f>_xlfn.XLOOKUP(Table4[[#This Row],[Kontragentin adı]],Table2[Kontragentin adı],Table2[Müqavilə nömrəsi],"Xəta",0)</f>
        <v>0</v>
      </c>
    </row>
    <row r="165" spans="2:13" x14ac:dyDescent="0.3">
      <c r="B165" s="4">
        <f t="shared" si="2"/>
        <v>162</v>
      </c>
      <c r="C165" s="5">
        <v>46174</v>
      </c>
      <c r="D165" s="10" t="str" cm="1">
        <f t="array" ref="D165">_xlfn.XLOOKUP(Table4[[#This Row],[Malın kodu]],Table1[[#All],[Malın kodu]],Table1[[#All],[Malın adı]],"xəta",0)</f>
        <v>Yapışdırıcı / 2 komponentli / 1 kq / "Rema" / Almaniya istehsalı</v>
      </c>
      <c r="E165" s="8" t="s">
        <v>1072</v>
      </c>
      <c r="F165" s="4" t="s">
        <v>920</v>
      </c>
      <c r="G165" s="4">
        <v>1</v>
      </c>
      <c r="H165" s="4"/>
      <c r="I165" s="4">
        <f>Table4[[#This Row],[Malın miqdarı]]*Table4[[#This Row],[Vahidin qiyməti]]</f>
        <v>0</v>
      </c>
      <c r="J165" s="4" t="s">
        <v>899</v>
      </c>
      <c r="K165" s="4" t="s">
        <v>893</v>
      </c>
      <c r="L165" s="4">
        <f>_xlfn.XLOOKUP(Table4[[#This Row],[Kontragentin adı]],Table2[Kontragentin adı],Table2[Müqavilə nömrəsi],"Xəta",0)</f>
        <v>0</v>
      </c>
      <c r="M165" s="4">
        <f>_xlfn.XLOOKUP(Table4[[#This Row],[Kontragentin adı]],Table2[Kontragentin adı],Table2[Müqavilə nömrəsi],"Xəta",0)</f>
        <v>0</v>
      </c>
    </row>
    <row r="166" spans="2:13" x14ac:dyDescent="0.3">
      <c r="B166" s="4">
        <f t="shared" si="2"/>
        <v>163</v>
      </c>
      <c r="C166" s="5">
        <v>46174</v>
      </c>
      <c r="D166" s="10" t="str" cm="1">
        <f t="array" ref="D166">_xlfn.XLOOKUP(Table4[[#This Row],[Malın kodu]],Table1[[#All],[Malın kodu]],Table1[[#All],[Malın adı]],"xəta",0)</f>
        <v>Açar başlığı / 70 mm</v>
      </c>
      <c r="E166" s="8" t="s">
        <v>1073</v>
      </c>
      <c r="F166" s="4" t="s">
        <v>920</v>
      </c>
      <c r="G166" s="4">
        <v>1</v>
      </c>
      <c r="H166" s="4"/>
      <c r="I166" s="4">
        <f>Table4[[#This Row],[Malın miqdarı]]*Table4[[#This Row],[Vahidin qiyməti]]</f>
        <v>0</v>
      </c>
      <c r="J166" s="4" t="s">
        <v>899</v>
      </c>
      <c r="K166" s="4" t="s">
        <v>893</v>
      </c>
      <c r="L166" s="4">
        <f>_xlfn.XLOOKUP(Table4[[#This Row],[Kontragentin adı]],Table2[Kontragentin adı],Table2[Müqavilə nömrəsi],"Xəta",0)</f>
        <v>0</v>
      </c>
      <c r="M166" s="4">
        <f>_xlfn.XLOOKUP(Table4[[#This Row],[Kontragentin adı]],Table2[Kontragentin adı],Table2[Müqavilə nömrəsi],"Xəta",0)</f>
        <v>0</v>
      </c>
    </row>
    <row r="167" spans="2:13" x14ac:dyDescent="0.3">
      <c r="B167" s="4">
        <f t="shared" si="2"/>
        <v>164</v>
      </c>
      <c r="C167" s="5">
        <v>46174</v>
      </c>
      <c r="D167" s="10" t="str" cm="1">
        <f t="array" ref="D167">_xlfn.XLOOKUP(Table4[[#This Row],[Malın kodu]],Table1[[#All],[Malın kodu]],Table1[[#All],[Malın adı]],"xəta",0)</f>
        <v>Açar başlığı / 50 mm</v>
      </c>
      <c r="E167" s="8" t="s">
        <v>1074</v>
      </c>
      <c r="F167" s="4" t="s">
        <v>920</v>
      </c>
      <c r="G167" s="4">
        <v>1</v>
      </c>
      <c r="H167" s="4"/>
      <c r="I167" s="4">
        <f>Table4[[#This Row],[Malın miqdarı]]*Table4[[#This Row],[Vahidin qiyməti]]</f>
        <v>0</v>
      </c>
      <c r="J167" s="4" t="s">
        <v>899</v>
      </c>
      <c r="K167" s="4" t="s">
        <v>893</v>
      </c>
      <c r="L167" s="4">
        <f>_xlfn.XLOOKUP(Table4[[#This Row],[Kontragentin adı]],Table2[Kontragentin adı],Table2[Müqavilə nömrəsi],"Xəta",0)</f>
        <v>0</v>
      </c>
      <c r="M167" s="4">
        <f>_xlfn.XLOOKUP(Table4[[#This Row],[Kontragentin adı]],Table2[Kontragentin adı],Table2[Müqavilə nömrəsi],"Xəta",0)</f>
        <v>0</v>
      </c>
    </row>
    <row r="168" spans="2:13" x14ac:dyDescent="0.3">
      <c r="B168" s="4">
        <f t="shared" si="2"/>
        <v>165</v>
      </c>
      <c r="C168" s="5">
        <v>46174</v>
      </c>
      <c r="D168" s="10" t="str" cm="1">
        <f t="array" ref="D168">_xlfn.XLOOKUP(Table4[[#This Row],[Malın kodu]],Table1[[#All],[Malın kodu]],Table1[[#All],[Malın adı]],"xəta",0)</f>
        <v>Açar başlığı / 36 mm</v>
      </c>
      <c r="E168" s="8" t="s">
        <v>1075</v>
      </c>
      <c r="F168" s="4" t="s">
        <v>920</v>
      </c>
      <c r="G168" s="4">
        <v>1</v>
      </c>
      <c r="H168" s="4"/>
      <c r="I168" s="4">
        <f>Table4[[#This Row],[Malın miqdarı]]*Table4[[#This Row],[Vahidin qiyməti]]</f>
        <v>0</v>
      </c>
      <c r="J168" s="4" t="s">
        <v>899</v>
      </c>
      <c r="K168" s="4" t="s">
        <v>893</v>
      </c>
      <c r="L168" s="4">
        <f>_xlfn.XLOOKUP(Table4[[#This Row],[Kontragentin adı]],Table2[Kontragentin adı],Table2[Müqavilə nömrəsi],"Xəta",0)</f>
        <v>0</v>
      </c>
      <c r="M168" s="4">
        <f>_xlfn.XLOOKUP(Table4[[#This Row],[Kontragentin adı]],Table2[Kontragentin adı],Table2[Müqavilə nömrəsi],"Xəta",0)</f>
        <v>0</v>
      </c>
    </row>
    <row r="169" spans="2:13" x14ac:dyDescent="0.3">
      <c r="B169" s="4">
        <f t="shared" si="2"/>
        <v>166</v>
      </c>
      <c r="C169" s="5">
        <v>46174</v>
      </c>
      <c r="D169" s="10" t="str" cm="1">
        <f t="array" ref="D169">_xlfn.XLOOKUP(Table4[[#This Row],[Malın kodu]],Table1[[#All],[Malın kodu]],Table1[[#All],[Malın adı]],"xəta",0)</f>
        <v>Açar başlığı / 32 mm</v>
      </c>
      <c r="E169" s="8" t="s">
        <v>1076</v>
      </c>
      <c r="F169" s="4" t="s">
        <v>920</v>
      </c>
      <c r="G169" s="4">
        <v>1</v>
      </c>
      <c r="H169" s="4"/>
      <c r="I169" s="4">
        <f>Table4[[#This Row],[Malın miqdarı]]*Table4[[#This Row],[Vahidin qiyməti]]</f>
        <v>0</v>
      </c>
      <c r="J169" s="4" t="s">
        <v>899</v>
      </c>
      <c r="K169" s="4" t="s">
        <v>893</v>
      </c>
      <c r="L169" s="4">
        <f>_xlfn.XLOOKUP(Table4[[#This Row],[Kontragentin adı]],Table2[Kontragentin adı],Table2[Müqavilə nömrəsi],"Xəta",0)</f>
        <v>0</v>
      </c>
      <c r="M169" s="4">
        <f>_xlfn.XLOOKUP(Table4[[#This Row],[Kontragentin adı]],Table2[Kontragentin adı],Table2[Müqavilə nömrəsi],"Xəta",0)</f>
        <v>0</v>
      </c>
    </row>
    <row r="170" spans="2:13" x14ac:dyDescent="0.3">
      <c r="B170" s="4">
        <f t="shared" si="2"/>
        <v>167</v>
      </c>
      <c r="C170" s="5">
        <v>46174</v>
      </c>
      <c r="D170" s="10" t="str" cm="1">
        <f t="array" ref="D170">_xlfn.XLOOKUP(Table4[[#This Row],[Malın kodu]],Table1[[#All],[Malın kodu]],Table1[[#All],[Malın adı]],"xəta",0)</f>
        <v>Açar başlığı / 30 mm</v>
      </c>
      <c r="E170" s="8" t="s">
        <v>1077</v>
      </c>
      <c r="F170" s="4" t="s">
        <v>920</v>
      </c>
      <c r="G170" s="4">
        <v>1</v>
      </c>
      <c r="H170" s="4"/>
      <c r="I170" s="4">
        <f>Table4[[#This Row],[Malın miqdarı]]*Table4[[#This Row],[Vahidin qiyməti]]</f>
        <v>0</v>
      </c>
      <c r="J170" s="4" t="s">
        <v>899</v>
      </c>
      <c r="K170" s="4" t="s">
        <v>893</v>
      </c>
      <c r="L170" s="4">
        <f>_xlfn.XLOOKUP(Table4[[#This Row],[Kontragentin adı]],Table2[Kontragentin adı],Table2[Müqavilə nömrəsi],"Xəta",0)</f>
        <v>0</v>
      </c>
      <c r="M170" s="4">
        <f>_xlfn.XLOOKUP(Table4[[#This Row],[Kontragentin adı]],Table2[Kontragentin adı],Table2[Müqavilə nömrəsi],"Xəta",0)</f>
        <v>0</v>
      </c>
    </row>
    <row r="171" spans="2:13" x14ac:dyDescent="0.3">
      <c r="B171" s="4">
        <f t="shared" si="2"/>
        <v>168</v>
      </c>
      <c r="C171" s="5">
        <v>46174</v>
      </c>
      <c r="D171" s="10" t="str" cm="1">
        <f t="array" ref="D171">_xlfn.XLOOKUP(Table4[[#This Row],[Malın kodu]],Table1[[#All],[Malın kodu]],Table1[[#All],[Malın adı]],"xəta",0)</f>
        <v>Açar başlığı / 15 mm</v>
      </c>
      <c r="E171" s="8" t="s">
        <v>1078</v>
      </c>
      <c r="F171" s="4" t="s">
        <v>920</v>
      </c>
      <c r="G171" s="4">
        <v>1</v>
      </c>
      <c r="H171" s="4"/>
      <c r="I171" s="4">
        <f>Table4[[#This Row],[Malın miqdarı]]*Table4[[#This Row],[Vahidin qiyməti]]</f>
        <v>0</v>
      </c>
      <c r="J171" s="4" t="s">
        <v>899</v>
      </c>
      <c r="K171" s="4" t="s">
        <v>893</v>
      </c>
      <c r="L171" s="4">
        <f>_xlfn.XLOOKUP(Table4[[#This Row],[Kontragentin adı]],Table2[Kontragentin adı],Table2[Müqavilə nömrəsi],"Xəta",0)</f>
        <v>0</v>
      </c>
      <c r="M171" s="4">
        <f>_xlfn.XLOOKUP(Table4[[#This Row],[Kontragentin adı]],Table2[Kontragentin adı],Table2[Müqavilə nömrəsi],"Xəta",0)</f>
        <v>0</v>
      </c>
    </row>
    <row r="172" spans="2:13" x14ac:dyDescent="0.3">
      <c r="B172" s="4">
        <f t="shared" si="2"/>
        <v>169</v>
      </c>
      <c r="C172" s="5">
        <v>46174</v>
      </c>
      <c r="D172" s="10" t="str" cm="1">
        <f t="array" ref="D172">_xlfn.XLOOKUP(Table4[[#This Row],[Malın kodu]],Table1[[#All],[Malın kodu]],Table1[[#All],[Malın adı]],"xəta",0)</f>
        <v>Pompa / təzyiq sınağı / 60 Atm / mexaniki / "Candan" / CM-60 / Türkiyə istehsalı</v>
      </c>
      <c r="E172" s="8" t="s">
        <v>1079</v>
      </c>
      <c r="F172" s="4" t="s">
        <v>920</v>
      </c>
      <c r="G172" s="4">
        <v>1</v>
      </c>
      <c r="H172" s="4"/>
      <c r="I172" s="4">
        <f>Table4[[#This Row],[Malın miqdarı]]*Table4[[#This Row],[Vahidin qiyməti]]</f>
        <v>0</v>
      </c>
      <c r="J172" s="4" t="s">
        <v>899</v>
      </c>
      <c r="K172" s="4" t="s">
        <v>893</v>
      </c>
      <c r="L172" s="4">
        <f>_xlfn.XLOOKUP(Table4[[#This Row],[Kontragentin adı]],Table2[Kontragentin adı],Table2[Müqavilə nömrəsi],"Xəta",0)</f>
        <v>0</v>
      </c>
      <c r="M172" s="4">
        <f>_xlfn.XLOOKUP(Table4[[#This Row],[Kontragentin adı]],Table2[Kontragentin adı],Table2[Müqavilə nömrəsi],"Xəta",0)</f>
        <v>0</v>
      </c>
    </row>
    <row r="173" spans="2:13" x14ac:dyDescent="0.3">
      <c r="B173" s="4">
        <f t="shared" si="2"/>
        <v>170</v>
      </c>
      <c r="C173" s="5">
        <v>46174</v>
      </c>
      <c r="D173" s="10" t="str" cm="1">
        <f t="array" ref="D173">_xlfn.XLOOKUP(Table4[[#This Row],[Malın kodu]],Table1[[#All],[Malın kodu]],Table1[[#All],[Malın adı]],"xəta",0)</f>
        <v>Su pompası / IP 44 / 0,37 kVt / Q=5-30 Litr / H=32metr / "M5" / Çin istehsalı</v>
      </c>
      <c r="E173" s="8" t="s">
        <v>1080</v>
      </c>
      <c r="F173" s="4" t="s">
        <v>920</v>
      </c>
      <c r="G173" s="4">
        <v>1</v>
      </c>
      <c r="H173" s="4"/>
      <c r="I173" s="4">
        <f>Table4[[#This Row],[Malın miqdarı]]*Table4[[#This Row],[Vahidin qiyməti]]</f>
        <v>0</v>
      </c>
      <c r="J173" s="4" t="s">
        <v>899</v>
      </c>
      <c r="K173" s="4" t="s">
        <v>893</v>
      </c>
      <c r="L173" s="4">
        <f>_xlfn.XLOOKUP(Table4[[#This Row],[Kontragentin adı]],Table2[Kontragentin adı],Table2[Müqavilə nömrəsi],"Xəta",0)</f>
        <v>0</v>
      </c>
      <c r="M173" s="4">
        <f>_xlfn.XLOOKUP(Table4[[#This Row],[Kontragentin adı]],Table2[Kontragentin adı],Table2[Müqavilə nömrəsi],"Xəta",0)</f>
        <v>0</v>
      </c>
    </row>
    <row r="174" spans="2:13" x14ac:dyDescent="0.3">
      <c r="B174" s="4">
        <f t="shared" si="2"/>
        <v>171</v>
      </c>
      <c r="C174" s="5">
        <v>46174</v>
      </c>
      <c r="D174" s="10" t="str" cm="1">
        <f t="array" ref="D174">_xlfn.XLOOKUP(Table4[[#This Row],[Malın kodu]],Table1[[#All],[Malın kodu]],Table1[[#All],[Malın adı]],"xəta",0)</f>
        <v>Yanğınsöndürmə lövhəsi / şlanq ilə</v>
      </c>
      <c r="E174" s="8" t="s">
        <v>1081</v>
      </c>
      <c r="F174" s="4" t="s">
        <v>920</v>
      </c>
      <c r="G174" s="4">
        <v>1</v>
      </c>
      <c r="H174" s="4"/>
      <c r="I174" s="4">
        <f>Table4[[#This Row],[Malın miqdarı]]*Table4[[#This Row],[Vahidin qiyməti]]</f>
        <v>0</v>
      </c>
      <c r="J174" s="4" t="s">
        <v>899</v>
      </c>
      <c r="K174" s="4" t="s">
        <v>893</v>
      </c>
      <c r="L174" s="4">
        <f>_xlfn.XLOOKUP(Table4[[#This Row],[Kontragentin adı]],Table2[Kontragentin adı],Table2[Müqavilə nömrəsi],"Xəta",0)</f>
        <v>0</v>
      </c>
      <c r="M174" s="4">
        <f>_xlfn.XLOOKUP(Table4[[#This Row],[Kontragentin adı]],Table2[Kontragentin adı],Table2[Müqavilə nömrəsi],"Xəta",0)</f>
        <v>0</v>
      </c>
    </row>
    <row r="175" spans="2:13" x14ac:dyDescent="0.3">
      <c r="B175" s="4">
        <f t="shared" si="2"/>
        <v>172</v>
      </c>
      <c r="C175" s="5">
        <v>46174</v>
      </c>
      <c r="D175" s="10" t="str" cm="1">
        <f t="array" ref="D175">_xlfn.XLOOKUP(Table4[[#This Row],[Malın kodu]],Table1[[#All],[Malın kodu]],Table1[[#All],[Malın adı]],"xəta",0)</f>
        <v>Filtr / hava / CR 0237 / "Sampiyon" / Türkiyə istehsalı</v>
      </c>
      <c r="E175" s="8" t="s">
        <v>1082</v>
      </c>
      <c r="F175" s="4" t="s">
        <v>920</v>
      </c>
      <c r="G175" s="4">
        <v>2</v>
      </c>
      <c r="H175" s="4"/>
      <c r="I175" s="4">
        <f>Table4[[#This Row],[Malın miqdarı]]*Table4[[#This Row],[Vahidin qiyməti]]</f>
        <v>0</v>
      </c>
      <c r="J175" s="4" t="s">
        <v>899</v>
      </c>
      <c r="K175" s="4" t="s">
        <v>893</v>
      </c>
      <c r="L175" s="4">
        <f>_xlfn.XLOOKUP(Table4[[#This Row],[Kontragentin adı]],Table2[Kontragentin adı],Table2[Müqavilə nömrəsi],"Xəta",0)</f>
        <v>0</v>
      </c>
      <c r="M175" s="4">
        <f>_xlfn.XLOOKUP(Table4[[#This Row],[Kontragentin adı]],Table2[Kontragentin adı],Table2[Müqavilə nömrəsi],"Xəta",0)</f>
        <v>0</v>
      </c>
    </row>
    <row r="176" spans="2:13" x14ac:dyDescent="0.3">
      <c r="B176" s="4">
        <f t="shared" si="2"/>
        <v>173</v>
      </c>
      <c r="C176" s="5">
        <v>46174</v>
      </c>
      <c r="D176" s="10" t="str" cm="1">
        <f t="array" ref="D176">_xlfn.XLOOKUP(Table4[[#This Row],[Malın kodu]],Table1[[#All],[Malın kodu]],Table1[[#All],[Malın adı]],"xəta",0)</f>
        <v>Lazer nivelyatoru / "AGL" / Almaniya istehsalı</v>
      </c>
      <c r="E176" s="8" t="s">
        <v>1083</v>
      </c>
      <c r="F176" s="4" t="s">
        <v>920</v>
      </c>
      <c r="G176" s="4">
        <v>1</v>
      </c>
      <c r="H176" s="4"/>
      <c r="I176" s="4">
        <f>Table4[[#This Row],[Malın miqdarı]]*Table4[[#This Row],[Vahidin qiyməti]]</f>
        <v>0</v>
      </c>
      <c r="J176" s="4" t="s">
        <v>899</v>
      </c>
      <c r="K176" s="4" t="s">
        <v>893</v>
      </c>
      <c r="L176" s="4">
        <f>_xlfn.XLOOKUP(Table4[[#This Row],[Kontragentin adı]],Table2[Kontragentin adı],Table2[Müqavilə nömrəsi],"Xəta",0)</f>
        <v>0</v>
      </c>
      <c r="M176" s="4">
        <f>_xlfn.XLOOKUP(Table4[[#This Row],[Kontragentin adı]],Table2[Kontragentin adı],Table2[Müqavilə nömrəsi],"Xəta",0)</f>
        <v>0</v>
      </c>
    </row>
    <row r="177" spans="2:13" x14ac:dyDescent="0.3">
      <c r="B177" s="4">
        <f t="shared" si="2"/>
        <v>174</v>
      </c>
      <c r="C177" s="5">
        <v>46174</v>
      </c>
      <c r="D177" s="10" t="str" cm="1">
        <f t="array" ref="D177">_xlfn.XLOOKUP(Table4[[#This Row],[Malın kodu]],Table1[[#All],[Malın kodu]],Table1[[#All],[Malın adı]],"xəta",0)</f>
        <v>Burğu / d 14 mm / perforator üçün</v>
      </c>
      <c r="E177" s="8" t="s">
        <v>1084</v>
      </c>
      <c r="F177" s="4" t="s">
        <v>920</v>
      </c>
      <c r="G177" s="4">
        <v>3</v>
      </c>
      <c r="H177" s="4"/>
      <c r="I177" s="4">
        <f>Table4[[#This Row],[Malın miqdarı]]*Table4[[#This Row],[Vahidin qiyməti]]</f>
        <v>0</v>
      </c>
      <c r="J177" s="4" t="s">
        <v>899</v>
      </c>
      <c r="K177" s="4" t="s">
        <v>893</v>
      </c>
      <c r="L177" s="4">
        <f>_xlfn.XLOOKUP(Table4[[#This Row],[Kontragentin adı]],Table2[Kontragentin adı],Table2[Müqavilə nömrəsi],"Xəta",0)</f>
        <v>0</v>
      </c>
      <c r="M177" s="4">
        <f>_xlfn.XLOOKUP(Table4[[#This Row],[Kontragentin adı]],Table2[Kontragentin adı],Table2[Müqavilə nömrəsi],"Xəta",0)</f>
        <v>0</v>
      </c>
    </row>
    <row r="178" spans="2:13" x14ac:dyDescent="0.3">
      <c r="B178" s="4">
        <f t="shared" si="2"/>
        <v>175</v>
      </c>
      <c r="C178" s="5">
        <v>46174</v>
      </c>
      <c r="D178" s="10" t="str" cm="1">
        <f t="array" ref="D178">_xlfn.XLOOKUP(Table4[[#This Row],[Malın kodu]],Table1[[#All],[Malın kodu]],Table1[[#All],[Malın adı]],"xəta",0)</f>
        <v>Burğu / d 18 mm / perforator üçün</v>
      </c>
      <c r="E178" s="8" t="s">
        <v>1085</v>
      </c>
      <c r="F178" s="4" t="s">
        <v>920</v>
      </c>
      <c r="G178" s="4">
        <v>1</v>
      </c>
      <c r="H178" s="4"/>
      <c r="I178" s="4">
        <f>Table4[[#This Row],[Malın miqdarı]]*Table4[[#This Row],[Vahidin qiyməti]]</f>
        <v>0</v>
      </c>
      <c r="J178" s="4" t="s">
        <v>899</v>
      </c>
      <c r="K178" s="4" t="s">
        <v>893</v>
      </c>
      <c r="L178" s="4">
        <f>_xlfn.XLOOKUP(Table4[[#This Row],[Kontragentin adı]],Table2[Kontragentin adı],Table2[Müqavilə nömrəsi],"Xəta",0)</f>
        <v>0</v>
      </c>
      <c r="M178" s="4">
        <f>_xlfn.XLOOKUP(Table4[[#This Row],[Kontragentin adı]],Table2[Kontragentin adı],Table2[Müqavilə nömrəsi],"Xəta",0)</f>
        <v>0</v>
      </c>
    </row>
    <row r="179" spans="2:13" x14ac:dyDescent="0.3">
      <c r="B179" s="4">
        <f t="shared" si="2"/>
        <v>176</v>
      </c>
      <c r="C179" s="5">
        <v>46174</v>
      </c>
      <c r="D179" s="10" t="str" cm="1">
        <f t="array" ref="D179">_xlfn.XLOOKUP(Table4[[#This Row],[Malın kodu]],Table1[[#All],[Malın kodu]],Table1[[#All],[Malın adı]],"xəta",0)</f>
        <v>Kəsər sapı / taxta</v>
      </c>
      <c r="E179" s="8" t="s">
        <v>1086</v>
      </c>
      <c r="F179" s="4" t="s">
        <v>920</v>
      </c>
      <c r="G179" s="4">
        <v>5</v>
      </c>
      <c r="H179" s="4"/>
      <c r="I179" s="4">
        <f>Table4[[#This Row],[Malın miqdarı]]*Table4[[#This Row],[Vahidin qiyməti]]</f>
        <v>0</v>
      </c>
      <c r="J179" s="4" t="s">
        <v>899</v>
      </c>
      <c r="K179" s="4" t="s">
        <v>893</v>
      </c>
      <c r="L179" s="4">
        <f>_xlfn.XLOOKUP(Table4[[#This Row],[Kontragentin adı]],Table2[Kontragentin adı],Table2[Müqavilə nömrəsi],"Xəta",0)</f>
        <v>0</v>
      </c>
      <c r="M179" s="4">
        <f>_xlfn.XLOOKUP(Table4[[#This Row],[Kontragentin adı]],Table2[Kontragentin adı],Table2[Müqavilə nömrəsi],"Xəta",0)</f>
        <v>0</v>
      </c>
    </row>
    <row r="180" spans="2:13" x14ac:dyDescent="0.3">
      <c r="B180" s="4">
        <f t="shared" si="2"/>
        <v>177</v>
      </c>
      <c r="C180" s="5">
        <v>46174</v>
      </c>
      <c r="D180" s="10" t="str" cm="1">
        <f t="array" ref="D180">_xlfn.XLOOKUP(Table4[[#This Row],[Malın kodu]],Table1[[#All],[Malın kodu]],Table1[[#All],[Malın adı]],"xəta",0)</f>
        <v>Künc (gönyə) / 90° / 50sm / tərəzi ilə</v>
      </c>
      <c r="E180" s="8" t="s">
        <v>1087</v>
      </c>
      <c r="F180" s="4" t="s">
        <v>920</v>
      </c>
      <c r="G180" s="4">
        <v>1</v>
      </c>
      <c r="H180" s="4"/>
      <c r="I180" s="4">
        <f>Table4[[#This Row],[Malın miqdarı]]*Table4[[#This Row],[Vahidin qiyməti]]</f>
        <v>0</v>
      </c>
      <c r="J180" s="4" t="s">
        <v>899</v>
      </c>
      <c r="K180" s="4" t="s">
        <v>893</v>
      </c>
      <c r="L180" s="4">
        <f>_xlfn.XLOOKUP(Table4[[#This Row],[Kontragentin adı]],Table2[Kontragentin adı],Table2[Müqavilə nömrəsi],"Xəta",0)</f>
        <v>0</v>
      </c>
      <c r="M180" s="4">
        <f>_xlfn.XLOOKUP(Table4[[#This Row],[Kontragentin adı]],Table2[Kontragentin adı],Table2[Müqavilə nömrəsi],"Xəta",0)</f>
        <v>0</v>
      </c>
    </row>
    <row r="181" spans="2:13" x14ac:dyDescent="0.3">
      <c r="B181" s="4">
        <f t="shared" si="2"/>
        <v>178</v>
      </c>
      <c r="C181" s="5">
        <v>46174</v>
      </c>
      <c r="D181" s="10" t="str" cm="1">
        <f t="array" ref="D181">_xlfn.XLOOKUP(Table4[[#This Row],[Malın kodu]],Table1[[#All],[Malın kodu]],Table1[[#All],[Malın adı]],"xəta",0)</f>
        <v>Printer /ağ-qara / "Xerox" / Phaser 3020BI / Çin istehsalı</v>
      </c>
      <c r="E181" s="8" t="s">
        <v>1088</v>
      </c>
      <c r="F181" s="4" t="s">
        <v>920</v>
      </c>
      <c r="G181" s="4">
        <v>1</v>
      </c>
      <c r="H181" s="4"/>
      <c r="I181" s="4">
        <f>Table4[[#This Row],[Malın miqdarı]]*Table4[[#This Row],[Vahidin qiyməti]]</f>
        <v>0</v>
      </c>
      <c r="J181" s="4" t="s">
        <v>899</v>
      </c>
      <c r="K181" s="4" t="s">
        <v>893</v>
      </c>
      <c r="L181" s="4">
        <f>_xlfn.XLOOKUP(Table4[[#This Row],[Kontragentin adı]],Table2[Kontragentin adı],Table2[Müqavilə nömrəsi],"Xəta",0)</f>
        <v>0</v>
      </c>
      <c r="M181" s="4">
        <f>_xlfn.XLOOKUP(Table4[[#This Row],[Kontragentin adı]],Table2[Kontragentin adı],Table2[Müqavilə nömrəsi],"Xəta",0)</f>
        <v>0</v>
      </c>
    </row>
    <row r="182" spans="2:13" x14ac:dyDescent="0.3">
      <c r="B182" s="4">
        <f t="shared" si="2"/>
        <v>179</v>
      </c>
      <c r="C182" s="5">
        <v>46174</v>
      </c>
      <c r="D182" s="10" t="str" cm="1">
        <f t="array" ref="D182">_xlfn.XLOOKUP(Table4[[#This Row],[Malın kodu]],Table1[[#All],[Malın kodu]],Table1[[#All],[Malın adı]],"xəta",0)</f>
        <v>Printer / ağ-qara / skaner ilə / "Epson" / L3251 / Filippin istehsalı</v>
      </c>
      <c r="E182" s="8" t="s">
        <v>1089</v>
      </c>
      <c r="F182" s="4" t="s">
        <v>920</v>
      </c>
      <c r="G182" s="4">
        <v>1</v>
      </c>
      <c r="H182" s="4"/>
      <c r="I182" s="4">
        <f>Table4[[#This Row],[Malın miqdarı]]*Table4[[#This Row],[Vahidin qiyməti]]</f>
        <v>0</v>
      </c>
      <c r="J182" s="4" t="s">
        <v>899</v>
      </c>
      <c r="K182" s="4" t="s">
        <v>893</v>
      </c>
      <c r="L182" s="4">
        <f>_xlfn.XLOOKUP(Table4[[#This Row],[Kontragentin adı]],Table2[Kontragentin adı],Table2[Müqavilə nömrəsi],"Xəta",0)</f>
        <v>0</v>
      </c>
      <c r="M182" s="4">
        <f>_xlfn.XLOOKUP(Table4[[#This Row],[Kontragentin adı]],Table2[Kontragentin adı],Table2[Müqavilə nömrəsi],"Xəta",0)</f>
        <v>0</v>
      </c>
    </row>
    <row r="183" spans="2:13" x14ac:dyDescent="0.3">
      <c r="B183" s="4">
        <f t="shared" si="2"/>
        <v>180</v>
      </c>
      <c r="C183" s="5">
        <v>46174</v>
      </c>
      <c r="D183" s="10" t="str" cm="1">
        <f t="array" ref="D183">_xlfn.XLOOKUP(Table4[[#This Row],[Malın kodu]],Table1[[#All],[Malın kodu]],Table1[[#All],[Malın adı]],"xəta",0)</f>
        <v>Printer / rəngli / "Epson" / L1300 / İndoneziya istehsalı</v>
      </c>
      <c r="E183" s="8" t="s">
        <v>1090</v>
      </c>
      <c r="F183" s="4" t="s">
        <v>920</v>
      </c>
      <c r="G183" s="4">
        <v>1</v>
      </c>
      <c r="H183" s="4"/>
      <c r="I183" s="4">
        <f>Table4[[#This Row],[Malın miqdarı]]*Table4[[#This Row],[Vahidin qiyməti]]</f>
        <v>0</v>
      </c>
      <c r="J183" s="4" t="s">
        <v>899</v>
      </c>
      <c r="K183" s="4" t="s">
        <v>893</v>
      </c>
      <c r="L183" s="4">
        <f>_xlfn.XLOOKUP(Table4[[#This Row],[Kontragentin adı]],Table2[Kontragentin adı],Table2[Müqavilə nömrəsi],"Xəta",0)</f>
        <v>0</v>
      </c>
      <c r="M183" s="4">
        <f>_xlfn.XLOOKUP(Table4[[#This Row],[Kontragentin adı]],Table2[Kontragentin adı],Table2[Müqavilə nömrəsi],"Xəta",0)</f>
        <v>0</v>
      </c>
    </row>
    <row r="184" spans="2:13" x14ac:dyDescent="0.3">
      <c r="B184" s="4">
        <f t="shared" si="2"/>
        <v>181</v>
      </c>
      <c r="C184" s="5">
        <v>46174</v>
      </c>
      <c r="D184" s="10" t="str" cm="1">
        <f t="array" ref="D184">_xlfn.XLOOKUP(Table4[[#This Row],[Malın kodu]],Table1[[#All],[Malın kodu]],Table1[[#All],[Malın adı]],"xəta",0)</f>
        <v>Printer / rəngli / "Epson" / L850 / İndoneziya istehsalı</v>
      </c>
      <c r="E184" s="8" t="s">
        <v>1091</v>
      </c>
      <c r="F184" s="4" t="s">
        <v>920</v>
      </c>
      <c r="G184" s="4">
        <v>1</v>
      </c>
      <c r="H184" s="4"/>
      <c r="I184" s="4">
        <f>Table4[[#This Row],[Malın miqdarı]]*Table4[[#This Row],[Vahidin qiyməti]]</f>
        <v>0</v>
      </c>
      <c r="J184" s="4" t="s">
        <v>899</v>
      </c>
      <c r="K184" s="4" t="s">
        <v>893</v>
      </c>
      <c r="L184" s="4">
        <f>_xlfn.XLOOKUP(Table4[[#This Row],[Kontragentin adı]],Table2[Kontragentin adı],Table2[Müqavilə nömrəsi],"Xəta",0)</f>
        <v>0</v>
      </c>
      <c r="M184" s="4">
        <f>_xlfn.XLOOKUP(Table4[[#This Row],[Kontragentin adı]],Table2[Kontragentin adı],Table2[Müqavilə nömrəsi],"Xəta",0)</f>
        <v>0</v>
      </c>
    </row>
    <row r="185" spans="2:13" x14ac:dyDescent="0.3">
      <c r="B185" s="4">
        <f t="shared" si="2"/>
        <v>182</v>
      </c>
      <c r="C185" s="5">
        <v>46174</v>
      </c>
      <c r="D185" s="10" t="str" cm="1">
        <f t="array" ref="D185">_xlfn.XLOOKUP(Table4[[#This Row],[Malın kodu]],Table1[[#All],[Malın kodu]],Table1[[#All],[Malın adı]],"xəta",0)</f>
        <v>Printer / rəngli / "HP" / MFP M282 NW / Almaniya istehsalı</v>
      </c>
      <c r="E185" s="8" t="s">
        <v>1092</v>
      </c>
      <c r="F185" s="4" t="s">
        <v>920</v>
      </c>
      <c r="G185" s="4">
        <v>1</v>
      </c>
      <c r="H185" s="4"/>
      <c r="I185" s="4">
        <f>Table4[[#This Row],[Malın miqdarı]]*Table4[[#This Row],[Vahidin qiyməti]]</f>
        <v>0</v>
      </c>
      <c r="J185" s="4" t="s">
        <v>899</v>
      </c>
      <c r="K185" s="4" t="s">
        <v>893</v>
      </c>
      <c r="L185" s="4">
        <f>_xlfn.XLOOKUP(Table4[[#This Row],[Kontragentin adı]],Table2[Kontragentin adı],Table2[Müqavilə nömrəsi],"Xəta",0)</f>
        <v>0</v>
      </c>
      <c r="M185" s="4">
        <f>_xlfn.XLOOKUP(Table4[[#This Row],[Kontragentin adı]],Table2[Kontragentin adı],Table2[Müqavilə nömrəsi],"Xəta",0)</f>
        <v>0</v>
      </c>
    </row>
    <row r="186" spans="2:13" x14ac:dyDescent="0.3">
      <c r="B186" s="4">
        <f t="shared" si="2"/>
        <v>183</v>
      </c>
      <c r="C186" s="5">
        <v>46174</v>
      </c>
      <c r="D186" s="10" t="str" cm="1">
        <f t="array" ref="D186">_xlfn.XLOOKUP(Table4[[#This Row],[Malın kodu]],Table1[[#All],[Malın kodu]],Table1[[#All],[Malın adı]],"xəta",0)</f>
        <v>Printer / ağ-qara / "HP" / P1005 / Vyetnam istehsalı</v>
      </c>
      <c r="E186" s="8" t="s">
        <v>1093</v>
      </c>
      <c r="F186" s="4" t="s">
        <v>920</v>
      </c>
      <c r="G186" s="4">
        <v>1</v>
      </c>
      <c r="H186" s="4"/>
      <c r="I186" s="4">
        <f>Table4[[#This Row],[Malın miqdarı]]*Table4[[#This Row],[Vahidin qiyməti]]</f>
        <v>0</v>
      </c>
      <c r="J186" s="4" t="s">
        <v>899</v>
      </c>
      <c r="K186" s="4" t="s">
        <v>893</v>
      </c>
      <c r="L186" s="4">
        <f>_xlfn.XLOOKUP(Table4[[#This Row],[Kontragentin adı]],Table2[Kontragentin adı],Table2[Müqavilə nömrəsi],"Xəta",0)</f>
        <v>0</v>
      </c>
      <c r="M186" s="4">
        <f>_xlfn.XLOOKUP(Table4[[#This Row],[Kontragentin adı]],Table2[Kontragentin adı],Table2[Müqavilə nömrəsi],"Xəta",0)</f>
        <v>0</v>
      </c>
    </row>
    <row r="187" spans="2:13" x14ac:dyDescent="0.3">
      <c r="B187" s="4">
        <f t="shared" si="2"/>
        <v>184</v>
      </c>
      <c r="C187" s="5">
        <v>46174</v>
      </c>
      <c r="D187" s="10" t="str" cm="1">
        <f t="array" ref="D187">_xlfn.XLOOKUP(Table4[[#This Row],[Malın kodu]],Table1[[#All],[Malın kodu]],Table1[[#All],[Malın adı]],"xəta",0)</f>
        <v>Şlanq / d 50 mm / L 6 metr / beton vibratoru üçün</v>
      </c>
      <c r="E187" s="8" t="s">
        <v>1094</v>
      </c>
      <c r="F187" s="4" t="s">
        <v>920</v>
      </c>
      <c r="G187" s="4">
        <v>1</v>
      </c>
      <c r="H187" s="4"/>
      <c r="I187" s="4">
        <f>Table4[[#This Row],[Malın miqdarı]]*Table4[[#This Row],[Vahidin qiyməti]]</f>
        <v>0</v>
      </c>
      <c r="J187" s="4" t="s">
        <v>899</v>
      </c>
      <c r="K187" s="4" t="s">
        <v>893</v>
      </c>
      <c r="L187" s="4">
        <f>_xlfn.XLOOKUP(Table4[[#This Row],[Kontragentin adı]],Table2[Kontragentin adı],Table2[Müqavilə nömrəsi],"Xəta",0)</f>
        <v>0</v>
      </c>
      <c r="M187" s="4">
        <f>_xlfn.XLOOKUP(Table4[[#This Row],[Kontragentin adı]],Table2[Kontragentin adı],Table2[Müqavilə nömrəsi],"Xəta",0)</f>
        <v>0</v>
      </c>
    </row>
    <row r="188" spans="2:13" x14ac:dyDescent="0.3">
      <c r="B188" s="4">
        <f t="shared" si="2"/>
        <v>185</v>
      </c>
      <c r="C188" s="5">
        <v>46174</v>
      </c>
      <c r="D188" s="10" t="str" cm="1">
        <f t="array" ref="D188">_xlfn.XLOOKUP(Table4[[#This Row],[Malın kodu]],Table1[[#All],[Malın kodu]],Table1[[#All],[Malın adı]],"xəta",0)</f>
        <v>Vibromühərrik / 2,2 kVt / 50 Hz / ZN-70P / Çin istehsalı</v>
      </c>
      <c r="E188" s="8" t="s">
        <v>1095</v>
      </c>
      <c r="F188" s="4" t="s">
        <v>920</v>
      </c>
      <c r="G188" s="4">
        <v>1</v>
      </c>
      <c r="H188" s="4"/>
      <c r="I188" s="4">
        <f>Table4[[#This Row],[Malın miqdarı]]*Table4[[#This Row],[Vahidin qiyməti]]</f>
        <v>0</v>
      </c>
      <c r="J188" s="4" t="s">
        <v>899</v>
      </c>
      <c r="K188" s="4" t="s">
        <v>893</v>
      </c>
      <c r="L188" s="4">
        <f>_xlfn.XLOOKUP(Table4[[#This Row],[Kontragentin adı]],Table2[Kontragentin adı],Table2[Müqavilə nömrəsi],"Xəta",0)</f>
        <v>0</v>
      </c>
      <c r="M188" s="4">
        <f>_xlfn.XLOOKUP(Table4[[#This Row],[Kontragentin adı]],Table2[Kontragentin adı],Table2[Müqavilə nömrəsi],"Xəta",0)</f>
        <v>0</v>
      </c>
    </row>
    <row r="189" spans="2:13" x14ac:dyDescent="0.3">
      <c r="B189" s="4">
        <f t="shared" si="2"/>
        <v>186</v>
      </c>
      <c r="C189" s="5">
        <v>46174</v>
      </c>
      <c r="D189" s="10" t="str" cm="1">
        <f t="array" ref="D189">_xlfn.XLOOKUP(Table4[[#This Row],[Malın kodu]],Table1[[#All],[Malın kodu]],Table1[[#All],[Malın adı]],"xəta",0)</f>
        <v>Qaynaq aparatı / 20-315 mm / plastik muftalar üçün / "Hürner" / HST 300 Easy D / Almaniya istehsalı</v>
      </c>
      <c r="E189" s="8" t="s">
        <v>1096</v>
      </c>
      <c r="F189" s="4" t="s">
        <v>920</v>
      </c>
      <c r="G189" s="4">
        <v>1</v>
      </c>
      <c r="H189" s="4"/>
      <c r="I189" s="4">
        <f>Table4[[#This Row],[Malın miqdarı]]*Table4[[#This Row],[Vahidin qiyməti]]</f>
        <v>0</v>
      </c>
      <c r="J189" s="4" t="s">
        <v>899</v>
      </c>
      <c r="K189" s="4" t="s">
        <v>893</v>
      </c>
      <c r="L189" s="4">
        <f>_xlfn.XLOOKUP(Table4[[#This Row],[Kontragentin adı]],Table2[Kontragentin adı],Table2[Müqavilə nömrəsi],"Xəta",0)</f>
        <v>0</v>
      </c>
      <c r="M189" s="4">
        <f>_xlfn.XLOOKUP(Table4[[#This Row],[Kontragentin adı]],Table2[Kontragentin adı],Table2[Müqavilə nömrəsi],"Xəta",0)</f>
        <v>0</v>
      </c>
    </row>
    <row r="190" spans="2:13" x14ac:dyDescent="0.3">
      <c r="B190" s="4">
        <f t="shared" si="2"/>
        <v>187</v>
      </c>
      <c r="C190" s="5">
        <v>46174</v>
      </c>
      <c r="D190" s="10" t="str" cm="1">
        <f t="array" ref="D190">_xlfn.XLOOKUP(Table4[[#This Row],[Malın kodu]],Table1[[#All],[Malın kodu]],Table1[[#All],[Malın adı]],"xəta",0)</f>
        <v>Filtr / yanacaq / CS 1606 / "Sampiyon" / Türkiyə istehsalı</v>
      </c>
      <c r="E190" s="8" t="s">
        <v>1097</v>
      </c>
      <c r="F190" s="4" t="s">
        <v>920</v>
      </c>
      <c r="G190" s="4">
        <v>7</v>
      </c>
      <c r="H190" s="4"/>
      <c r="I190" s="4">
        <f>Table4[[#This Row],[Malın miqdarı]]*Table4[[#This Row],[Vahidin qiyməti]]</f>
        <v>0</v>
      </c>
      <c r="J190" s="4" t="s">
        <v>899</v>
      </c>
      <c r="K190" s="4" t="s">
        <v>893</v>
      </c>
      <c r="L190" s="4">
        <f>_xlfn.XLOOKUP(Table4[[#This Row],[Kontragentin adı]],Table2[Kontragentin adı],Table2[Müqavilə nömrəsi],"Xəta",0)</f>
        <v>0</v>
      </c>
      <c r="M190" s="4">
        <f>_xlfn.XLOOKUP(Table4[[#This Row],[Kontragentin adı]],Table2[Kontragentin adı],Table2[Müqavilə nömrəsi],"Xəta",0)</f>
        <v>0</v>
      </c>
    </row>
    <row r="191" spans="2:13" x14ac:dyDescent="0.3">
      <c r="B191" s="4">
        <f t="shared" si="2"/>
        <v>188</v>
      </c>
      <c r="C191" s="5">
        <v>46174</v>
      </c>
      <c r="D191" s="10" t="str" cm="1">
        <f t="array" ref="D191">_xlfn.XLOOKUP(Table4[[#This Row],[Malın kodu]],Table1[[#All],[Malın kodu]],Table1[[#All],[Malın adı]],"xəta",0)</f>
        <v>Filtr / yağ / CS 0151 / "Sampiyon" / Türkiyə istehsalı</v>
      </c>
      <c r="E191" s="8" t="s">
        <v>1098</v>
      </c>
      <c r="F191" s="4" t="s">
        <v>920</v>
      </c>
      <c r="G191" s="4">
        <v>1</v>
      </c>
      <c r="H191" s="4"/>
      <c r="I191" s="4">
        <f>Table4[[#This Row],[Malın miqdarı]]*Table4[[#This Row],[Vahidin qiyməti]]</f>
        <v>0</v>
      </c>
      <c r="J191" s="4" t="s">
        <v>899</v>
      </c>
      <c r="K191" s="4" t="s">
        <v>893</v>
      </c>
      <c r="L191" s="4">
        <f>_xlfn.XLOOKUP(Table4[[#This Row],[Kontragentin adı]],Table2[Kontragentin adı],Table2[Müqavilə nömrəsi],"Xəta",0)</f>
        <v>0</v>
      </c>
      <c r="M191" s="4">
        <f>_xlfn.XLOOKUP(Table4[[#This Row],[Kontragentin adı]],Table2[Kontragentin adı],Table2[Müqavilə nömrəsi],"Xəta",0)</f>
        <v>0</v>
      </c>
    </row>
    <row r="192" spans="2:13" x14ac:dyDescent="0.3">
      <c r="B192" s="4">
        <f t="shared" si="2"/>
        <v>189</v>
      </c>
      <c r="C192" s="5">
        <v>46174</v>
      </c>
      <c r="D192" s="10" t="str" cm="1">
        <f t="array" ref="D192">_xlfn.XLOOKUP(Table4[[#This Row],[Malın kodu]],Table1[[#All],[Malın kodu]],Table1[[#All],[Malın adı]],"xəta",0)</f>
        <v>Elektrik yuvası / 16A / qapaqlı / "ENDA" / Türkiyə istehsalı</v>
      </c>
      <c r="E192" s="8" t="s">
        <v>1099</v>
      </c>
      <c r="F192" s="4" t="s">
        <v>920</v>
      </c>
      <c r="G192" s="4">
        <v>1</v>
      </c>
      <c r="H192" s="4"/>
      <c r="I192" s="4">
        <f>Table4[[#This Row],[Malın miqdarı]]*Table4[[#This Row],[Vahidin qiyməti]]</f>
        <v>0</v>
      </c>
      <c r="J192" s="4" t="s">
        <v>899</v>
      </c>
      <c r="K192" s="4" t="s">
        <v>893</v>
      </c>
      <c r="L192" s="4">
        <f>_xlfn.XLOOKUP(Table4[[#This Row],[Kontragentin adı]],Table2[Kontragentin adı],Table2[Müqavilə nömrəsi],"Xəta",0)</f>
        <v>0</v>
      </c>
      <c r="M192" s="4">
        <f>_xlfn.XLOOKUP(Table4[[#This Row],[Kontragentin adı]],Table2[Kontragentin adı],Table2[Müqavilə nömrəsi],"Xəta",0)</f>
        <v>0</v>
      </c>
    </row>
    <row r="193" spans="2:13" x14ac:dyDescent="0.3">
      <c r="B193" s="4">
        <f t="shared" si="2"/>
        <v>190</v>
      </c>
      <c r="C193" s="5">
        <v>46174</v>
      </c>
      <c r="D193" s="10" t="str" cm="1">
        <f t="array" ref="D193">_xlfn.XLOOKUP(Table4[[#This Row],[Malın kodu]],Table1[[#All],[Malın kodu]],Table1[[#All],[Malın adı]],"xəta",0)</f>
        <v>Monitor / 23,8 in / "HP" / HP 24F / Çin istehsalı</v>
      </c>
      <c r="E193" s="8" t="s">
        <v>1100</v>
      </c>
      <c r="F193" s="4" t="s">
        <v>920</v>
      </c>
      <c r="G193" s="4">
        <v>1</v>
      </c>
      <c r="H193" s="4"/>
      <c r="I193" s="4">
        <f>Table4[[#This Row],[Malın miqdarı]]*Table4[[#This Row],[Vahidin qiyməti]]</f>
        <v>0</v>
      </c>
      <c r="J193" s="4" t="s">
        <v>899</v>
      </c>
      <c r="K193" s="4" t="s">
        <v>893</v>
      </c>
      <c r="L193" s="4">
        <f>_xlfn.XLOOKUP(Table4[[#This Row],[Kontragentin adı]],Table2[Kontragentin adı],Table2[Müqavilə nömrəsi],"Xəta",0)</f>
        <v>0</v>
      </c>
      <c r="M193" s="4">
        <f>_xlfn.XLOOKUP(Table4[[#This Row],[Kontragentin adı]],Table2[Kontragentin adı],Table2[Müqavilə nömrəsi],"Xəta",0)</f>
        <v>0</v>
      </c>
    </row>
    <row r="194" spans="2:13" x14ac:dyDescent="0.3">
      <c r="B194" s="4">
        <f t="shared" si="2"/>
        <v>191</v>
      </c>
      <c r="C194" s="5">
        <v>46174</v>
      </c>
      <c r="D194" s="10" t="str" cm="1">
        <f t="array" ref="D194">_xlfn.XLOOKUP(Table4[[#This Row],[Malın kodu]],Table1[[#All],[Malın kodu]],Table1[[#All],[Malın adı]],"xəta",0)</f>
        <v>Yapışdırıcı / PVC-U üçün / 1 kq / "Lebond"</v>
      </c>
      <c r="E194" s="8" t="s">
        <v>1101</v>
      </c>
      <c r="F194" s="4" t="s">
        <v>920</v>
      </c>
      <c r="G194" s="4">
        <v>4</v>
      </c>
      <c r="H194" s="4"/>
      <c r="I194" s="4">
        <f>Table4[[#This Row],[Malın miqdarı]]*Table4[[#This Row],[Vahidin qiyməti]]</f>
        <v>0</v>
      </c>
      <c r="J194" s="4" t="s">
        <v>899</v>
      </c>
      <c r="K194" s="4" t="s">
        <v>893</v>
      </c>
      <c r="L194" s="4">
        <f>_xlfn.XLOOKUP(Table4[[#This Row],[Kontragentin adı]],Table2[Kontragentin adı],Table2[Müqavilə nömrəsi],"Xəta",0)</f>
        <v>0</v>
      </c>
      <c r="M194" s="4">
        <f>_xlfn.XLOOKUP(Table4[[#This Row],[Kontragentin adı]],Table2[Kontragentin adı],Table2[Müqavilə nömrəsi],"Xəta",0)</f>
        <v>0</v>
      </c>
    </row>
    <row r="195" spans="2:13" x14ac:dyDescent="0.3">
      <c r="B195" s="4">
        <f t="shared" si="2"/>
        <v>192</v>
      </c>
      <c r="C195" s="5">
        <v>46174</v>
      </c>
      <c r="D195" s="10" t="str" cm="1">
        <f t="array" ref="D195">_xlfn.XLOOKUP(Table4[[#This Row],[Malın kodu]],Table1[[#All],[Malın kodu]],Table1[[#All],[Malın adı]],"xəta",0)</f>
        <v>Filtr / hava / P500940 / "Donaldson" / Çin istehsalı</v>
      </c>
      <c r="E195" s="8" t="s">
        <v>1102</v>
      </c>
      <c r="F195" s="4" t="s">
        <v>920</v>
      </c>
      <c r="G195" s="4">
        <v>1</v>
      </c>
      <c r="H195" s="4"/>
      <c r="I195" s="4">
        <f>Table4[[#This Row],[Malın miqdarı]]*Table4[[#This Row],[Vahidin qiyməti]]</f>
        <v>0</v>
      </c>
      <c r="J195" s="4" t="s">
        <v>899</v>
      </c>
      <c r="K195" s="4" t="s">
        <v>893</v>
      </c>
      <c r="L195" s="4">
        <f>_xlfn.XLOOKUP(Table4[[#This Row],[Kontragentin adı]],Table2[Kontragentin adı],Table2[Müqavilə nömrəsi],"Xəta",0)</f>
        <v>0</v>
      </c>
      <c r="M195" s="4">
        <f>_xlfn.XLOOKUP(Table4[[#This Row],[Kontragentin adı]],Table2[Kontragentin adı],Table2[Müqavilə nömrəsi],"Xəta",0)</f>
        <v>0</v>
      </c>
    </row>
    <row r="196" spans="2:13" x14ac:dyDescent="0.3">
      <c r="B196" s="4">
        <f t="shared" ref="B196:B259" si="3">ROW()-3</f>
        <v>193</v>
      </c>
      <c r="C196" s="5">
        <v>46174</v>
      </c>
      <c r="D196" s="10" t="str" cm="1">
        <f t="array" ref="D196">_xlfn.XLOOKUP(Table4[[#This Row],[Malın kodu]],Table1[[#All],[Malın kodu]],Table1[[#All],[Malın adı]],"xəta",0)</f>
        <v>Texniki maye / AdBlue / EURO 6 / 20 kq / "M-Standart" / Belarus istehsalı</v>
      </c>
      <c r="E196" s="8" t="s">
        <v>1103</v>
      </c>
      <c r="F196" s="4" t="s">
        <v>920</v>
      </c>
      <c r="G196" s="4">
        <v>3</v>
      </c>
      <c r="H196" s="4"/>
      <c r="I196" s="4">
        <f>Table4[[#This Row],[Malın miqdarı]]*Table4[[#This Row],[Vahidin qiyməti]]</f>
        <v>0</v>
      </c>
      <c r="J196" s="4" t="s">
        <v>899</v>
      </c>
      <c r="K196" s="4" t="s">
        <v>893</v>
      </c>
      <c r="L196" s="4">
        <f>_xlfn.XLOOKUP(Table4[[#This Row],[Kontragentin adı]],Table2[Kontragentin adı],Table2[Müqavilə nömrəsi],"Xəta",0)</f>
        <v>0</v>
      </c>
      <c r="M196" s="4">
        <f>_xlfn.XLOOKUP(Table4[[#This Row],[Kontragentin adı]],Table2[Kontragentin adı],Table2[Müqavilə nömrəsi],"Xəta",0)</f>
        <v>0</v>
      </c>
    </row>
    <row r="197" spans="2:13" x14ac:dyDescent="0.3">
      <c r="B197" s="4">
        <f t="shared" si="3"/>
        <v>194</v>
      </c>
      <c r="C197" s="5">
        <v>46174</v>
      </c>
      <c r="D197" s="10" t="str" cm="1">
        <f t="array" ref="D197">_xlfn.XLOOKUP(Table4[[#This Row],[Malın kodu]],Table1[[#All],[Malın kodu]],Table1[[#All],[Malın adı]],"xəta",0)</f>
        <v>Siqnal lenti / SU</v>
      </c>
      <c r="E197" s="8" t="s">
        <v>1104</v>
      </c>
      <c r="F197" s="4" t="s">
        <v>923</v>
      </c>
      <c r="G197" s="4">
        <v>5</v>
      </c>
      <c r="H197" s="4"/>
      <c r="I197" s="4">
        <f>Table4[[#This Row],[Malın miqdarı]]*Table4[[#This Row],[Vahidin qiyməti]]</f>
        <v>0</v>
      </c>
      <c r="J197" s="4" t="s">
        <v>899</v>
      </c>
      <c r="K197" s="4" t="s">
        <v>893</v>
      </c>
      <c r="L197" s="4">
        <f>_xlfn.XLOOKUP(Table4[[#This Row],[Kontragentin adı]],Table2[Kontragentin adı],Table2[Müqavilə nömrəsi],"Xəta",0)</f>
        <v>0</v>
      </c>
      <c r="M197" s="4">
        <f>_xlfn.XLOOKUP(Table4[[#This Row],[Kontragentin adı]],Table2[Kontragentin adı],Table2[Müqavilə nömrəsi],"Xəta",0)</f>
        <v>0</v>
      </c>
    </row>
    <row r="198" spans="2:13" x14ac:dyDescent="0.3">
      <c r="B198" s="4">
        <f t="shared" si="3"/>
        <v>195</v>
      </c>
      <c r="C198" s="5">
        <v>46174</v>
      </c>
      <c r="D198" s="10" t="str" cm="1">
        <f t="array" ref="D198">_xlfn.XLOOKUP(Table4[[#This Row],[Malın kodu]],Table1[[#All],[Malın kodu]],Table1[[#All],[Malın adı]],"xəta",0)</f>
        <v>Klapan / kəpənək / d 150 mm / "FAF" / Türkiyə istehsalı</v>
      </c>
      <c r="E198" s="8" t="s">
        <v>1105</v>
      </c>
      <c r="F198" s="4" t="s">
        <v>920</v>
      </c>
      <c r="G198" s="4">
        <v>2</v>
      </c>
      <c r="H198" s="4"/>
      <c r="I198" s="4">
        <f>Table4[[#This Row],[Malın miqdarı]]*Table4[[#This Row],[Vahidin qiyməti]]</f>
        <v>0</v>
      </c>
      <c r="J198" s="4" t="s">
        <v>899</v>
      </c>
      <c r="K198" s="4" t="s">
        <v>893</v>
      </c>
      <c r="L198" s="4">
        <f>_xlfn.XLOOKUP(Table4[[#This Row],[Kontragentin adı]],Table2[Kontragentin adı],Table2[Müqavilə nömrəsi],"Xəta",0)</f>
        <v>0</v>
      </c>
      <c r="M198" s="4">
        <f>_xlfn.XLOOKUP(Table4[[#This Row],[Kontragentin adı]],Table2[Kontragentin adı],Table2[Müqavilə nömrəsi],"Xəta",0)</f>
        <v>0</v>
      </c>
    </row>
    <row r="199" spans="2:13" x14ac:dyDescent="0.3">
      <c r="B199" s="4">
        <f t="shared" si="3"/>
        <v>196</v>
      </c>
      <c r="C199" s="5">
        <v>46174</v>
      </c>
      <c r="D199" s="10" t="str" cm="1">
        <f t="array" ref="D199">_xlfn.XLOOKUP(Table4[[#This Row],[Malın kodu]],Table1[[#All],[Malın kodu]],Table1[[#All],[Malın adı]],"xəta",0)</f>
        <v>Klapan / kəpənək / d 40 mm / "FAF" / Türkiyə istehsalı</v>
      </c>
      <c r="E199" s="8" t="s">
        <v>1106</v>
      </c>
      <c r="F199" s="4" t="s">
        <v>920</v>
      </c>
      <c r="G199" s="4">
        <v>6</v>
      </c>
      <c r="H199" s="4"/>
      <c r="I199" s="4">
        <f>Table4[[#This Row],[Malın miqdarı]]*Table4[[#This Row],[Vahidin qiyməti]]</f>
        <v>0</v>
      </c>
      <c r="J199" s="4" t="s">
        <v>899</v>
      </c>
      <c r="K199" s="4" t="s">
        <v>893</v>
      </c>
      <c r="L199" s="4">
        <f>_xlfn.XLOOKUP(Table4[[#This Row],[Kontragentin adı]],Table2[Kontragentin adı],Table2[Müqavilə nömrəsi],"Xəta",0)</f>
        <v>0</v>
      </c>
      <c r="M199" s="4">
        <f>_xlfn.XLOOKUP(Table4[[#This Row],[Kontragentin adı]],Table2[Kontragentin adı],Table2[Müqavilə nömrəsi],"Xəta",0)</f>
        <v>0</v>
      </c>
    </row>
    <row r="200" spans="2:13" x14ac:dyDescent="0.3">
      <c r="B200" s="4">
        <f t="shared" si="3"/>
        <v>197</v>
      </c>
      <c r="C200" s="5">
        <v>46174</v>
      </c>
      <c r="D200" s="10" t="str" cm="1">
        <f t="array" ref="D200">_xlfn.XLOOKUP(Table4[[#This Row],[Malın kodu]],Table1[[#All],[Malın kodu]],Table1[[#All],[Malın adı]],"xəta",0)</f>
        <v>Klapan / kəpənək / d 25 mm / "FAF" / Türkiyə istehsalı</v>
      </c>
      <c r="E200" s="8" t="s">
        <v>1107</v>
      </c>
      <c r="F200" s="4" t="s">
        <v>920</v>
      </c>
      <c r="G200" s="4">
        <v>3</v>
      </c>
      <c r="H200" s="4"/>
      <c r="I200" s="4">
        <f>Table4[[#This Row],[Malın miqdarı]]*Table4[[#This Row],[Vahidin qiyməti]]</f>
        <v>0</v>
      </c>
      <c r="J200" s="4" t="s">
        <v>899</v>
      </c>
      <c r="K200" s="4" t="s">
        <v>893</v>
      </c>
      <c r="L200" s="4">
        <f>_xlfn.XLOOKUP(Table4[[#This Row],[Kontragentin adı]],Table2[Kontragentin adı],Table2[Müqavilə nömrəsi],"Xəta",0)</f>
        <v>0</v>
      </c>
      <c r="M200" s="4">
        <f>_xlfn.XLOOKUP(Table4[[#This Row],[Kontragentin adı]],Table2[Kontragentin adı],Table2[Müqavilə nömrəsi],"Xəta",0)</f>
        <v>0</v>
      </c>
    </row>
    <row r="201" spans="2:13" x14ac:dyDescent="0.3">
      <c r="B201" s="4">
        <f t="shared" si="3"/>
        <v>198</v>
      </c>
      <c r="C201" s="5">
        <v>46174</v>
      </c>
      <c r="D201" s="10" t="str" cm="1">
        <f t="array" ref="D201">_xlfn.XLOOKUP(Table4[[#This Row],[Malın kodu]],Table1[[#All],[Malın kodu]],Table1[[#All],[Malın adı]],"xəta",0)</f>
        <v>Elektrik lövhəsi / 2ədəd kontaktor ilə</v>
      </c>
      <c r="E201" s="8" t="s">
        <v>1108</v>
      </c>
      <c r="F201" s="4" t="s">
        <v>920</v>
      </c>
      <c r="G201" s="4">
        <v>2</v>
      </c>
      <c r="H201" s="4"/>
      <c r="I201" s="4">
        <f>Table4[[#This Row],[Malın miqdarı]]*Table4[[#This Row],[Vahidin qiyməti]]</f>
        <v>0</v>
      </c>
      <c r="J201" s="4" t="s">
        <v>899</v>
      </c>
      <c r="K201" s="4" t="s">
        <v>893</v>
      </c>
      <c r="L201" s="4">
        <f>_xlfn.XLOOKUP(Table4[[#This Row],[Kontragentin adı]],Table2[Kontragentin adı],Table2[Müqavilə nömrəsi],"Xəta",0)</f>
        <v>0</v>
      </c>
      <c r="M201" s="4">
        <f>_xlfn.XLOOKUP(Table4[[#This Row],[Kontragentin adı]],Table2[Kontragentin adı],Table2[Müqavilə nömrəsi],"Xəta",0)</f>
        <v>0</v>
      </c>
    </row>
    <row r="202" spans="2:13" x14ac:dyDescent="0.3">
      <c r="B202" s="4">
        <f t="shared" si="3"/>
        <v>199</v>
      </c>
      <c r="C202" s="5">
        <v>46174</v>
      </c>
      <c r="D202" s="10" t="str" cm="1">
        <f t="array" ref="D202">_xlfn.XLOOKUP(Table4[[#This Row],[Malın kodu]],Table1[[#All],[Malın kodu]],Table1[[#All],[Malın adı]],"xəta",0)</f>
        <v>Pompa / təzyiq sınağı / elektrikli / 40 Atm / 6 Litr/dəq / 1,3 kVt / "Rothenberger" / RP PRO 3 / İspaniya istehsalı</v>
      </c>
      <c r="E202" s="8" t="s">
        <v>1109</v>
      </c>
      <c r="F202" s="4" t="s">
        <v>920</v>
      </c>
      <c r="G202" s="4">
        <v>1</v>
      </c>
      <c r="H202" s="4"/>
      <c r="I202" s="4">
        <f>Table4[[#This Row],[Malın miqdarı]]*Table4[[#This Row],[Vahidin qiyməti]]</f>
        <v>0</v>
      </c>
      <c r="J202" s="4" t="s">
        <v>899</v>
      </c>
      <c r="K202" s="4" t="s">
        <v>893</v>
      </c>
      <c r="L202" s="4">
        <f>_xlfn.XLOOKUP(Table4[[#This Row],[Kontragentin adı]],Table2[Kontragentin adı],Table2[Müqavilə nömrəsi],"Xəta",0)</f>
        <v>0</v>
      </c>
      <c r="M202" s="4">
        <f>_xlfn.XLOOKUP(Table4[[#This Row],[Kontragentin adı]],Table2[Kontragentin adı],Table2[Müqavilə nömrəsi],"Xəta",0)</f>
        <v>0</v>
      </c>
    </row>
    <row r="203" spans="2:13" x14ac:dyDescent="0.3">
      <c r="B203" s="4">
        <f t="shared" si="3"/>
        <v>200</v>
      </c>
      <c r="C203" s="5">
        <v>46174</v>
      </c>
      <c r="D203" s="10" t="str" cm="1">
        <f t="array" ref="D203">_xlfn.XLOOKUP(Table4[[#This Row],[Malın kodu]],Table1[[#All],[Malın kodu]],Table1[[#All],[Malın adı]],"xəta",0)</f>
        <v>Nivelyator / optik / "Trade Tools" / Avstraliya istehsalı</v>
      </c>
      <c r="E203" s="8" t="s">
        <v>1110</v>
      </c>
      <c r="F203" s="4" t="s">
        <v>920</v>
      </c>
      <c r="G203" s="4">
        <v>1</v>
      </c>
      <c r="H203" s="4"/>
      <c r="I203" s="4">
        <f>Table4[[#This Row],[Malın miqdarı]]*Table4[[#This Row],[Vahidin qiyməti]]</f>
        <v>0</v>
      </c>
      <c r="J203" s="4" t="s">
        <v>899</v>
      </c>
      <c r="K203" s="4" t="s">
        <v>893</v>
      </c>
      <c r="L203" s="4">
        <f>_xlfn.XLOOKUP(Table4[[#This Row],[Kontragentin adı]],Table2[Kontragentin adı],Table2[Müqavilə nömrəsi],"Xəta",0)</f>
        <v>0</v>
      </c>
      <c r="M203" s="4">
        <f>_xlfn.XLOOKUP(Table4[[#This Row],[Kontragentin adı]],Table2[Kontragentin adı],Table2[Müqavilə nömrəsi],"Xəta",0)</f>
        <v>0</v>
      </c>
    </row>
    <row r="204" spans="2:13" x14ac:dyDescent="0.3">
      <c r="B204" s="4">
        <f t="shared" si="3"/>
        <v>201</v>
      </c>
      <c r="C204" s="5">
        <v>46174</v>
      </c>
      <c r="D204" s="10" t="str" cm="1">
        <f t="array" ref="D204">_xlfn.XLOOKUP(Table4[[#This Row],[Malın kodu]],Table1[[#All],[Malın kodu]],Table1[[#All],[Malın adı]],"xəta",0)</f>
        <v>Nivelyator / optik / "Leica" / NA 730 / İsveçrə istehsalı</v>
      </c>
      <c r="E204" s="8" t="s">
        <v>1111</v>
      </c>
      <c r="F204" s="4" t="s">
        <v>920</v>
      </c>
      <c r="G204" s="4">
        <v>1</v>
      </c>
      <c r="H204" s="4"/>
      <c r="I204" s="4">
        <f>Table4[[#This Row],[Malın miqdarı]]*Table4[[#This Row],[Vahidin qiyməti]]</f>
        <v>0</v>
      </c>
      <c r="J204" s="4" t="s">
        <v>899</v>
      </c>
      <c r="K204" s="4" t="s">
        <v>893</v>
      </c>
      <c r="L204" s="4">
        <f>_xlfn.XLOOKUP(Table4[[#This Row],[Kontragentin adı]],Table2[Kontragentin adı],Table2[Müqavilə nömrəsi],"Xəta",0)</f>
        <v>0</v>
      </c>
      <c r="M204" s="4">
        <f>_xlfn.XLOOKUP(Table4[[#This Row],[Kontragentin adı]],Table2[Kontragentin adı],Table2[Müqavilə nömrəsi],"Xəta",0)</f>
        <v>0</v>
      </c>
    </row>
    <row r="205" spans="2:13" x14ac:dyDescent="0.3">
      <c r="B205" s="4">
        <f t="shared" si="3"/>
        <v>202</v>
      </c>
      <c r="C205" s="5">
        <v>46174</v>
      </c>
      <c r="D205" s="10" t="str" cm="1">
        <f t="array" ref="D205">_xlfn.XLOOKUP(Table4[[#This Row],[Malın kodu]],Table1[[#All],[Malın kodu]],Table1[[#All],[Malın adı]],"xəta",0)</f>
        <v>Printer / ağ-qara / "HP" / MFP M127 FW /  Çin istehsalı</v>
      </c>
      <c r="E205" s="8" t="s">
        <v>1112</v>
      </c>
      <c r="F205" s="4" t="s">
        <v>920</v>
      </c>
      <c r="G205" s="4">
        <v>1</v>
      </c>
      <c r="H205" s="4"/>
      <c r="I205" s="4">
        <f>Table4[[#This Row],[Malın miqdarı]]*Table4[[#This Row],[Vahidin qiyməti]]</f>
        <v>0</v>
      </c>
      <c r="J205" s="4" t="s">
        <v>899</v>
      </c>
      <c r="K205" s="4" t="s">
        <v>893</v>
      </c>
      <c r="L205" s="4">
        <f>_xlfn.XLOOKUP(Table4[[#This Row],[Kontragentin adı]],Table2[Kontragentin adı],Table2[Müqavilə nömrəsi],"Xəta",0)</f>
        <v>0</v>
      </c>
      <c r="M205" s="4">
        <f>_xlfn.XLOOKUP(Table4[[#This Row],[Kontragentin adı]],Table2[Kontragentin adı],Table2[Müqavilə nömrəsi],"Xəta",0)</f>
        <v>0</v>
      </c>
    </row>
    <row r="206" spans="2:13" x14ac:dyDescent="0.3">
      <c r="B206" s="4">
        <f t="shared" si="3"/>
        <v>203</v>
      </c>
      <c r="C206" s="5">
        <v>46174</v>
      </c>
      <c r="D206" s="10" t="str" cm="1">
        <f t="array" ref="D206">_xlfn.XLOOKUP(Table4[[#This Row],[Malın kodu]],Table1[[#All],[Malın kodu]],Table1[[#All],[Malın adı]],"xəta",0)</f>
        <v>Paltaryuyan / 5 kq / "Midea" / MFE50-S802S / Çin istehsalı</v>
      </c>
      <c r="E206" s="8" t="s">
        <v>1113</v>
      </c>
      <c r="F206" s="4" t="s">
        <v>920</v>
      </c>
      <c r="G206" s="4">
        <v>1</v>
      </c>
      <c r="H206" s="4"/>
      <c r="I206" s="4">
        <f>Table4[[#This Row],[Malın miqdarı]]*Table4[[#This Row],[Vahidin qiyməti]]</f>
        <v>0</v>
      </c>
      <c r="J206" s="4" t="s">
        <v>899</v>
      </c>
      <c r="K206" s="4" t="s">
        <v>893</v>
      </c>
      <c r="L206" s="4">
        <f>_xlfn.XLOOKUP(Table4[[#This Row],[Kontragentin adı]],Table2[Kontragentin adı],Table2[Müqavilə nömrəsi],"Xəta",0)</f>
        <v>0</v>
      </c>
      <c r="M206" s="4">
        <f>_xlfn.XLOOKUP(Table4[[#This Row],[Kontragentin adı]],Table2[Kontragentin adı],Table2[Müqavilə nömrəsi],"Xəta",0)</f>
        <v>0</v>
      </c>
    </row>
    <row r="207" spans="2:13" x14ac:dyDescent="0.3">
      <c r="B207" s="4">
        <f t="shared" si="3"/>
        <v>204</v>
      </c>
      <c r="C207" s="5">
        <v>46174</v>
      </c>
      <c r="D207" s="10" t="str" cm="1">
        <f t="array" ref="D207">_xlfn.XLOOKUP(Table4[[#This Row],[Malın kodu]],Table1[[#All],[Malın kodu]],Table1[[#All],[Malın adı]],"xəta",0)</f>
        <v>Filtr / yağ / DE 224 E / "Delsa" / Türk istehsalı</v>
      </c>
      <c r="E207" s="8" t="s">
        <v>1114</v>
      </c>
      <c r="F207" s="4" t="s">
        <v>920</v>
      </c>
      <c r="G207" s="4">
        <v>1</v>
      </c>
      <c r="H207" s="4"/>
      <c r="I207" s="4">
        <f>Table4[[#This Row],[Malın miqdarı]]*Table4[[#This Row],[Vahidin qiyməti]]</f>
        <v>0</v>
      </c>
      <c r="J207" s="4" t="s">
        <v>899</v>
      </c>
      <c r="K207" s="4" t="s">
        <v>893</v>
      </c>
      <c r="L207" s="4">
        <f>_xlfn.XLOOKUP(Table4[[#This Row],[Kontragentin adı]],Table2[Kontragentin adı],Table2[Müqavilə nömrəsi],"Xəta",0)</f>
        <v>0</v>
      </c>
      <c r="M207" s="4">
        <f>_xlfn.XLOOKUP(Table4[[#This Row],[Kontragentin adı]],Table2[Kontragentin adı],Table2[Müqavilə nömrəsi],"Xəta",0)</f>
        <v>0</v>
      </c>
    </row>
    <row r="208" spans="2:13" x14ac:dyDescent="0.3">
      <c r="B208" s="4">
        <f t="shared" si="3"/>
        <v>205</v>
      </c>
      <c r="C208" s="5">
        <v>46174</v>
      </c>
      <c r="D208" s="10" t="str" cm="1">
        <f t="array" ref="D208">_xlfn.XLOOKUP(Table4[[#This Row],[Malın kodu]],Table1[[#All],[Malın kodu]],Table1[[#All],[Malın adı]],"xəta",0)</f>
        <v>Filtr / yanacaq / WK 11046 / "Mann" / Almaniya istehsalı</v>
      </c>
      <c r="E208" s="8" t="s">
        <v>1115</v>
      </c>
      <c r="F208" s="4" t="s">
        <v>920</v>
      </c>
      <c r="G208" s="4">
        <v>2</v>
      </c>
      <c r="H208" s="4"/>
      <c r="I208" s="4">
        <f>Table4[[#This Row],[Malın miqdarı]]*Table4[[#This Row],[Vahidin qiyməti]]</f>
        <v>0</v>
      </c>
      <c r="J208" s="4" t="s">
        <v>899</v>
      </c>
      <c r="K208" s="4" t="s">
        <v>893</v>
      </c>
      <c r="L208" s="4">
        <f>_xlfn.XLOOKUP(Table4[[#This Row],[Kontragentin adı]],Table2[Kontragentin adı],Table2[Müqavilə nömrəsi],"Xəta",0)</f>
        <v>0</v>
      </c>
      <c r="M208" s="4">
        <f>_xlfn.XLOOKUP(Table4[[#This Row],[Kontragentin adı]],Table2[Kontragentin adı],Table2[Müqavilə nömrəsi],"Xəta",0)</f>
        <v>0</v>
      </c>
    </row>
    <row r="209" spans="2:13" x14ac:dyDescent="0.3">
      <c r="B209" s="4">
        <f t="shared" si="3"/>
        <v>206</v>
      </c>
      <c r="C209" s="5">
        <v>46174</v>
      </c>
      <c r="D209" s="10" t="str" cm="1">
        <f t="array" ref="D209">_xlfn.XLOOKUP(Table4[[#This Row],[Malın kodu]],Table1[[#All],[Malın kodu]],Table1[[#All],[Malın adı]],"xəta",0)</f>
        <v>Filtr / yağ / CS 1557 / "Sampiyon" / Türkiyə istehsalı</v>
      </c>
      <c r="E209" s="8" t="s">
        <v>1116</v>
      </c>
      <c r="F209" s="4" t="s">
        <v>920</v>
      </c>
      <c r="G209" s="4">
        <v>2</v>
      </c>
      <c r="H209" s="4"/>
      <c r="I209" s="4">
        <f>Table4[[#This Row],[Malın miqdarı]]*Table4[[#This Row],[Vahidin qiyməti]]</f>
        <v>0</v>
      </c>
      <c r="J209" s="4" t="s">
        <v>899</v>
      </c>
      <c r="K209" s="4" t="s">
        <v>893</v>
      </c>
      <c r="L209" s="4">
        <f>_xlfn.XLOOKUP(Table4[[#This Row],[Kontragentin adı]],Table2[Kontragentin adı],Table2[Müqavilə nömrəsi],"Xəta",0)</f>
        <v>0</v>
      </c>
      <c r="M209" s="4">
        <f>_xlfn.XLOOKUP(Table4[[#This Row],[Kontragentin adı]],Table2[Kontragentin adı],Table2[Müqavilə nömrəsi],"Xəta",0)</f>
        <v>0</v>
      </c>
    </row>
    <row r="210" spans="2:13" x14ac:dyDescent="0.3">
      <c r="B210" s="4">
        <f t="shared" si="3"/>
        <v>207</v>
      </c>
      <c r="C210" s="5">
        <v>46174</v>
      </c>
      <c r="D210" s="10" t="str" cm="1">
        <f t="array" ref="D210">_xlfn.XLOOKUP(Table4[[#This Row],[Malın kodu]],Table1[[#All],[Malın kodu]],Table1[[#All],[Malın adı]],"xəta",0)</f>
        <v>Filtr / yağ / MLE 1606 / "FİL" / Türkiyə istehsalı</v>
      </c>
      <c r="E210" s="8" t="s">
        <v>1117</v>
      </c>
      <c r="F210" s="4" t="s">
        <v>920</v>
      </c>
      <c r="G210" s="4">
        <v>1</v>
      </c>
      <c r="H210" s="4"/>
      <c r="I210" s="4">
        <f>Table4[[#This Row],[Malın miqdarı]]*Table4[[#This Row],[Vahidin qiyməti]]</f>
        <v>0</v>
      </c>
      <c r="J210" s="4" t="s">
        <v>899</v>
      </c>
      <c r="K210" s="4" t="s">
        <v>893</v>
      </c>
      <c r="L210" s="4">
        <f>_xlfn.XLOOKUP(Table4[[#This Row],[Kontragentin adı]],Table2[Kontragentin adı],Table2[Müqavilə nömrəsi],"Xəta",0)</f>
        <v>0</v>
      </c>
      <c r="M210" s="4">
        <f>_xlfn.XLOOKUP(Table4[[#This Row],[Kontragentin adı]],Table2[Kontragentin adı],Table2[Müqavilə nömrəsi],"Xəta",0)</f>
        <v>0</v>
      </c>
    </row>
    <row r="211" spans="2:13" x14ac:dyDescent="0.3">
      <c r="B211" s="4">
        <f t="shared" si="3"/>
        <v>208</v>
      </c>
      <c r="C211" s="5">
        <v>46174</v>
      </c>
      <c r="D211" s="10" t="str" cm="1">
        <f t="array" ref="D211">_xlfn.XLOOKUP(Table4[[#This Row],[Malın kodu]],Table1[[#All],[Malın kodu]],Table1[[#All],[Malın adı]],"xəta",0)</f>
        <v>Filtr / yağ / CS 1558 / "Sampiyon" / Türk istehsalı</v>
      </c>
      <c r="E211" s="8" t="s">
        <v>1118</v>
      </c>
      <c r="F211" s="4" t="s">
        <v>920</v>
      </c>
      <c r="G211" s="4">
        <v>1</v>
      </c>
      <c r="H211" s="4"/>
      <c r="I211" s="4">
        <f>Table4[[#This Row],[Malın miqdarı]]*Table4[[#This Row],[Vahidin qiyməti]]</f>
        <v>0</v>
      </c>
      <c r="J211" s="4" t="s">
        <v>899</v>
      </c>
      <c r="K211" s="4" t="s">
        <v>893</v>
      </c>
      <c r="L211" s="4">
        <f>_xlfn.XLOOKUP(Table4[[#This Row],[Kontragentin adı]],Table2[Kontragentin adı],Table2[Müqavilə nömrəsi],"Xəta",0)</f>
        <v>0</v>
      </c>
      <c r="M211" s="4">
        <f>_xlfn.XLOOKUP(Table4[[#This Row],[Kontragentin adı]],Table2[Kontragentin adı],Table2[Müqavilə nömrəsi],"Xəta",0)</f>
        <v>0</v>
      </c>
    </row>
    <row r="212" spans="2:13" x14ac:dyDescent="0.3">
      <c r="B212" s="4">
        <f t="shared" si="3"/>
        <v>209</v>
      </c>
      <c r="C212" s="5">
        <v>46174</v>
      </c>
      <c r="D212" s="10" t="str" cm="1">
        <f t="array" ref="D212">_xlfn.XLOOKUP(Table4[[#This Row],[Malın kodu]],Table1[[#All],[Malın kodu]],Table1[[#All],[Malın adı]],"xəta",0)</f>
        <v>Filtr / yanacaq / CS 1672 M / "Sampiyon" / Türk istehsalı</v>
      </c>
      <c r="E212" s="8" t="s">
        <v>1119</v>
      </c>
      <c r="F212" s="4" t="s">
        <v>920</v>
      </c>
      <c r="G212" s="4">
        <v>1</v>
      </c>
      <c r="H212" s="4"/>
      <c r="I212" s="4">
        <f>Table4[[#This Row],[Malın miqdarı]]*Table4[[#This Row],[Vahidin qiyməti]]</f>
        <v>0</v>
      </c>
      <c r="J212" s="4" t="s">
        <v>899</v>
      </c>
      <c r="K212" s="4" t="s">
        <v>893</v>
      </c>
      <c r="L212" s="4">
        <f>_xlfn.XLOOKUP(Table4[[#This Row],[Kontragentin adı]],Table2[Kontragentin adı],Table2[Müqavilə nömrəsi],"Xəta",0)</f>
        <v>0</v>
      </c>
      <c r="M212" s="4">
        <f>_xlfn.XLOOKUP(Table4[[#This Row],[Kontragentin adı]],Table2[Kontragentin adı],Table2[Müqavilə nömrəsi],"Xəta",0)</f>
        <v>0</v>
      </c>
    </row>
    <row r="213" spans="2:13" x14ac:dyDescent="0.3">
      <c r="B213" s="4">
        <f t="shared" si="3"/>
        <v>210</v>
      </c>
      <c r="C213" s="5">
        <v>46174</v>
      </c>
      <c r="D213" s="10" t="str" cm="1">
        <f t="array" ref="D213">_xlfn.XLOOKUP(Table4[[#This Row],[Malın kodu]],Table1[[#All],[Malın kodu]],Table1[[#All],[Malın adı]],"xəta",0)</f>
        <v>Gərginlik tənzimləyicisi / 6-7,5 kVt / "Andeli" / SVC-7500 VA / Çin istehsalı</v>
      </c>
      <c r="E213" s="8" t="s">
        <v>1120</v>
      </c>
      <c r="F213" s="4" t="s">
        <v>920</v>
      </c>
      <c r="G213" s="4">
        <v>1</v>
      </c>
      <c r="H213" s="4"/>
      <c r="I213" s="4">
        <f>Table4[[#This Row],[Malın miqdarı]]*Table4[[#This Row],[Vahidin qiyməti]]</f>
        <v>0</v>
      </c>
      <c r="J213" s="4" t="s">
        <v>899</v>
      </c>
      <c r="K213" s="4" t="s">
        <v>893</v>
      </c>
      <c r="L213" s="4">
        <f>_xlfn.XLOOKUP(Table4[[#This Row],[Kontragentin adı]],Table2[Kontragentin adı],Table2[Müqavilə nömrəsi],"Xəta",0)</f>
        <v>0</v>
      </c>
      <c r="M213" s="4">
        <f>_xlfn.XLOOKUP(Table4[[#This Row],[Kontragentin adı]],Table2[Kontragentin adı],Table2[Müqavilə nömrəsi],"Xəta",0)</f>
        <v>0</v>
      </c>
    </row>
    <row r="214" spans="2:13" x14ac:dyDescent="0.3">
      <c r="B214" s="4">
        <f t="shared" si="3"/>
        <v>211</v>
      </c>
      <c r="C214" s="5">
        <v>46174</v>
      </c>
      <c r="D214" s="10" t="str" cm="1">
        <f t="array" ref="D214">_xlfn.XLOOKUP(Table4[[#This Row],[Malın kodu]],Table1[[#All],[Malın kodu]],Table1[[#All],[Malın adı]],"xəta",0)</f>
        <v>Ölçü lenti / geodezik / 50m x 12,5mm / "Hongtu" / Çin istehsalı</v>
      </c>
      <c r="E214" s="8" t="s">
        <v>1121</v>
      </c>
      <c r="F214" s="4" t="s">
        <v>920</v>
      </c>
      <c r="G214" s="4">
        <v>1</v>
      </c>
      <c r="H214" s="4"/>
      <c r="I214" s="4">
        <f>Table4[[#This Row],[Malın miqdarı]]*Table4[[#This Row],[Vahidin qiyməti]]</f>
        <v>0</v>
      </c>
      <c r="J214" s="4" t="s">
        <v>899</v>
      </c>
      <c r="K214" s="4" t="s">
        <v>893</v>
      </c>
      <c r="L214" s="4">
        <f>_xlfn.XLOOKUP(Table4[[#This Row],[Kontragentin adı]],Table2[Kontragentin adı],Table2[Müqavilə nömrəsi],"Xəta",0)</f>
        <v>0</v>
      </c>
      <c r="M214" s="4">
        <f>_xlfn.XLOOKUP(Table4[[#This Row],[Kontragentin adı]],Table2[Kontragentin adı],Table2[Müqavilə nömrəsi],"Xəta",0)</f>
        <v>0</v>
      </c>
    </row>
    <row r="215" spans="2:13" x14ac:dyDescent="0.3">
      <c r="B215" s="4">
        <f t="shared" si="3"/>
        <v>212</v>
      </c>
      <c r="C215" s="5">
        <v>46174</v>
      </c>
      <c r="D215" s="10" t="str" cm="1">
        <f t="array" ref="D215">_xlfn.XLOOKUP(Table4[[#This Row],[Malın kodu]],Table1[[#All],[Malın kodu]],Table1[[#All],[Malın adı]],"xəta",0)</f>
        <v>Kontaktor / 30 kVt-400V /  50-60 Hz / "Telemecanique" / LC1D6511M7 / Fransa istehsalı</v>
      </c>
      <c r="E215" s="8" t="s">
        <v>1122</v>
      </c>
      <c r="F215" s="4" t="s">
        <v>920</v>
      </c>
      <c r="G215" s="4">
        <v>1</v>
      </c>
      <c r="H215" s="4"/>
      <c r="I215" s="4">
        <f>Table4[[#This Row],[Malın miqdarı]]*Table4[[#This Row],[Vahidin qiyməti]]</f>
        <v>0</v>
      </c>
      <c r="J215" s="4" t="s">
        <v>899</v>
      </c>
      <c r="K215" s="4" t="s">
        <v>893</v>
      </c>
      <c r="L215" s="4">
        <f>_xlfn.XLOOKUP(Table4[[#This Row],[Kontragentin adı]],Table2[Kontragentin adı],Table2[Müqavilə nömrəsi],"Xəta",0)</f>
        <v>0</v>
      </c>
      <c r="M215" s="4">
        <f>_xlfn.XLOOKUP(Table4[[#This Row],[Kontragentin adı]],Table2[Kontragentin adı],Table2[Müqavilə nömrəsi],"Xəta",0)</f>
        <v>0</v>
      </c>
    </row>
    <row r="216" spans="2:13" x14ac:dyDescent="0.3">
      <c r="B216" s="4">
        <f t="shared" si="3"/>
        <v>213</v>
      </c>
      <c r="C216" s="5">
        <v>46174</v>
      </c>
      <c r="D216" s="10" t="str" cm="1">
        <f t="array" ref="D216">_xlfn.XLOOKUP(Table4[[#This Row],[Malın kodu]],Table1[[#All],[Malın kodu]],Table1[[#All],[Malın adı]],"xəta",0)</f>
        <v>Printer / A3 / ağ-qara / "Konica Minolta" / bizhub164 / Çin istehsalı</v>
      </c>
      <c r="E216" s="8" t="s">
        <v>1123</v>
      </c>
      <c r="F216" s="4" t="s">
        <v>920</v>
      </c>
      <c r="G216" s="4">
        <v>1</v>
      </c>
      <c r="H216" s="4"/>
      <c r="I216" s="4">
        <f>Table4[[#This Row],[Malın miqdarı]]*Table4[[#This Row],[Vahidin qiyməti]]</f>
        <v>0</v>
      </c>
      <c r="J216" s="4" t="s">
        <v>899</v>
      </c>
      <c r="K216" s="4" t="s">
        <v>893</v>
      </c>
      <c r="L216" s="4">
        <f>_xlfn.XLOOKUP(Table4[[#This Row],[Kontragentin adı]],Table2[Kontragentin adı],Table2[Müqavilə nömrəsi],"Xəta",0)</f>
        <v>0</v>
      </c>
      <c r="M216" s="4">
        <f>_xlfn.XLOOKUP(Table4[[#This Row],[Kontragentin adı]],Table2[Kontragentin adı],Table2[Müqavilə nömrəsi],"Xəta",0)</f>
        <v>0</v>
      </c>
    </row>
    <row r="217" spans="2:13" x14ac:dyDescent="0.3">
      <c r="B217" s="4">
        <f t="shared" si="3"/>
        <v>214</v>
      </c>
      <c r="C217" s="5">
        <v>46174</v>
      </c>
      <c r="D217" s="10" t="str" cm="1">
        <f t="array" ref="D217">_xlfn.XLOOKUP(Table4[[#This Row],[Malın kodu]],Table1[[#All],[Malın kodu]],Table1[[#All],[Malın adı]],"xəta",0)</f>
        <v>UPS/ 1550 Vt / "Mercury" / Maverick 1550/ Çin istehsalı</v>
      </c>
      <c r="E217" s="8" t="s">
        <v>1124</v>
      </c>
      <c r="F217" s="4" t="s">
        <v>920</v>
      </c>
      <c r="G217" s="4">
        <v>1</v>
      </c>
      <c r="H217" s="4"/>
      <c r="I217" s="4">
        <f>Table4[[#This Row],[Malın miqdarı]]*Table4[[#This Row],[Vahidin qiyməti]]</f>
        <v>0</v>
      </c>
      <c r="J217" s="4" t="s">
        <v>899</v>
      </c>
      <c r="K217" s="4" t="s">
        <v>893</v>
      </c>
      <c r="L217" s="4">
        <f>_xlfn.XLOOKUP(Table4[[#This Row],[Kontragentin adı]],Table2[Kontragentin adı],Table2[Müqavilə nömrəsi],"Xəta",0)</f>
        <v>0</v>
      </c>
      <c r="M217" s="4">
        <f>_xlfn.XLOOKUP(Table4[[#This Row],[Kontragentin adı]],Table2[Kontragentin adı],Table2[Müqavilə nömrəsi],"Xəta",0)</f>
        <v>0</v>
      </c>
    </row>
    <row r="218" spans="2:13" x14ac:dyDescent="0.3">
      <c r="B218" s="4">
        <f t="shared" si="3"/>
        <v>215</v>
      </c>
      <c r="C218" s="5">
        <v>46174</v>
      </c>
      <c r="D218" s="10" t="str" cm="1">
        <f t="array" ref="D218">_xlfn.XLOOKUP(Table4[[#This Row],[Malın kodu]],Table1[[#All],[Malın kodu]],Table1[[#All],[Malın adı]],"xəta",0)</f>
        <v>UPS/ 3600 Vt / "Powercom" / Raptor RPT-600A / Çin istehsalı</v>
      </c>
      <c r="E218" s="8" t="s">
        <v>1125</v>
      </c>
      <c r="F218" s="4" t="s">
        <v>920</v>
      </c>
      <c r="G218" s="4">
        <v>1</v>
      </c>
      <c r="H218" s="4"/>
      <c r="I218" s="4">
        <f>Table4[[#This Row],[Malın miqdarı]]*Table4[[#This Row],[Vahidin qiyməti]]</f>
        <v>0</v>
      </c>
      <c r="J218" s="4" t="s">
        <v>899</v>
      </c>
      <c r="K218" s="4" t="s">
        <v>893</v>
      </c>
      <c r="L218" s="4">
        <f>_xlfn.XLOOKUP(Table4[[#This Row],[Kontragentin adı]],Table2[Kontragentin adı],Table2[Müqavilə nömrəsi],"Xəta",0)</f>
        <v>0</v>
      </c>
      <c r="M218" s="4">
        <f>_xlfn.XLOOKUP(Table4[[#This Row],[Kontragentin adı]],Table2[Kontragentin adı],Table2[Müqavilə nömrəsi],"Xəta",0)</f>
        <v>0</v>
      </c>
    </row>
    <row r="219" spans="2:13" x14ac:dyDescent="0.3">
      <c r="B219" s="4">
        <f t="shared" si="3"/>
        <v>216</v>
      </c>
      <c r="C219" s="5">
        <v>46174</v>
      </c>
      <c r="D219" s="10" t="str" cm="1">
        <f t="array" ref="D219">_xlfn.XLOOKUP(Table4[[#This Row],[Malın kodu]],Table1[[#All],[Malın kodu]],Table1[[#All],[Malın adı]],"xəta",0)</f>
        <v>Fırça / 180 x 50 mm</v>
      </c>
      <c r="E219" s="8" t="s">
        <v>1126</v>
      </c>
      <c r="F219" s="4" t="s">
        <v>920</v>
      </c>
      <c r="G219" s="4">
        <v>1</v>
      </c>
      <c r="H219" s="4"/>
      <c r="I219" s="4">
        <f>Table4[[#This Row],[Malın miqdarı]]*Table4[[#This Row],[Vahidin qiyməti]]</f>
        <v>0</v>
      </c>
      <c r="J219" s="4" t="s">
        <v>899</v>
      </c>
      <c r="K219" s="4" t="s">
        <v>893</v>
      </c>
      <c r="L219" s="4">
        <f>_xlfn.XLOOKUP(Table4[[#This Row],[Kontragentin adı]],Table2[Kontragentin adı],Table2[Müqavilə nömrəsi],"Xəta",0)</f>
        <v>0</v>
      </c>
      <c r="M219" s="4">
        <f>_xlfn.XLOOKUP(Table4[[#This Row],[Kontragentin adı]],Table2[Kontragentin adı],Table2[Müqavilə nömrəsi],"Xəta",0)</f>
        <v>0</v>
      </c>
    </row>
    <row r="220" spans="2:13" x14ac:dyDescent="0.3">
      <c r="B220" s="4">
        <f t="shared" si="3"/>
        <v>217</v>
      </c>
      <c r="C220" s="5">
        <v>46174</v>
      </c>
      <c r="D220" s="10" t="str" cm="1">
        <f t="array" ref="D220">_xlfn.XLOOKUP(Table4[[#This Row],[Malın kodu]],Table1[[#All],[Malın kodu]],Table1[[#All],[Malın adı]],"xəta",0)</f>
        <v>Spot / 16 Amp / LED</v>
      </c>
      <c r="E220" s="8" t="s">
        <v>1127</v>
      </c>
      <c r="F220" s="4" t="s">
        <v>920</v>
      </c>
      <c r="G220" s="4">
        <v>1</v>
      </c>
      <c r="H220" s="4"/>
      <c r="I220" s="4">
        <f>Table4[[#This Row],[Malın miqdarı]]*Table4[[#This Row],[Vahidin qiyməti]]</f>
        <v>0</v>
      </c>
      <c r="J220" s="4" t="s">
        <v>899</v>
      </c>
      <c r="K220" s="4" t="s">
        <v>893</v>
      </c>
      <c r="L220" s="4">
        <f>_xlfn.XLOOKUP(Table4[[#This Row],[Kontragentin adı]],Table2[Kontragentin adı],Table2[Müqavilə nömrəsi],"Xəta",0)</f>
        <v>0</v>
      </c>
      <c r="M220" s="4">
        <f>_xlfn.XLOOKUP(Table4[[#This Row],[Kontragentin adı]],Table2[Kontragentin adı],Table2[Müqavilə nömrəsi],"Xəta",0)</f>
        <v>0</v>
      </c>
    </row>
    <row r="221" spans="2:13" x14ac:dyDescent="0.3">
      <c r="B221" s="4">
        <f t="shared" si="3"/>
        <v>218</v>
      </c>
      <c r="C221" s="5">
        <v>46174</v>
      </c>
      <c r="D221" s="10" t="str" cm="1">
        <f t="array" ref="D221">_xlfn.XLOOKUP(Table4[[#This Row],[Malın kodu]],Table1[[#All],[Malın kodu]],Table1[[#All],[Malın adı]],"xəta",0)</f>
        <v>Bra / plastik</v>
      </c>
      <c r="E221" s="8" t="s">
        <v>1128</v>
      </c>
      <c r="F221" s="4" t="s">
        <v>920</v>
      </c>
      <c r="G221" s="4">
        <v>1</v>
      </c>
      <c r="H221" s="4"/>
      <c r="I221" s="4">
        <f>Table4[[#This Row],[Malın miqdarı]]*Table4[[#This Row],[Vahidin qiyməti]]</f>
        <v>0</v>
      </c>
      <c r="J221" s="4" t="s">
        <v>899</v>
      </c>
      <c r="K221" s="4" t="s">
        <v>893</v>
      </c>
      <c r="L221" s="4">
        <f>_xlfn.XLOOKUP(Table4[[#This Row],[Kontragentin adı]],Table2[Kontragentin adı],Table2[Müqavilə nömrəsi],"Xəta",0)</f>
        <v>0</v>
      </c>
      <c r="M221" s="4">
        <f>_xlfn.XLOOKUP(Table4[[#This Row],[Kontragentin adı]],Table2[Kontragentin adı],Table2[Müqavilə nömrəsi],"Xəta",0)</f>
        <v>0</v>
      </c>
    </row>
    <row r="222" spans="2:13" x14ac:dyDescent="0.3">
      <c r="B222" s="4">
        <f t="shared" si="3"/>
        <v>219</v>
      </c>
      <c r="C222" s="5">
        <v>46174</v>
      </c>
      <c r="D222" s="10" t="str" cm="1">
        <f t="array" ref="D222">_xlfn.XLOOKUP(Table4[[#This Row],[Malın kodu]],Table1[[#All],[Malın kodu]],Table1[[#All],[Malın adı]],"xəta",0)</f>
        <v>Disk / cilalayıcı / d 115 mm / lagonda üçün</v>
      </c>
      <c r="E222" s="8" t="s">
        <v>1129</v>
      </c>
      <c r="F222" s="4" t="s">
        <v>920</v>
      </c>
      <c r="G222" s="4">
        <v>11</v>
      </c>
      <c r="H222" s="4"/>
      <c r="I222" s="4">
        <f>Table4[[#This Row],[Malın miqdarı]]*Table4[[#This Row],[Vahidin qiyməti]]</f>
        <v>0</v>
      </c>
      <c r="J222" s="4" t="s">
        <v>899</v>
      </c>
      <c r="K222" s="4" t="s">
        <v>893</v>
      </c>
      <c r="L222" s="4">
        <f>_xlfn.XLOOKUP(Table4[[#This Row],[Kontragentin adı]],Table2[Kontragentin adı],Table2[Müqavilə nömrəsi],"Xəta",0)</f>
        <v>0</v>
      </c>
      <c r="M222" s="4">
        <f>_xlfn.XLOOKUP(Table4[[#This Row],[Kontragentin adı]],Table2[Kontragentin adı],Table2[Müqavilə nömrəsi],"Xəta",0)</f>
        <v>0</v>
      </c>
    </row>
    <row r="223" spans="2:13" x14ac:dyDescent="0.3">
      <c r="B223" s="4">
        <f t="shared" si="3"/>
        <v>220</v>
      </c>
      <c r="C223" s="5">
        <v>46174</v>
      </c>
      <c r="D223" s="10" t="str" cm="1">
        <f t="array" ref="D223">_xlfn.XLOOKUP(Table4[[#This Row],[Malın kodu]],Table1[[#All],[Malın kodu]],Table1[[#All],[Malın adı]],"xəta",0)</f>
        <v>Disk / kəsən / d 350 mm / lagonda üçün</v>
      </c>
      <c r="E223" s="8" t="s">
        <v>1130</v>
      </c>
      <c r="F223" s="4" t="s">
        <v>920</v>
      </c>
      <c r="G223" s="4">
        <v>1</v>
      </c>
      <c r="H223" s="4"/>
      <c r="I223" s="4">
        <f>Table4[[#This Row],[Malın miqdarı]]*Table4[[#This Row],[Vahidin qiyməti]]</f>
        <v>0</v>
      </c>
      <c r="J223" s="4" t="s">
        <v>899</v>
      </c>
      <c r="K223" s="4" t="s">
        <v>893</v>
      </c>
      <c r="L223" s="4">
        <f>_xlfn.XLOOKUP(Table4[[#This Row],[Kontragentin adı]],Table2[Kontragentin adı],Table2[Müqavilə nömrəsi],"Xəta",0)</f>
        <v>0</v>
      </c>
      <c r="M223" s="4">
        <f>_xlfn.XLOOKUP(Table4[[#This Row],[Kontragentin adı]],Table2[Kontragentin adı],Table2[Müqavilə nömrəsi],"Xəta",0)</f>
        <v>0</v>
      </c>
    </row>
    <row r="224" spans="2:13" x14ac:dyDescent="0.3">
      <c r="B224" s="4">
        <f t="shared" si="3"/>
        <v>221</v>
      </c>
      <c r="C224" s="5">
        <v>46174</v>
      </c>
      <c r="D224" s="10" t="str" cm="1">
        <f t="array" ref="D224">_xlfn.XLOOKUP(Table4[[#This Row],[Malın kodu]],Table1[[#All],[Malın kodu]],Table1[[#All],[Malın adı]],"xəta",0)</f>
        <v>Açar / qayka / 22 x 24</v>
      </c>
      <c r="E224" s="8" t="s">
        <v>1131</v>
      </c>
      <c r="F224" s="4" t="s">
        <v>920</v>
      </c>
      <c r="G224" s="4">
        <v>1</v>
      </c>
      <c r="H224" s="4"/>
      <c r="I224" s="4">
        <f>Table4[[#This Row],[Malın miqdarı]]*Table4[[#This Row],[Vahidin qiyməti]]</f>
        <v>0</v>
      </c>
      <c r="J224" s="4" t="s">
        <v>899</v>
      </c>
      <c r="K224" s="4" t="s">
        <v>893</v>
      </c>
      <c r="L224" s="4">
        <f>_xlfn.XLOOKUP(Table4[[#This Row],[Kontragentin adı]],Table2[Kontragentin adı],Table2[Müqavilə nömrəsi],"Xəta",0)</f>
        <v>0</v>
      </c>
      <c r="M224" s="4">
        <f>_xlfn.XLOOKUP(Table4[[#This Row],[Kontragentin adı]],Table2[Kontragentin adı],Table2[Müqavilə nömrəsi],"Xəta",0)</f>
        <v>0</v>
      </c>
    </row>
    <row r="225" spans="2:13" x14ac:dyDescent="0.3">
      <c r="B225" s="4">
        <f t="shared" si="3"/>
        <v>222</v>
      </c>
      <c r="C225" s="5">
        <v>46174</v>
      </c>
      <c r="D225" s="10" t="str" cm="1">
        <f t="array" ref="D225">_xlfn.XLOOKUP(Table4[[#This Row],[Malın kodu]],Table1[[#All],[Malın kodu]],Table1[[#All],[Malın adı]],"xəta",0)</f>
        <v>Açar / qayka / bir tərəfi halqalı / 28</v>
      </c>
      <c r="E225" s="8" t="s">
        <v>1132</v>
      </c>
      <c r="F225" s="4" t="s">
        <v>920</v>
      </c>
      <c r="G225" s="4">
        <v>1</v>
      </c>
      <c r="H225" s="4"/>
      <c r="I225" s="4">
        <f>Table4[[#This Row],[Malın miqdarı]]*Table4[[#This Row],[Vahidin qiyməti]]</f>
        <v>0</v>
      </c>
      <c r="J225" s="4" t="s">
        <v>899</v>
      </c>
      <c r="K225" s="4" t="s">
        <v>893</v>
      </c>
      <c r="L225" s="4">
        <f>_xlfn.XLOOKUP(Table4[[#This Row],[Kontragentin adı]],Table2[Kontragentin adı],Table2[Müqavilə nömrəsi],"Xəta",0)</f>
        <v>0</v>
      </c>
      <c r="M225" s="4">
        <f>_xlfn.XLOOKUP(Table4[[#This Row],[Kontragentin adı]],Table2[Kontragentin adı],Table2[Müqavilə nömrəsi],"Xəta",0)</f>
        <v>0</v>
      </c>
    </row>
    <row r="226" spans="2:13" x14ac:dyDescent="0.3">
      <c r="B226" s="4">
        <f t="shared" si="3"/>
        <v>223</v>
      </c>
      <c r="C226" s="5">
        <v>46174</v>
      </c>
      <c r="D226" s="10" t="str" cm="1">
        <f t="array" ref="D226">_xlfn.XLOOKUP(Table4[[#This Row],[Malın kodu]],Table1[[#All],[Malın kodu]],Table1[[#All],[Malın adı]],"xəta",0)</f>
        <v>Açar / qayka / 19 x 22</v>
      </c>
      <c r="E226" s="8" t="s">
        <v>1133</v>
      </c>
      <c r="F226" s="4" t="s">
        <v>920</v>
      </c>
      <c r="G226" s="4">
        <v>1</v>
      </c>
      <c r="H226" s="4"/>
      <c r="I226" s="4">
        <f>Table4[[#This Row],[Malın miqdarı]]*Table4[[#This Row],[Vahidin qiyməti]]</f>
        <v>0</v>
      </c>
      <c r="J226" s="4" t="s">
        <v>899</v>
      </c>
      <c r="K226" s="4" t="s">
        <v>893</v>
      </c>
      <c r="L226" s="4">
        <f>_xlfn.XLOOKUP(Table4[[#This Row],[Kontragentin adı]],Table2[Kontragentin adı],Table2[Müqavilə nömrəsi],"Xəta",0)</f>
        <v>0</v>
      </c>
      <c r="M226" s="4">
        <f>_xlfn.XLOOKUP(Table4[[#This Row],[Kontragentin adı]],Table2[Kontragentin adı],Table2[Müqavilə nömrəsi],"Xəta",0)</f>
        <v>0</v>
      </c>
    </row>
    <row r="227" spans="2:13" x14ac:dyDescent="0.3">
      <c r="B227" s="4">
        <f t="shared" si="3"/>
        <v>224</v>
      </c>
      <c r="C227" s="5">
        <v>46174</v>
      </c>
      <c r="D227" s="10" t="str" cm="1">
        <f t="array" ref="D227">_xlfn.XLOOKUP(Table4[[#This Row],[Malın kodu]],Table1[[#All],[Malın kodu]],Table1[[#All],[Malın adı]],"xəta",0)</f>
        <v>Açar / qayka / bir tərəfi halqalı / 30</v>
      </c>
      <c r="E227" s="8" t="s">
        <v>1134</v>
      </c>
      <c r="F227" s="4" t="s">
        <v>920</v>
      </c>
      <c r="G227" s="4">
        <v>3</v>
      </c>
      <c r="H227" s="4"/>
      <c r="I227" s="4">
        <f>Table4[[#This Row],[Malın miqdarı]]*Table4[[#This Row],[Vahidin qiyməti]]</f>
        <v>0</v>
      </c>
      <c r="J227" s="4" t="s">
        <v>899</v>
      </c>
      <c r="K227" s="4" t="s">
        <v>893</v>
      </c>
      <c r="L227" s="4">
        <f>_xlfn.XLOOKUP(Table4[[#This Row],[Kontragentin adı]],Table2[Kontragentin adı],Table2[Müqavilə nömrəsi],"Xəta",0)</f>
        <v>0</v>
      </c>
      <c r="M227" s="4">
        <f>_xlfn.XLOOKUP(Table4[[#This Row],[Kontragentin adı]],Table2[Kontragentin adı],Table2[Müqavilə nömrəsi],"Xəta",0)</f>
        <v>0</v>
      </c>
    </row>
    <row r="228" spans="2:13" x14ac:dyDescent="0.3">
      <c r="B228" s="4">
        <f t="shared" si="3"/>
        <v>225</v>
      </c>
      <c r="C228" s="5">
        <v>46174</v>
      </c>
      <c r="D228" s="10" t="str" cm="1">
        <f t="array" ref="D228">_xlfn.XLOOKUP(Table4[[#This Row],[Malın kodu]],Table1[[#All],[Malın kodu]],Table1[[#All],[Malın adı]],"xəta",0)</f>
        <v>Açar / qayka / bir tərəfi halqalı / 32</v>
      </c>
      <c r="E228" s="8" t="s">
        <v>1135</v>
      </c>
      <c r="F228" s="4" t="s">
        <v>920</v>
      </c>
      <c r="G228" s="4">
        <v>1</v>
      </c>
      <c r="H228" s="4"/>
      <c r="I228" s="4">
        <f>Table4[[#This Row],[Malın miqdarı]]*Table4[[#This Row],[Vahidin qiyməti]]</f>
        <v>0</v>
      </c>
      <c r="J228" s="4" t="s">
        <v>899</v>
      </c>
      <c r="K228" s="4" t="s">
        <v>893</v>
      </c>
      <c r="L228" s="4">
        <f>_xlfn.XLOOKUP(Table4[[#This Row],[Kontragentin adı]],Table2[Kontragentin adı],Table2[Müqavilə nömrəsi],"Xəta",0)</f>
        <v>0</v>
      </c>
      <c r="M228" s="4">
        <f>_xlfn.XLOOKUP(Table4[[#This Row],[Kontragentin adı]],Table2[Kontragentin adı],Table2[Müqavilə nömrəsi],"Xəta",0)</f>
        <v>0</v>
      </c>
    </row>
    <row r="229" spans="2:13" x14ac:dyDescent="0.3">
      <c r="B229" s="4">
        <f t="shared" si="3"/>
        <v>226</v>
      </c>
      <c r="C229" s="5">
        <v>46174</v>
      </c>
      <c r="D229" s="10" t="str" cm="1">
        <f t="array" ref="D229">_xlfn.XLOOKUP(Table4[[#This Row],[Malın kodu]],Table1[[#All],[Malın kodu]],Table1[[#All],[Malın adı]],"xəta",0)</f>
        <v>Açar / qayka / iki tərəfi halqalı / 30 x 32</v>
      </c>
      <c r="E229" s="8" t="s">
        <v>1136</v>
      </c>
      <c r="F229" s="4" t="s">
        <v>920</v>
      </c>
      <c r="G229" s="4">
        <v>1</v>
      </c>
      <c r="H229" s="4"/>
      <c r="I229" s="4">
        <f>Table4[[#This Row],[Malın miqdarı]]*Table4[[#This Row],[Vahidin qiyməti]]</f>
        <v>0</v>
      </c>
      <c r="J229" s="4" t="s">
        <v>899</v>
      </c>
      <c r="K229" s="4" t="s">
        <v>893</v>
      </c>
      <c r="L229" s="4">
        <f>_xlfn.XLOOKUP(Table4[[#This Row],[Kontragentin adı]],Table2[Kontragentin adı],Table2[Müqavilə nömrəsi],"Xəta",0)</f>
        <v>0</v>
      </c>
      <c r="M229" s="4">
        <f>_xlfn.XLOOKUP(Table4[[#This Row],[Kontragentin adı]],Table2[Kontragentin adı],Table2[Müqavilə nömrəsi],"Xəta",0)</f>
        <v>0</v>
      </c>
    </row>
    <row r="230" spans="2:13" x14ac:dyDescent="0.3">
      <c r="B230" s="4">
        <f t="shared" si="3"/>
        <v>227</v>
      </c>
      <c r="C230" s="5">
        <v>46174</v>
      </c>
      <c r="D230" s="10" t="str" cm="1">
        <f t="array" ref="D230">_xlfn.XLOOKUP(Table4[[#This Row],[Malın kodu]],Table1[[#All],[Malın kodu]],Table1[[#All],[Malın adı]],"xəta",0)</f>
        <v>Açar / qayka / iki tərəfi halqalı / 36 x 41</v>
      </c>
      <c r="E230" s="8" t="s">
        <v>1137</v>
      </c>
      <c r="F230" s="4" t="s">
        <v>920</v>
      </c>
      <c r="G230" s="4">
        <v>1</v>
      </c>
      <c r="H230" s="4"/>
      <c r="I230" s="4">
        <f>Table4[[#This Row],[Malın miqdarı]]*Table4[[#This Row],[Vahidin qiyməti]]</f>
        <v>0</v>
      </c>
      <c r="J230" s="4" t="s">
        <v>899</v>
      </c>
      <c r="K230" s="4" t="s">
        <v>893</v>
      </c>
      <c r="L230" s="4">
        <f>_xlfn.XLOOKUP(Table4[[#This Row],[Kontragentin adı]],Table2[Kontragentin adı],Table2[Müqavilə nömrəsi],"Xəta",0)</f>
        <v>0</v>
      </c>
      <c r="M230" s="4">
        <f>_xlfn.XLOOKUP(Table4[[#This Row],[Kontragentin adı]],Table2[Kontragentin adı],Table2[Müqavilə nömrəsi],"Xəta",0)</f>
        <v>0</v>
      </c>
    </row>
    <row r="231" spans="2:13" x14ac:dyDescent="0.3">
      <c r="B231" s="4">
        <f t="shared" si="3"/>
        <v>228</v>
      </c>
      <c r="C231" s="5">
        <v>46174</v>
      </c>
      <c r="D231" s="10" t="str" cm="1">
        <f t="array" ref="D231">_xlfn.XLOOKUP(Table4[[#This Row],[Malın kodu]],Table1[[#All],[Malın kodu]],Table1[[#All],[Malın adı]],"xəta",0)</f>
        <v>Açar / qayka / halqalı / 36</v>
      </c>
      <c r="E231" s="8" t="s">
        <v>1138</v>
      </c>
      <c r="F231" s="4" t="s">
        <v>920</v>
      </c>
      <c r="G231" s="4">
        <v>1</v>
      </c>
      <c r="H231" s="4"/>
      <c r="I231" s="4">
        <f>Table4[[#This Row],[Malın miqdarı]]*Table4[[#This Row],[Vahidin qiyməti]]</f>
        <v>0</v>
      </c>
      <c r="J231" s="4" t="s">
        <v>899</v>
      </c>
      <c r="K231" s="4" t="s">
        <v>893</v>
      </c>
      <c r="L231" s="4">
        <f>_xlfn.XLOOKUP(Table4[[#This Row],[Kontragentin adı]],Table2[Kontragentin adı],Table2[Müqavilə nömrəsi],"Xəta",0)</f>
        <v>0</v>
      </c>
      <c r="M231" s="4">
        <f>_xlfn.XLOOKUP(Table4[[#This Row],[Kontragentin adı]],Table2[Kontragentin adı],Table2[Müqavilə nömrəsi],"Xəta",0)</f>
        <v>0</v>
      </c>
    </row>
    <row r="232" spans="2:13" x14ac:dyDescent="0.3">
      <c r="B232" s="4">
        <f t="shared" si="3"/>
        <v>229</v>
      </c>
      <c r="C232" s="5">
        <v>46174</v>
      </c>
      <c r="D232" s="10" t="str" cm="1">
        <f t="array" ref="D232">_xlfn.XLOOKUP(Table4[[#This Row],[Malın kodu]],Table1[[#All],[Malın kodu]],Table1[[#All],[Malın adı]],"xəta",0)</f>
        <v>Açar / qayka / halqalı / 41</v>
      </c>
      <c r="E232" s="8" t="s">
        <v>1139</v>
      </c>
      <c r="F232" s="4" t="s">
        <v>920</v>
      </c>
      <c r="G232" s="4">
        <v>1</v>
      </c>
      <c r="H232" s="4"/>
      <c r="I232" s="4">
        <f>Table4[[#This Row],[Malın miqdarı]]*Table4[[#This Row],[Vahidin qiyməti]]</f>
        <v>0</v>
      </c>
      <c r="J232" s="4" t="s">
        <v>899</v>
      </c>
      <c r="K232" s="4" t="s">
        <v>893</v>
      </c>
      <c r="L232" s="4">
        <f>_xlfn.XLOOKUP(Table4[[#This Row],[Kontragentin adı]],Table2[Kontragentin adı],Table2[Müqavilə nömrəsi],"Xəta",0)</f>
        <v>0</v>
      </c>
      <c r="M232" s="4">
        <f>_xlfn.XLOOKUP(Table4[[#This Row],[Kontragentin adı]],Table2[Kontragentin adı],Table2[Müqavilə nömrəsi],"Xəta",0)</f>
        <v>0</v>
      </c>
    </row>
    <row r="233" spans="2:13" x14ac:dyDescent="0.3">
      <c r="B233" s="4">
        <f t="shared" si="3"/>
        <v>230</v>
      </c>
      <c r="C233" s="5">
        <v>46174</v>
      </c>
      <c r="D233" s="10" t="str" cm="1">
        <f t="array" ref="D233">_xlfn.XLOOKUP(Table4[[#This Row],[Malın kodu]],Table1[[#All],[Malın kodu]],Table1[[#All],[Malın adı]],"xəta",0)</f>
        <v>Açar / qayka / halqalı / 27</v>
      </c>
      <c r="E233" s="8" t="s">
        <v>1140</v>
      </c>
      <c r="F233" s="4" t="s">
        <v>920</v>
      </c>
      <c r="G233" s="4">
        <v>1</v>
      </c>
      <c r="H233" s="4"/>
      <c r="I233" s="4">
        <f>Table4[[#This Row],[Malın miqdarı]]*Table4[[#This Row],[Vahidin qiyməti]]</f>
        <v>0</v>
      </c>
      <c r="J233" s="4" t="s">
        <v>899</v>
      </c>
      <c r="K233" s="4" t="s">
        <v>893</v>
      </c>
      <c r="L233" s="4">
        <f>_xlfn.XLOOKUP(Table4[[#This Row],[Kontragentin adı]],Table2[Kontragentin adı],Table2[Müqavilə nömrəsi],"Xəta",0)</f>
        <v>0</v>
      </c>
      <c r="M233" s="4">
        <f>_xlfn.XLOOKUP(Table4[[#This Row],[Kontragentin adı]],Table2[Kontragentin adı],Table2[Müqavilə nömrəsi],"Xəta",0)</f>
        <v>0</v>
      </c>
    </row>
    <row r="234" spans="2:13" x14ac:dyDescent="0.3">
      <c r="B234" s="4">
        <f t="shared" si="3"/>
        <v>231</v>
      </c>
      <c r="C234" s="5">
        <v>46174</v>
      </c>
      <c r="D234" s="10" t="str" cm="1">
        <f t="array" ref="D234">_xlfn.XLOOKUP(Table4[[#This Row],[Malın kodu]],Table1[[#All],[Malın kodu]],Table1[[#All],[Malın adı]],"xəta",0)</f>
        <v>Kəlbətin / kəsən / dəmiriçi üçün</v>
      </c>
      <c r="E234" s="8" t="s">
        <v>1141</v>
      </c>
      <c r="F234" s="4" t="s">
        <v>920</v>
      </c>
      <c r="G234" s="4">
        <v>2</v>
      </c>
      <c r="H234" s="4"/>
      <c r="I234" s="4">
        <f>Table4[[#This Row],[Malın miqdarı]]*Table4[[#This Row],[Vahidin qiyməti]]</f>
        <v>0</v>
      </c>
      <c r="J234" s="4" t="s">
        <v>899</v>
      </c>
      <c r="K234" s="4" t="s">
        <v>893</v>
      </c>
      <c r="L234" s="4">
        <f>_xlfn.XLOOKUP(Table4[[#This Row],[Kontragentin adı]],Table2[Kontragentin adı],Table2[Müqavilə nömrəsi],"Xəta",0)</f>
        <v>0</v>
      </c>
      <c r="M234" s="4">
        <f>_xlfn.XLOOKUP(Table4[[#This Row],[Kontragentin adı]],Table2[Kontragentin adı],Table2[Müqavilə nömrəsi],"Xəta",0)</f>
        <v>0</v>
      </c>
    </row>
    <row r="235" spans="2:13" x14ac:dyDescent="0.3">
      <c r="B235" s="4">
        <f t="shared" si="3"/>
        <v>232</v>
      </c>
      <c r="C235" s="5">
        <v>46174</v>
      </c>
      <c r="D235" s="10" t="str" cm="1">
        <f t="array" ref="D235">_xlfn.XLOOKUP(Table4[[#This Row],[Malın kodu]],Table1[[#All],[Malın kodu]],Table1[[#All],[Malın adı]],"xəta",0)</f>
        <v>Künc (gönyə) / 90° / 40 sm</v>
      </c>
      <c r="E235" s="8" t="s">
        <v>1142</v>
      </c>
      <c r="F235" s="4" t="s">
        <v>920</v>
      </c>
      <c r="G235" s="4">
        <v>1</v>
      </c>
      <c r="H235" s="4"/>
      <c r="I235" s="4">
        <f>Table4[[#This Row],[Malın miqdarı]]*Table4[[#This Row],[Vahidin qiyməti]]</f>
        <v>0</v>
      </c>
      <c r="J235" s="4" t="s">
        <v>899</v>
      </c>
      <c r="K235" s="4" t="s">
        <v>893</v>
      </c>
      <c r="L235" s="4">
        <f>_xlfn.XLOOKUP(Table4[[#This Row],[Kontragentin adı]],Table2[Kontragentin adı],Table2[Müqavilə nömrəsi],"Xəta",0)</f>
        <v>0</v>
      </c>
      <c r="M235" s="4">
        <f>_xlfn.XLOOKUP(Table4[[#This Row],[Kontragentin adı]],Table2[Kontragentin adı],Table2[Müqavilə nömrəsi],"Xəta",0)</f>
        <v>0</v>
      </c>
    </row>
    <row r="236" spans="2:13" x14ac:dyDescent="0.3">
      <c r="B236" s="4">
        <f t="shared" si="3"/>
        <v>233</v>
      </c>
      <c r="C236" s="5">
        <v>46174</v>
      </c>
      <c r="D236" s="10" t="str" cm="1">
        <f t="array" ref="D236">_xlfn.XLOOKUP(Table4[[#This Row],[Malın kodu]],Table1[[#All],[Malın kodu]],Table1[[#All],[Malın adı]],"xəta",0)</f>
        <v>Qızdırıcı fen / 2000 Wt / "Sonifer" / Çin istehsalı</v>
      </c>
      <c r="E236" s="8" t="s">
        <v>1143</v>
      </c>
      <c r="F236" s="4" t="s">
        <v>920</v>
      </c>
      <c r="G236" s="4">
        <v>1</v>
      </c>
      <c r="H236" s="4"/>
      <c r="I236" s="4">
        <f>Table4[[#This Row],[Malın miqdarı]]*Table4[[#This Row],[Vahidin qiyməti]]</f>
        <v>0</v>
      </c>
      <c r="J236" s="4" t="s">
        <v>899</v>
      </c>
      <c r="K236" s="4" t="s">
        <v>893</v>
      </c>
      <c r="L236" s="4">
        <f>_xlfn.XLOOKUP(Table4[[#This Row],[Kontragentin adı]],Table2[Kontragentin adı],Table2[Müqavilə nömrəsi],"Xəta",0)</f>
        <v>0</v>
      </c>
      <c r="M236" s="4">
        <f>_xlfn.XLOOKUP(Table4[[#This Row],[Kontragentin adı]],Table2[Kontragentin adı],Table2[Müqavilə nömrəsi],"Xəta",0)</f>
        <v>0</v>
      </c>
    </row>
    <row r="237" spans="2:13" x14ac:dyDescent="0.3">
      <c r="B237" s="4">
        <f t="shared" si="3"/>
        <v>234</v>
      </c>
      <c r="C237" s="5">
        <v>46174</v>
      </c>
      <c r="D237" s="10" t="str" cm="1">
        <f t="array" ref="D237">_xlfn.XLOOKUP(Table4[[#This Row],[Malın kodu]],Table1[[#All],[Malın kodu]],Table1[[#All],[Malın adı]],"xəta",0)</f>
        <v>Qaz brülörü / gorelka</v>
      </c>
      <c r="E237" s="8" t="s">
        <v>1144</v>
      </c>
      <c r="F237" s="4" t="s">
        <v>920</v>
      </c>
      <c r="G237" s="4">
        <v>4</v>
      </c>
      <c r="H237" s="4"/>
      <c r="I237" s="4">
        <f>Table4[[#This Row],[Malın miqdarı]]*Table4[[#This Row],[Vahidin qiyməti]]</f>
        <v>0</v>
      </c>
      <c r="J237" s="4" t="s">
        <v>899</v>
      </c>
      <c r="K237" s="4" t="s">
        <v>893</v>
      </c>
      <c r="L237" s="4">
        <f>_xlfn.XLOOKUP(Table4[[#This Row],[Kontragentin adı]],Table2[Kontragentin adı],Table2[Müqavilə nömrəsi],"Xəta",0)</f>
        <v>0</v>
      </c>
      <c r="M237" s="4">
        <f>_xlfn.XLOOKUP(Table4[[#This Row],[Kontragentin adı]],Table2[Kontragentin adı],Table2[Müqavilə nömrəsi],"Xəta",0)</f>
        <v>0</v>
      </c>
    </row>
    <row r="238" spans="2:13" x14ac:dyDescent="0.3">
      <c r="B238" s="4">
        <f t="shared" si="3"/>
        <v>235</v>
      </c>
      <c r="C238" s="5">
        <v>46174</v>
      </c>
      <c r="D238" s="10" t="str" cm="1">
        <f t="array" ref="D238">_xlfn.XLOOKUP(Table4[[#This Row],[Malın kodu]],Table1[[#All],[Malın kodu]],Table1[[#All],[Malın adı]],"xəta",0)</f>
        <v>Burğu / 22 x 800 mm</v>
      </c>
      <c r="E238" s="8" t="s">
        <v>1145</v>
      </c>
      <c r="F238" s="4" t="s">
        <v>920</v>
      </c>
      <c r="G238" s="4">
        <v>1</v>
      </c>
      <c r="H238" s="4"/>
      <c r="I238" s="4">
        <f>Table4[[#This Row],[Malın miqdarı]]*Table4[[#This Row],[Vahidin qiyməti]]</f>
        <v>0</v>
      </c>
      <c r="J238" s="4" t="s">
        <v>899</v>
      </c>
      <c r="K238" s="4" t="s">
        <v>893</v>
      </c>
      <c r="L238" s="4">
        <f>_xlfn.XLOOKUP(Table4[[#This Row],[Kontragentin adı]],Table2[Kontragentin adı],Table2[Müqavilə nömrəsi],"Xəta",0)</f>
        <v>0</v>
      </c>
      <c r="M238" s="4">
        <f>_xlfn.XLOOKUP(Table4[[#This Row],[Kontragentin adı]],Table2[Kontragentin adı],Table2[Müqavilə nömrəsi],"Xəta",0)</f>
        <v>0</v>
      </c>
    </row>
    <row r="239" spans="2:13" x14ac:dyDescent="0.3">
      <c r="B239" s="4">
        <f t="shared" si="3"/>
        <v>236</v>
      </c>
      <c r="C239" s="5">
        <v>46174</v>
      </c>
      <c r="D239" s="10" t="str" cm="1">
        <f t="array" ref="D239">_xlfn.XLOOKUP(Table4[[#This Row],[Malın kodu]],Table1[[#All],[Malın kodu]],Table1[[#All],[Malın adı]],"xəta",0)</f>
        <v>Burğu / 22 x 400 mm</v>
      </c>
      <c r="E239" s="8" t="s">
        <v>1146</v>
      </c>
      <c r="F239" s="4" t="s">
        <v>920</v>
      </c>
      <c r="G239" s="4">
        <v>1</v>
      </c>
      <c r="H239" s="4"/>
      <c r="I239" s="4">
        <f>Table4[[#This Row],[Malın miqdarı]]*Table4[[#This Row],[Vahidin qiyməti]]</f>
        <v>0</v>
      </c>
      <c r="J239" s="4" t="s">
        <v>899</v>
      </c>
      <c r="K239" s="4" t="s">
        <v>893</v>
      </c>
      <c r="L239" s="4">
        <f>_xlfn.XLOOKUP(Table4[[#This Row],[Kontragentin adı]],Table2[Kontragentin adı],Table2[Müqavilə nömrəsi],"Xəta",0)</f>
        <v>0</v>
      </c>
      <c r="M239" s="4">
        <f>_xlfn.XLOOKUP(Table4[[#This Row],[Kontragentin adı]],Table2[Kontragentin adı],Table2[Müqavilə nömrəsi],"Xəta",0)</f>
        <v>0</v>
      </c>
    </row>
    <row r="240" spans="2:13" x14ac:dyDescent="0.3">
      <c r="B240" s="4">
        <f t="shared" si="3"/>
        <v>237</v>
      </c>
      <c r="C240" s="5">
        <v>46174</v>
      </c>
      <c r="D240" s="10" t="str" cm="1">
        <f t="array" ref="D240">_xlfn.XLOOKUP(Table4[[#This Row],[Malın kodu]],Table1[[#All],[Malın kodu]],Table1[[#All],[Malın adı]],"xəta",0)</f>
        <v>Burğu / 22 x 250 mm</v>
      </c>
      <c r="E240" s="8" t="s">
        <v>1147</v>
      </c>
      <c r="F240" s="4" t="s">
        <v>920</v>
      </c>
      <c r="G240" s="4">
        <v>1</v>
      </c>
      <c r="H240" s="4"/>
      <c r="I240" s="4">
        <f>Table4[[#This Row],[Malın miqdarı]]*Table4[[#This Row],[Vahidin qiyməti]]</f>
        <v>0</v>
      </c>
      <c r="J240" s="4" t="s">
        <v>899</v>
      </c>
      <c r="K240" s="4" t="s">
        <v>893</v>
      </c>
      <c r="L240" s="4">
        <f>_xlfn.XLOOKUP(Table4[[#This Row],[Kontragentin adı]],Table2[Kontragentin adı],Table2[Müqavilə nömrəsi],"Xəta",0)</f>
        <v>0</v>
      </c>
      <c r="M240" s="4">
        <f>_xlfn.XLOOKUP(Table4[[#This Row],[Kontragentin adı]],Table2[Kontragentin adı],Table2[Müqavilə nömrəsi],"Xəta",0)</f>
        <v>0</v>
      </c>
    </row>
    <row r="241" spans="2:13" x14ac:dyDescent="0.3">
      <c r="B241" s="4">
        <f t="shared" si="3"/>
        <v>238</v>
      </c>
      <c r="C241" s="5">
        <v>46174</v>
      </c>
      <c r="D241" s="10" t="str" cm="1">
        <f t="array" ref="D241">_xlfn.XLOOKUP(Table4[[#This Row],[Malın kodu]],Table1[[#All],[Malın kodu]],Table1[[#All],[Malın adı]],"xəta",0)</f>
        <v>Burğu / 8 x 120 mm</v>
      </c>
      <c r="E241" s="8" t="s">
        <v>1148</v>
      </c>
      <c r="F241" s="4" t="s">
        <v>920</v>
      </c>
      <c r="G241" s="4">
        <v>2</v>
      </c>
      <c r="H241" s="4"/>
      <c r="I241" s="4">
        <f>Table4[[#This Row],[Malın miqdarı]]*Table4[[#This Row],[Vahidin qiyməti]]</f>
        <v>0</v>
      </c>
      <c r="J241" s="4" t="s">
        <v>899</v>
      </c>
      <c r="K241" s="4" t="s">
        <v>893</v>
      </c>
      <c r="L241" s="4">
        <f>_xlfn.XLOOKUP(Table4[[#This Row],[Kontragentin adı]],Table2[Kontragentin adı],Table2[Müqavilə nömrəsi],"Xəta",0)</f>
        <v>0</v>
      </c>
      <c r="M241" s="4">
        <f>_xlfn.XLOOKUP(Table4[[#This Row],[Kontragentin adı]],Table2[Kontragentin adı],Table2[Müqavilə nömrəsi],"Xəta",0)</f>
        <v>0</v>
      </c>
    </row>
    <row r="242" spans="2:13" x14ac:dyDescent="0.3">
      <c r="B242" s="4">
        <f t="shared" si="3"/>
        <v>239</v>
      </c>
      <c r="C242" s="5">
        <v>46174</v>
      </c>
      <c r="D242" s="10" t="str" cm="1">
        <f t="array" ref="D242">_xlfn.XLOOKUP(Table4[[#This Row],[Malın kodu]],Table1[[#All],[Malın kodu]],Table1[[#All],[Malın adı]],"xəta",0)</f>
        <v>Burğu / 14 x 150 mm</v>
      </c>
      <c r="E242" s="8" t="s">
        <v>1149</v>
      </c>
      <c r="F242" s="4" t="s">
        <v>920</v>
      </c>
      <c r="G242" s="4">
        <v>1</v>
      </c>
      <c r="H242" s="4"/>
      <c r="I242" s="4">
        <f>Table4[[#This Row],[Malın miqdarı]]*Table4[[#This Row],[Vahidin qiyməti]]</f>
        <v>0</v>
      </c>
      <c r="J242" s="4" t="s">
        <v>899</v>
      </c>
      <c r="K242" s="4" t="s">
        <v>893</v>
      </c>
      <c r="L242" s="4">
        <f>_xlfn.XLOOKUP(Table4[[#This Row],[Kontragentin adı]],Table2[Kontragentin adı],Table2[Müqavilə nömrəsi],"Xəta",0)</f>
        <v>0</v>
      </c>
      <c r="M242" s="4">
        <f>_xlfn.XLOOKUP(Table4[[#This Row],[Kontragentin adı]],Table2[Kontragentin adı],Table2[Müqavilə nömrəsi],"Xəta",0)</f>
        <v>0</v>
      </c>
    </row>
    <row r="243" spans="2:13" x14ac:dyDescent="0.3">
      <c r="B243" s="4">
        <f t="shared" si="3"/>
        <v>240</v>
      </c>
      <c r="C243" s="5">
        <v>46174</v>
      </c>
      <c r="D243" s="10" t="str" cm="1">
        <f t="array" ref="D243">_xlfn.XLOOKUP(Table4[[#This Row],[Malın kodu]],Table1[[#All],[Malın kodu]],Table1[[#All],[Malın adı]],"xəta",0)</f>
        <v>Burğu / 25 x 350 mm</v>
      </c>
      <c r="E243" s="8" t="s">
        <v>1150</v>
      </c>
      <c r="F243" s="4" t="s">
        <v>920</v>
      </c>
      <c r="G243" s="4">
        <v>3</v>
      </c>
      <c r="H243" s="4"/>
      <c r="I243" s="4">
        <f>Table4[[#This Row],[Malın miqdarı]]*Table4[[#This Row],[Vahidin qiyməti]]</f>
        <v>0</v>
      </c>
      <c r="J243" s="4" t="s">
        <v>899</v>
      </c>
      <c r="K243" s="4" t="s">
        <v>893</v>
      </c>
      <c r="L243" s="4">
        <f>_xlfn.XLOOKUP(Table4[[#This Row],[Kontragentin adı]],Table2[Kontragentin adı],Table2[Müqavilə nömrəsi],"Xəta",0)</f>
        <v>0</v>
      </c>
      <c r="M243" s="4">
        <f>_xlfn.XLOOKUP(Table4[[#This Row],[Kontragentin adı]],Table2[Kontragentin adı],Table2[Müqavilə nömrəsi],"Xəta",0)</f>
        <v>0</v>
      </c>
    </row>
    <row r="244" spans="2:13" x14ac:dyDescent="0.3">
      <c r="B244" s="4">
        <f t="shared" si="3"/>
        <v>241</v>
      </c>
      <c r="C244" s="5">
        <v>46174</v>
      </c>
      <c r="D244" s="10" t="str" cm="1">
        <f t="array" ref="D244">_xlfn.XLOOKUP(Table4[[#This Row],[Malın kodu]],Table1[[#All],[Malın kodu]],Table1[[#All],[Malın adı]],"xəta",0)</f>
        <v>Mişar / əl</v>
      </c>
      <c r="E244" s="8" t="s">
        <v>1151</v>
      </c>
      <c r="F244" s="4" t="s">
        <v>920</v>
      </c>
      <c r="G244" s="4">
        <v>1</v>
      </c>
      <c r="H244" s="4"/>
      <c r="I244" s="4">
        <f>Table4[[#This Row],[Malın miqdarı]]*Table4[[#This Row],[Vahidin qiyməti]]</f>
        <v>0</v>
      </c>
      <c r="J244" s="4" t="s">
        <v>899</v>
      </c>
      <c r="K244" s="4" t="s">
        <v>893</v>
      </c>
      <c r="L244" s="4">
        <f>_xlfn.XLOOKUP(Table4[[#This Row],[Kontragentin adı]],Table2[Kontragentin adı],Table2[Müqavilə nömrəsi],"Xəta",0)</f>
        <v>0</v>
      </c>
      <c r="M244" s="4">
        <f>_xlfn.XLOOKUP(Table4[[#This Row],[Kontragentin adı]],Table2[Kontragentin adı],Table2[Müqavilə nömrəsi],"Xəta",0)</f>
        <v>0</v>
      </c>
    </row>
    <row r="245" spans="2:13" x14ac:dyDescent="0.3">
      <c r="B245" s="4">
        <f t="shared" si="3"/>
        <v>242</v>
      </c>
      <c r="C245" s="5">
        <v>46174</v>
      </c>
      <c r="D245" s="10" t="str" cm="1">
        <f t="array" ref="D245">_xlfn.XLOOKUP(Table4[[#This Row],[Malın kodu]],Table1[[#All],[Malın kodu]],Table1[[#All],[Malın adı]],"xəta",0)</f>
        <v>Pika / 25 x 250 mm / pnevmatik çəkic üçün</v>
      </c>
      <c r="E245" s="8" t="s">
        <v>1152</v>
      </c>
      <c r="F245" s="4" t="s">
        <v>920</v>
      </c>
      <c r="G245" s="4">
        <v>3</v>
      </c>
      <c r="H245" s="4"/>
      <c r="I245" s="4">
        <f>Table4[[#This Row],[Malın miqdarı]]*Table4[[#This Row],[Vahidin qiyməti]]</f>
        <v>0</v>
      </c>
      <c r="J245" s="4" t="s">
        <v>899</v>
      </c>
      <c r="K245" s="4" t="s">
        <v>893</v>
      </c>
      <c r="L245" s="4">
        <f>_xlfn.XLOOKUP(Table4[[#This Row],[Kontragentin adı]],Table2[Kontragentin adı],Table2[Müqavilə nömrəsi],"Xəta",0)</f>
        <v>0</v>
      </c>
      <c r="M245" s="4">
        <f>_xlfn.XLOOKUP(Table4[[#This Row],[Kontragentin adı]],Table2[Kontragentin adı],Table2[Müqavilə nömrəsi],"Xəta",0)</f>
        <v>0</v>
      </c>
    </row>
    <row r="246" spans="2:13" x14ac:dyDescent="0.3">
      <c r="B246" s="4">
        <f t="shared" si="3"/>
        <v>243</v>
      </c>
      <c r="C246" s="5">
        <v>46174</v>
      </c>
      <c r="D246" s="10" t="str" cm="1">
        <f t="array" ref="D246">_xlfn.XLOOKUP(Table4[[#This Row],[Malın kodu]],Table1[[#All],[Malın kodu]],Table1[[#All],[Malın adı]],"xəta",0)</f>
        <v>Pika / 10 x 200 mm / yastı / perforator üçün</v>
      </c>
      <c r="E246" s="8" t="s">
        <v>1153</v>
      </c>
      <c r="F246" s="4" t="s">
        <v>920</v>
      </c>
      <c r="G246" s="4">
        <v>1</v>
      </c>
      <c r="H246" s="4"/>
      <c r="I246" s="4">
        <f>Table4[[#This Row],[Malın miqdarı]]*Table4[[#This Row],[Vahidin qiyməti]]</f>
        <v>0</v>
      </c>
      <c r="J246" s="4" t="s">
        <v>899</v>
      </c>
      <c r="K246" s="4" t="s">
        <v>893</v>
      </c>
      <c r="L246" s="4">
        <f>_xlfn.XLOOKUP(Table4[[#This Row],[Kontragentin adı]],Table2[Kontragentin adı],Table2[Müqavilə nömrəsi],"Xəta",0)</f>
        <v>0</v>
      </c>
      <c r="M246" s="4">
        <f>_xlfn.XLOOKUP(Table4[[#This Row],[Kontragentin adı]],Table2[Kontragentin adı],Table2[Müqavilə nömrəsi],"Xəta",0)</f>
        <v>0</v>
      </c>
    </row>
    <row r="247" spans="2:13" x14ac:dyDescent="0.3">
      <c r="B247" s="4">
        <f t="shared" si="3"/>
        <v>244</v>
      </c>
      <c r="C247" s="5">
        <v>46174</v>
      </c>
      <c r="D247" s="10" t="str" cm="1">
        <f t="array" ref="D247">_xlfn.XLOOKUP(Table4[[#This Row],[Malın kodu]],Table1[[#All],[Malın kodu]],Table1[[#All],[Malın adı]],"xəta",0)</f>
        <v>Açar / 6 künc / d 12 mm</v>
      </c>
      <c r="E247" s="8" t="s">
        <v>1154</v>
      </c>
      <c r="F247" s="4" t="s">
        <v>920</v>
      </c>
      <c r="G247" s="4">
        <v>1</v>
      </c>
      <c r="H247" s="4"/>
      <c r="I247" s="4">
        <f>Table4[[#This Row],[Malın miqdarı]]*Table4[[#This Row],[Vahidin qiyməti]]</f>
        <v>0</v>
      </c>
      <c r="J247" s="4" t="s">
        <v>899</v>
      </c>
      <c r="K247" s="4" t="s">
        <v>893</v>
      </c>
      <c r="L247" s="4">
        <f>_xlfn.XLOOKUP(Table4[[#This Row],[Kontragentin adı]],Table2[Kontragentin adı],Table2[Müqavilə nömrəsi],"Xəta",0)</f>
        <v>0</v>
      </c>
      <c r="M247" s="4">
        <f>_xlfn.XLOOKUP(Table4[[#This Row],[Kontragentin adı]],Table2[Kontragentin adı],Table2[Müqavilə nömrəsi],"Xəta",0)</f>
        <v>0</v>
      </c>
    </row>
    <row r="248" spans="2:13" x14ac:dyDescent="0.3">
      <c r="B248" s="4">
        <f t="shared" si="3"/>
        <v>245</v>
      </c>
      <c r="C248" s="5">
        <v>46174</v>
      </c>
      <c r="D248" s="10" t="str" cm="1">
        <f t="array" ref="D248">_xlfn.XLOOKUP(Table4[[#This Row],[Malın kodu]],Table1[[#All],[Malın kodu]],Table1[[#All],[Malın adı]],"xəta",0)</f>
        <v>Şlanq / L 50 sm / S/Q üçün</v>
      </c>
      <c r="E248" s="8" t="s">
        <v>1155</v>
      </c>
      <c r="F248" s="4" t="s">
        <v>920</v>
      </c>
      <c r="G248" s="4">
        <v>3</v>
      </c>
      <c r="H248" s="4"/>
      <c r="I248" s="4">
        <f>Table4[[#This Row],[Malın miqdarı]]*Table4[[#This Row],[Vahidin qiyməti]]</f>
        <v>0</v>
      </c>
      <c r="J248" s="4" t="s">
        <v>899</v>
      </c>
      <c r="K248" s="4" t="s">
        <v>893</v>
      </c>
      <c r="L248" s="4">
        <f>_xlfn.XLOOKUP(Table4[[#This Row],[Kontragentin adı]],Table2[Kontragentin adı],Table2[Müqavilə nömrəsi],"Xəta",0)</f>
        <v>0</v>
      </c>
      <c r="M248" s="4">
        <f>_xlfn.XLOOKUP(Table4[[#This Row],[Kontragentin adı]],Table2[Kontragentin adı],Table2[Müqavilə nömrəsi],"Xəta",0)</f>
        <v>0</v>
      </c>
    </row>
    <row r="249" spans="2:13" x14ac:dyDescent="0.3">
      <c r="B249" s="4">
        <f t="shared" si="3"/>
        <v>246</v>
      </c>
      <c r="C249" s="5">
        <v>46174</v>
      </c>
      <c r="D249" s="10" t="str" cm="1">
        <f t="array" ref="D249">_xlfn.XLOOKUP(Table4[[#This Row],[Malın kodu]],Table1[[#All],[Malın kodu]],Table1[[#All],[Malın adı]],"xəta",0)</f>
        <v>Şlanq / L 30 sm / S/Q üçün</v>
      </c>
      <c r="E249" s="8" t="s">
        <v>1156</v>
      </c>
      <c r="F249" s="4" t="s">
        <v>920</v>
      </c>
      <c r="G249" s="4">
        <v>5</v>
      </c>
      <c r="H249" s="4"/>
      <c r="I249" s="4">
        <f>Table4[[#This Row],[Malın miqdarı]]*Table4[[#This Row],[Vahidin qiyməti]]</f>
        <v>0</v>
      </c>
      <c r="J249" s="4" t="s">
        <v>899</v>
      </c>
      <c r="K249" s="4" t="s">
        <v>893</v>
      </c>
      <c r="L249" s="4">
        <f>_xlfn.XLOOKUP(Table4[[#This Row],[Kontragentin adı]],Table2[Kontragentin adı],Table2[Müqavilə nömrəsi],"Xəta",0)</f>
        <v>0</v>
      </c>
      <c r="M249" s="4">
        <f>_xlfn.XLOOKUP(Table4[[#This Row],[Kontragentin adı]],Table2[Kontragentin adı],Table2[Müqavilə nömrəsi],"Xəta",0)</f>
        <v>0</v>
      </c>
    </row>
    <row r="250" spans="2:13" x14ac:dyDescent="0.3">
      <c r="B250" s="4">
        <f t="shared" si="3"/>
        <v>247</v>
      </c>
      <c r="C250" s="5">
        <v>46174</v>
      </c>
      <c r="D250" s="10" t="str" cm="1">
        <f t="array" ref="D250">_xlfn.XLOOKUP(Table4[[#This Row],[Malın kodu]],Table1[[#All],[Malın kodu]],Table1[[#All],[Malın adı]],"xəta",0)</f>
        <v>Şlanq / L 40 sm / S/Q üçün</v>
      </c>
      <c r="E250" s="8" t="s">
        <v>1157</v>
      </c>
      <c r="F250" s="4" t="s">
        <v>920</v>
      </c>
      <c r="G250" s="4">
        <v>1</v>
      </c>
      <c r="H250" s="4"/>
      <c r="I250" s="4">
        <f>Table4[[#This Row],[Malın miqdarı]]*Table4[[#This Row],[Vahidin qiyməti]]</f>
        <v>0</v>
      </c>
      <c r="J250" s="4" t="s">
        <v>899</v>
      </c>
      <c r="K250" s="4" t="s">
        <v>893</v>
      </c>
      <c r="L250" s="4">
        <f>_xlfn.XLOOKUP(Table4[[#This Row],[Kontragentin adı]],Table2[Kontragentin adı],Table2[Müqavilə nömrəsi],"Xəta",0)</f>
        <v>0</v>
      </c>
      <c r="M250" s="4">
        <f>_xlfn.XLOOKUP(Table4[[#This Row],[Kontragentin adı]],Table2[Kontragentin adı],Table2[Müqavilə nömrəsi],"Xəta",0)</f>
        <v>0</v>
      </c>
    </row>
    <row r="251" spans="2:13" x14ac:dyDescent="0.3">
      <c r="B251" s="4">
        <f t="shared" si="3"/>
        <v>248</v>
      </c>
      <c r="C251" s="5">
        <v>46174</v>
      </c>
      <c r="D251" s="10" t="str" cm="1">
        <f t="array" ref="D251">_xlfn.XLOOKUP(Table4[[#This Row],[Malın kodu]],Table1[[#All],[Malın kodu]],Table1[[#All],[Malın adı]],"xəta",0)</f>
        <v>Dirsək / polad / d 57 mm</v>
      </c>
      <c r="E251" s="8" t="s">
        <v>1158</v>
      </c>
      <c r="F251" s="4" t="s">
        <v>920</v>
      </c>
      <c r="G251" s="4">
        <v>1</v>
      </c>
      <c r="H251" s="4"/>
      <c r="I251" s="4">
        <f>Table4[[#This Row],[Malın miqdarı]]*Table4[[#This Row],[Vahidin qiyməti]]</f>
        <v>0</v>
      </c>
      <c r="J251" s="4" t="s">
        <v>899</v>
      </c>
      <c r="K251" s="4" t="s">
        <v>893</v>
      </c>
      <c r="L251" s="4">
        <f>_xlfn.XLOOKUP(Table4[[#This Row],[Kontragentin adı]],Table2[Kontragentin adı],Table2[Müqavilə nömrəsi],"Xəta",0)</f>
        <v>0</v>
      </c>
      <c r="M251" s="4">
        <f>_xlfn.XLOOKUP(Table4[[#This Row],[Kontragentin adı]],Table2[Kontragentin adı],Table2[Müqavilə nömrəsi],"Xəta",0)</f>
        <v>0</v>
      </c>
    </row>
    <row r="252" spans="2:13" x14ac:dyDescent="0.3">
      <c r="B252" s="4">
        <f t="shared" si="3"/>
        <v>249</v>
      </c>
      <c r="C252" s="5">
        <v>46174</v>
      </c>
      <c r="D252" s="10" t="str" cm="1">
        <f t="array" ref="D252">_xlfn.XLOOKUP(Table4[[#This Row],[Malın kodu]],Table1[[#All],[Malın kodu]],Table1[[#All],[Malın adı]],"xəta",0)</f>
        <v>Mişar / lobzik üçün / T244D</v>
      </c>
      <c r="E252" s="8" t="s">
        <v>1159</v>
      </c>
      <c r="F252" s="4" t="s">
        <v>920</v>
      </c>
      <c r="G252" s="4">
        <v>4</v>
      </c>
      <c r="H252" s="4"/>
      <c r="I252" s="4">
        <f>Table4[[#This Row],[Malın miqdarı]]*Table4[[#This Row],[Vahidin qiyməti]]</f>
        <v>0</v>
      </c>
      <c r="J252" s="4" t="s">
        <v>899</v>
      </c>
      <c r="K252" s="4" t="s">
        <v>893</v>
      </c>
      <c r="L252" s="4">
        <f>_xlfn.XLOOKUP(Table4[[#This Row],[Kontragentin adı]],Table2[Kontragentin adı],Table2[Müqavilə nömrəsi],"Xəta",0)</f>
        <v>0</v>
      </c>
      <c r="M252" s="4">
        <f>_xlfn.XLOOKUP(Table4[[#This Row],[Kontragentin adı]],Table2[Kontragentin adı],Table2[Müqavilə nömrəsi],"Xəta",0)</f>
        <v>0</v>
      </c>
    </row>
    <row r="253" spans="2:13" x14ac:dyDescent="0.3">
      <c r="B253" s="4">
        <f t="shared" si="3"/>
        <v>250</v>
      </c>
      <c r="C253" s="5">
        <v>46174</v>
      </c>
      <c r="D253" s="10" t="str" cm="1">
        <f t="array" ref="D253">_xlfn.XLOOKUP(Table4[[#This Row],[Malın kodu]],Table1[[#All],[Malın kodu]],Table1[[#All],[Malın adı]],"xəta",0)</f>
        <v>Dirsək / d 50 mm / polad / flyanslı</v>
      </c>
      <c r="E253" s="8" t="s">
        <v>1160</v>
      </c>
      <c r="F253" s="4" t="s">
        <v>920</v>
      </c>
      <c r="G253" s="4">
        <v>1</v>
      </c>
      <c r="H253" s="4"/>
      <c r="I253" s="4">
        <f>Table4[[#This Row],[Malın miqdarı]]*Table4[[#This Row],[Vahidin qiyməti]]</f>
        <v>0</v>
      </c>
      <c r="J253" s="4" t="s">
        <v>899</v>
      </c>
      <c r="K253" s="4" t="s">
        <v>893</v>
      </c>
      <c r="L253" s="4">
        <f>_xlfn.XLOOKUP(Table4[[#This Row],[Kontragentin adı]],Table2[Kontragentin adı],Table2[Müqavilə nömrəsi],"Xəta",0)</f>
        <v>0</v>
      </c>
      <c r="M253" s="4">
        <f>_xlfn.XLOOKUP(Table4[[#This Row],[Kontragentin adı]],Table2[Kontragentin adı],Table2[Müqavilə nömrəsi],"Xəta",0)</f>
        <v>0</v>
      </c>
    </row>
    <row r="254" spans="2:13" x14ac:dyDescent="0.3">
      <c r="B254" s="4">
        <f t="shared" si="3"/>
        <v>251</v>
      </c>
      <c r="C254" s="5">
        <v>46174</v>
      </c>
      <c r="D254" s="10" t="str" cm="1">
        <f t="array" ref="D254">_xlfn.XLOOKUP(Table4[[#This Row],[Malın kodu]],Table1[[#All],[Malın kodu]],Table1[[#All],[Malın adı]],"xəta",0)</f>
        <v>Mufta / d 50 mm / polipropilen / "Metak"</v>
      </c>
      <c r="E254" s="8" t="s">
        <v>1161</v>
      </c>
      <c r="F254" s="4" t="s">
        <v>920</v>
      </c>
      <c r="G254" s="4">
        <v>3</v>
      </c>
      <c r="H254" s="4"/>
      <c r="I254" s="4">
        <f>Table4[[#This Row],[Malın miqdarı]]*Table4[[#This Row],[Vahidin qiyməti]]</f>
        <v>0</v>
      </c>
      <c r="J254" s="4" t="s">
        <v>899</v>
      </c>
      <c r="K254" s="4" t="s">
        <v>893</v>
      </c>
      <c r="L254" s="4">
        <f>_xlfn.XLOOKUP(Table4[[#This Row],[Kontragentin adı]],Table2[Kontragentin adı],Table2[Müqavilə nömrəsi],"Xəta",0)</f>
        <v>0</v>
      </c>
      <c r="M254" s="4">
        <f>_xlfn.XLOOKUP(Table4[[#This Row],[Kontragentin adı]],Table2[Kontragentin adı],Table2[Müqavilə nömrəsi],"Xəta",0)</f>
        <v>0</v>
      </c>
    </row>
    <row r="255" spans="2:13" x14ac:dyDescent="0.3">
      <c r="B255" s="4">
        <f t="shared" si="3"/>
        <v>252</v>
      </c>
      <c r="C255" s="5">
        <v>46174</v>
      </c>
      <c r="D255" s="10" t="str" cm="1">
        <f t="array" ref="D255">_xlfn.XLOOKUP(Table4[[#This Row],[Malın kodu]],Table1[[#All],[Malın kodu]],Table1[[#All],[Malın adı]],"xəta",0)</f>
        <v>Üçlük / d 25 mm / polipropilen / "Metak"</v>
      </c>
      <c r="E255" s="8" t="s">
        <v>1162</v>
      </c>
      <c r="F255" s="4" t="s">
        <v>920</v>
      </c>
      <c r="G255" s="4">
        <v>2</v>
      </c>
      <c r="H255" s="4"/>
      <c r="I255" s="4">
        <f>Table4[[#This Row],[Malın miqdarı]]*Table4[[#This Row],[Vahidin qiyməti]]</f>
        <v>0</v>
      </c>
      <c r="J255" s="4" t="s">
        <v>899</v>
      </c>
      <c r="K255" s="4" t="s">
        <v>893</v>
      </c>
      <c r="L255" s="4">
        <f>_xlfn.XLOOKUP(Table4[[#This Row],[Kontragentin adı]],Table2[Kontragentin adı],Table2[Müqavilə nömrəsi],"Xəta",0)</f>
        <v>0</v>
      </c>
      <c r="M255" s="4">
        <f>_xlfn.XLOOKUP(Table4[[#This Row],[Kontragentin adı]],Table2[Kontragentin adı],Table2[Müqavilə nömrəsi],"Xəta",0)</f>
        <v>0</v>
      </c>
    </row>
    <row r="256" spans="2:13" x14ac:dyDescent="0.3">
      <c r="B256" s="4">
        <f t="shared" si="3"/>
        <v>253</v>
      </c>
      <c r="C256" s="5">
        <v>46174</v>
      </c>
      <c r="D256" s="10" t="str" cm="1">
        <f t="array" ref="D256">_xlfn.XLOOKUP(Table4[[#This Row],[Malın kodu]],Table1[[#All],[Malın kodu]],Table1[[#All],[Malın adı]],"xəta",0)</f>
        <v>Üçlük / d 32x25 mm / polipropilen / "Metak"</v>
      </c>
      <c r="E256" s="8" t="s">
        <v>1163</v>
      </c>
      <c r="F256" s="4" t="s">
        <v>920</v>
      </c>
      <c r="G256" s="4">
        <v>1</v>
      </c>
      <c r="H256" s="4"/>
      <c r="I256" s="4">
        <f>Table4[[#This Row],[Malın miqdarı]]*Table4[[#This Row],[Vahidin qiyməti]]</f>
        <v>0</v>
      </c>
      <c r="J256" s="4" t="s">
        <v>899</v>
      </c>
      <c r="K256" s="4" t="s">
        <v>893</v>
      </c>
      <c r="L256" s="4">
        <f>_xlfn.XLOOKUP(Table4[[#This Row],[Kontragentin adı]],Table2[Kontragentin adı],Table2[Müqavilə nömrəsi],"Xəta",0)</f>
        <v>0</v>
      </c>
      <c r="M256" s="4">
        <f>_xlfn.XLOOKUP(Table4[[#This Row],[Kontragentin adı]],Table2[Kontragentin adı],Table2[Müqavilə nömrəsi],"Xəta",0)</f>
        <v>0</v>
      </c>
    </row>
    <row r="257" spans="2:13" x14ac:dyDescent="0.3">
      <c r="B257" s="4">
        <f t="shared" si="3"/>
        <v>254</v>
      </c>
      <c r="C257" s="5">
        <v>46174</v>
      </c>
      <c r="D257" s="10" t="str" cm="1">
        <f t="array" ref="D257">_xlfn.XLOOKUP(Table4[[#This Row],[Malın kodu]],Table1[[#All],[Malın kodu]],Table1[[#All],[Malın adı]],"xəta",0)</f>
        <v>Mufta / d 25 mm / polipropilen / "Metak"</v>
      </c>
      <c r="E257" s="8" t="s">
        <v>1164</v>
      </c>
      <c r="F257" s="4" t="s">
        <v>920</v>
      </c>
      <c r="G257" s="4">
        <v>1</v>
      </c>
      <c r="H257" s="4"/>
      <c r="I257" s="4">
        <f>Table4[[#This Row],[Malın miqdarı]]*Table4[[#This Row],[Vahidin qiyməti]]</f>
        <v>0</v>
      </c>
      <c r="J257" s="4" t="s">
        <v>899</v>
      </c>
      <c r="K257" s="4" t="s">
        <v>893</v>
      </c>
      <c r="L257" s="4">
        <f>_xlfn.XLOOKUP(Table4[[#This Row],[Kontragentin adı]],Table2[Kontragentin adı],Table2[Müqavilə nömrəsi],"Xəta",0)</f>
        <v>0</v>
      </c>
      <c r="M257" s="4">
        <f>_xlfn.XLOOKUP(Table4[[#This Row],[Kontragentin adı]],Table2[Kontragentin adı],Table2[Müqavilə nömrəsi],"Xəta",0)</f>
        <v>0</v>
      </c>
    </row>
    <row r="258" spans="2:13" x14ac:dyDescent="0.3">
      <c r="B258" s="4">
        <f t="shared" si="3"/>
        <v>255</v>
      </c>
      <c r="C258" s="5">
        <v>46174</v>
      </c>
      <c r="D258" s="10" t="str" cm="1">
        <f t="array" ref="D258">_xlfn.XLOOKUP(Table4[[#This Row],[Malın kodu]],Table1[[#All],[Malın kodu]],Table1[[#All],[Malın adı]],"xəta",0)</f>
        <v>Qapaq / d 25 mm / polipropilen / "Metak"</v>
      </c>
      <c r="E258" s="8" t="s">
        <v>1165</v>
      </c>
      <c r="F258" s="4" t="s">
        <v>920</v>
      </c>
      <c r="G258" s="4">
        <v>2</v>
      </c>
      <c r="H258" s="4"/>
      <c r="I258" s="4">
        <f>Table4[[#This Row],[Malın miqdarı]]*Table4[[#This Row],[Vahidin qiyməti]]</f>
        <v>0</v>
      </c>
      <c r="J258" s="4" t="s">
        <v>899</v>
      </c>
      <c r="K258" s="4" t="s">
        <v>893</v>
      </c>
      <c r="L258" s="4">
        <f>_xlfn.XLOOKUP(Table4[[#This Row],[Kontragentin adı]],Table2[Kontragentin adı],Table2[Müqavilə nömrəsi],"Xəta",0)</f>
        <v>0</v>
      </c>
      <c r="M258" s="4">
        <f>_xlfn.XLOOKUP(Table4[[#This Row],[Kontragentin adı]],Table2[Kontragentin adı],Table2[Müqavilə nömrəsi],"Xəta",0)</f>
        <v>0</v>
      </c>
    </row>
    <row r="259" spans="2:13" x14ac:dyDescent="0.3">
      <c r="B259" s="4">
        <f t="shared" si="3"/>
        <v>256</v>
      </c>
      <c r="C259" s="5">
        <v>46174</v>
      </c>
      <c r="D259" s="10" t="str" cm="1">
        <f t="array" ref="D259">_xlfn.XLOOKUP(Table4[[#This Row],[Malın kodu]],Table1[[#All],[Malın kodu]],Table1[[#All],[Malın adı]],"xəta",0)</f>
        <v>Dirsək / d 20 mm / 45° / polipropilen / "Metak"</v>
      </c>
      <c r="E259" s="8" t="s">
        <v>1166</v>
      </c>
      <c r="F259" s="4" t="s">
        <v>920</v>
      </c>
      <c r="G259" s="4">
        <v>1</v>
      </c>
      <c r="H259" s="4"/>
      <c r="I259" s="4">
        <f>Table4[[#This Row],[Malın miqdarı]]*Table4[[#This Row],[Vahidin qiyməti]]</f>
        <v>0</v>
      </c>
      <c r="J259" s="4" t="s">
        <v>899</v>
      </c>
      <c r="K259" s="4" t="s">
        <v>893</v>
      </c>
      <c r="L259" s="4">
        <f>_xlfn.XLOOKUP(Table4[[#This Row],[Kontragentin adı]],Table2[Kontragentin adı],Table2[Müqavilə nömrəsi],"Xəta",0)</f>
        <v>0</v>
      </c>
      <c r="M259" s="4">
        <f>_xlfn.XLOOKUP(Table4[[#This Row],[Kontragentin adı]],Table2[Kontragentin adı],Table2[Müqavilə nömrəsi],"Xəta",0)</f>
        <v>0</v>
      </c>
    </row>
    <row r="260" spans="2:13" x14ac:dyDescent="0.3">
      <c r="B260" s="4">
        <f t="shared" ref="B260:B323" si="4">ROW()-3</f>
        <v>257</v>
      </c>
      <c r="C260" s="5">
        <v>46174</v>
      </c>
      <c r="D260" s="10" t="str" cm="1">
        <f t="array" ref="D260">_xlfn.XLOOKUP(Table4[[#This Row],[Malın kodu]],Table1[[#All],[Malın kodu]],Table1[[#All],[Malın adı]],"xəta",0)</f>
        <v>Dirsək / d 25 mm / 45° / polipropilen / "Metak"</v>
      </c>
      <c r="E260" s="8" t="s">
        <v>1167</v>
      </c>
      <c r="F260" s="4" t="s">
        <v>920</v>
      </c>
      <c r="G260" s="4">
        <v>1</v>
      </c>
      <c r="H260" s="4"/>
      <c r="I260" s="4">
        <f>Table4[[#This Row],[Malın miqdarı]]*Table4[[#This Row],[Vahidin qiyməti]]</f>
        <v>0</v>
      </c>
      <c r="J260" s="4" t="s">
        <v>899</v>
      </c>
      <c r="K260" s="4" t="s">
        <v>893</v>
      </c>
      <c r="L260" s="4">
        <f>_xlfn.XLOOKUP(Table4[[#This Row],[Kontragentin adı]],Table2[Kontragentin adı],Table2[Müqavilə nömrəsi],"Xəta",0)</f>
        <v>0</v>
      </c>
      <c r="M260" s="4">
        <f>_xlfn.XLOOKUP(Table4[[#This Row],[Kontragentin adı]],Table2[Kontragentin adı],Table2[Müqavilə nömrəsi],"Xəta",0)</f>
        <v>0</v>
      </c>
    </row>
    <row r="261" spans="2:13" x14ac:dyDescent="0.3">
      <c r="B261" s="4">
        <f t="shared" si="4"/>
        <v>258</v>
      </c>
      <c r="C261" s="5">
        <v>46174</v>
      </c>
      <c r="D261" s="10" t="str" cm="1">
        <f t="array" ref="D261">_xlfn.XLOOKUP(Table4[[#This Row],[Malın kodu]],Table1[[#All],[Malın kodu]],Table1[[#All],[Malın adı]],"xəta",0)</f>
        <v>Dirsək / d 25 mm / 90° / polipropilen / "Metak"</v>
      </c>
      <c r="E261" s="8" t="s">
        <v>1168</v>
      </c>
      <c r="F261" s="4" t="s">
        <v>920</v>
      </c>
      <c r="G261" s="4">
        <v>6</v>
      </c>
      <c r="H261" s="4"/>
      <c r="I261" s="4">
        <f>Table4[[#This Row],[Malın miqdarı]]*Table4[[#This Row],[Vahidin qiyməti]]</f>
        <v>0</v>
      </c>
      <c r="J261" s="4" t="s">
        <v>899</v>
      </c>
      <c r="K261" s="4" t="s">
        <v>893</v>
      </c>
      <c r="L261" s="4">
        <f>_xlfn.XLOOKUP(Table4[[#This Row],[Kontragentin adı]],Table2[Kontragentin adı],Table2[Müqavilə nömrəsi],"Xəta",0)</f>
        <v>0</v>
      </c>
      <c r="M261" s="4">
        <f>_xlfn.XLOOKUP(Table4[[#This Row],[Kontragentin adı]],Table2[Kontragentin adı],Table2[Müqavilə nömrəsi],"Xəta",0)</f>
        <v>0</v>
      </c>
    </row>
    <row r="262" spans="2:13" x14ac:dyDescent="0.3">
      <c r="B262" s="4">
        <f t="shared" si="4"/>
        <v>259</v>
      </c>
      <c r="C262" s="5">
        <v>46174</v>
      </c>
      <c r="D262" s="10" t="str" cm="1">
        <f t="array" ref="D262">_xlfn.XLOOKUP(Table4[[#This Row],[Malın kodu]],Table1[[#All],[Malın kodu]],Table1[[#All],[Malın adı]],"xəta",0)</f>
        <v>Dirsək / d 50 mm / 90° / polipropilen / "Metak"</v>
      </c>
      <c r="E262" s="8" t="s">
        <v>1169</v>
      </c>
      <c r="F262" s="4" t="s">
        <v>920</v>
      </c>
      <c r="G262" s="4">
        <v>1</v>
      </c>
      <c r="H262" s="4"/>
      <c r="I262" s="4">
        <f>Table4[[#This Row],[Malın miqdarı]]*Table4[[#This Row],[Vahidin qiyməti]]</f>
        <v>0</v>
      </c>
      <c r="J262" s="4" t="s">
        <v>899</v>
      </c>
      <c r="K262" s="4" t="s">
        <v>893</v>
      </c>
      <c r="L262" s="4">
        <f>_xlfn.XLOOKUP(Table4[[#This Row],[Kontragentin adı]],Table2[Kontragentin adı],Table2[Müqavilə nömrəsi],"Xəta",0)</f>
        <v>0</v>
      </c>
      <c r="M262" s="4">
        <f>_xlfn.XLOOKUP(Table4[[#This Row],[Kontragentin adı]],Table2[Kontragentin adı],Table2[Müqavilə nömrəsi],"Xəta",0)</f>
        <v>0</v>
      </c>
    </row>
    <row r="263" spans="2:13" x14ac:dyDescent="0.3">
      <c r="B263" s="4">
        <f t="shared" si="4"/>
        <v>260</v>
      </c>
      <c r="C263" s="5">
        <v>46174</v>
      </c>
      <c r="D263" s="10" t="str" cm="1">
        <f t="array" ref="D263">_xlfn.XLOOKUP(Table4[[#This Row],[Malın kodu]],Table1[[#All],[Malın kodu]],Table1[[#All],[Malın adı]],"xəta",0)</f>
        <v>Üçlük / d 50 mm / polipropilen / "Metak"</v>
      </c>
      <c r="E263" s="8" t="s">
        <v>1170</v>
      </c>
      <c r="F263" s="4" t="s">
        <v>920</v>
      </c>
      <c r="G263" s="4">
        <v>1</v>
      </c>
      <c r="H263" s="4"/>
      <c r="I263" s="4">
        <f>Table4[[#This Row],[Malın miqdarı]]*Table4[[#This Row],[Vahidin qiyməti]]</f>
        <v>0</v>
      </c>
      <c r="J263" s="4" t="s">
        <v>899</v>
      </c>
      <c r="K263" s="4" t="s">
        <v>893</v>
      </c>
      <c r="L263" s="4">
        <f>_xlfn.XLOOKUP(Table4[[#This Row],[Kontragentin adı]],Table2[Kontragentin adı],Table2[Müqavilə nömrəsi],"Xəta",0)</f>
        <v>0</v>
      </c>
      <c r="M263" s="4">
        <f>_xlfn.XLOOKUP(Table4[[#This Row],[Kontragentin adı]],Table2[Kontragentin adı],Table2[Müqavilə nömrəsi],"Xəta",0)</f>
        <v>0</v>
      </c>
    </row>
    <row r="264" spans="2:13" x14ac:dyDescent="0.3">
      <c r="B264" s="4">
        <f t="shared" si="4"/>
        <v>261</v>
      </c>
      <c r="C264" s="5">
        <v>46174</v>
      </c>
      <c r="D264" s="10" t="str" cm="1">
        <f t="array" ref="D264">_xlfn.XLOOKUP(Table4[[#This Row],[Malın kodu]],Table1[[#All],[Malın kodu]],Table1[[#All],[Malın adı]],"xəta",0)</f>
        <v>Üçlük / d 40 mm / polipropilen / "Metak"</v>
      </c>
      <c r="E264" s="8" t="s">
        <v>1171</v>
      </c>
      <c r="F264" s="4" t="s">
        <v>920</v>
      </c>
      <c r="G264" s="4">
        <v>8</v>
      </c>
      <c r="H264" s="4"/>
      <c r="I264" s="4">
        <f>Table4[[#This Row],[Malın miqdarı]]*Table4[[#This Row],[Vahidin qiyməti]]</f>
        <v>0</v>
      </c>
      <c r="J264" s="4" t="s">
        <v>899</v>
      </c>
      <c r="K264" s="4" t="s">
        <v>893</v>
      </c>
      <c r="L264" s="4">
        <f>_xlfn.XLOOKUP(Table4[[#This Row],[Kontragentin adı]],Table2[Kontragentin adı],Table2[Müqavilə nömrəsi],"Xəta",0)</f>
        <v>0</v>
      </c>
      <c r="M264" s="4">
        <f>_xlfn.XLOOKUP(Table4[[#This Row],[Kontragentin adı]],Table2[Kontragentin adı],Table2[Müqavilə nömrəsi],"Xəta",0)</f>
        <v>0</v>
      </c>
    </row>
    <row r="265" spans="2:13" x14ac:dyDescent="0.3">
      <c r="B265" s="4">
        <f t="shared" si="4"/>
        <v>262</v>
      </c>
      <c r="C265" s="5">
        <v>46174</v>
      </c>
      <c r="D265" s="10" t="str" cm="1">
        <f t="array" ref="D265">_xlfn.XLOOKUP(Table4[[#This Row],[Malın kodu]],Table1[[#All],[Malın kodu]],Table1[[#All],[Malın adı]],"xəta",0)</f>
        <v>Mufta / d 32 mm / polipropilen / bir tərəfi yivli / "Metak"</v>
      </c>
      <c r="E265" s="8" t="s">
        <v>1172</v>
      </c>
      <c r="F265" s="4" t="s">
        <v>920</v>
      </c>
      <c r="G265" s="4">
        <v>5</v>
      </c>
      <c r="H265" s="4"/>
      <c r="I265" s="4">
        <f>Table4[[#This Row],[Malın miqdarı]]*Table4[[#This Row],[Vahidin qiyməti]]</f>
        <v>0</v>
      </c>
      <c r="J265" s="4" t="s">
        <v>899</v>
      </c>
      <c r="K265" s="4" t="s">
        <v>893</v>
      </c>
      <c r="L265" s="4">
        <f>_xlfn.XLOOKUP(Table4[[#This Row],[Kontragentin adı]],Table2[Kontragentin adı],Table2[Müqavilə nömrəsi],"Xəta",0)</f>
        <v>0</v>
      </c>
      <c r="M265" s="4">
        <f>_xlfn.XLOOKUP(Table4[[#This Row],[Kontragentin adı]],Table2[Kontragentin adı],Table2[Müqavilə nömrəsi],"Xəta",0)</f>
        <v>0</v>
      </c>
    </row>
    <row r="266" spans="2:13" x14ac:dyDescent="0.3">
      <c r="B266" s="4">
        <f t="shared" si="4"/>
        <v>263</v>
      </c>
      <c r="C266" s="5">
        <v>46174</v>
      </c>
      <c r="D266" s="10" t="str" cm="1">
        <f t="array" ref="D266">_xlfn.XLOOKUP(Table4[[#This Row],[Malın kodu]],Table1[[#All],[Malın kodu]],Table1[[#All],[Malın adı]],"xəta",0)</f>
        <v>Mufta / d 25 mm / polipropilen / bir tərəfi yivli / "Metak"</v>
      </c>
      <c r="E266" s="8" t="s">
        <v>1173</v>
      </c>
      <c r="F266" s="4" t="s">
        <v>920</v>
      </c>
      <c r="G266" s="4">
        <v>1</v>
      </c>
      <c r="H266" s="4"/>
      <c r="I266" s="4">
        <f>Table4[[#This Row],[Malın miqdarı]]*Table4[[#This Row],[Vahidin qiyməti]]</f>
        <v>0</v>
      </c>
      <c r="J266" s="4" t="s">
        <v>899</v>
      </c>
      <c r="K266" s="4" t="s">
        <v>893</v>
      </c>
      <c r="L266" s="4">
        <f>_xlfn.XLOOKUP(Table4[[#This Row],[Kontragentin adı]],Table2[Kontragentin adı],Table2[Müqavilə nömrəsi],"Xəta",0)</f>
        <v>0</v>
      </c>
      <c r="M266" s="4">
        <f>_xlfn.XLOOKUP(Table4[[#This Row],[Kontragentin adı]],Table2[Kontragentin adı],Table2[Müqavilə nömrəsi],"Xəta",0)</f>
        <v>0</v>
      </c>
    </row>
    <row r="267" spans="2:13" x14ac:dyDescent="0.3">
      <c r="B267" s="4">
        <f t="shared" si="4"/>
        <v>264</v>
      </c>
      <c r="C267" s="5">
        <v>46174</v>
      </c>
      <c r="D267" s="10" t="str" cm="1">
        <f t="array" ref="D267">_xlfn.XLOOKUP(Table4[[#This Row],[Malın kodu]],Table1[[#All],[Malın kodu]],Table1[[#All],[Malın adı]],"xəta",0)</f>
        <v>Sınaq ələyi / ölçü: 10 / laboratoriya üçün / "Jeotest" türkiyə istehsalı</v>
      </c>
      <c r="E267" s="8" t="s">
        <v>1174</v>
      </c>
      <c r="F267" s="4" t="s">
        <v>920</v>
      </c>
      <c r="G267" s="4">
        <v>1</v>
      </c>
      <c r="H267" s="4"/>
      <c r="I267" s="4">
        <f>Table4[[#This Row],[Malın miqdarı]]*Table4[[#This Row],[Vahidin qiyməti]]</f>
        <v>0</v>
      </c>
      <c r="J267" s="4" t="s">
        <v>899</v>
      </c>
      <c r="K267" s="4" t="s">
        <v>893</v>
      </c>
      <c r="L267" s="4">
        <f>_xlfn.XLOOKUP(Table4[[#This Row],[Kontragentin adı]],Table2[Kontragentin adı],Table2[Müqavilə nömrəsi],"Xəta",0)</f>
        <v>0</v>
      </c>
      <c r="M267" s="4">
        <f>_xlfn.XLOOKUP(Table4[[#This Row],[Kontragentin adı]],Table2[Kontragentin adı],Table2[Müqavilə nömrəsi],"Xəta",0)</f>
        <v>0</v>
      </c>
    </row>
    <row r="268" spans="2:13" x14ac:dyDescent="0.3">
      <c r="B268" s="4">
        <f t="shared" si="4"/>
        <v>265</v>
      </c>
      <c r="C268" s="5">
        <v>46174</v>
      </c>
      <c r="D268" s="10" t="str" cm="1">
        <f t="array" ref="D268">_xlfn.XLOOKUP(Table4[[#This Row],[Malın kodu]],Table1[[#All],[Malın kodu]],Table1[[#All],[Malın adı]],"xəta",0)</f>
        <v>Sınaq ələyi / ölçü: 13.2 / laboratoriya üçün / "Jeotest" türkiyə istehsalı</v>
      </c>
      <c r="E268" s="8" t="s">
        <v>1175</v>
      </c>
      <c r="F268" s="4" t="s">
        <v>920</v>
      </c>
      <c r="G268" s="4">
        <v>1</v>
      </c>
      <c r="H268" s="4"/>
      <c r="I268" s="4">
        <f>Table4[[#This Row],[Malın miqdarı]]*Table4[[#This Row],[Vahidin qiyməti]]</f>
        <v>0</v>
      </c>
      <c r="J268" s="4" t="s">
        <v>899</v>
      </c>
      <c r="K268" s="4" t="s">
        <v>893</v>
      </c>
      <c r="L268" s="4">
        <f>_xlfn.XLOOKUP(Table4[[#This Row],[Kontragentin adı]],Table2[Kontragentin adı],Table2[Müqavilə nömrəsi],"Xəta",0)</f>
        <v>0</v>
      </c>
      <c r="M268" s="4">
        <f>_xlfn.XLOOKUP(Table4[[#This Row],[Kontragentin adı]],Table2[Kontragentin adı],Table2[Müqavilə nömrəsi],"Xəta",0)</f>
        <v>0</v>
      </c>
    </row>
    <row r="269" spans="2:13" x14ac:dyDescent="0.3">
      <c r="B269" s="4">
        <f t="shared" si="4"/>
        <v>266</v>
      </c>
      <c r="C269" s="5">
        <v>46174</v>
      </c>
      <c r="D269" s="10" t="str" cm="1">
        <f t="array" ref="D269">_xlfn.XLOOKUP(Table4[[#This Row],[Malın kodu]],Table1[[#All],[Malın kodu]],Table1[[#All],[Malın adı]],"xəta",0)</f>
        <v>Sınaq ələyi / ölçü: 6.3 / laboratoriya üçün / "Jeotest" türkiyə istehsalı</v>
      </c>
      <c r="E269" s="8" t="s">
        <v>1176</v>
      </c>
      <c r="F269" s="4" t="s">
        <v>920</v>
      </c>
      <c r="G269" s="4">
        <v>1</v>
      </c>
      <c r="H269" s="4"/>
      <c r="I269" s="4">
        <f>Table4[[#This Row],[Malın miqdarı]]*Table4[[#This Row],[Vahidin qiyməti]]</f>
        <v>0</v>
      </c>
      <c r="J269" s="4" t="s">
        <v>899</v>
      </c>
      <c r="K269" s="4" t="s">
        <v>893</v>
      </c>
      <c r="L269" s="4">
        <f>_xlfn.XLOOKUP(Table4[[#This Row],[Kontragentin adı]],Table2[Kontragentin adı],Table2[Müqavilə nömrəsi],"Xəta",0)</f>
        <v>0</v>
      </c>
      <c r="M269" s="4">
        <f>_xlfn.XLOOKUP(Table4[[#This Row],[Kontragentin adı]],Table2[Kontragentin adı],Table2[Müqavilə nömrəsi],"Xəta",0)</f>
        <v>0</v>
      </c>
    </row>
    <row r="270" spans="2:13" x14ac:dyDescent="0.3">
      <c r="B270" s="4">
        <f t="shared" si="4"/>
        <v>267</v>
      </c>
      <c r="C270" s="5">
        <v>46174</v>
      </c>
      <c r="D270" s="10" t="str" cm="1">
        <f t="array" ref="D270">_xlfn.XLOOKUP(Table4[[#This Row],[Malın kodu]],Table1[[#All],[Malın kodu]],Table1[[#All],[Malın adı]],"xəta",0)</f>
        <v>Sınaq ələyi / ölçü: 8 / laboratoriya üçün / "Jeotest" türkiyə istehsalı</v>
      </c>
      <c r="E270" s="8" t="s">
        <v>1177</v>
      </c>
      <c r="F270" s="4" t="s">
        <v>920</v>
      </c>
      <c r="G270" s="4">
        <v>1</v>
      </c>
      <c r="H270" s="4"/>
      <c r="I270" s="4">
        <f>Table4[[#This Row],[Malın miqdarı]]*Table4[[#This Row],[Vahidin qiyməti]]</f>
        <v>0</v>
      </c>
      <c r="J270" s="4" t="s">
        <v>899</v>
      </c>
      <c r="K270" s="4" t="s">
        <v>893</v>
      </c>
      <c r="L270" s="4">
        <f>_xlfn.XLOOKUP(Table4[[#This Row],[Kontragentin adı]],Table2[Kontragentin adı],Table2[Müqavilə nömrəsi],"Xəta",0)</f>
        <v>0</v>
      </c>
      <c r="M270" s="4">
        <f>_xlfn.XLOOKUP(Table4[[#This Row],[Kontragentin adı]],Table2[Kontragentin adı],Table2[Müqavilə nömrəsi],"Xəta",0)</f>
        <v>0</v>
      </c>
    </row>
    <row r="271" spans="2:13" x14ac:dyDescent="0.3">
      <c r="B271" s="4">
        <f t="shared" si="4"/>
        <v>268</v>
      </c>
      <c r="C271" s="5">
        <v>46174</v>
      </c>
      <c r="D271" s="10" t="str" cm="1">
        <f t="array" ref="D271">_xlfn.XLOOKUP(Table4[[#This Row],[Malın kodu]],Table1[[#All],[Malın kodu]],Table1[[#All],[Malın adı]],"xəta",0)</f>
        <v>Sınaq ələyi / ölçü: 16 / laboratoriya üçün / "Jeotest" türkiyə istehsalı</v>
      </c>
      <c r="E271" s="8" t="s">
        <v>1178</v>
      </c>
      <c r="F271" s="4" t="s">
        <v>920</v>
      </c>
      <c r="G271" s="4">
        <v>1</v>
      </c>
      <c r="H271" s="4"/>
      <c r="I271" s="4">
        <f>Table4[[#This Row],[Malın miqdarı]]*Table4[[#This Row],[Vahidin qiyməti]]</f>
        <v>0</v>
      </c>
      <c r="J271" s="4" t="s">
        <v>899</v>
      </c>
      <c r="K271" s="4" t="s">
        <v>893</v>
      </c>
      <c r="L271" s="4">
        <f>_xlfn.XLOOKUP(Table4[[#This Row],[Kontragentin adı]],Table2[Kontragentin adı],Table2[Müqavilə nömrəsi],"Xəta",0)</f>
        <v>0</v>
      </c>
      <c r="M271" s="4">
        <f>_xlfn.XLOOKUP(Table4[[#This Row],[Kontragentin adı]],Table2[Kontragentin adı],Table2[Müqavilə nömrəsi],"Xəta",0)</f>
        <v>0</v>
      </c>
    </row>
    <row r="272" spans="2:13" x14ac:dyDescent="0.3">
      <c r="B272" s="4">
        <f t="shared" si="4"/>
        <v>269</v>
      </c>
      <c r="C272" s="5">
        <v>46174</v>
      </c>
      <c r="D272" s="10" t="str" cm="1">
        <f t="array" ref="D272">_xlfn.XLOOKUP(Table4[[#This Row],[Malın kodu]],Table1[[#All],[Malın kodu]],Table1[[#All],[Malın adı]],"xəta",0)</f>
        <v>Sınaq ələyi / ölçü: 25 / laboratoriya üçün / "Jeotest" türkiyə istehsalı</v>
      </c>
      <c r="E272" s="8" t="s">
        <v>1179</v>
      </c>
      <c r="F272" s="4" t="s">
        <v>920</v>
      </c>
      <c r="G272" s="4">
        <v>1</v>
      </c>
      <c r="H272" s="4"/>
      <c r="I272" s="4">
        <f>Table4[[#This Row],[Malın miqdarı]]*Table4[[#This Row],[Vahidin qiyməti]]</f>
        <v>0</v>
      </c>
      <c r="J272" s="4" t="s">
        <v>899</v>
      </c>
      <c r="K272" s="4" t="s">
        <v>893</v>
      </c>
      <c r="L272" s="4">
        <f>_xlfn.XLOOKUP(Table4[[#This Row],[Kontragentin adı]],Table2[Kontragentin adı],Table2[Müqavilə nömrəsi],"Xəta",0)</f>
        <v>0</v>
      </c>
      <c r="M272" s="4">
        <f>_xlfn.XLOOKUP(Table4[[#This Row],[Kontragentin adı]],Table2[Kontragentin adı],Table2[Müqavilə nömrəsi],"Xəta",0)</f>
        <v>0</v>
      </c>
    </row>
    <row r="273" spans="2:13" x14ac:dyDescent="0.3">
      <c r="B273" s="4">
        <f t="shared" si="4"/>
        <v>270</v>
      </c>
      <c r="C273" s="5">
        <v>46174</v>
      </c>
      <c r="D273" s="10" t="str" cm="1">
        <f t="array" ref="D273">_xlfn.XLOOKUP(Table4[[#This Row],[Malın kodu]],Table1[[#All],[Malın kodu]],Table1[[#All],[Malın adı]],"xəta",0)</f>
        <v>Sınaq ələyi / ölçü: 12.5 / laboratoriya üçün / "Jeotest" türkiyə istehsalı</v>
      </c>
      <c r="E273" s="8" t="s">
        <v>1180</v>
      </c>
      <c r="F273" s="4" t="s">
        <v>920</v>
      </c>
      <c r="G273" s="4">
        <v>1</v>
      </c>
      <c r="H273" s="4"/>
      <c r="I273" s="4">
        <f>Table4[[#This Row],[Malın miqdarı]]*Table4[[#This Row],[Vahidin qiyməti]]</f>
        <v>0</v>
      </c>
      <c r="J273" s="4" t="s">
        <v>899</v>
      </c>
      <c r="K273" s="4" t="s">
        <v>893</v>
      </c>
      <c r="L273" s="4">
        <f>_xlfn.XLOOKUP(Table4[[#This Row],[Kontragentin adı]],Table2[Kontragentin adı],Table2[Müqavilə nömrəsi],"Xəta",0)</f>
        <v>0</v>
      </c>
      <c r="M273" s="4">
        <f>_xlfn.XLOOKUP(Table4[[#This Row],[Kontragentin adı]],Table2[Kontragentin adı],Table2[Müqavilə nömrəsi],"Xəta",0)</f>
        <v>0</v>
      </c>
    </row>
    <row r="274" spans="2:13" x14ac:dyDescent="0.3">
      <c r="B274" s="4">
        <f t="shared" si="4"/>
        <v>271</v>
      </c>
      <c r="C274" s="5">
        <v>46174</v>
      </c>
      <c r="D274" s="10" t="str" cm="1">
        <f t="array" ref="D274">_xlfn.XLOOKUP(Table4[[#This Row],[Malın kodu]],Table1[[#All],[Malın kodu]],Table1[[#All],[Malın adı]],"xəta",0)</f>
        <v>Sınaq ələyi / ölçü: 425 / laboratoriya üçün / "Jeotest" türkiyə istehsalı</v>
      </c>
      <c r="E274" s="8" t="s">
        <v>1181</v>
      </c>
      <c r="F274" s="4" t="s">
        <v>920</v>
      </c>
      <c r="G274" s="4">
        <v>1</v>
      </c>
      <c r="H274" s="4"/>
      <c r="I274" s="4">
        <f>Table4[[#This Row],[Malın miqdarı]]*Table4[[#This Row],[Vahidin qiyməti]]</f>
        <v>0</v>
      </c>
      <c r="J274" s="4" t="s">
        <v>899</v>
      </c>
      <c r="K274" s="4" t="s">
        <v>893</v>
      </c>
      <c r="L274" s="4">
        <f>_xlfn.XLOOKUP(Table4[[#This Row],[Kontragentin adı]],Table2[Kontragentin adı],Table2[Müqavilə nömrəsi],"Xəta",0)</f>
        <v>0</v>
      </c>
      <c r="M274" s="4">
        <f>_xlfn.XLOOKUP(Table4[[#This Row],[Kontragentin adı]],Table2[Kontragentin adı],Table2[Müqavilə nömrəsi],"Xəta",0)</f>
        <v>0</v>
      </c>
    </row>
    <row r="275" spans="2:13" x14ac:dyDescent="0.3">
      <c r="B275" s="4">
        <f t="shared" si="4"/>
        <v>272</v>
      </c>
      <c r="C275" s="5">
        <v>46174</v>
      </c>
      <c r="D275" s="10" t="str" cm="1">
        <f t="array" ref="D275">_xlfn.XLOOKUP(Table4[[#This Row],[Malın kodu]],Table1[[#All],[Malın kodu]],Table1[[#All],[Malın adı]],"xəta",0)</f>
        <v>Sınaq ələyi / ölçü: 31.5 / laboratoriya üçün / "Jeotest" türkiyə istehsalı</v>
      </c>
      <c r="E275" s="8" t="s">
        <v>1182</v>
      </c>
      <c r="F275" s="4" t="s">
        <v>920</v>
      </c>
      <c r="G275" s="4">
        <v>1</v>
      </c>
      <c r="H275" s="4"/>
      <c r="I275" s="4">
        <f>Table4[[#This Row],[Malın miqdarı]]*Table4[[#This Row],[Vahidin qiyməti]]</f>
        <v>0</v>
      </c>
      <c r="J275" s="4" t="s">
        <v>899</v>
      </c>
      <c r="K275" s="4" t="s">
        <v>893</v>
      </c>
      <c r="L275" s="4">
        <f>_xlfn.XLOOKUP(Table4[[#This Row],[Kontragentin adı]],Table2[Kontragentin adı],Table2[Müqavilə nömrəsi],"Xəta",0)</f>
        <v>0</v>
      </c>
      <c r="M275" s="4">
        <f>_xlfn.XLOOKUP(Table4[[#This Row],[Kontragentin adı]],Table2[Kontragentin adı],Table2[Müqavilə nömrəsi],"Xəta",0)</f>
        <v>0</v>
      </c>
    </row>
    <row r="276" spans="2:13" x14ac:dyDescent="0.3">
      <c r="B276" s="4">
        <f t="shared" si="4"/>
        <v>273</v>
      </c>
      <c r="C276" s="5">
        <v>46174</v>
      </c>
      <c r="D276" s="10" t="str" cm="1">
        <f t="array" ref="D276">_xlfn.XLOOKUP(Table4[[#This Row],[Malın kodu]],Table1[[#All],[Malın kodu]],Table1[[#All],[Malın adı]],"xəta",0)</f>
        <v>Sınaq ələyi / ölçü: 50 / laboratoriya üçün / "Jeotest" türkiyə istehsalı</v>
      </c>
      <c r="E276" s="8" t="s">
        <v>1183</v>
      </c>
      <c r="F276" s="4" t="s">
        <v>920</v>
      </c>
      <c r="G276" s="4">
        <v>1</v>
      </c>
      <c r="H276" s="4"/>
      <c r="I276" s="4">
        <f>Table4[[#This Row],[Malın miqdarı]]*Table4[[#This Row],[Vahidin qiyməti]]</f>
        <v>0</v>
      </c>
      <c r="J276" s="4" t="s">
        <v>899</v>
      </c>
      <c r="K276" s="4" t="s">
        <v>893</v>
      </c>
      <c r="L276" s="4">
        <f>_xlfn.XLOOKUP(Table4[[#This Row],[Kontragentin adı]],Table2[Kontragentin adı],Table2[Müqavilə nömrəsi],"Xəta",0)</f>
        <v>0</v>
      </c>
      <c r="M276" s="4">
        <f>_xlfn.XLOOKUP(Table4[[#This Row],[Kontragentin adı]],Table2[Kontragentin adı],Table2[Müqavilə nömrəsi],"Xəta",0)</f>
        <v>0</v>
      </c>
    </row>
    <row r="277" spans="2:13" x14ac:dyDescent="0.3">
      <c r="B277" s="4">
        <f t="shared" si="4"/>
        <v>274</v>
      </c>
      <c r="C277" s="5">
        <v>46174</v>
      </c>
      <c r="D277" s="10" t="str" cm="1">
        <f t="array" ref="D277">_xlfn.XLOOKUP(Table4[[#This Row],[Malın kodu]],Table1[[#All],[Malın kodu]],Table1[[#All],[Malın adı]],"xəta",0)</f>
        <v>Sınaq ələyi / ölçü: 4.75 / laboratoriya üçün / "Jeotest" türkiyə istehsalı</v>
      </c>
      <c r="E277" s="8" t="s">
        <v>1184</v>
      </c>
      <c r="F277" s="4" t="s">
        <v>920</v>
      </c>
      <c r="G277" s="4">
        <v>1</v>
      </c>
      <c r="H277" s="4"/>
      <c r="I277" s="4">
        <f>Table4[[#This Row],[Malın miqdarı]]*Table4[[#This Row],[Vahidin qiyməti]]</f>
        <v>0</v>
      </c>
      <c r="J277" s="4" t="s">
        <v>899</v>
      </c>
      <c r="K277" s="4" t="s">
        <v>893</v>
      </c>
      <c r="L277" s="4">
        <f>_xlfn.XLOOKUP(Table4[[#This Row],[Kontragentin adı]],Table2[Kontragentin adı],Table2[Müqavilə nömrəsi],"Xəta",0)</f>
        <v>0</v>
      </c>
      <c r="M277" s="4">
        <f>_xlfn.XLOOKUP(Table4[[#This Row],[Kontragentin adı]],Table2[Kontragentin adı],Table2[Müqavilə nömrəsi],"Xəta",0)</f>
        <v>0</v>
      </c>
    </row>
    <row r="278" spans="2:13" x14ac:dyDescent="0.3">
      <c r="B278" s="4">
        <f t="shared" si="4"/>
        <v>275</v>
      </c>
      <c r="C278" s="5">
        <v>46174</v>
      </c>
      <c r="D278" s="10" t="str" cm="1">
        <f t="array" ref="D278">_xlfn.XLOOKUP(Table4[[#This Row],[Malın kodu]],Table1[[#All],[Malın kodu]],Table1[[#All],[Malın adı]],"xəta",0)</f>
        <v>Sınaq ələyi / ölçü: 1.18 / laboratoriya üçün / "Jeotest" türkiyə istehsalı</v>
      </c>
      <c r="E278" s="8" t="s">
        <v>1185</v>
      </c>
      <c r="F278" s="4" t="s">
        <v>920</v>
      </c>
      <c r="G278" s="4">
        <v>1</v>
      </c>
      <c r="H278" s="4"/>
      <c r="I278" s="4">
        <f>Table4[[#This Row],[Malın miqdarı]]*Table4[[#This Row],[Vahidin qiyməti]]</f>
        <v>0</v>
      </c>
      <c r="J278" s="4" t="s">
        <v>899</v>
      </c>
      <c r="K278" s="4" t="s">
        <v>893</v>
      </c>
      <c r="L278" s="4">
        <f>_xlfn.XLOOKUP(Table4[[#This Row],[Kontragentin adı]],Table2[Kontragentin adı],Table2[Müqavilə nömrəsi],"Xəta",0)</f>
        <v>0</v>
      </c>
      <c r="M278" s="4">
        <f>_xlfn.XLOOKUP(Table4[[#This Row],[Kontragentin adı]],Table2[Kontragentin adı],Table2[Müqavilə nömrəsi],"Xəta",0)</f>
        <v>0</v>
      </c>
    </row>
    <row r="279" spans="2:13" x14ac:dyDescent="0.3">
      <c r="B279" s="4">
        <f t="shared" si="4"/>
        <v>276</v>
      </c>
      <c r="C279" s="5">
        <v>46174</v>
      </c>
      <c r="D279" s="10" t="str" cm="1">
        <f t="array" ref="D279">_xlfn.XLOOKUP(Table4[[#This Row],[Malın kodu]],Table1[[#All],[Malın kodu]],Table1[[#All],[Malın adı]],"xəta",0)</f>
        <v>Sınaq ələyi / ölçü: 500 / laboratoriya üçün / "Jeotest" türkiyə istehsalı</v>
      </c>
      <c r="E279" s="8" t="s">
        <v>1186</v>
      </c>
      <c r="F279" s="4" t="s">
        <v>920</v>
      </c>
      <c r="G279" s="4">
        <v>1</v>
      </c>
      <c r="H279" s="4"/>
      <c r="I279" s="4">
        <f>Table4[[#This Row],[Malın miqdarı]]*Table4[[#This Row],[Vahidin qiyməti]]</f>
        <v>0</v>
      </c>
      <c r="J279" s="4" t="s">
        <v>899</v>
      </c>
      <c r="K279" s="4" t="s">
        <v>893</v>
      </c>
      <c r="L279" s="4">
        <f>_xlfn.XLOOKUP(Table4[[#This Row],[Kontragentin adı]],Table2[Kontragentin adı],Table2[Müqavilə nömrəsi],"Xəta",0)</f>
        <v>0</v>
      </c>
      <c r="M279" s="4">
        <f>_xlfn.XLOOKUP(Table4[[#This Row],[Kontragentin adı]],Table2[Kontragentin adı],Table2[Müqavilə nömrəsi],"Xəta",0)</f>
        <v>0</v>
      </c>
    </row>
    <row r="280" spans="2:13" x14ac:dyDescent="0.3">
      <c r="B280" s="4">
        <f t="shared" si="4"/>
        <v>277</v>
      </c>
      <c r="C280" s="5">
        <v>46174</v>
      </c>
      <c r="D280" s="10" t="str" cm="1">
        <f t="array" ref="D280">_xlfn.XLOOKUP(Table4[[#This Row],[Malın kodu]],Table1[[#All],[Malın kodu]],Table1[[#All],[Malın adı]],"xəta",0)</f>
        <v>Sınaq ələyi / ölçü: 4 / laboratoriya üçün / "Jeotest" türkiyə istehsalı</v>
      </c>
      <c r="E280" s="8" t="s">
        <v>1187</v>
      </c>
      <c r="F280" s="4" t="s">
        <v>920</v>
      </c>
      <c r="G280" s="4">
        <v>1</v>
      </c>
      <c r="H280" s="4"/>
      <c r="I280" s="4">
        <f>Table4[[#This Row],[Malın miqdarı]]*Table4[[#This Row],[Vahidin qiyməti]]</f>
        <v>0</v>
      </c>
      <c r="J280" s="4" t="s">
        <v>899</v>
      </c>
      <c r="K280" s="4" t="s">
        <v>893</v>
      </c>
      <c r="L280" s="4">
        <f>_xlfn.XLOOKUP(Table4[[#This Row],[Kontragentin adı]],Table2[Kontragentin adı],Table2[Müqavilə nömrəsi],"Xəta",0)</f>
        <v>0</v>
      </c>
      <c r="M280" s="4">
        <f>_xlfn.XLOOKUP(Table4[[#This Row],[Kontragentin adı]],Table2[Kontragentin adı],Table2[Müqavilə nömrəsi],"Xəta",0)</f>
        <v>0</v>
      </c>
    </row>
    <row r="281" spans="2:13" x14ac:dyDescent="0.3">
      <c r="B281" s="4">
        <f t="shared" si="4"/>
        <v>278</v>
      </c>
      <c r="C281" s="5">
        <v>46174</v>
      </c>
      <c r="D281" s="10" t="str" cm="1">
        <f t="array" ref="D281">_xlfn.XLOOKUP(Table4[[#This Row],[Malın kodu]],Table1[[#All],[Malın kodu]],Table1[[#All],[Malın adı]],"xəta",0)</f>
        <v>Sınaq ələyi / ölçü: 14 / laboratoriya üçün / "Jeotest" türkiyə istehsalı</v>
      </c>
      <c r="E281" s="8" t="s">
        <v>1188</v>
      </c>
      <c r="F281" s="4" t="s">
        <v>920</v>
      </c>
      <c r="G281" s="4">
        <v>1</v>
      </c>
      <c r="H281" s="4"/>
      <c r="I281" s="4">
        <f>Table4[[#This Row],[Malın miqdarı]]*Table4[[#This Row],[Vahidin qiyməti]]</f>
        <v>0</v>
      </c>
      <c r="J281" s="4" t="s">
        <v>899</v>
      </c>
      <c r="K281" s="4" t="s">
        <v>893</v>
      </c>
      <c r="L281" s="4">
        <f>_xlfn.XLOOKUP(Table4[[#This Row],[Kontragentin adı]],Table2[Kontragentin adı],Table2[Müqavilə nömrəsi],"Xəta",0)</f>
        <v>0</v>
      </c>
      <c r="M281" s="4">
        <f>_xlfn.XLOOKUP(Table4[[#This Row],[Kontragentin adı]],Table2[Kontragentin adı],Table2[Müqavilə nömrəsi],"Xəta",0)</f>
        <v>0</v>
      </c>
    </row>
    <row r="282" spans="2:13" x14ac:dyDescent="0.3">
      <c r="B282" s="4">
        <f t="shared" si="4"/>
        <v>279</v>
      </c>
      <c r="C282" s="5">
        <v>46174</v>
      </c>
      <c r="D282" s="10" t="str" cm="1">
        <f t="array" ref="D282">_xlfn.XLOOKUP(Table4[[#This Row],[Malın kodu]],Table1[[#All],[Malın kodu]],Table1[[#All],[Malın adı]],"xəta",0)</f>
        <v>Sınaq ələyi / ölçü: 22.4 / laboratoriya üçün / "Jeotest" türkiyə istehsalı</v>
      </c>
      <c r="E282" s="8" t="s">
        <v>1189</v>
      </c>
      <c r="F282" s="4" t="s">
        <v>920</v>
      </c>
      <c r="G282" s="4">
        <v>1</v>
      </c>
      <c r="H282" s="4"/>
      <c r="I282" s="4">
        <f>Table4[[#This Row],[Malın miqdarı]]*Table4[[#This Row],[Vahidin qiyməti]]</f>
        <v>0</v>
      </c>
      <c r="J282" s="4" t="s">
        <v>899</v>
      </c>
      <c r="K282" s="4" t="s">
        <v>893</v>
      </c>
      <c r="L282" s="4">
        <f>_xlfn.XLOOKUP(Table4[[#This Row],[Kontragentin adı]],Table2[Kontragentin adı],Table2[Müqavilə nömrəsi],"Xəta",0)</f>
        <v>0</v>
      </c>
      <c r="M282" s="4">
        <f>_xlfn.XLOOKUP(Table4[[#This Row],[Kontragentin adı]],Table2[Kontragentin adı],Table2[Müqavilə nömrəsi],"Xəta",0)</f>
        <v>0</v>
      </c>
    </row>
    <row r="283" spans="2:13" x14ac:dyDescent="0.3">
      <c r="B283" s="4">
        <f t="shared" si="4"/>
        <v>280</v>
      </c>
      <c r="C283" s="5">
        <v>46174</v>
      </c>
      <c r="D283" s="10" t="str" cm="1">
        <f t="array" ref="D283">_xlfn.XLOOKUP(Table4[[#This Row],[Malın kodu]],Table1[[#All],[Malın kodu]],Table1[[#All],[Malın adı]],"xəta",0)</f>
        <v>Sınaq ələyi / ölçü: 600 / laboratoriya üçün / "Jeotest" türkiyə istehsalı</v>
      </c>
      <c r="E283" s="8" t="s">
        <v>1190</v>
      </c>
      <c r="F283" s="4" t="s">
        <v>920</v>
      </c>
      <c r="G283" s="4">
        <v>1</v>
      </c>
      <c r="H283" s="4"/>
      <c r="I283" s="4">
        <f>Table4[[#This Row],[Malın miqdarı]]*Table4[[#This Row],[Vahidin qiyməti]]</f>
        <v>0</v>
      </c>
      <c r="J283" s="4" t="s">
        <v>899</v>
      </c>
      <c r="K283" s="4" t="s">
        <v>893</v>
      </c>
      <c r="L283" s="4">
        <f>_xlfn.XLOOKUP(Table4[[#This Row],[Kontragentin adı]],Table2[Kontragentin adı],Table2[Müqavilə nömrəsi],"Xəta",0)</f>
        <v>0</v>
      </c>
      <c r="M283" s="4">
        <f>_xlfn.XLOOKUP(Table4[[#This Row],[Kontragentin adı]],Table2[Kontragentin adı],Table2[Müqavilə nömrəsi],"Xəta",0)</f>
        <v>0</v>
      </c>
    </row>
    <row r="284" spans="2:13" x14ac:dyDescent="0.3">
      <c r="B284" s="4">
        <f t="shared" si="4"/>
        <v>281</v>
      </c>
      <c r="C284" s="5">
        <v>46174</v>
      </c>
      <c r="D284" s="10" t="str" cm="1">
        <f t="array" ref="D284">_xlfn.XLOOKUP(Table4[[#This Row],[Malın kodu]],Table1[[#All],[Malın kodu]],Table1[[#All],[Malın adı]],"xəta",0)</f>
        <v>Sınaq ələyi / ölçü: 37.5 / laboratoriya üçün / "Jeotest" türkiyə istehsalı</v>
      </c>
      <c r="E284" s="8" t="s">
        <v>1191</v>
      </c>
      <c r="F284" s="4" t="s">
        <v>920</v>
      </c>
      <c r="G284" s="4">
        <v>1</v>
      </c>
      <c r="H284" s="4"/>
      <c r="I284" s="4">
        <f>Table4[[#This Row],[Malın miqdarı]]*Table4[[#This Row],[Vahidin qiyməti]]</f>
        <v>0</v>
      </c>
      <c r="J284" s="4" t="s">
        <v>899</v>
      </c>
      <c r="K284" s="4" t="s">
        <v>893</v>
      </c>
      <c r="L284" s="4">
        <f>_xlfn.XLOOKUP(Table4[[#This Row],[Kontragentin adı]],Table2[Kontragentin adı],Table2[Müqavilə nömrəsi],"Xəta",0)</f>
        <v>0</v>
      </c>
      <c r="M284" s="4">
        <f>_xlfn.XLOOKUP(Table4[[#This Row],[Kontragentin adı]],Table2[Kontragentin adı],Table2[Müqavilə nömrəsi],"Xəta",0)</f>
        <v>0</v>
      </c>
    </row>
    <row r="285" spans="2:13" x14ac:dyDescent="0.3">
      <c r="B285" s="4">
        <f t="shared" si="4"/>
        <v>282</v>
      </c>
      <c r="C285" s="5">
        <v>46174</v>
      </c>
      <c r="D285" s="10" t="str" cm="1">
        <f t="array" ref="D285">_xlfn.XLOOKUP(Table4[[#This Row],[Malın kodu]],Table1[[#All],[Malın kodu]],Table1[[#All],[Malın adı]],"xəta",0)</f>
        <v>Sınaq ələyi / ölçü: 19 / laboratoriya üçün / "Jeotest" türkiyə istehsalı</v>
      </c>
      <c r="E285" s="8" t="s">
        <v>1192</v>
      </c>
      <c r="F285" s="4" t="s">
        <v>920</v>
      </c>
      <c r="G285" s="4">
        <v>1</v>
      </c>
      <c r="H285" s="4"/>
      <c r="I285" s="4">
        <f>Table4[[#This Row],[Malın miqdarı]]*Table4[[#This Row],[Vahidin qiyməti]]</f>
        <v>0</v>
      </c>
      <c r="J285" s="4" t="s">
        <v>899</v>
      </c>
      <c r="K285" s="4" t="s">
        <v>893</v>
      </c>
      <c r="L285" s="4">
        <f>_xlfn.XLOOKUP(Table4[[#This Row],[Kontragentin adı]],Table2[Kontragentin adı],Table2[Müqavilə nömrəsi],"Xəta",0)</f>
        <v>0</v>
      </c>
      <c r="M285" s="4">
        <f>_xlfn.XLOOKUP(Table4[[#This Row],[Kontragentin adı]],Table2[Kontragentin adı],Table2[Müqavilə nömrəsi],"Xəta",0)</f>
        <v>0</v>
      </c>
    </row>
    <row r="286" spans="2:13" x14ac:dyDescent="0.3">
      <c r="B286" s="4">
        <f t="shared" si="4"/>
        <v>283</v>
      </c>
      <c r="C286" s="5">
        <v>46174</v>
      </c>
      <c r="D286" s="10" t="str" cm="1">
        <f t="array" ref="D286">_xlfn.XLOOKUP(Table4[[#This Row],[Malın kodu]],Table1[[#All],[Malın kodu]],Table1[[#All],[Malın adı]],"xəta",0)</f>
        <v>Sınaq ələyi / ölçü: 11.2 / laboratoriya üçün / "Jeotest" türkiyə istehsalı</v>
      </c>
      <c r="E286" s="8" t="s">
        <v>1193</v>
      </c>
      <c r="F286" s="4" t="s">
        <v>920</v>
      </c>
      <c r="G286" s="4">
        <v>1</v>
      </c>
      <c r="H286" s="4"/>
      <c r="I286" s="4">
        <f>Table4[[#This Row],[Malın miqdarı]]*Table4[[#This Row],[Vahidin qiyməti]]</f>
        <v>0</v>
      </c>
      <c r="J286" s="4" t="s">
        <v>899</v>
      </c>
      <c r="K286" s="4" t="s">
        <v>893</v>
      </c>
      <c r="L286" s="4">
        <f>_xlfn.XLOOKUP(Table4[[#This Row],[Kontragentin adı]],Table2[Kontragentin adı],Table2[Müqavilə nömrəsi],"Xəta",0)</f>
        <v>0</v>
      </c>
      <c r="M286" s="4">
        <f>_xlfn.XLOOKUP(Table4[[#This Row],[Kontragentin adı]],Table2[Kontragentin adı],Table2[Müqavilə nömrəsi],"Xəta",0)</f>
        <v>0</v>
      </c>
    </row>
    <row r="287" spans="2:13" x14ac:dyDescent="0.3">
      <c r="B287" s="4">
        <f t="shared" si="4"/>
        <v>284</v>
      </c>
      <c r="C287" s="5">
        <v>46174</v>
      </c>
      <c r="D287" s="10" t="str" cm="1">
        <f t="array" ref="D287">_xlfn.XLOOKUP(Table4[[#This Row],[Malın kodu]],Table1[[#All],[Malın kodu]],Table1[[#All],[Malın adı]],"xəta",0)</f>
        <v>Sınaq ələyi / ölçü: 75 / laboratoriya üçün / "Jeotest" türkiyə istehsalı</v>
      </c>
      <c r="E287" s="8" t="s">
        <v>1194</v>
      </c>
      <c r="F287" s="4" t="s">
        <v>920</v>
      </c>
      <c r="G287" s="4">
        <v>1</v>
      </c>
      <c r="H287" s="4"/>
      <c r="I287" s="4">
        <f>Table4[[#This Row],[Malın miqdarı]]*Table4[[#This Row],[Vahidin qiyməti]]</f>
        <v>0</v>
      </c>
      <c r="J287" s="4" t="s">
        <v>899</v>
      </c>
      <c r="K287" s="4" t="s">
        <v>893</v>
      </c>
      <c r="L287" s="4">
        <f>_xlfn.XLOOKUP(Table4[[#This Row],[Kontragentin adı]],Table2[Kontragentin adı],Table2[Müqavilə nömrəsi],"Xəta",0)</f>
        <v>0</v>
      </c>
      <c r="M287" s="4">
        <f>_xlfn.XLOOKUP(Table4[[#This Row],[Kontragentin adı]],Table2[Kontragentin adı],Table2[Müqavilə nömrəsi],"Xəta",0)</f>
        <v>0</v>
      </c>
    </row>
    <row r="288" spans="2:13" x14ac:dyDescent="0.3">
      <c r="B288" s="4">
        <f t="shared" si="4"/>
        <v>285</v>
      </c>
      <c r="C288" s="5">
        <v>46174</v>
      </c>
      <c r="D288" s="10" t="str" cm="1">
        <f t="array" ref="D288">_xlfn.XLOOKUP(Table4[[#This Row],[Malın kodu]],Table1[[#All],[Malın kodu]],Table1[[#All],[Malın adı]],"xəta",0)</f>
        <v>Sınaq ələyi / ölçü: 300 / laboratoriya üçün / "Jeotest" türkiyə istehsalı</v>
      </c>
      <c r="E288" s="8" t="s">
        <v>1195</v>
      </c>
      <c r="F288" s="4" t="s">
        <v>920</v>
      </c>
      <c r="G288" s="4">
        <v>1</v>
      </c>
      <c r="H288" s="4"/>
      <c r="I288" s="4">
        <f>Table4[[#This Row],[Malın miqdarı]]*Table4[[#This Row],[Vahidin qiyməti]]</f>
        <v>0</v>
      </c>
      <c r="J288" s="4" t="s">
        <v>899</v>
      </c>
      <c r="K288" s="4" t="s">
        <v>893</v>
      </c>
      <c r="L288" s="4">
        <f>_xlfn.XLOOKUP(Table4[[#This Row],[Kontragentin adı]],Table2[Kontragentin adı],Table2[Müqavilə nömrəsi],"Xəta",0)</f>
        <v>0</v>
      </c>
      <c r="M288" s="4">
        <f>_xlfn.XLOOKUP(Table4[[#This Row],[Kontragentin adı]],Table2[Kontragentin adı],Table2[Müqavilə nömrəsi],"Xəta",0)</f>
        <v>0</v>
      </c>
    </row>
    <row r="289" spans="2:13" x14ac:dyDescent="0.3">
      <c r="B289" s="4">
        <f t="shared" si="4"/>
        <v>286</v>
      </c>
      <c r="C289" s="5">
        <v>46174</v>
      </c>
      <c r="D289" s="10" t="str" cm="1">
        <f t="array" ref="D289">_xlfn.XLOOKUP(Table4[[#This Row],[Malın kodu]],Table1[[#All],[Malın kodu]],Table1[[#All],[Malın adı]],"xəta",0)</f>
        <v>Sınaq ələyi / ölçü: 250 / laboratoriya üçün / "Jeotest" türkiyə istehsalı</v>
      </c>
      <c r="E289" s="8" t="s">
        <v>1196</v>
      </c>
      <c r="F289" s="4" t="s">
        <v>920</v>
      </c>
      <c r="G289" s="4">
        <v>1</v>
      </c>
      <c r="H289" s="4"/>
      <c r="I289" s="4">
        <f>Table4[[#This Row],[Malın miqdarı]]*Table4[[#This Row],[Vahidin qiyməti]]</f>
        <v>0</v>
      </c>
      <c r="J289" s="4" t="s">
        <v>899</v>
      </c>
      <c r="K289" s="4" t="s">
        <v>893</v>
      </c>
      <c r="L289" s="4">
        <f>_xlfn.XLOOKUP(Table4[[#This Row],[Kontragentin adı]],Table2[Kontragentin adı],Table2[Müqavilə nömrəsi],"Xəta",0)</f>
        <v>0</v>
      </c>
      <c r="M289" s="4">
        <f>_xlfn.XLOOKUP(Table4[[#This Row],[Kontragentin adı]],Table2[Kontragentin adı],Table2[Müqavilə nömrəsi],"Xəta",0)</f>
        <v>0</v>
      </c>
    </row>
    <row r="290" spans="2:13" x14ac:dyDescent="0.3">
      <c r="B290" s="4">
        <f t="shared" si="4"/>
        <v>287</v>
      </c>
      <c r="C290" s="5">
        <v>46174</v>
      </c>
      <c r="D290" s="10" t="str" cm="1">
        <f t="array" ref="D290">_xlfn.XLOOKUP(Table4[[#This Row],[Malın kodu]],Table1[[#All],[Malın kodu]],Table1[[#All],[Malın adı]],"xəta",0)</f>
        <v>Sınaq ələyi / ölçü: 9.5 / laboratoriya üçün / "Jeotest" türkiyə istehsalı</v>
      </c>
      <c r="E290" s="8" t="s">
        <v>1197</v>
      </c>
      <c r="F290" s="4" t="s">
        <v>920</v>
      </c>
      <c r="G290" s="4">
        <v>1</v>
      </c>
      <c r="H290" s="4"/>
      <c r="I290" s="4">
        <f>Table4[[#This Row],[Malın miqdarı]]*Table4[[#This Row],[Vahidin qiyməti]]</f>
        <v>0</v>
      </c>
      <c r="J290" s="4" t="s">
        <v>899</v>
      </c>
      <c r="K290" s="4" t="s">
        <v>893</v>
      </c>
      <c r="L290" s="4">
        <f>_xlfn.XLOOKUP(Table4[[#This Row],[Kontragentin adı]],Table2[Kontragentin adı],Table2[Müqavilə nömrəsi],"Xəta",0)</f>
        <v>0</v>
      </c>
      <c r="M290" s="4">
        <f>_xlfn.XLOOKUP(Table4[[#This Row],[Kontragentin adı]],Table2[Kontragentin adı],Table2[Müqavilə nömrəsi],"Xəta",0)</f>
        <v>0</v>
      </c>
    </row>
    <row r="291" spans="2:13" x14ac:dyDescent="0.3">
      <c r="B291" s="4">
        <f t="shared" si="4"/>
        <v>288</v>
      </c>
      <c r="C291" s="5">
        <v>46174</v>
      </c>
      <c r="D291" s="10" t="str" cm="1">
        <f t="array" ref="D291">_xlfn.XLOOKUP(Table4[[#This Row],[Malın kodu]],Table1[[#All],[Malın kodu]],Table1[[#All],[Malın adı]],"xəta",0)</f>
        <v>Təbaşir / metal üçün</v>
      </c>
      <c r="E291" s="8" t="s">
        <v>1198</v>
      </c>
      <c r="F291" s="4" t="s">
        <v>920</v>
      </c>
      <c r="G291" s="4">
        <v>36</v>
      </c>
      <c r="H291" s="4"/>
      <c r="I291" s="4">
        <f>Table4[[#This Row],[Malın miqdarı]]*Table4[[#This Row],[Vahidin qiyməti]]</f>
        <v>0</v>
      </c>
      <c r="J291" s="4" t="s">
        <v>899</v>
      </c>
      <c r="K291" s="4" t="s">
        <v>893</v>
      </c>
      <c r="L291" s="4">
        <f>_xlfn.XLOOKUP(Table4[[#This Row],[Kontragentin adı]],Table2[Kontragentin adı],Table2[Müqavilə nömrəsi],"Xəta",0)</f>
        <v>0</v>
      </c>
      <c r="M291" s="4">
        <f>_xlfn.XLOOKUP(Table4[[#This Row],[Kontragentin adı]],Table2[Kontragentin adı],Table2[Müqavilə nömrəsi],"Xəta",0)</f>
        <v>0</v>
      </c>
    </row>
    <row r="292" spans="2:13" x14ac:dyDescent="0.3">
      <c r="B292" s="4">
        <f t="shared" si="4"/>
        <v>289</v>
      </c>
      <c r="C292" s="5">
        <v>46174</v>
      </c>
      <c r="D292" s="10" t="str" cm="1">
        <f t="array" ref="D292">_xlfn.XLOOKUP(Table4[[#This Row],[Malın kodu]],Table1[[#All],[Malın kodu]],Table1[[#All],[Malın adı]],"xəta",0)</f>
        <v>Şüşə / qaynaqçı maskası üçün / qara</v>
      </c>
      <c r="E292" s="8" t="s">
        <v>1199</v>
      </c>
      <c r="F292" s="4" t="s">
        <v>920</v>
      </c>
      <c r="G292" s="4">
        <v>1</v>
      </c>
      <c r="H292" s="4"/>
      <c r="I292" s="4">
        <f>Table4[[#This Row],[Malın miqdarı]]*Table4[[#This Row],[Vahidin qiyməti]]</f>
        <v>0</v>
      </c>
      <c r="J292" s="4" t="s">
        <v>899</v>
      </c>
      <c r="K292" s="4" t="s">
        <v>893</v>
      </c>
      <c r="L292" s="4">
        <f>_xlfn.XLOOKUP(Table4[[#This Row],[Kontragentin adı]],Table2[Kontragentin adı],Table2[Müqavilə nömrəsi],"Xəta",0)</f>
        <v>0</v>
      </c>
      <c r="M292" s="4">
        <f>_xlfn.XLOOKUP(Table4[[#This Row],[Kontragentin adı]],Table2[Kontragentin adı],Table2[Müqavilə nömrəsi],"Xəta",0)</f>
        <v>0</v>
      </c>
    </row>
    <row r="293" spans="2:13" x14ac:dyDescent="0.3">
      <c r="B293" s="4">
        <f t="shared" si="4"/>
        <v>290</v>
      </c>
      <c r="C293" s="5">
        <v>46174</v>
      </c>
      <c r="D293" s="10" t="str" cm="1">
        <f t="array" ref="D293">_xlfn.XLOOKUP(Table4[[#This Row],[Malın kodu]],Table1[[#All],[Malın kodu]],Table1[[#All],[Malın adı]],"xəta",0)</f>
        <v>Şüşə / qaynaqçı maskası üçün / şəffaf</v>
      </c>
      <c r="E293" s="8" t="s">
        <v>1200</v>
      </c>
      <c r="F293" s="4" t="s">
        <v>920</v>
      </c>
      <c r="G293" s="4">
        <v>7</v>
      </c>
      <c r="H293" s="4"/>
      <c r="I293" s="4">
        <f>Table4[[#This Row],[Malın miqdarı]]*Table4[[#This Row],[Vahidin qiyməti]]</f>
        <v>0</v>
      </c>
      <c r="J293" s="4" t="s">
        <v>899</v>
      </c>
      <c r="K293" s="4" t="s">
        <v>893</v>
      </c>
      <c r="L293" s="4">
        <f>_xlfn.XLOOKUP(Table4[[#This Row],[Kontragentin adı]],Table2[Kontragentin adı],Table2[Müqavilə nömrəsi],"Xəta",0)</f>
        <v>0</v>
      </c>
      <c r="M293" s="4">
        <f>_xlfn.XLOOKUP(Table4[[#This Row],[Kontragentin adı]],Table2[Kontragentin adı],Table2[Müqavilə nömrəsi],"Xəta",0)</f>
        <v>0</v>
      </c>
    </row>
    <row r="294" spans="2:13" x14ac:dyDescent="0.3">
      <c r="B294" s="4">
        <f t="shared" si="4"/>
        <v>291</v>
      </c>
      <c r="C294" s="5">
        <v>46174</v>
      </c>
      <c r="D294" s="10" t="str" cm="1">
        <f t="array" ref="D294">_xlfn.XLOOKUP(Table4[[#This Row],[Malın kodu]],Table1[[#All],[Malın kodu]],Table1[[#All],[Malın adı]],"xəta",0)</f>
        <v>Patron / electric</v>
      </c>
      <c r="E294" s="8" t="s">
        <v>1201</v>
      </c>
      <c r="F294" s="4" t="s">
        <v>920</v>
      </c>
      <c r="G294" s="4">
        <v>2</v>
      </c>
      <c r="H294" s="4"/>
      <c r="I294" s="4">
        <f>Table4[[#This Row],[Malın miqdarı]]*Table4[[#This Row],[Vahidin qiyməti]]</f>
        <v>0</v>
      </c>
      <c r="J294" s="4" t="s">
        <v>899</v>
      </c>
      <c r="K294" s="4" t="s">
        <v>893</v>
      </c>
      <c r="L294" s="4">
        <f>_xlfn.XLOOKUP(Table4[[#This Row],[Kontragentin adı]],Table2[Kontragentin adı],Table2[Müqavilə nömrəsi],"Xəta",0)</f>
        <v>0</v>
      </c>
      <c r="M294" s="4">
        <f>_xlfn.XLOOKUP(Table4[[#This Row],[Kontragentin adı]],Table2[Kontragentin adı],Table2[Müqavilə nömrəsi],"Xəta",0)</f>
        <v>0</v>
      </c>
    </row>
    <row r="295" spans="2:13" x14ac:dyDescent="0.3">
      <c r="B295" s="4">
        <f t="shared" si="4"/>
        <v>292</v>
      </c>
      <c r="C295" s="5">
        <v>46174</v>
      </c>
      <c r="D295" s="10" t="str" cm="1">
        <f t="array" ref="D295">_xlfn.XLOOKUP(Table4[[#This Row],[Malın kodu]],Table1[[#All],[Malın kodu]],Table1[[#All],[Malın adı]],"xəta",0)</f>
        <v>Kabel ucluğu / № 2.5</v>
      </c>
      <c r="E295" s="8" t="s">
        <v>1202</v>
      </c>
      <c r="F295" s="4" t="s">
        <v>920</v>
      </c>
      <c r="G295" s="4">
        <v>89</v>
      </c>
      <c r="H295" s="4"/>
      <c r="I295" s="4">
        <f>Table4[[#This Row],[Malın miqdarı]]*Table4[[#This Row],[Vahidin qiyməti]]</f>
        <v>0</v>
      </c>
      <c r="J295" s="4" t="s">
        <v>899</v>
      </c>
      <c r="K295" s="4" t="s">
        <v>893</v>
      </c>
      <c r="L295" s="4">
        <f>_xlfn.XLOOKUP(Table4[[#This Row],[Kontragentin adı]],Table2[Kontragentin adı],Table2[Müqavilə nömrəsi],"Xəta",0)</f>
        <v>0</v>
      </c>
      <c r="M295" s="4">
        <f>_xlfn.XLOOKUP(Table4[[#This Row],[Kontragentin adı]],Table2[Kontragentin adı],Table2[Müqavilə nömrəsi],"Xəta",0)</f>
        <v>0</v>
      </c>
    </row>
    <row r="296" spans="2:13" x14ac:dyDescent="0.3">
      <c r="B296" s="4">
        <f t="shared" si="4"/>
        <v>293</v>
      </c>
      <c r="C296" s="5">
        <v>46174</v>
      </c>
      <c r="D296" s="10" t="str" cm="1">
        <f t="array" ref="D296">_xlfn.XLOOKUP(Table4[[#This Row],[Malın kodu]],Table1[[#All],[Malın kodu]],Table1[[#All],[Malın adı]],"xəta",0)</f>
        <v>Sayğac / elektrik / 3 faza / 4 telli / 10-60 A / "Makel" / Türk istehsalı</v>
      </c>
      <c r="E296" s="8" t="s">
        <v>1203</v>
      </c>
      <c r="F296" s="4" t="s">
        <v>920</v>
      </c>
      <c r="G296" s="4">
        <v>1</v>
      </c>
      <c r="H296" s="4"/>
      <c r="I296" s="4">
        <f>Table4[[#This Row],[Malın miqdarı]]*Table4[[#This Row],[Vahidin qiyməti]]</f>
        <v>0</v>
      </c>
      <c r="J296" s="4" t="s">
        <v>899</v>
      </c>
      <c r="K296" s="4" t="s">
        <v>893</v>
      </c>
      <c r="L296" s="4">
        <f>_xlfn.XLOOKUP(Table4[[#This Row],[Kontragentin adı]],Table2[Kontragentin adı],Table2[Müqavilə nömrəsi],"Xəta",0)</f>
        <v>0</v>
      </c>
      <c r="M296" s="4">
        <f>_xlfn.XLOOKUP(Table4[[#This Row],[Kontragentin adı]],Table2[Kontragentin adı],Table2[Müqavilə nömrəsi],"Xəta",0)</f>
        <v>0</v>
      </c>
    </row>
    <row r="297" spans="2:13" x14ac:dyDescent="0.3">
      <c r="B297" s="4">
        <f t="shared" si="4"/>
        <v>294</v>
      </c>
      <c r="C297" s="5">
        <v>46174</v>
      </c>
      <c r="D297" s="10" t="str" cm="1">
        <f t="array" ref="D297">_xlfn.XLOOKUP(Table4[[#This Row],[Malın kodu]],Table1[[#All],[Malın kodu]],Table1[[#All],[Malın adı]],"xəta",0)</f>
        <v>Xamut / metal-rezin / d 32 mm / kabel və boru üçün</v>
      </c>
      <c r="E297" s="8" t="s">
        <v>1204</v>
      </c>
      <c r="F297" s="4" t="s">
        <v>920</v>
      </c>
      <c r="G297" s="4">
        <v>36</v>
      </c>
      <c r="H297" s="4"/>
      <c r="I297" s="4">
        <f>Table4[[#This Row],[Malın miqdarı]]*Table4[[#This Row],[Vahidin qiyməti]]</f>
        <v>0</v>
      </c>
      <c r="J297" s="4" t="s">
        <v>899</v>
      </c>
      <c r="K297" s="4" t="s">
        <v>893</v>
      </c>
      <c r="L297" s="4">
        <f>_xlfn.XLOOKUP(Table4[[#This Row],[Kontragentin adı]],Table2[Kontragentin adı],Table2[Müqavilə nömrəsi],"Xəta",0)</f>
        <v>0</v>
      </c>
      <c r="M297" s="4">
        <f>_xlfn.XLOOKUP(Table4[[#This Row],[Kontragentin adı]],Table2[Kontragentin adı],Table2[Müqavilə nömrəsi],"Xəta",0)</f>
        <v>0</v>
      </c>
    </row>
    <row r="298" spans="2:13" x14ac:dyDescent="0.3">
      <c r="B298" s="4">
        <f t="shared" si="4"/>
        <v>295</v>
      </c>
      <c r="C298" s="5">
        <v>46174</v>
      </c>
      <c r="D298" s="10" t="str" cm="1">
        <f t="array" ref="D298">_xlfn.XLOOKUP(Table4[[#This Row],[Malın kodu]],Table1[[#All],[Malın kodu]],Table1[[#All],[Malın adı]],"xəta",0)</f>
        <v>Yol nişanı / sürət 10 km/s</v>
      </c>
      <c r="E298" s="8" t="s">
        <v>1205</v>
      </c>
      <c r="F298" s="4" t="s">
        <v>920</v>
      </c>
      <c r="G298" s="4">
        <v>3</v>
      </c>
      <c r="H298" s="4"/>
      <c r="I298" s="4">
        <f>Table4[[#This Row],[Malın miqdarı]]*Table4[[#This Row],[Vahidin qiyməti]]</f>
        <v>0</v>
      </c>
      <c r="J298" s="4" t="s">
        <v>899</v>
      </c>
      <c r="K298" s="4" t="s">
        <v>893</v>
      </c>
      <c r="L298" s="4">
        <f>_xlfn.XLOOKUP(Table4[[#This Row],[Kontragentin adı]],Table2[Kontragentin adı],Table2[Müqavilə nömrəsi],"Xəta",0)</f>
        <v>0</v>
      </c>
      <c r="M298" s="4">
        <f>_xlfn.XLOOKUP(Table4[[#This Row],[Kontragentin adı]],Table2[Kontragentin adı],Table2[Müqavilə nömrəsi],"Xəta",0)</f>
        <v>0</v>
      </c>
    </row>
    <row r="299" spans="2:13" x14ac:dyDescent="0.3">
      <c r="B299" s="4">
        <f t="shared" si="4"/>
        <v>296</v>
      </c>
      <c r="C299" s="5">
        <v>46174</v>
      </c>
      <c r="D299" s="10" t="str" cm="1">
        <f t="array" ref="D299">_xlfn.XLOOKUP(Table4[[#This Row],[Malın kodu]],Table1[[#All],[Malın kodu]],Table1[[#All],[Malın adı]],"xəta",0)</f>
        <v>Çəkic / 3 LB</v>
      </c>
      <c r="E299" s="8" t="s">
        <v>1206</v>
      </c>
      <c r="F299" s="4" t="s">
        <v>920</v>
      </c>
      <c r="G299" s="4">
        <v>1</v>
      </c>
      <c r="H299" s="4"/>
      <c r="I299" s="4">
        <f>Table4[[#This Row],[Malın miqdarı]]*Table4[[#This Row],[Vahidin qiyməti]]</f>
        <v>0</v>
      </c>
      <c r="J299" s="4" t="s">
        <v>899</v>
      </c>
      <c r="K299" s="4" t="s">
        <v>893</v>
      </c>
      <c r="L299" s="4">
        <f>_xlfn.XLOOKUP(Table4[[#This Row],[Kontragentin adı]],Table2[Kontragentin adı],Table2[Müqavilə nömrəsi],"Xəta",0)</f>
        <v>0</v>
      </c>
      <c r="M299" s="4">
        <f>_xlfn.XLOOKUP(Table4[[#This Row],[Kontragentin adı]],Table2[Kontragentin adı],Table2[Müqavilə nömrəsi],"Xəta",0)</f>
        <v>0</v>
      </c>
    </row>
    <row r="300" spans="2:13" x14ac:dyDescent="0.3">
      <c r="B300" s="4">
        <f t="shared" si="4"/>
        <v>297</v>
      </c>
      <c r="C300" s="5">
        <v>46174</v>
      </c>
      <c r="D300" s="10" t="str" cm="1">
        <f t="array" ref="D300">_xlfn.XLOOKUP(Table4[[#This Row],[Malın kodu]],Table1[[#All],[Malın kodu]],Table1[[#All],[Malın adı]],"xəta",0)</f>
        <v>Dolğu / kafel-metlax / 1 kq / fil dişi</v>
      </c>
      <c r="E300" s="8" t="s">
        <v>1207</v>
      </c>
      <c r="F300" s="4" t="s">
        <v>920</v>
      </c>
      <c r="G300" s="4">
        <v>2</v>
      </c>
      <c r="H300" s="4"/>
      <c r="I300" s="4">
        <f>Table4[[#This Row],[Malın miqdarı]]*Table4[[#This Row],[Vahidin qiyməti]]</f>
        <v>0</v>
      </c>
      <c r="J300" s="4" t="s">
        <v>899</v>
      </c>
      <c r="K300" s="4" t="s">
        <v>893</v>
      </c>
      <c r="L300" s="4">
        <f>_xlfn.XLOOKUP(Table4[[#This Row],[Kontragentin adı]],Table2[Kontragentin adı],Table2[Müqavilə nömrəsi],"Xəta",0)</f>
        <v>0</v>
      </c>
      <c r="M300" s="4">
        <f>_xlfn.XLOOKUP(Table4[[#This Row],[Kontragentin adı]],Table2[Kontragentin adı],Table2[Müqavilə nömrəsi],"Xəta",0)</f>
        <v>0</v>
      </c>
    </row>
    <row r="301" spans="2:13" x14ac:dyDescent="0.3">
      <c r="B301" s="4">
        <f t="shared" si="4"/>
        <v>298</v>
      </c>
      <c r="C301" s="5">
        <v>46174</v>
      </c>
      <c r="D301" s="10" t="str" cm="1">
        <f t="array" ref="D301">_xlfn.XLOOKUP(Table4[[#This Row],[Malın kodu]],Table1[[#All],[Malın kodu]],Table1[[#All],[Malın adı]],"xəta",0)</f>
        <v>Spatel / rezin</v>
      </c>
      <c r="E301" s="8" t="s">
        <v>1208</v>
      </c>
      <c r="F301" s="4" t="s">
        <v>920</v>
      </c>
      <c r="G301" s="4">
        <v>3</v>
      </c>
      <c r="H301" s="4"/>
      <c r="I301" s="4">
        <f>Table4[[#This Row],[Malın miqdarı]]*Table4[[#This Row],[Vahidin qiyməti]]</f>
        <v>0</v>
      </c>
      <c r="J301" s="4" t="s">
        <v>899</v>
      </c>
      <c r="K301" s="4" t="s">
        <v>893</v>
      </c>
      <c r="L301" s="4">
        <f>_xlfn.XLOOKUP(Table4[[#This Row],[Kontragentin adı]],Table2[Kontragentin adı],Table2[Müqavilə nömrəsi],"Xəta",0)</f>
        <v>0</v>
      </c>
      <c r="M301" s="4">
        <f>_xlfn.XLOOKUP(Table4[[#This Row],[Kontragentin adı]],Table2[Kontragentin adı],Table2[Müqavilə nömrəsi],"Xəta",0)</f>
        <v>0</v>
      </c>
    </row>
    <row r="302" spans="2:13" x14ac:dyDescent="0.3">
      <c r="B302" s="4">
        <f t="shared" si="4"/>
        <v>299</v>
      </c>
      <c r="C302" s="5">
        <v>46174</v>
      </c>
      <c r="D302" s="10" t="str" cm="1">
        <f t="array" ref="D302">_xlfn.XLOOKUP(Table4[[#This Row],[Malın kodu]],Table1[[#All],[Malın kodu]],Table1[[#All],[Malın adı]],"xəta",0)</f>
        <v>Videokamera / nəzarət / "Multistar" / A</v>
      </c>
      <c r="E302" s="8" t="s">
        <v>1209</v>
      </c>
      <c r="F302" s="4" t="s">
        <v>920</v>
      </c>
      <c r="G302" s="4">
        <v>1</v>
      </c>
      <c r="H302" s="4"/>
      <c r="I302" s="4">
        <f>Table4[[#This Row],[Malın miqdarı]]*Table4[[#This Row],[Vahidin qiyməti]]</f>
        <v>0</v>
      </c>
      <c r="J302" s="4" t="s">
        <v>899</v>
      </c>
      <c r="K302" s="4" t="s">
        <v>893</v>
      </c>
      <c r="L302" s="4">
        <f>_xlfn.XLOOKUP(Table4[[#This Row],[Kontragentin adı]],Table2[Kontragentin adı],Table2[Müqavilə nömrəsi],"Xəta",0)</f>
        <v>0</v>
      </c>
      <c r="M302" s="4">
        <f>_xlfn.XLOOKUP(Table4[[#This Row],[Kontragentin adı]],Table2[Kontragentin adı],Table2[Müqavilə nömrəsi],"Xəta",0)</f>
        <v>0</v>
      </c>
    </row>
    <row r="303" spans="2:13" x14ac:dyDescent="0.3">
      <c r="B303" s="4">
        <f t="shared" si="4"/>
        <v>300</v>
      </c>
      <c r="C303" s="5">
        <v>46174</v>
      </c>
      <c r="D303" s="10" t="str" cm="1">
        <f t="array" ref="D303">_xlfn.XLOOKUP(Table4[[#This Row],[Malın kodu]],Table1[[#All],[Malın kodu]],Table1[[#All],[Malın adı]],"xəta",0)</f>
        <v>Videokamera / nəzarət / color / IR / "Hikvision"</v>
      </c>
      <c r="E303" s="8" t="s">
        <v>1210</v>
      </c>
      <c r="F303" s="4" t="s">
        <v>920</v>
      </c>
      <c r="G303" s="4">
        <v>1</v>
      </c>
      <c r="H303" s="4"/>
      <c r="I303" s="4">
        <f>Table4[[#This Row],[Malın miqdarı]]*Table4[[#This Row],[Vahidin qiyməti]]</f>
        <v>0</v>
      </c>
      <c r="J303" s="4" t="s">
        <v>899</v>
      </c>
      <c r="K303" s="4" t="s">
        <v>893</v>
      </c>
      <c r="L303" s="4">
        <f>_xlfn.XLOOKUP(Table4[[#This Row],[Kontragentin adı]],Table2[Kontragentin adı],Table2[Müqavilə nömrəsi],"Xəta",0)</f>
        <v>0</v>
      </c>
      <c r="M303" s="4">
        <f>_xlfn.XLOOKUP(Table4[[#This Row],[Kontragentin adı]],Table2[Kontragentin adı],Table2[Müqavilə nömrəsi],"Xəta",0)</f>
        <v>0</v>
      </c>
    </row>
    <row r="304" spans="2:13" x14ac:dyDescent="0.3">
      <c r="B304" s="4">
        <f t="shared" si="4"/>
        <v>301</v>
      </c>
      <c r="C304" s="5">
        <v>46174</v>
      </c>
      <c r="D304" s="10" t="str" cm="1">
        <f t="array" ref="D304">_xlfn.XLOOKUP(Table4[[#This Row],[Malın kodu]],Table1[[#All],[Malın kodu]],Table1[[#All],[Malın adı]],"xəta",0)</f>
        <v>Videokamera / nəzarət / color / IR / "DAHUA"</v>
      </c>
      <c r="E304" s="8" t="s">
        <v>1211</v>
      </c>
      <c r="F304" s="4" t="s">
        <v>920</v>
      </c>
      <c r="G304" s="4">
        <v>1</v>
      </c>
      <c r="H304" s="4"/>
      <c r="I304" s="4">
        <f>Table4[[#This Row],[Malın miqdarı]]*Table4[[#This Row],[Vahidin qiyməti]]</f>
        <v>0</v>
      </c>
      <c r="J304" s="4" t="s">
        <v>899</v>
      </c>
      <c r="K304" s="4" t="s">
        <v>893</v>
      </c>
      <c r="L304" s="4">
        <f>_xlfn.XLOOKUP(Table4[[#This Row],[Kontragentin adı]],Table2[Kontragentin adı],Table2[Müqavilə nömrəsi],"Xəta",0)</f>
        <v>0</v>
      </c>
      <c r="M304" s="4">
        <f>_xlfn.XLOOKUP(Table4[[#This Row],[Kontragentin adı]],Table2[Kontragentin adı],Table2[Müqavilə nömrəsi],"Xəta",0)</f>
        <v>0</v>
      </c>
    </row>
    <row r="305" spans="2:13" x14ac:dyDescent="0.3">
      <c r="B305" s="4">
        <f t="shared" si="4"/>
        <v>302</v>
      </c>
      <c r="C305" s="5">
        <v>46174</v>
      </c>
      <c r="D305" s="10" t="str" cm="1">
        <f t="array" ref="D305">_xlfn.XLOOKUP(Table4[[#This Row],[Malın kodu]],Table1[[#All],[Malın kodu]],Table1[[#All],[Malın adı]],"xəta",0)</f>
        <v>Videokamera / nəzarət / color / IR / 87GAHZ271</v>
      </c>
      <c r="E305" s="8" t="s">
        <v>1212</v>
      </c>
      <c r="F305" s="4" t="s">
        <v>920</v>
      </c>
      <c r="G305" s="4">
        <v>1</v>
      </c>
      <c r="H305" s="4"/>
      <c r="I305" s="4">
        <f>Table4[[#This Row],[Malın miqdarı]]*Table4[[#This Row],[Vahidin qiyməti]]</f>
        <v>0</v>
      </c>
      <c r="J305" s="4" t="s">
        <v>899</v>
      </c>
      <c r="K305" s="4" t="s">
        <v>893</v>
      </c>
      <c r="L305" s="4">
        <f>_xlfn.XLOOKUP(Table4[[#This Row],[Kontragentin adı]],Table2[Kontragentin adı],Table2[Müqavilə nömrəsi],"Xəta",0)</f>
        <v>0</v>
      </c>
      <c r="M305" s="4">
        <f>_xlfn.XLOOKUP(Table4[[#This Row],[Kontragentin adı]],Table2[Kontragentin adı],Table2[Müqavilə nömrəsi],"Xəta",0)</f>
        <v>0</v>
      </c>
    </row>
    <row r="306" spans="2:13" x14ac:dyDescent="0.3">
      <c r="B306" s="4">
        <f t="shared" si="4"/>
        <v>303</v>
      </c>
      <c r="C306" s="5">
        <v>46174</v>
      </c>
      <c r="D306" s="10" t="str" cm="1">
        <f t="array" ref="D306">_xlfn.XLOOKUP(Table4[[#This Row],[Malın kodu]],Table1[[#All],[Malın kodu]],Table1[[#All],[Malın adı]],"xəta",0)</f>
        <v>Karot ucu / almaz / 168 x 450 mm</v>
      </c>
      <c r="E306" s="8" t="s">
        <v>1213</v>
      </c>
      <c r="F306" s="4" t="s">
        <v>920</v>
      </c>
      <c r="G306" s="4">
        <v>1</v>
      </c>
      <c r="H306" s="4"/>
      <c r="I306" s="4">
        <f>Table4[[#This Row],[Malın miqdarı]]*Table4[[#This Row],[Vahidin qiyməti]]</f>
        <v>0</v>
      </c>
      <c r="J306" s="4" t="s">
        <v>899</v>
      </c>
      <c r="K306" s="4" t="s">
        <v>893</v>
      </c>
      <c r="L306" s="4">
        <f>_xlfn.XLOOKUP(Table4[[#This Row],[Kontragentin adı]],Table2[Kontragentin adı],Table2[Müqavilə nömrəsi],"Xəta",0)</f>
        <v>0</v>
      </c>
      <c r="M306" s="4">
        <f>_xlfn.XLOOKUP(Table4[[#This Row],[Kontragentin adı]],Table2[Kontragentin adı],Table2[Müqavilə nömrəsi],"Xəta",0)</f>
        <v>0</v>
      </c>
    </row>
    <row r="307" spans="2:13" x14ac:dyDescent="0.3">
      <c r="B307" s="4">
        <f t="shared" si="4"/>
        <v>304</v>
      </c>
      <c r="C307" s="5">
        <v>46174</v>
      </c>
      <c r="D307" s="10" t="str" cm="1">
        <f t="array" ref="D307">_xlfn.XLOOKUP(Table4[[#This Row],[Malın kodu]],Table1[[#All],[Malın kodu]],Table1[[#All],[Malın adı]],"xəta",0)</f>
        <v>Karot ucu / almaz / 160 x 420 mm / "DRT" / Türk istehsalı</v>
      </c>
      <c r="E307" s="8" t="s">
        <v>1214</v>
      </c>
      <c r="F307" s="4" t="s">
        <v>920</v>
      </c>
      <c r="G307" s="4">
        <v>1</v>
      </c>
      <c r="H307" s="4"/>
      <c r="I307" s="4">
        <f>Table4[[#This Row],[Malın miqdarı]]*Table4[[#This Row],[Vahidin qiyməti]]</f>
        <v>0</v>
      </c>
      <c r="J307" s="4" t="s">
        <v>899</v>
      </c>
      <c r="K307" s="4" t="s">
        <v>893</v>
      </c>
      <c r="L307" s="4">
        <f>_xlfn.XLOOKUP(Table4[[#This Row],[Kontragentin adı]],Table2[Kontragentin adı],Table2[Müqavilə nömrəsi],"Xəta",0)</f>
        <v>0</v>
      </c>
      <c r="M307" s="4">
        <f>_xlfn.XLOOKUP(Table4[[#This Row],[Kontragentin adı]],Table2[Kontragentin adı],Table2[Müqavilə nömrəsi],"Xəta",0)</f>
        <v>0</v>
      </c>
    </row>
    <row r="308" spans="2:13" x14ac:dyDescent="0.3">
      <c r="B308" s="4">
        <f t="shared" si="4"/>
        <v>305</v>
      </c>
      <c r="C308" s="5">
        <v>46174</v>
      </c>
      <c r="D308" s="10" t="str" cm="1">
        <f t="array" ref="D308">_xlfn.XLOOKUP(Table4[[#This Row],[Malın kodu]],Table1[[#All],[Malın kodu]],Table1[[#All],[Malın adı]],"xəta",0)</f>
        <v>Karot ucu / almaz / 40 x 450 mm</v>
      </c>
      <c r="E308" s="8" t="s">
        <v>1215</v>
      </c>
      <c r="F308" s="4" t="s">
        <v>920</v>
      </c>
      <c r="G308" s="4">
        <v>1</v>
      </c>
      <c r="H308" s="4"/>
      <c r="I308" s="4">
        <f>Table4[[#This Row],[Malın miqdarı]]*Table4[[#This Row],[Vahidin qiyməti]]</f>
        <v>0</v>
      </c>
      <c r="J308" s="4" t="s">
        <v>899</v>
      </c>
      <c r="K308" s="4" t="s">
        <v>893</v>
      </c>
      <c r="L308" s="4">
        <f>_xlfn.XLOOKUP(Table4[[#This Row],[Kontragentin adı]],Table2[Kontragentin adı],Table2[Müqavilə nömrəsi],"Xəta",0)</f>
        <v>0</v>
      </c>
      <c r="M308" s="4">
        <f>_xlfn.XLOOKUP(Table4[[#This Row],[Kontragentin adı]],Table2[Kontragentin adı],Table2[Müqavilə nömrəsi],"Xəta",0)</f>
        <v>0</v>
      </c>
    </row>
    <row r="309" spans="2:13" x14ac:dyDescent="0.3">
      <c r="B309" s="4">
        <f t="shared" si="4"/>
        <v>306</v>
      </c>
      <c r="C309" s="5">
        <v>46174</v>
      </c>
      <c r="D309" s="10" t="str" cm="1">
        <f t="array" ref="D309">_xlfn.XLOOKUP(Table4[[#This Row],[Malın kodu]],Table1[[#All],[Malın kodu]],Table1[[#All],[Malın adı]],"xəta",0)</f>
        <v>Ölçü qabı / metal /  laboratoriya üçün / 2 litr</v>
      </c>
      <c r="E309" s="8" t="s">
        <v>1216</v>
      </c>
      <c r="F309" s="4" t="s">
        <v>920</v>
      </c>
      <c r="G309" s="4">
        <v>1</v>
      </c>
      <c r="H309" s="4"/>
      <c r="I309" s="4">
        <f>Table4[[#This Row],[Malın miqdarı]]*Table4[[#This Row],[Vahidin qiyməti]]</f>
        <v>0</v>
      </c>
      <c r="J309" s="4" t="s">
        <v>899</v>
      </c>
      <c r="K309" s="4" t="s">
        <v>893</v>
      </c>
      <c r="L309" s="4">
        <f>_xlfn.XLOOKUP(Table4[[#This Row],[Kontragentin adı]],Table2[Kontragentin adı],Table2[Müqavilə nömrəsi],"Xəta",0)</f>
        <v>0</v>
      </c>
      <c r="M309" s="4">
        <f>_xlfn.XLOOKUP(Table4[[#This Row],[Kontragentin adı]],Table2[Kontragentin adı],Table2[Müqavilə nömrəsi],"Xəta",0)</f>
        <v>0</v>
      </c>
    </row>
    <row r="310" spans="2:13" x14ac:dyDescent="0.3">
      <c r="B310" s="4">
        <f t="shared" si="4"/>
        <v>307</v>
      </c>
      <c r="C310" s="5">
        <v>46174</v>
      </c>
      <c r="D310" s="10" t="str" cm="1">
        <f t="array" ref="D310">_xlfn.XLOOKUP(Table4[[#This Row],[Malın kodu]],Table1[[#All],[Malın kodu]],Table1[[#All],[Malın adı]],"xəta",0)</f>
        <v>Ölçü qabı / metal /  laboratoriya üçün / 5 litr</v>
      </c>
      <c r="E310" s="8" t="s">
        <v>1217</v>
      </c>
      <c r="F310" s="4" t="s">
        <v>920</v>
      </c>
      <c r="G310" s="4">
        <v>1</v>
      </c>
      <c r="H310" s="4"/>
      <c r="I310" s="4">
        <f>Table4[[#This Row],[Malın miqdarı]]*Table4[[#This Row],[Vahidin qiyməti]]</f>
        <v>0</v>
      </c>
      <c r="J310" s="4" t="s">
        <v>899</v>
      </c>
      <c r="K310" s="4" t="s">
        <v>893</v>
      </c>
      <c r="L310" s="4">
        <f>_xlfn.XLOOKUP(Table4[[#This Row],[Kontragentin adı]],Table2[Kontragentin adı],Table2[Müqavilə nömrəsi],"Xəta",0)</f>
        <v>0</v>
      </c>
      <c r="M310" s="4">
        <f>_xlfn.XLOOKUP(Table4[[#This Row],[Kontragentin adı]],Table2[Kontragentin adı],Table2[Müqavilə nömrəsi],"Xəta",0)</f>
        <v>0</v>
      </c>
    </row>
    <row r="311" spans="2:13" x14ac:dyDescent="0.3">
      <c r="B311" s="4">
        <f t="shared" si="4"/>
        <v>308</v>
      </c>
      <c r="C311" s="5">
        <v>46174</v>
      </c>
      <c r="D311" s="10" t="str" cm="1">
        <f t="array" ref="D311">_xlfn.XLOOKUP(Table4[[#This Row],[Malın kodu]],Table1[[#All],[Malın kodu]],Table1[[#All],[Malın adı]],"xəta",0)</f>
        <v>Sınaq qəlibi (Proktor) / laboratoriya üçün / d 150 mm / açılan</v>
      </c>
      <c r="E311" s="8" t="s">
        <v>1218</v>
      </c>
      <c r="F311" s="4" t="s">
        <v>920</v>
      </c>
      <c r="G311" s="4">
        <v>1</v>
      </c>
      <c r="H311" s="4"/>
      <c r="I311" s="4">
        <f>Table4[[#This Row],[Malın miqdarı]]*Table4[[#This Row],[Vahidin qiyməti]]</f>
        <v>0</v>
      </c>
      <c r="J311" s="4" t="s">
        <v>899</v>
      </c>
      <c r="K311" s="4" t="s">
        <v>893</v>
      </c>
      <c r="L311" s="4">
        <f>_xlfn.XLOOKUP(Table4[[#This Row],[Kontragentin adı]],Table2[Kontragentin adı],Table2[Müqavilə nömrəsi],"Xəta",0)</f>
        <v>0</v>
      </c>
      <c r="M311" s="4">
        <f>_xlfn.XLOOKUP(Table4[[#This Row],[Kontragentin adı]],Table2[Kontragentin adı],Table2[Müqavilə nömrəsi],"Xəta",0)</f>
        <v>0</v>
      </c>
    </row>
    <row r="312" spans="2:13" x14ac:dyDescent="0.3">
      <c r="B312" s="4">
        <f t="shared" si="4"/>
        <v>309</v>
      </c>
      <c r="C312" s="5">
        <v>46174</v>
      </c>
      <c r="D312" s="10" t="str" cm="1">
        <f t="array" ref="D312">_xlfn.XLOOKUP(Table4[[#This Row],[Malın kodu]],Table1[[#All],[Malın kodu]],Table1[[#All],[Malın adı]],"xəta",0)</f>
        <v>Sınaq qəlibi (Proktor) / laboratoriya üçün / d 100 mm / açılan</v>
      </c>
      <c r="E312" s="8" t="s">
        <v>1219</v>
      </c>
      <c r="F312" s="4" t="s">
        <v>920</v>
      </c>
      <c r="G312" s="4">
        <v>1</v>
      </c>
      <c r="H312" s="4"/>
      <c r="I312" s="4">
        <f>Table4[[#This Row],[Malın miqdarı]]*Table4[[#This Row],[Vahidin qiyməti]]</f>
        <v>0</v>
      </c>
      <c r="J312" s="4" t="s">
        <v>899</v>
      </c>
      <c r="K312" s="4" t="s">
        <v>893</v>
      </c>
      <c r="L312" s="4">
        <f>_xlfn.XLOOKUP(Table4[[#This Row],[Kontragentin adı]],Table2[Kontragentin adı],Table2[Müqavilə nömrəsi],"Xəta",0)</f>
        <v>0</v>
      </c>
      <c r="M312" s="4">
        <f>_xlfn.XLOOKUP(Table4[[#This Row],[Kontragentin adı]],Table2[Kontragentin adı],Table2[Müqavilə nömrəsi],"Xəta",0)</f>
        <v>0</v>
      </c>
    </row>
    <row r="313" spans="2:13" x14ac:dyDescent="0.3">
      <c r="B313" s="4">
        <f t="shared" si="4"/>
        <v>310</v>
      </c>
      <c r="C313" s="5">
        <v>46174</v>
      </c>
      <c r="D313" s="10" t="str" cm="1">
        <f t="array" ref="D313">_xlfn.XLOOKUP(Table4[[#This Row],[Malın kodu]],Table1[[#All],[Malın kodu]],Table1[[#All],[Malın adı]],"xəta",0)</f>
        <v>Elektrik lövhəsi / plastik / 300 x 400 x 165 mm</v>
      </c>
      <c r="E313" s="8" t="s">
        <v>1220</v>
      </c>
      <c r="F313" s="4" t="s">
        <v>920</v>
      </c>
      <c r="G313" s="4">
        <v>3</v>
      </c>
      <c r="H313" s="4"/>
      <c r="I313" s="4">
        <f>Table4[[#This Row],[Malın miqdarı]]*Table4[[#This Row],[Vahidin qiyməti]]</f>
        <v>0</v>
      </c>
      <c r="J313" s="4" t="s">
        <v>899</v>
      </c>
      <c r="K313" s="4" t="s">
        <v>893</v>
      </c>
      <c r="L313" s="4">
        <f>_xlfn.XLOOKUP(Table4[[#This Row],[Kontragentin adı]],Table2[Kontragentin adı],Table2[Müqavilə nömrəsi],"Xəta",0)</f>
        <v>0</v>
      </c>
      <c r="M313" s="4">
        <f>_xlfn.XLOOKUP(Table4[[#This Row],[Kontragentin adı]],Table2[Kontragentin adı],Table2[Müqavilə nömrəsi],"Xəta",0)</f>
        <v>0</v>
      </c>
    </row>
    <row r="314" spans="2:13" x14ac:dyDescent="0.3">
      <c r="B314" s="4">
        <f t="shared" si="4"/>
        <v>311</v>
      </c>
      <c r="C314" s="5">
        <v>46174</v>
      </c>
      <c r="D314" s="10" t="str" cm="1">
        <f t="array" ref="D314">_xlfn.XLOOKUP(Table4[[#This Row],[Malın kodu]],Table1[[#All],[Malın kodu]],Table1[[#All],[Malın adı]],"xəta",0)</f>
        <v>Qurutma sobası / laboratoriya üçün / "Jeotest" / TT 107 / Türkiyə istehsalı</v>
      </c>
      <c r="E314" s="8" t="s">
        <v>1221</v>
      </c>
      <c r="F314" s="4" t="s">
        <v>920</v>
      </c>
      <c r="G314" s="4">
        <v>1</v>
      </c>
      <c r="H314" s="4"/>
      <c r="I314" s="4">
        <f>Table4[[#This Row],[Malın miqdarı]]*Table4[[#This Row],[Vahidin qiyməti]]</f>
        <v>0</v>
      </c>
      <c r="J314" s="4" t="s">
        <v>899</v>
      </c>
      <c r="K314" s="4" t="s">
        <v>893</v>
      </c>
      <c r="L314" s="4">
        <f>_xlfn.XLOOKUP(Table4[[#This Row],[Kontragentin adı]],Table2[Kontragentin adı],Table2[Müqavilə nömrəsi],"Xəta",0)</f>
        <v>0</v>
      </c>
      <c r="M314" s="4">
        <f>_xlfn.XLOOKUP(Table4[[#This Row],[Kontragentin adı]],Table2[Kontragentin adı],Table2[Müqavilə nömrəsi],"Xəta",0)</f>
        <v>0</v>
      </c>
    </row>
    <row r="315" spans="2:13" x14ac:dyDescent="0.3">
      <c r="B315" s="4">
        <f t="shared" si="4"/>
        <v>312</v>
      </c>
      <c r="C315" s="5">
        <v>46174</v>
      </c>
      <c r="D315" s="10" t="str" cm="1">
        <f t="array" ref="D315">_xlfn.XLOOKUP(Table4[[#This Row],[Malın kodu]],Table1[[#All],[Malın kodu]],Table1[[#All],[Malın adı]],"xəta",0)</f>
        <v>Bel / metal</v>
      </c>
      <c r="E315" s="8" t="s">
        <v>1222</v>
      </c>
      <c r="F315" s="4" t="s">
        <v>920</v>
      </c>
      <c r="G315" s="4">
        <v>2</v>
      </c>
      <c r="H315" s="4"/>
      <c r="I315" s="4">
        <f>Table4[[#This Row],[Malın miqdarı]]*Table4[[#This Row],[Vahidin qiyməti]]</f>
        <v>0</v>
      </c>
      <c r="J315" s="4" t="s">
        <v>899</v>
      </c>
      <c r="K315" s="4" t="s">
        <v>893</v>
      </c>
      <c r="L315" s="4">
        <f>_xlfn.XLOOKUP(Table4[[#This Row],[Kontragentin adı]],Table2[Kontragentin adı],Table2[Müqavilə nömrəsi],"Xəta",0)</f>
        <v>0</v>
      </c>
      <c r="M315" s="4">
        <f>_xlfn.XLOOKUP(Table4[[#This Row],[Kontragentin adı]],Table2[Kontragentin adı],Table2[Müqavilə nömrəsi],"Xəta",0)</f>
        <v>0</v>
      </c>
    </row>
    <row r="316" spans="2:13" x14ac:dyDescent="0.3">
      <c r="B316" s="4">
        <f t="shared" si="4"/>
        <v>313</v>
      </c>
      <c r="C316" s="5">
        <v>46174</v>
      </c>
      <c r="D316" s="10" t="str" cm="1">
        <f t="array" ref="D316">_xlfn.XLOOKUP(Table4[[#This Row],[Malın kodu]],Table1[[#All],[Malın kodu]],Table1[[#All],[Malın adı]],"xəta",0)</f>
        <v>Dabilgə / plastik / ağ</v>
      </c>
      <c r="E316" s="8" t="s">
        <v>1223</v>
      </c>
      <c r="F316" s="4" t="s">
        <v>920</v>
      </c>
      <c r="G316" s="4">
        <v>41</v>
      </c>
      <c r="H316" s="4"/>
      <c r="I316" s="4">
        <f>Table4[[#This Row],[Malın miqdarı]]*Table4[[#This Row],[Vahidin qiyməti]]</f>
        <v>0</v>
      </c>
      <c r="J316" s="4" t="s">
        <v>899</v>
      </c>
      <c r="K316" s="4" t="s">
        <v>893</v>
      </c>
      <c r="L316" s="4">
        <f>_xlfn.XLOOKUP(Table4[[#This Row],[Kontragentin adı]],Table2[Kontragentin adı],Table2[Müqavilə nömrəsi],"Xəta",0)</f>
        <v>0</v>
      </c>
      <c r="M316" s="4">
        <f>_xlfn.XLOOKUP(Table4[[#This Row],[Kontragentin adı]],Table2[Kontragentin adı],Table2[Müqavilə nömrəsi],"Xəta",0)</f>
        <v>0</v>
      </c>
    </row>
    <row r="317" spans="2:13" x14ac:dyDescent="0.3">
      <c r="B317" s="4">
        <f t="shared" si="4"/>
        <v>314</v>
      </c>
      <c r="C317" s="5">
        <v>46174</v>
      </c>
      <c r="D317" s="10" t="str" cm="1">
        <f t="array" ref="D317">_xlfn.XLOOKUP(Table4[[#This Row],[Malın kodu]],Table1[[#All],[Malın kodu]],Table1[[#All],[Malın adı]],"xəta",0)</f>
        <v>Dabilgə / plastik / sarı</v>
      </c>
      <c r="E317" s="8" t="s">
        <v>1224</v>
      </c>
      <c r="F317" s="4" t="s">
        <v>920</v>
      </c>
      <c r="G317" s="4">
        <v>6</v>
      </c>
      <c r="H317" s="4"/>
      <c r="I317" s="4">
        <f>Table4[[#This Row],[Malın miqdarı]]*Table4[[#This Row],[Vahidin qiyməti]]</f>
        <v>0</v>
      </c>
      <c r="J317" s="4" t="s">
        <v>899</v>
      </c>
      <c r="K317" s="4" t="s">
        <v>893</v>
      </c>
      <c r="L317" s="4">
        <f>_xlfn.XLOOKUP(Table4[[#This Row],[Kontragentin adı]],Table2[Kontragentin adı],Table2[Müqavilə nömrəsi],"Xəta",0)</f>
        <v>0</v>
      </c>
      <c r="M317" s="4">
        <f>_xlfn.XLOOKUP(Table4[[#This Row],[Kontragentin adı]],Table2[Kontragentin adı],Table2[Müqavilə nömrəsi],"Xəta",0)</f>
        <v>0</v>
      </c>
    </row>
    <row r="318" spans="2:13" x14ac:dyDescent="0.3">
      <c r="B318" s="4">
        <f t="shared" si="4"/>
        <v>315</v>
      </c>
      <c r="C318" s="5">
        <v>46174</v>
      </c>
      <c r="D318" s="10" t="str" cm="1">
        <f t="array" ref="D318">_xlfn.XLOOKUP(Table4[[#This Row],[Malın kodu]],Table1[[#All],[Malın kodu]],Table1[[#All],[Malın adı]],"xəta",0)</f>
        <v>Dabilgə / plastik / qırmızı</v>
      </c>
      <c r="E318" s="8" t="s">
        <v>1225</v>
      </c>
      <c r="F318" s="4" t="s">
        <v>920</v>
      </c>
      <c r="G318" s="4">
        <v>1</v>
      </c>
      <c r="H318" s="4"/>
      <c r="I318" s="4">
        <f>Table4[[#This Row],[Malın miqdarı]]*Table4[[#This Row],[Vahidin qiyməti]]</f>
        <v>0</v>
      </c>
      <c r="J318" s="4" t="s">
        <v>899</v>
      </c>
      <c r="K318" s="4" t="s">
        <v>893</v>
      </c>
      <c r="L318" s="4">
        <f>_xlfn.XLOOKUP(Table4[[#This Row],[Kontragentin adı]],Table2[Kontragentin adı],Table2[Müqavilə nömrəsi],"Xəta",0)</f>
        <v>0</v>
      </c>
      <c r="M318" s="4">
        <f>_xlfn.XLOOKUP(Table4[[#This Row],[Kontragentin adı]],Table2[Kontragentin adı],Table2[Müqavilə nömrəsi],"Xəta",0)</f>
        <v>0</v>
      </c>
    </row>
    <row r="319" spans="2:13" x14ac:dyDescent="0.3">
      <c r="B319" s="4">
        <f t="shared" si="4"/>
        <v>316</v>
      </c>
      <c r="C319" s="5">
        <v>46174</v>
      </c>
      <c r="D319" s="10" t="str" cm="1">
        <f t="array" ref="D319">_xlfn.XLOOKUP(Table4[[#This Row],[Malın kodu]],Table1[[#All],[Malın kodu]],Table1[[#All],[Malın adı]],"xəta",0)</f>
        <v>Dabilgə / plastik / yaşıl</v>
      </c>
      <c r="E319" s="8" t="s">
        <v>1226</v>
      </c>
      <c r="F319" s="4" t="s">
        <v>920</v>
      </c>
      <c r="G319" s="4">
        <v>1</v>
      </c>
      <c r="H319" s="4"/>
      <c r="I319" s="4">
        <f>Table4[[#This Row],[Malın miqdarı]]*Table4[[#This Row],[Vahidin qiyməti]]</f>
        <v>0</v>
      </c>
      <c r="J319" s="4" t="s">
        <v>899</v>
      </c>
      <c r="K319" s="4" t="s">
        <v>893</v>
      </c>
      <c r="L319" s="4">
        <f>_xlfn.XLOOKUP(Table4[[#This Row],[Kontragentin adı]],Table2[Kontragentin adı],Table2[Müqavilə nömrəsi],"Xəta",0)</f>
        <v>0</v>
      </c>
      <c r="M319" s="4">
        <f>_xlfn.XLOOKUP(Table4[[#This Row],[Kontragentin adı]],Table2[Kontragentin adı],Table2[Müqavilə nömrəsi],"Xəta",0)</f>
        <v>0</v>
      </c>
    </row>
    <row r="320" spans="2:13" x14ac:dyDescent="0.3">
      <c r="B320" s="4">
        <f t="shared" si="4"/>
        <v>317</v>
      </c>
      <c r="C320" s="5">
        <v>46174</v>
      </c>
      <c r="D320" s="10" t="str" cm="1">
        <f t="array" ref="D320">_xlfn.XLOOKUP(Table4[[#This Row],[Malın kodu]],Table1[[#All],[Malın kodu]],Table1[[#All],[Malın adı]],"xəta",0)</f>
        <v>Dabilgə / plastik / göy</v>
      </c>
      <c r="E320" s="8" t="s">
        <v>1227</v>
      </c>
      <c r="F320" s="4" t="s">
        <v>920</v>
      </c>
      <c r="G320" s="4">
        <v>7</v>
      </c>
      <c r="H320" s="4"/>
      <c r="I320" s="4">
        <f>Table4[[#This Row],[Malın miqdarı]]*Table4[[#This Row],[Vahidin qiyməti]]</f>
        <v>0</v>
      </c>
      <c r="J320" s="4" t="s">
        <v>899</v>
      </c>
      <c r="K320" s="4" t="s">
        <v>893</v>
      </c>
      <c r="L320" s="4">
        <f>_xlfn.XLOOKUP(Table4[[#This Row],[Kontragentin adı]],Table2[Kontragentin adı],Table2[Müqavilə nömrəsi],"Xəta",0)</f>
        <v>0</v>
      </c>
      <c r="M320" s="4">
        <f>_xlfn.XLOOKUP(Table4[[#This Row],[Kontragentin adı]],Table2[Kontragentin adı],Table2[Müqavilə nömrəsi],"Xəta",0)</f>
        <v>0</v>
      </c>
    </row>
    <row r="321" spans="2:13" x14ac:dyDescent="0.3">
      <c r="B321" s="4">
        <f t="shared" si="4"/>
        <v>318</v>
      </c>
      <c r="C321" s="5">
        <v>46174</v>
      </c>
      <c r="D321" s="10" t="str" cm="1">
        <f t="array" ref="D321">_xlfn.XLOOKUP(Table4[[#This Row],[Malın kodu]],Table1[[#All],[Malın kodu]],Table1[[#All],[Malın adı]],"xəta",0)</f>
        <v>Kəmər / alpinist / 29</v>
      </c>
      <c r="E321" s="8" t="s">
        <v>1228</v>
      </c>
      <c r="F321" s="4" t="s">
        <v>920</v>
      </c>
      <c r="G321" s="4">
        <v>29</v>
      </c>
      <c r="H321" s="4"/>
      <c r="I321" s="4">
        <f>Table4[[#This Row],[Malın miqdarı]]*Table4[[#This Row],[Vahidin qiyməti]]</f>
        <v>0</v>
      </c>
      <c r="J321" s="4" t="s">
        <v>899</v>
      </c>
      <c r="K321" s="4" t="s">
        <v>893</v>
      </c>
      <c r="L321" s="4">
        <f>_xlfn.XLOOKUP(Table4[[#This Row],[Kontragentin adı]],Table2[Kontragentin adı],Table2[Müqavilə nömrəsi],"Xəta",0)</f>
        <v>0</v>
      </c>
      <c r="M321" s="4">
        <f>_xlfn.XLOOKUP(Table4[[#This Row],[Kontragentin adı]],Table2[Kontragentin adı],Table2[Müqavilə nömrəsi],"Xəta",0)</f>
        <v>0</v>
      </c>
    </row>
    <row r="322" spans="2:13" x14ac:dyDescent="0.3">
      <c r="B322" s="4">
        <f t="shared" si="4"/>
        <v>319</v>
      </c>
      <c r="C322" s="5">
        <v>46174</v>
      </c>
      <c r="D322" s="10" t="str" cm="1">
        <f t="array" ref="D322">_xlfn.XLOOKUP(Table4[[#This Row],[Malın kodu]],Table1[[#All],[Malın kodu]],Table1[[#All],[Malın adı]],"xəta",0)</f>
        <v>Keçid / polietilen / xomut tipli / d 63 x 3/4 inch / 16 Atm / yivli / "Poelsan" / Türkiyə istehsalı</v>
      </c>
      <c r="E322" s="8" t="s">
        <v>1229</v>
      </c>
      <c r="F322" s="4" t="s">
        <v>920</v>
      </c>
      <c r="G322" s="4">
        <v>397</v>
      </c>
      <c r="H322" s="4"/>
      <c r="I322" s="4">
        <f>Table4[[#This Row],[Malın miqdarı]]*Table4[[#This Row],[Vahidin qiyməti]]</f>
        <v>0</v>
      </c>
      <c r="J322" s="4" t="s">
        <v>899</v>
      </c>
      <c r="K322" s="4" t="s">
        <v>893</v>
      </c>
      <c r="L322" s="4">
        <f>_xlfn.XLOOKUP(Table4[[#This Row],[Kontragentin adı]],Table2[Kontragentin adı],Table2[Müqavilə nömrəsi],"Xəta",0)</f>
        <v>0</v>
      </c>
      <c r="M322" s="4">
        <f>_xlfn.XLOOKUP(Table4[[#This Row],[Kontragentin adı]],Table2[Kontragentin adı],Table2[Müqavilə nömrəsi],"Xəta",0)</f>
        <v>0</v>
      </c>
    </row>
    <row r="323" spans="2:13" x14ac:dyDescent="0.3">
      <c r="B323" s="4">
        <f t="shared" si="4"/>
        <v>320</v>
      </c>
      <c r="C323" s="5">
        <v>46174</v>
      </c>
      <c r="D323" s="10" t="str" cm="1">
        <f t="array" ref="D323">_xlfn.XLOOKUP(Table4[[#This Row],[Malın kodu]],Table1[[#All],[Malın kodu]],Table1[[#All],[Malın adı]],"xəta",0)</f>
        <v>Keçid / polietilen / xomut tipli / d 110 x 1 inch / 16 Atm / yivli / "Poelsan" / Türkiyə istehsalı</v>
      </c>
      <c r="E323" s="8" t="s">
        <v>1230</v>
      </c>
      <c r="F323" s="4" t="s">
        <v>920</v>
      </c>
      <c r="G323" s="4">
        <v>17</v>
      </c>
      <c r="H323" s="4"/>
      <c r="I323" s="4">
        <f>Table4[[#This Row],[Malın miqdarı]]*Table4[[#This Row],[Vahidin qiyməti]]</f>
        <v>0</v>
      </c>
      <c r="J323" s="4" t="s">
        <v>899</v>
      </c>
      <c r="K323" s="4" t="s">
        <v>893</v>
      </c>
      <c r="L323" s="4">
        <f>_xlfn.XLOOKUP(Table4[[#This Row],[Kontragentin adı]],Table2[Kontragentin adı],Table2[Müqavilə nömrəsi],"Xəta",0)</f>
        <v>0</v>
      </c>
      <c r="M323" s="4">
        <f>_xlfn.XLOOKUP(Table4[[#This Row],[Kontragentin adı]],Table2[Kontragentin adı],Table2[Müqavilə nömrəsi],"Xəta",0)</f>
        <v>0</v>
      </c>
    </row>
    <row r="324" spans="2:13" x14ac:dyDescent="0.3">
      <c r="B324" s="4">
        <f t="shared" ref="B324:B387" si="5">ROW()-3</f>
        <v>321</v>
      </c>
      <c r="C324" s="5">
        <v>46174</v>
      </c>
      <c r="D324" s="10" t="str" cm="1">
        <f t="array" ref="D324">_xlfn.XLOOKUP(Table4[[#This Row],[Malın kodu]],Table1[[#All],[Malın kodu]],Table1[[#All],[Malın adı]],"xəta",0)</f>
        <v>Nivelyatorun dayağı / ştativ</v>
      </c>
      <c r="E324" s="8" t="s">
        <v>1231</v>
      </c>
      <c r="F324" s="4" t="s">
        <v>920</v>
      </c>
      <c r="G324" s="4">
        <v>5</v>
      </c>
      <c r="H324" s="4"/>
      <c r="I324" s="4">
        <f>Table4[[#This Row],[Malın miqdarı]]*Table4[[#This Row],[Vahidin qiyməti]]</f>
        <v>0</v>
      </c>
      <c r="J324" s="4" t="s">
        <v>899</v>
      </c>
      <c r="K324" s="4" t="s">
        <v>893</v>
      </c>
      <c r="L324" s="4">
        <f>_xlfn.XLOOKUP(Table4[[#This Row],[Kontragentin adı]],Table2[Kontragentin adı],Table2[Müqavilə nömrəsi],"Xəta",0)</f>
        <v>0</v>
      </c>
      <c r="M324" s="4">
        <f>_xlfn.XLOOKUP(Table4[[#This Row],[Kontragentin adı]],Table2[Kontragentin adı],Table2[Müqavilə nömrəsi],"Xəta",0)</f>
        <v>0</v>
      </c>
    </row>
    <row r="325" spans="2:13" x14ac:dyDescent="0.3">
      <c r="B325" s="4">
        <f t="shared" si="5"/>
        <v>322</v>
      </c>
      <c r="C325" s="5">
        <v>46174</v>
      </c>
      <c r="D325" s="10" t="str" cm="1">
        <f t="array" ref="D325">_xlfn.XLOOKUP(Table4[[#This Row],[Malın kodu]],Table1[[#All],[Malın kodu]],Table1[[#All],[Malın adı]],"xəta",0)</f>
        <v>Geodezik ştativ / üçayaq</v>
      </c>
      <c r="E325" s="8" t="s">
        <v>1232</v>
      </c>
      <c r="F325" s="4" t="s">
        <v>921</v>
      </c>
      <c r="G325" s="4">
        <v>1</v>
      </c>
      <c r="H325" s="4"/>
      <c r="I325" s="4">
        <f>Table4[[#This Row],[Malın miqdarı]]*Table4[[#This Row],[Vahidin qiyməti]]</f>
        <v>0</v>
      </c>
      <c r="J325" s="4" t="s">
        <v>899</v>
      </c>
      <c r="K325" s="4" t="s">
        <v>893</v>
      </c>
      <c r="L325" s="4">
        <f>_xlfn.XLOOKUP(Table4[[#This Row],[Kontragentin adı]],Table2[Kontragentin adı],Table2[Müqavilə nömrəsi],"Xəta",0)</f>
        <v>0</v>
      </c>
      <c r="M325" s="4">
        <f>_xlfn.XLOOKUP(Table4[[#This Row],[Kontragentin adı]],Table2[Kontragentin adı],Table2[Müqavilə nömrəsi],"Xəta",0)</f>
        <v>0</v>
      </c>
    </row>
    <row r="326" spans="2:13" x14ac:dyDescent="0.3">
      <c r="B326" s="4">
        <f t="shared" si="5"/>
        <v>323</v>
      </c>
      <c r="C326" s="5">
        <v>46174</v>
      </c>
      <c r="D326" s="10" t="str" cm="1">
        <f t="array" ref="D326">_xlfn.XLOOKUP(Table4[[#This Row],[Malın kodu]],Table1[[#All],[Malın kodu]],Table1[[#All],[Malın adı]],"xəta",0)</f>
        <v>Ox / geodezik ştativ üçün</v>
      </c>
      <c r="E326" s="8" t="s">
        <v>1233</v>
      </c>
      <c r="F326" s="4" t="s">
        <v>920</v>
      </c>
      <c r="G326" s="4">
        <v>3</v>
      </c>
      <c r="H326" s="4"/>
      <c r="I326" s="4">
        <f>Table4[[#This Row],[Malın miqdarı]]*Table4[[#This Row],[Vahidin qiyməti]]</f>
        <v>0</v>
      </c>
      <c r="J326" s="4" t="s">
        <v>899</v>
      </c>
      <c r="K326" s="4" t="s">
        <v>893</v>
      </c>
      <c r="L326" s="4">
        <f>_xlfn.XLOOKUP(Table4[[#This Row],[Kontragentin adı]],Table2[Kontragentin adı],Table2[Müqavilə nömrəsi],"Xəta",0)</f>
        <v>0</v>
      </c>
      <c r="M326" s="4">
        <f>_xlfn.XLOOKUP(Table4[[#This Row],[Kontragentin adı]],Table2[Kontragentin adı],Table2[Müqavilə nömrəsi],"Xəta",0)</f>
        <v>0</v>
      </c>
    </row>
    <row r="327" spans="2:13" x14ac:dyDescent="0.3">
      <c r="B327" s="4">
        <f t="shared" si="5"/>
        <v>324</v>
      </c>
      <c r="C327" s="5">
        <v>46174</v>
      </c>
      <c r="D327" s="10" t="str" cm="1">
        <f t="array" ref="D327">_xlfn.XLOOKUP(Table4[[#This Row],[Malın kodu]],Table1[[#All],[Malın kodu]],Table1[[#All],[Malın adı]],"xəta",0)</f>
        <v>Xətkeş / nivelyator üçün / 1 metr</v>
      </c>
      <c r="E327" s="8" t="s">
        <v>1234</v>
      </c>
      <c r="F327" s="4" t="s">
        <v>920</v>
      </c>
      <c r="G327" s="4">
        <v>5</v>
      </c>
      <c r="H327" s="4"/>
      <c r="I327" s="4">
        <f>Table4[[#This Row],[Malın miqdarı]]*Table4[[#This Row],[Vahidin qiyməti]]</f>
        <v>0</v>
      </c>
      <c r="J327" s="4" t="s">
        <v>899</v>
      </c>
      <c r="K327" s="4" t="s">
        <v>893</v>
      </c>
      <c r="L327" s="4">
        <f>_xlfn.XLOOKUP(Table4[[#This Row],[Kontragentin adı]],Table2[Kontragentin adı],Table2[Müqavilə nömrəsi],"Xəta",0)</f>
        <v>0</v>
      </c>
      <c r="M327" s="4">
        <f>_xlfn.XLOOKUP(Table4[[#This Row],[Kontragentin adı]],Table2[Kontragentin adı],Table2[Müqavilə nömrəsi],"Xəta",0)</f>
        <v>0</v>
      </c>
    </row>
    <row r="328" spans="2:13" x14ac:dyDescent="0.3">
      <c r="B328" s="4">
        <f t="shared" si="5"/>
        <v>325</v>
      </c>
      <c r="C328" s="5">
        <v>46174</v>
      </c>
      <c r="D328" s="10" t="str" cm="1">
        <f t="array" ref="D328">_xlfn.XLOOKUP(Table4[[#This Row],[Malın kodu]],Table1[[#All],[Malın kodu]],Table1[[#All],[Malın adı]],"xəta",0)</f>
        <v>Karkas / plastik</v>
      </c>
      <c r="E328" s="8" t="s">
        <v>1235</v>
      </c>
      <c r="F328" s="4" t="s">
        <v>920</v>
      </c>
      <c r="G328" s="4">
        <v>5</v>
      </c>
      <c r="H328" s="4"/>
      <c r="I328" s="4">
        <f>Table4[[#This Row],[Malın miqdarı]]*Table4[[#This Row],[Vahidin qiyməti]]</f>
        <v>0</v>
      </c>
      <c r="J328" s="4" t="s">
        <v>899</v>
      </c>
      <c r="K328" s="4" t="s">
        <v>893</v>
      </c>
      <c r="L328" s="4">
        <f>_xlfn.XLOOKUP(Table4[[#This Row],[Kontragentin adı]],Table2[Kontragentin adı],Table2[Müqavilə nömrəsi],"Xəta",0)</f>
        <v>0</v>
      </c>
      <c r="M328" s="4">
        <f>_xlfn.XLOOKUP(Table4[[#This Row],[Kontragentin adı]],Table2[Kontragentin adı],Table2[Müqavilə nömrəsi],"Xəta",0)</f>
        <v>0</v>
      </c>
    </row>
    <row r="329" spans="2:13" x14ac:dyDescent="0.3">
      <c r="B329" s="4">
        <f t="shared" si="5"/>
        <v>326</v>
      </c>
      <c r="C329" s="5">
        <v>46174</v>
      </c>
      <c r="D329" s="10" t="str" cm="1">
        <f t="array" ref="D329">_xlfn.XLOOKUP(Table4[[#This Row],[Malın kodu]],Table1[[#All],[Malın kodu]],Table1[[#All],[Malın adı]],"xəta",0)</f>
        <v>Profil / mayak / metal / 3 metr</v>
      </c>
      <c r="E329" s="8" t="s">
        <v>1236</v>
      </c>
      <c r="F329" s="4" t="s">
        <v>920</v>
      </c>
      <c r="G329" s="4">
        <v>13</v>
      </c>
      <c r="H329" s="4"/>
      <c r="I329" s="4">
        <f>Table4[[#This Row],[Malın miqdarı]]*Table4[[#This Row],[Vahidin qiyməti]]</f>
        <v>0</v>
      </c>
      <c r="J329" s="4" t="s">
        <v>899</v>
      </c>
      <c r="K329" s="4" t="s">
        <v>893</v>
      </c>
      <c r="L329" s="4">
        <f>_xlfn.XLOOKUP(Table4[[#This Row],[Kontragentin adı]],Table2[Kontragentin adı],Table2[Müqavilə nömrəsi],"Xəta",0)</f>
        <v>0</v>
      </c>
      <c r="M329" s="4">
        <f>_xlfn.XLOOKUP(Table4[[#This Row],[Kontragentin adı]],Table2[Kontragentin adı],Table2[Müqavilə nömrəsi],"Xəta",0)</f>
        <v>0</v>
      </c>
    </row>
    <row r="330" spans="2:13" x14ac:dyDescent="0.3">
      <c r="B330" s="4">
        <f t="shared" si="5"/>
        <v>327</v>
      </c>
      <c r="C330" s="5">
        <v>46174</v>
      </c>
      <c r="D330" s="10" t="str" cm="1">
        <f t="array" ref="D330">_xlfn.XLOOKUP(Table4[[#This Row],[Malın kodu]],Table1[[#All],[Malın kodu]],Table1[[#All],[Malın adı]],"xəta",0)</f>
        <v>Profil / H / alüminium / 3 metr</v>
      </c>
      <c r="E330" s="8" t="s">
        <v>1237</v>
      </c>
      <c r="F330" s="4" t="s">
        <v>920</v>
      </c>
      <c r="G330" s="4">
        <v>1</v>
      </c>
      <c r="H330" s="4"/>
      <c r="I330" s="4">
        <f>Table4[[#This Row],[Malın miqdarı]]*Table4[[#This Row],[Vahidin qiyməti]]</f>
        <v>0</v>
      </c>
      <c r="J330" s="4" t="s">
        <v>899</v>
      </c>
      <c r="K330" s="4" t="s">
        <v>893</v>
      </c>
      <c r="L330" s="4">
        <f>_xlfn.XLOOKUP(Table4[[#This Row],[Kontragentin adı]],Table2[Kontragentin adı],Table2[Müqavilə nömrəsi],"Xəta",0)</f>
        <v>0</v>
      </c>
      <c r="M330" s="4">
        <f>_xlfn.XLOOKUP(Table4[[#This Row],[Kontragentin adı]],Table2[Kontragentin adı],Table2[Müqavilə nömrəsi],"Xəta",0)</f>
        <v>0</v>
      </c>
    </row>
    <row r="331" spans="2:13" x14ac:dyDescent="0.3">
      <c r="B331" s="4">
        <f t="shared" si="5"/>
        <v>328</v>
      </c>
      <c r="C331" s="5">
        <v>46174</v>
      </c>
      <c r="D331" s="10" t="str" cm="1">
        <f t="array" ref="D331">_xlfn.XLOOKUP(Table4[[#This Row],[Malın kodu]],Table1[[#All],[Malın kodu]],Table1[[#All],[Malın adı]],"xəta",0)</f>
        <v>Profil / qutu alüminium / 3 metr</v>
      </c>
      <c r="E331" s="8" t="s">
        <v>1238</v>
      </c>
      <c r="F331" s="4" t="s">
        <v>920</v>
      </c>
      <c r="G331" s="4">
        <v>1</v>
      </c>
      <c r="H331" s="4"/>
      <c r="I331" s="4">
        <f>Table4[[#This Row],[Malın miqdarı]]*Table4[[#This Row],[Vahidin qiyməti]]</f>
        <v>0</v>
      </c>
      <c r="J331" s="4" t="s">
        <v>899</v>
      </c>
      <c r="K331" s="4" t="s">
        <v>893</v>
      </c>
      <c r="L331" s="4">
        <f>_xlfn.XLOOKUP(Table4[[#This Row],[Kontragentin adı]],Table2[Kontragentin adı],Table2[Müqavilə nömrəsi],"Xəta",0)</f>
        <v>0</v>
      </c>
      <c r="M331" s="4">
        <f>_xlfn.XLOOKUP(Table4[[#This Row],[Kontragentin adı]],Table2[Kontragentin adı],Table2[Müqavilə nömrəsi],"Xəta",0)</f>
        <v>0</v>
      </c>
    </row>
    <row r="332" spans="2:13" x14ac:dyDescent="0.3">
      <c r="B332" s="4">
        <f t="shared" si="5"/>
        <v>329</v>
      </c>
      <c r="C332" s="5">
        <v>46174</v>
      </c>
      <c r="D332" s="10" t="str" cm="1">
        <f t="array" ref="D332">_xlfn.XLOOKUP(Table4[[#This Row],[Malın kodu]],Table1[[#All],[Malın kodu]],Table1[[#All],[Malın adı]],"xəta",0)</f>
        <v>Su qızdırıcısı / 1.5 kW / 50 litr / "Thermex" / Rusiya istehsalı</v>
      </c>
      <c r="E332" s="8" t="s">
        <v>1239</v>
      </c>
      <c r="F332" s="4" t="s">
        <v>920</v>
      </c>
      <c r="G332" s="4">
        <v>1</v>
      </c>
      <c r="H332" s="4"/>
      <c r="I332" s="4">
        <f>Table4[[#This Row],[Malın miqdarı]]*Table4[[#This Row],[Vahidin qiyməti]]</f>
        <v>0</v>
      </c>
      <c r="J332" s="4" t="s">
        <v>899</v>
      </c>
      <c r="K332" s="4" t="s">
        <v>893</v>
      </c>
      <c r="L332" s="4">
        <f>_xlfn.XLOOKUP(Table4[[#This Row],[Kontragentin adı]],Table2[Kontragentin adı],Table2[Müqavilə nömrəsi],"Xəta",0)</f>
        <v>0</v>
      </c>
      <c r="M332" s="4">
        <f>_xlfn.XLOOKUP(Table4[[#This Row],[Kontragentin adı]],Table2[Kontragentin adı],Table2[Müqavilə nömrəsi],"Xəta",0)</f>
        <v>0</v>
      </c>
    </row>
    <row r="333" spans="2:13" x14ac:dyDescent="0.3">
      <c r="B333" s="4">
        <f t="shared" si="5"/>
        <v>330</v>
      </c>
      <c r="C333" s="5">
        <v>46174</v>
      </c>
      <c r="D333" s="10" t="str" cm="1">
        <f t="array" ref="D333">_xlfn.XLOOKUP(Table4[[#This Row],[Malın kodu]],Table1[[#All],[Malın kodu]],Table1[[#All],[Malın adı]],"xəta",0)</f>
        <v>Ventilyator / yerüstü</v>
      </c>
      <c r="E333" s="8" t="s">
        <v>1240</v>
      </c>
      <c r="F333" s="4" t="s">
        <v>920</v>
      </c>
      <c r="G333" s="4">
        <v>4</v>
      </c>
      <c r="H333" s="4"/>
      <c r="I333" s="4">
        <f>Table4[[#This Row],[Malın miqdarı]]*Table4[[#This Row],[Vahidin qiyməti]]</f>
        <v>0</v>
      </c>
      <c r="J333" s="4" t="s">
        <v>899</v>
      </c>
      <c r="K333" s="4" t="s">
        <v>893</v>
      </c>
      <c r="L333" s="4">
        <f>_xlfn.XLOOKUP(Table4[[#This Row],[Kontragentin adı]],Table2[Kontragentin adı],Table2[Müqavilə nömrəsi],"Xəta",0)</f>
        <v>0</v>
      </c>
      <c r="M333" s="4">
        <f>_xlfn.XLOOKUP(Table4[[#This Row],[Kontragentin adı]],Table2[Kontragentin adı],Table2[Müqavilə nömrəsi],"Xəta",0)</f>
        <v>0</v>
      </c>
    </row>
    <row r="334" spans="2:13" x14ac:dyDescent="0.3">
      <c r="B334" s="4">
        <f t="shared" si="5"/>
        <v>331</v>
      </c>
      <c r="C334" s="5">
        <v>46174</v>
      </c>
      <c r="D334" s="10" t="str" cm="1">
        <f t="array" ref="D334">_xlfn.XLOOKUP(Table4[[#This Row],[Malın kodu]],Table1[[#All],[Malın kodu]],Table1[[#All],[Malın adı]],"xəta",0)</f>
        <v>Trap / plastik / 1 metr / 2 əd. metal baqmaqlıqla / "MUFLE"</v>
      </c>
      <c r="E334" s="8" t="s">
        <v>1241</v>
      </c>
      <c r="F334" s="4" t="s">
        <v>921</v>
      </c>
      <c r="G334" s="4">
        <v>1</v>
      </c>
      <c r="H334" s="4"/>
      <c r="I334" s="4">
        <f>Table4[[#This Row],[Malın miqdarı]]*Table4[[#This Row],[Vahidin qiyməti]]</f>
        <v>0</v>
      </c>
      <c r="J334" s="4" t="s">
        <v>899</v>
      </c>
      <c r="K334" s="4" t="s">
        <v>893</v>
      </c>
      <c r="L334" s="4">
        <f>_xlfn.XLOOKUP(Table4[[#This Row],[Kontragentin adı]],Table2[Kontragentin adı],Table2[Müqavilə nömrəsi],"Xəta",0)</f>
        <v>0</v>
      </c>
      <c r="M334" s="4">
        <f>_xlfn.XLOOKUP(Table4[[#This Row],[Kontragentin adı]],Table2[Kontragentin adı],Table2[Müqavilə nömrəsi],"Xəta",0)</f>
        <v>0</v>
      </c>
    </row>
    <row r="335" spans="2:13" x14ac:dyDescent="0.3">
      <c r="B335" s="4">
        <f t="shared" si="5"/>
        <v>332</v>
      </c>
      <c r="C335" s="5">
        <v>46174</v>
      </c>
      <c r="D335" s="10" t="str" cm="1">
        <f t="array" ref="D335">_xlfn.XLOOKUP(Table4[[#This Row],[Malın kodu]],Table1[[#All],[Malın kodu]],Table1[[#All],[Malın adı]],"xəta",0)</f>
        <v>Armatur fiksatoru / plastik / ulduzvari</v>
      </c>
      <c r="E335" s="8" t="s">
        <v>1242</v>
      </c>
      <c r="F335" s="4" t="s">
        <v>920</v>
      </c>
      <c r="G335" s="4">
        <v>400</v>
      </c>
      <c r="H335" s="4"/>
      <c r="I335" s="4">
        <f>Table4[[#This Row],[Malın miqdarı]]*Table4[[#This Row],[Vahidin qiyməti]]</f>
        <v>0</v>
      </c>
      <c r="J335" s="4" t="s">
        <v>899</v>
      </c>
      <c r="K335" s="4" t="s">
        <v>893</v>
      </c>
      <c r="L335" s="4">
        <f>_xlfn.XLOOKUP(Table4[[#This Row],[Kontragentin adı]],Table2[Kontragentin adı],Table2[Müqavilə nömrəsi],"Xəta",0)</f>
        <v>0</v>
      </c>
      <c r="M335" s="4">
        <f>_xlfn.XLOOKUP(Table4[[#This Row],[Kontragentin adı]],Table2[Kontragentin adı],Table2[Müqavilə nömrəsi],"Xəta",0)</f>
        <v>0</v>
      </c>
    </row>
    <row r="336" spans="2:13" x14ac:dyDescent="0.3">
      <c r="B336" s="4">
        <f t="shared" si="5"/>
        <v>333</v>
      </c>
      <c r="C336" s="5">
        <v>46174</v>
      </c>
      <c r="D336" s="10" t="str" cm="1">
        <f t="array" ref="D336">_xlfn.XLOOKUP(Table4[[#This Row],[Malın kodu]],Table1[[#All],[Malın kodu]],Table1[[#All],[Malın adı]],"xəta",0)</f>
        <v>Karot ucu / almaz / 250 x 450 mm</v>
      </c>
      <c r="E336" s="8" t="s">
        <v>1243</v>
      </c>
      <c r="F336" s="4" t="s">
        <v>920</v>
      </c>
      <c r="G336" s="4">
        <v>1</v>
      </c>
      <c r="H336" s="4"/>
      <c r="I336" s="4">
        <f>Table4[[#This Row],[Malın miqdarı]]*Table4[[#This Row],[Vahidin qiyməti]]</f>
        <v>0</v>
      </c>
      <c r="J336" s="4" t="s">
        <v>899</v>
      </c>
      <c r="K336" s="4" t="s">
        <v>893</v>
      </c>
      <c r="L336" s="4">
        <f>_xlfn.XLOOKUP(Table4[[#This Row],[Kontragentin adı]],Table2[Kontragentin adı],Table2[Müqavilə nömrəsi],"Xəta",0)</f>
        <v>0</v>
      </c>
      <c r="M336" s="4">
        <f>_xlfn.XLOOKUP(Table4[[#This Row],[Kontragentin adı]],Table2[Kontragentin adı],Table2[Müqavilə nömrəsi],"Xəta",0)</f>
        <v>0</v>
      </c>
    </row>
    <row r="337" spans="2:13" x14ac:dyDescent="0.3">
      <c r="B337" s="4">
        <f t="shared" si="5"/>
        <v>334</v>
      </c>
      <c r="C337" s="5">
        <v>46174</v>
      </c>
      <c r="D337" s="10" t="str" cm="1">
        <f t="array" ref="D337">_xlfn.XLOOKUP(Table4[[#This Row],[Malın kodu]],Table1[[#All],[Malın kodu]],Table1[[#All],[Malın adı]],"xəta",0)</f>
        <v>Sıxılmış hava balonu / 300 Bar / maska ilə</v>
      </c>
      <c r="E337" s="8" t="s">
        <v>1244</v>
      </c>
      <c r="F337" s="4" t="s">
        <v>921</v>
      </c>
      <c r="G337" s="4">
        <v>1</v>
      </c>
      <c r="H337" s="4"/>
      <c r="I337" s="4">
        <f>Table4[[#This Row],[Malın miqdarı]]*Table4[[#This Row],[Vahidin qiyməti]]</f>
        <v>0</v>
      </c>
      <c r="J337" s="4" t="s">
        <v>899</v>
      </c>
      <c r="K337" s="4" t="s">
        <v>893</v>
      </c>
      <c r="L337" s="4">
        <f>_xlfn.XLOOKUP(Table4[[#This Row],[Kontragentin adı]],Table2[Kontragentin adı],Table2[Müqavilə nömrəsi],"Xəta",0)</f>
        <v>0</v>
      </c>
      <c r="M337" s="4">
        <f>_xlfn.XLOOKUP(Table4[[#This Row],[Kontragentin adı]],Table2[Kontragentin adı],Table2[Müqavilə nömrəsi],"Xəta",0)</f>
        <v>0</v>
      </c>
    </row>
    <row r="338" spans="2:13" x14ac:dyDescent="0.3">
      <c r="B338" s="4">
        <f t="shared" si="5"/>
        <v>335</v>
      </c>
      <c r="C338" s="5">
        <v>46174</v>
      </c>
      <c r="D338" s="10" t="str" cm="1">
        <f t="array" ref="D338">_xlfn.XLOOKUP(Table4[[#This Row],[Malın kodu]],Table1[[#All],[Malın kodu]],Table1[[#All],[Malın adı]],"xəta",0)</f>
        <v>Keys / plastik / alətlər üçün / boş</v>
      </c>
      <c r="E338" s="8" t="s">
        <v>1245</v>
      </c>
      <c r="F338" s="4" t="s">
        <v>920</v>
      </c>
      <c r="G338" s="4">
        <v>8</v>
      </c>
      <c r="H338" s="4"/>
      <c r="I338" s="4">
        <f>Table4[[#This Row],[Malın miqdarı]]*Table4[[#This Row],[Vahidin qiyməti]]</f>
        <v>0</v>
      </c>
      <c r="J338" s="4" t="s">
        <v>899</v>
      </c>
      <c r="K338" s="4" t="s">
        <v>893</v>
      </c>
      <c r="L338" s="4">
        <f>_xlfn.XLOOKUP(Table4[[#This Row],[Kontragentin adı]],Table2[Kontragentin adı],Table2[Müqavilə nömrəsi],"Xəta",0)</f>
        <v>0</v>
      </c>
      <c r="M338" s="4">
        <f>_xlfn.XLOOKUP(Table4[[#This Row],[Kontragentin adı]],Table2[Kontragentin adı],Table2[Müqavilə nömrəsi],"Xəta",0)</f>
        <v>0</v>
      </c>
    </row>
    <row r="339" spans="2:13" x14ac:dyDescent="0.3">
      <c r="B339" s="4">
        <f t="shared" si="5"/>
        <v>336</v>
      </c>
      <c r="C339" s="5">
        <v>46174</v>
      </c>
      <c r="D339" s="10" t="str" cm="1">
        <f t="array" ref="D339">_xlfn.XLOOKUP(Table4[[#This Row],[Malın kodu]],Table1[[#All],[Malın kodu]],Table1[[#All],[Malın adı]],"xəta",0)</f>
        <v>Keys / metal / alətlər üçün / boş</v>
      </c>
      <c r="E339" s="8" t="s">
        <v>1246</v>
      </c>
      <c r="F339" s="4" t="s">
        <v>920</v>
      </c>
      <c r="G339" s="4">
        <v>1</v>
      </c>
      <c r="H339" s="4"/>
      <c r="I339" s="4">
        <f>Table4[[#This Row],[Malın miqdarı]]*Table4[[#This Row],[Vahidin qiyməti]]</f>
        <v>0</v>
      </c>
      <c r="J339" s="4" t="s">
        <v>899</v>
      </c>
      <c r="K339" s="4" t="s">
        <v>893</v>
      </c>
      <c r="L339" s="4">
        <f>_xlfn.XLOOKUP(Table4[[#This Row],[Kontragentin adı]],Table2[Kontragentin adı],Table2[Müqavilə nömrəsi],"Xəta",0)</f>
        <v>0</v>
      </c>
      <c r="M339" s="4">
        <f>_xlfn.XLOOKUP(Table4[[#This Row],[Kontragentin adı]],Table2[Kontragentin adı],Table2[Müqavilə nömrəsi],"Xəta",0)</f>
        <v>0</v>
      </c>
    </row>
    <row r="340" spans="2:13" x14ac:dyDescent="0.3">
      <c r="B340" s="4">
        <f t="shared" si="5"/>
        <v>337</v>
      </c>
      <c r="C340" s="5">
        <v>46174</v>
      </c>
      <c r="D340" s="10" t="str" cm="1">
        <f t="array" ref="D340">_xlfn.XLOOKUP(Table4[[#This Row],[Malın kodu]],Table1[[#All],[Malın kodu]],Table1[[#All],[Malın adı]],"xəta",0)</f>
        <v>Elektrik soket / 63A / IP67 / Type 234 / "Botric" / Türkiyə istehsalı</v>
      </c>
      <c r="E340" s="8" t="s">
        <v>1247</v>
      </c>
      <c r="F340" s="4" t="s">
        <v>920</v>
      </c>
      <c r="G340" s="4">
        <v>1</v>
      </c>
      <c r="H340" s="4"/>
      <c r="I340" s="4">
        <f>Table4[[#This Row],[Malın miqdarı]]*Table4[[#This Row],[Vahidin qiyməti]]</f>
        <v>0</v>
      </c>
      <c r="J340" s="4" t="s">
        <v>899</v>
      </c>
      <c r="K340" s="4" t="s">
        <v>893</v>
      </c>
      <c r="L340" s="4">
        <f>_xlfn.XLOOKUP(Table4[[#This Row],[Kontragentin adı]],Table2[Kontragentin adı],Table2[Müqavilə nömrəsi],"Xəta",0)</f>
        <v>0</v>
      </c>
      <c r="M340" s="4">
        <f>_xlfn.XLOOKUP(Table4[[#This Row],[Kontragentin adı]],Table2[Kontragentin adı],Table2[Müqavilə nömrəsi],"Xəta",0)</f>
        <v>0</v>
      </c>
    </row>
    <row r="341" spans="2:13" x14ac:dyDescent="0.3">
      <c r="B341" s="4">
        <f t="shared" si="5"/>
        <v>338</v>
      </c>
      <c r="C341" s="5">
        <v>46174</v>
      </c>
      <c r="D341" s="10" t="str" cm="1">
        <f t="array" ref="D341">_xlfn.XLOOKUP(Table4[[#This Row],[Malın kodu]],Table1[[#All],[Malın kodu]],Table1[[#All],[Malın adı]],"xəta",0)</f>
        <v>Elektrik soket / 63A / IP44 / "Bemiş" / Türkiyə istehsalı</v>
      </c>
      <c r="E341" s="8" t="s">
        <v>1248</v>
      </c>
      <c r="F341" s="4" t="s">
        <v>920</v>
      </c>
      <c r="G341" s="4">
        <v>1</v>
      </c>
      <c r="H341" s="4"/>
      <c r="I341" s="4">
        <f>Table4[[#This Row],[Malın miqdarı]]*Table4[[#This Row],[Vahidin qiyməti]]</f>
        <v>0</v>
      </c>
      <c r="J341" s="4" t="s">
        <v>899</v>
      </c>
      <c r="K341" s="4" t="s">
        <v>893</v>
      </c>
      <c r="L341" s="4">
        <f>_xlfn.XLOOKUP(Table4[[#This Row],[Kontragentin adı]],Table2[Kontragentin adı],Table2[Müqavilə nömrəsi],"Xəta",0)</f>
        <v>0</v>
      </c>
      <c r="M341" s="4">
        <f>_xlfn.XLOOKUP(Table4[[#This Row],[Kontragentin adı]],Table2[Kontragentin adı],Table2[Müqavilə nömrəsi],"Xəta",0)</f>
        <v>0</v>
      </c>
    </row>
    <row r="342" spans="2:13" x14ac:dyDescent="0.3">
      <c r="B342" s="4">
        <f t="shared" si="5"/>
        <v>339</v>
      </c>
      <c r="C342" s="5">
        <v>46174</v>
      </c>
      <c r="D342" s="10" t="str" cm="1">
        <f t="array" ref="D342">_xlfn.XLOOKUP(Table4[[#This Row],[Malın kodu]],Table1[[#All],[Malın kodu]],Table1[[#All],[Malın adı]],"xəta",0)</f>
        <v>Elektrik soket / 63A / IP67 / "Bemiş" / Türkiyə istehsalı</v>
      </c>
      <c r="E342" s="8" t="s">
        <v>1249</v>
      </c>
      <c r="F342" s="4" t="s">
        <v>920</v>
      </c>
      <c r="G342" s="4">
        <v>1</v>
      </c>
      <c r="H342" s="4"/>
      <c r="I342" s="4">
        <f>Table4[[#This Row],[Malın miqdarı]]*Table4[[#This Row],[Vahidin qiyməti]]</f>
        <v>0</v>
      </c>
      <c r="J342" s="4" t="s">
        <v>899</v>
      </c>
      <c r="K342" s="4" t="s">
        <v>893</v>
      </c>
      <c r="L342" s="4">
        <f>_xlfn.XLOOKUP(Table4[[#This Row],[Kontragentin adı]],Table2[Kontragentin adı],Table2[Müqavilə nömrəsi],"Xəta",0)</f>
        <v>0</v>
      </c>
      <c r="M342" s="4">
        <f>_xlfn.XLOOKUP(Table4[[#This Row],[Kontragentin adı]],Table2[Kontragentin adı],Table2[Müqavilə nömrəsi],"Xəta",0)</f>
        <v>0</v>
      </c>
    </row>
    <row r="343" spans="2:13" x14ac:dyDescent="0.3">
      <c r="B343" s="4">
        <f t="shared" si="5"/>
        <v>340</v>
      </c>
      <c r="C343" s="5">
        <v>46174</v>
      </c>
      <c r="D343" s="10" t="str" cm="1">
        <f t="array" ref="D343">_xlfn.XLOOKUP(Table4[[#This Row],[Malın kodu]],Table1[[#All],[Malın kodu]],Table1[[#All],[Malın adı]],"xəta",0)</f>
        <v>Elektrik soket / 32A / "STE" / suya davamlı</v>
      </c>
      <c r="E343" s="8" t="s">
        <v>1250</v>
      </c>
      <c r="F343" s="4" t="s">
        <v>920</v>
      </c>
      <c r="G343" s="4">
        <v>3</v>
      </c>
      <c r="H343" s="4"/>
      <c r="I343" s="4">
        <f>Table4[[#This Row],[Malın miqdarı]]*Table4[[#This Row],[Vahidin qiyməti]]</f>
        <v>0</v>
      </c>
      <c r="J343" s="4" t="s">
        <v>899</v>
      </c>
      <c r="K343" s="4" t="s">
        <v>893</v>
      </c>
      <c r="L343" s="4">
        <f>_xlfn.XLOOKUP(Table4[[#This Row],[Kontragentin adı]],Table2[Kontragentin adı],Table2[Müqavilə nömrəsi],"Xəta",0)</f>
        <v>0</v>
      </c>
      <c r="M343" s="4">
        <f>_xlfn.XLOOKUP(Table4[[#This Row],[Kontragentin adı]],Table2[Kontragentin adı],Table2[Müqavilə nömrəsi],"Xəta",0)</f>
        <v>0</v>
      </c>
    </row>
    <row r="344" spans="2:13" x14ac:dyDescent="0.3">
      <c r="B344" s="4">
        <f t="shared" si="5"/>
        <v>341</v>
      </c>
      <c r="C344" s="5">
        <v>46174</v>
      </c>
      <c r="D344" s="10" t="str" cm="1">
        <f t="array" ref="D344">_xlfn.XLOOKUP(Table4[[#This Row],[Malın kodu]],Table1[[#All],[Malın kodu]],Table1[[#All],[Malın adı]],"xəta",0)</f>
        <v>Elektrik yuvası / 80 A</v>
      </c>
      <c r="E344" s="8" t="s">
        <v>1251</v>
      </c>
      <c r="F344" s="4" t="s">
        <v>920</v>
      </c>
      <c r="G344" s="4">
        <v>1</v>
      </c>
      <c r="H344" s="4"/>
      <c r="I344" s="4">
        <f>Table4[[#This Row],[Malın miqdarı]]*Table4[[#This Row],[Vahidin qiyməti]]</f>
        <v>0</v>
      </c>
      <c r="J344" s="4" t="s">
        <v>899</v>
      </c>
      <c r="K344" s="4" t="s">
        <v>893</v>
      </c>
      <c r="L344" s="4">
        <f>_xlfn.XLOOKUP(Table4[[#This Row],[Kontragentin adı]],Table2[Kontragentin adı],Table2[Müqavilə nömrəsi],"Xəta",0)</f>
        <v>0</v>
      </c>
      <c r="M344" s="4">
        <f>_xlfn.XLOOKUP(Table4[[#This Row],[Kontragentin adı]],Table2[Kontragentin adı],Table2[Müqavilə nömrəsi],"Xəta",0)</f>
        <v>0</v>
      </c>
    </row>
    <row r="345" spans="2:13" x14ac:dyDescent="0.3">
      <c r="B345" s="4">
        <f t="shared" si="5"/>
        <v>342</v>
      </c>
      <c r="C345" s="5">
        <v>46174</v>
      </c>
      <c r="D345" s="10" t="str" cm="1">
        <f t="array" ref="D345">_xlfn.XLOOKUP(Table4[[#This Row],[Malın kodu]],Table1[[#All],[Malın kodu]],Table1[[#All],[Malın adı]],"xəta",0)</f>
        <v>Elektrik soket / 32A / IP44 / Type 024K / "Beyti" Türkiyə istehsalı</v>
      </c>
      <c r="E345" s="8" t="s">
        <v>1252</v>
      </c>
      <c r="F345" s="4" t="s">
        <v>920</v>
      </c>
      <c r="G345" s="4">
        <v>1</v>
      </c>
      <c r="H345" s="4"/>
      <c r="I345" s="4">
        <f>Table4[[#This Row],[Malın miqdarı]]*Table4[[#This Row],[Vahidin qiyməti]]</f>
        <v>0</v>
      </c>
      <c r="J345" s="4" t="s">
        <v>899</v>
      </c>
      <c r="K345" s="4" t="s">
        <v>893</v>
      </c>
      <c r="L345" s="4">
        <f>_xlfn.XLOOKUP(Table4[[#This Row],[Kontragentin adı]],Table2[Kontragentin adı],Table2[Müqavilə nömrəsi],"Xəta",0)</f>
        <v>0</v>
      </c>
      <c r="M345" s="4">
        <f>_xlfn.XLOOKUP(Table4[[#This Row],[Kontragentin adı]],Table2[Kontragentin adı],Table2[Müqavilə nömrəsi],"Xəta",0)</f>
        <v>0</v>
      </c>
    </row>
    <row r="346" spans="2:13" x14ac:dyDescent="0.3">
      <c r="B346" s="4">
        <f t="shared" si="5"/>
        <v>343</v>
      </c>
      <c r="C346" s="5">
        <v>46174</v>
      </c>
      <c r="D346" s="10" t="str" cm="1">
        <f t="array" ref="D346">_xlfn.XLOOKUP(Table4[[#This Row],[Malın kodu]],Table1[[#All],[Malın kodu]],Table1[[#All],[Malın adı]],"xəta",0)</f>
        <v>Elektrik soket / 32A / Type D-024 / "CEE"</v>
      </c>
      <c r="E346" s="8" t="s">
        <v>1253</v>
      </c>
      <c r="F346" s="4" t="s">
        <v>920</v>
      </c>
      <c r="G346" s="4">
        <v>2</v>
      </c>
      <c r="H346" s="4"/>
      <c r="I346" s="4">
        <f>Table4[[#This Row],[Malın miqdarı]]*Table4[[#This Row],[Vahidin qiyməti]]</f>
        <v>0</v>
      </c>
      <c r="J346" s="4" t="s">
        <v>899</v>
      </c>
      <c r="K346" s="4" t="s">
        <v>893</v>
      </c>
      <c r="L346" s="4">
        <f>_xlfn.XLOOKUP(Table4[[#This Row],[Kontragentin adı]],Table2[Kontragentin adı],Table2[Müqavilə nömrəsi],"Xəta",0)</f>
        <v>0</v>
      </c>
      <c r="M346" s="4">
        <f>_xlfn.XLOOKUP(Table4[[#This Row],[Kontragentin adı]],Table2[Kontragentin adı],Table2[Müqavilə nömrəsi],"Xəta",0)</f>
        <v>0</v>
      </c>
    </row>
    <row r="347" spans="2:13" x14ac:dyDescent="0.3">
      <c r="B347" s="4">
        <f t="shared" si="5"/>
        <v>344</v>
      </c>
      <c r="C347" s="5">
        <v>46174</v>
      </c>
      <c r="D347" s="10" t="str" cm="1">
        <f t="array" ref="D347">_xlfn.XLOOKUP(Table4[[#This Row],[Malın kodu]],Table1[[#All],[Malın kodu]],Table1[[#All],[Malın adı]],"xəta",0)</f>
        <v>Elektrik soket / 32A / Type ST 024 / "STE"</v>
      </c>
      <c r="E347" s="8" t="s">
        <v>1254</v>
      </c>
      <c r="F347" s="4" t="s">
        <v>920</v>
      </c>
      <c r="G347" s="4">
        <v>1</v>
      </c>
      <c r="H347" s="4"/>
      <c r="I347" s="4">
        <f>Table4[[#This Row],[Malın miqdarı]]*Table4[[#This Row],[Vahidin qiyməti]]</f>
        <v>0</v>
      </c>
      <c r="J347" s="4" t="s">
        <v>899</v>
      </c>
      <c r="K347" s="4" t="s">
        <v>893</v>
      </c>
      <c r="L347" s="4">
        <f>_xlfn.XLOOKUP(Table4[[#This Row],[Kontragentin adı]],Table2[Kontragentin adı],Table2[Müqavilə nömrəsi],"Xəta",0)</f>
        <v>0</v>
      </c>
      <c r="M347" s="4">
        <f>_xlfn.XLOOKUP(Table4[[#This Row],[Kontragentin adı]],Table2[Kontragentin adı],Table2[Müqavilə nömrəsi],"Xəta",0)</f>
        <v>0</v>
      </c>
    </row>
    <row r="348" spans="2:13" x14ac:dyDescent="0.3">
      <c r="B348" s="4">
        <f t="shared" si="5"/>
        <v>345</v>
      </c>
      <c r="C348" s="5">
        <v>46174</v>
      </c>
      <c r="D348" s="10" t="str" cm="1">
        <f t="array" ref="D348">_xlfn.XLOOKUP(Table4[[#This Row],[Malın kodu]],Table1[[#All],[Malın kodu]],Table1[[#All],[Malın adı]],"xəta",0)</f>
        <v>Elektrik soket / 32A / Type CR025 / "CEE"</v>
      </c>
      <c r="E348" s="8" t="s">
        <v>1255</v>
      </c>
      <c r="F348" s="4" t="s">
        <v>920</v>
      </c>
      <c r="G348" s="4">
        <v>1</v>
      </c>
      <c r="H348" s="4"/>
      <c r="I348" s="4">
        <f>Table4[[#This Row],[Malın miqdarı]]*Table4[[#This Row],[Vahidin qiyməti]]</f>
        <v>0</v>
      </c>
      <c r="J348" s="4" t="s">
        <v>899</v>
      </c>
      <c r="K348" s="4" t="s">
        <v>893</v>
      </c>
      <c r="L348" s="4">
        <f>_xlfn.XLOOKUP(Table4[[#This Row],[Kontragentin adı]],Table2[Kontragentin adı],Table2[Müqavilə nömrəsi],"Xəta",0)</f>
        <v>0</v>
      </c>
      <c r="M348" s="4">
        <f>_xlfn.XLOOKUP(Table4[[#This Row],[Kontragentin adı]],Table2[Kontragentin adı],Table2[Müqavilə nömrəsi],"Xəta",0)</f>
        <v>0</v>
      </c>
    </row>
    <row r="349" spans="2:13" x14ac:dyDescent="0.3">
      <c r="B349" s="4">
        <f t="shared" si="5"/>
        <v>346</v>
      </c>
      <c r="C349" s="5">
        <v>46174</v>
      </c>
      <c r="D349" s="10" t="str" cm="1">
        <f t="array" ref="D349">_xlfn.XLOOKUP(Table4[[#This Row],[Malın kodu]],Table1[[#All],[Malın kodu]],Table1[[#All],[Malın adı]],"xəta",0)</f>
        <v>Elektrik soket / 32A / Type CNQD-225 / "CNOD"</v>
      </c>
      <c r="E349" s="8" t="s">
        <v>1256</v>
      </c>
      <c r="F349" s="4" t="s">
        <v>920</v>
      </c>
      <c r="G349" s="4">
        <v>1</v>
      </c>
      <c r="H349" s="4"/>
      <c r="I349" s="4">
        <f>Table4[[#This Row],[Malın miqdarı]]*Table4[[#This Row],[Vahidin qiyməti]]</f>
        <v>0</v>
      </c>
      <c r="J349" s="4" t="s">
        <v>899</v>
      </c>
      <c r="K349" s="4" t="s">
        <v>893</v>
      </c>
      <c r="L349" s="4">
        <f>_xlfn.XLOOKUP(Table4[[#This Row],[Kontragentin adı]],Table2[Kontragentin adı],Table2[Müqavilə nömrəsi],"Xəta",0)</f>
        <v>0</v>
      </c>
      <c r="M349" s="4">
        <f>_xlfn.XLOOKUP(Table4[[#This Row],[Kontragentin adı]],Table2[Kontragentin adı],Table2[Müqavilə nömrəsi],"Xəta",0)</f>
        <v>0</v>
      </c>
    </row>
    <row r="350" spans="2:13" x14ac:dyDescent="0.3">
      <c r="B350" s="4">
        <f t="shared" si="5"/>
        <v>347</v>
      </c>
      <c r="C350" s="5">
        <v>46174</v>
      </c>
      <c r="D350" s="10" t="str" cm="1">
        <f t="array" ref="D350">_xlfn.XLOOKUP(Table4[[#This Row],[Malın kodu]],Table1[[#All],[Malın kodu]],Table1[[#All],[Malın adı]],"xəta",0)</f>
        <v>Elektrik soket / 63A / IP67 / Type 034 / "Botric" / Türkiyə istehsalı</v>
      </c>
      <c r="E350" s="8" t="s">
        <v>1257</v>
      </c>
      <c r="F350" s="4" t="s">
        <v>920</v>
      </c>
      <c r="G350" s="4">
        <v>1</v>
      </c>
      <c r="H350" s="4"/>
      <c r="I350" s="4">
        <f>Table4[[#This Row],[Malın miqdarı]]*Table4[[#This Row],[Vahidin qiyməti]]</f>
        <v>0</v>
      </c>
      <c r="J350" s="4" t="s">
        <v>899</v>
      </c>
      <c r="K350" s="4" t="s">
        <v>893</v>
      </c>
      <c r="L350" s="4">
        <f>_xlfn.XLOOKUP(Table4[[#This Row],[Kontragentin adı]],Table2[Kontragentin adı],Table2[Müqavilə nömrəsi],"Xəta",0)</f>
        <v>0</v>
      </c>
      <c r="M350" s="4">
        <f>_xlfn.XLOOKUP(Table4[[#This Row],[Kontragentin adı]],Table2[Kontragentin adı],Table2[Müqavilə nömrəsi],"Xəta",0)</f>
        <v>0</v>
      </c>
    </row>
    <row r="351" spans="2:13" x14ac:dyDescent="0.3">
      <c r="B351" s="4">
        <f t="shared" si="5"/>
        <v>348</v>
      </c>
      <c r="C351" s="5">
        <v>46174</v>
      </c>
      <c r="D351" s="10" t="str" cm="1">
        <f t="array" ref="D351">_xlfn.XLOOKUP(Table4[[#This Row],[Malın kodu]],Table1[[#All],[Malın kodu]],Table1[[#All],[Malın adı]],"xəta",0)</f>
        <v>Su filtri / d 25 mm / polipropilen</v>
      </c>
      <c r="E351" s="8" t="s">
        <v>1258</v>
      </c>
      <c r="F351" s="4" t="s">
        <v>920</v>
      </c>
      <c r="G351" s="4">
        <v>51</v>
      </c>
      <c r="H351" s="4"/>
      <c r="I351" s="4">
        <f>Table4[[#This Row],[Malın miqdarı]]*Table4[[#This Row],[Vahidin qiyməti]]</f>
        <v>0</v>
      </c>
      <c r="J351" s="4" t="s">
        <v>899</v>
      </c>
      <c r="K351" s="4" t="s">
        <v>893</v>
      </c>
      <c r="L351" s="4">
        <f>_xlfn.XLOOKUP(Table4[[#This Row],[Kontragentin adı]],Table2[Kontragentin adı],Table2[Müqavilə nömrəsi],"Xəta",0)</f>
        <v>0</v>
      </c>
      <c r="M351" s="4">
        <f>_xlfn.XLOOKUP(Table4[[#This Row],[Kontragentin adı]],Table2[Kontragentin adı],Table2[Müqavilə nömrəsi],"Xəta",0)</f>
        <v>0</v>
      </c>
    </row>
    <row r="352" spans="2:13" x14ac:dyDescent="0.3">
      <c r="B352" s="4">
        <f t="shared" si="5"/>
        <v>349</v>
      </c>
      <c r="C352" s="5">
        <v>46174</v>
      </c>
      <c r="D352" s="10" t="str" cm="1">
        <f t="array" ref="D352">_xlfn.XLOOKUP(Table4[[#This Row],[Malın kodu]],Table1[[#All],[Malın kodu]],Table1[[#All],[Malın adı]],"xəta",0)</f>
        <v>Su filtri / d 20mm / polipropilen</v>
      </c>
      <c r="E352" s="8" t="s">
        <v>1259</v>
      </c>
      <c r="F352" s="4" t="s">
        <v>920</v>
      </c>
      <c r="G352" s="4">
        <v>3</v>
      </c>
      <c r="H352" s="4"/>
      <c r="I352" s="4">
        <f>Table4[[#This Row],[Malın miqdarı]]*Table4[[#This Row],[Vahidin qiyməti]]</f>
        <v>0</v>
      </c>
      <c r="J352" s="4" t="s">
        <v>899</v>
      </c>
      <c r="K352" s="4" t="s">
        <v>893</v>
      </c>
      <c r="L352" s="4">
        <f>_xlfn.XLOOKUP(Table4[[#This Row],[Kontragentin adı]],Table2[Kontragentin adı],Table2[Müqavilə nömrəsi],"Xəta",0)</f>
        <v>0</v>
      </c>
      <c r="M352" s="4">
        <f>_xlfn.XLOOKUP(Table4[[#This Row],[Kontragentin adı]],Table2[Kontragentin adı],Table2[Müqavilə nömrəsi],"Xəta",0)</f>
        <v>0</v>
      </c>
    </row>
    <row r="353" spans="2:13" x14ac:dyDescent="0.3">
      <c r="B353" s="4">
        <f t="shared" si="5"/>
        <v>350</v>
      </c>
      <c r="C353" s="5">
        <v>46174</v>
      </c>
      <c r="D353" s="10" t="str" cm="1">
        <f t="array" ref="D353">_xlfn.XLOOKUP(Table4[[#This Row],[Malın kodu]],Table1[[#All],[Malın kodu]],Table1[[#All],[Malın adı]],"xəta",0)</f>
        <v>Perforator / "Bosch" / GBH 8-45 D</v>
      </c>
      <c r="E353" s="8" t="s">
        <v>1260</v>
      </c>
      <c r="F353" s="4" t="s">
        <v>920</v>
      </c>
      <c r="G353" s="4">
        <v>3</v>
      </c>
      <c r="H353" s="4"/>
      <c r="I353" s="4">
        <f>Table4[[#This Row],[Malın miqdarı]]*Table4[[#This Row],[Vahidin qiyməti]]</f>
        <v>0</v>
      </c>
      <c r="J353" s="4" t="s">
        <v>899</v>
      </c>
      <c r="K353" s="4" t="s">
        <v>893</v>
      </c>
      <c r="L353" s="4">
        <f>_xlfn.XLOOKUP(Table4[[#This Row],[Kontragentin adı]],Table2[Kontragentin adı],Table2[Müqavilə nömrəsi],"Xəta",0)</f>
        <v>0</v>
      </c>
      <c r="M353" s="4">
        <f>_xlfn.XLOOKUP(Table4[[#This Row],[Kontragentin adı]],Table2[Kontragentin adı],Table2[Müqavilə nömrəsi],"Xəta",0)</f>
        <v>0</v>
      </c>
    </row>
    <row r="354" spans="2:13" x14ac:dyDescent="0.3">
      <c r="B354" s="4">
        <f t="shared" si="5"/>
        <v>351</v>
      </c>
      <c r="C354" s="5">
        <v>46174</v>
      </c>
      <c r="D354" s="10" t="str" cm="1">
        <f t="array" ref="D354">_xlfn.XLOOKUP(Table4[[#This Row],[Malın kodu]],Table1[[#All],[Malın kodu]],Table1[[#All],[Malın adı]],"xəta",0)</f>
        <v>Perforator / "Bosch" / GBH 5-40 D</v>
      </c>
      <c r="E354" s="8" t="s">
        <v>1261</v>
      </c>
      <c r="F354" s="4" t="s">
        <v>920</v>
      </c>
      <c r="G354" s="4">
        <v>1</v>
      </c>
      <c r="H354" s="4"/>
      <c r="I354" s="4">
        <f>Table4[[#This Row],[Malın miqdarı]]*Table4[[#This Row],[Vahidin qiyməti]]</f>
        <v>0</v>
      </c>
      <c r="J354" s="4" t="s">
        <v>899</v>
      </c>
      <c r="K354" s="4" t="s">
        <v>893</v>
      </c>
      <c r="L354" s="4">
        <f>_xlfn.XLOOKUP(Table4[[#This Row],[Kontragentin adı]],Table2[Kontragentin adı],Table2[Müqavilə nömrəsi],"Xəta",0)</f>
        <v>0</v>
      </c>
      <c r="M354" s="4">
        <f>_xlfn.XLOOKUP(Table4[[#This Row],[Kontragentin adı]],Table2[Kontragentin adı],Table2[Müqavilə nömrəsi],"Xəta",0)</f>
        <v>0</v>
      </c>
    </row>
    <row r="355" spans="2:13" x14ac:dyDescent="0.3">
      <c r="B355" s="4">
        <f t="shared" si="5"/>
        <v>352</v>
      </c>
      <c r="C355" s="5">
        <v>46174</v>
      </c>
      <c r="D355" s="10" t="str" cm="1">
        <f t="array" ref="D355">_xlfn.XLOOKUP(Table4[[#This Row],[Malın kodu]],Table1[[#All],[Malın kodu]],Table1[[#All],[Malın adı]],"xəta",0)</f>
        <v>Su pompası / dalğıc</v>
      </c>
      <c r="E355" s="8" t="s">
        <v>1262</v>
      </c>
      <c r="F355" s="4" t="s">
        <v>920</v>
      </c>
      <c r="G355" s="4">
        <v>5</v>
      </c>
      <c r="H355" s="4"/>
      <c r="I355" s="4">
        <f>Table4[[#This Row],[Malın miqdarı]]*Table4[[#This Row],[Vahidin qiyməti]]</f>
        <v>0</v>
      </c>
      <c r="J355" s="4" t="s">
        <v>899</v>
      </c>
      <c r="K355" s="4" t="s">
        <v>893</v>
      </c>
      <c r="L355" s="4">
        <f>_xlfn.XLOOKUP(Table4[[#This Row],[Kontragentin adı]],Table2[Kontragentin adı],Table2[Müqavilə nömrəsi],"Xəta",0)</f>
        <v>0</v>
      </c>
      <c r="M355" s="4">
        <f>_xlfn.XLOOKUP(Table4[[#This Row],[Kontragentin adı]],Table2[Kontragentin adı],Table2[Müqavilə nömrəsi],"Xəta",0)</f>
        <v>0</v>
      </c>
    </row>
    <row r="356" spans="2:13" x14ac:dyDescent="0.3">
      <c r="B356" s="4">
        <f t="shared" si="5"/>
        <v>353</v>
      </c>
      <c r="C356" s="5">
        <v>46174</v>
      </c>
      <c r="D356" s="10" t="str" cm="1">
        <f t="array" ref="D356">_xlfn.XLOOKUP(Table4[[#This Row],[Malın kodu]],Table1[[#All],[Malın kodu]],Table1[[#All],[Malın adı]],"xəta",0)</f>
        <v>Su pompası / dalğıc / 1.1 kvt / 1000 L/d / 9 metr / "Shimge" / QDX 40-7-1.1 K3F</v>
      </c>
      <c r="E356" s="8" t="s">
        <v>1263</v>
      </c>
      <c r="F356" s="4" t="s">
        <v>920</v>
      </c>
      <c r="G356" s="4">
        <v>1</v>
      </c>
      <c r="H356" s="4"/>
      <c r="I356" s="4">
        <f>Table4[[#This Row],[Malın miqdarı]]*Table4[[#This Row],[Vahidin qiyməti]]</f>
        <v>0</v>
      </c>
      <c r="J356" s="4" t="s">
        <v>899</v>
      </c>
      <c r="K356" s="4" t="s">
        <v>893</v>
      </c>
      <c r="L356" s="4">
        <f>_xlfn.XLOOKUP(Table4[[#This Row],[Kontragentin adı]],Table2[Kontragentin adı],Table2[Müqavilə nömrəsi],"Xəta",0)</f>
        <v>0</v>
      </c>
      <c r="M356" s="4">
        <f>_xlfn.XLOOKUP(Table4[[#This Row],[Kontragentin adı]],Table2[Kontragentin adı],Table2[Müqavilə nömrəsi],"Xəta",0)</f>
        <v>0</v>
      </c>
    </row>
    <row r="357" spans="2:13" x14ac:dyDescent="0.3">
      <c r="B357" s="4">
        <f t="shared" si="5"/>
        <v>354</v>
      </c>
      <c r="C357" s="5">
        <v>46174</v>
      </c>
      <c r="D357" s="10" t="str" cm="1">
        <f t="array" ref="D357">_xlfn.XLOOKUP(Table4[[#This Row],[Malın kodu]],Table1[[#All],[Malın kodu]],Table1[[#All],[Malın adı]],"xəta",0)</f>
        <v>Lebyodka / 1000 kq / 1.7 kvt / "RZMA"</v>
      </c>
      <c r="E357" s="8" t="s">
        <v>1264</v>
      </c>
      <c r="F357" s="4" t="s">
        <v>920</v>
      </c>
      <c r="G357" s="4">
        <v>2</v>
      </c>
      <c r="H357" s="4"/>
      <c r="I357" s="4">
        <f>Table4[[#This Row],[Malın miqdarı]]*Table4[[#This Row],[Vahidin qiyməti]]</f>
        <v>0</v>
      </c>
      <c r="J357" s="4" t="s">
        <v>899</v>
      </c>
      <c r="K357" s="4" t="s">
        <v>893</v>
      </c>
      <c r="L357" s="4">
        <f>_xlfn.XLOOKUP(Table4[[#This Row],[Kontragentin adı]],Table2[Kontragentin adı],Table2[Müqavilə nömrəsi],"Xəta",0)</f>
        <v>0</v>
      </c>
      <c r="M357" s="4">
        <f>_xlfn.XLOOKUP(Table4[[#This Row],[Kontragentin adı]],Table2[Kontragentin adı],Table2[Müqavilə nömrəsi],"Xəta",0)</f>
        <v>0</v>
      </c>
    </row>
    <row r="358" spans="2:13" x14ac:dyDescent="0.3">
      <c r="B358" s="4">
        <f t="shared" si="5"/>
        <v>355</v>
      </c>
      <c r="C358" s="5">
        <v>46174</v>
      </c>
      <c r="D358" s="10" t="str" cm="1">
        <f t="array" ref="D358">_xlfn.XLOOKUP(Table4[[#This Row],[Malın kodu]],Table1[[#All],[Malın kodu]],Table1[[#All],[Malın adı]],"xəta",0)</f>
        <v>Perforator / "Dingqi" / HAMMER</v>
      </c>
      <c r="E358" s="8" t="s">
        <v>1265</v>
      </c>
      <c r="F358" s="4" t="s">
        <v>920</v>
      </c>
      <c r="G358" s="4">
        <v>1</v>
      </c>
      <c r="H358" s="4"/>
      <c r="I358" s="4">
        <f>Table4[[#This Row],[Malın miqdarı]]*Table4[[#This Row],[Vahidin qiyməti]]</f>
        <v>0</v>
      </c>
      <c r="J358" s="4" t="s">
        <v>899</v>
      </c>
      <c r="K358" s="4" t="s">
        <v>893</v>
      </c>
      <c r="L358" s="4">
        <f>_xlfn.XLOOKUP(Table4[[#This Row],[Kontragentin adı]],Table2[Kontragentin adı],Table2[Müqavilə nömrəsi],"Xəta",0)</f>
        <v>0</v>
      </c>
      <c r="M358" s="4">
        <f>_xlfn.XLOOKUP(Table4[[#This Row],[Kontragentin adı]],Table2[Kontragentin adı],Table2[Müqavilə nömrəsi],"Xəta",0)</f>
        <v>0</v>
      </c>
    </row>
    <row r="359" spans="2:13" x14ac:dyDescent="0.3">
      <c r="B359" s="4">
        <f t="shared" si="5"/>
        <v>356</v>
      </c>
      <c r="C359" s="5">
        <v>46174</v>
      </c>
      <c r="D359" s="10" t="str" cm="1">
        <f t="array" ref="D359">_xlfn.XLOOKUP(Table4[[#This Row],[Malın kodu]],Table1[[#All],[Malın kodu]],Table1[[#All],[Malın adı]],"xəta",0)</f>
        <v>Perforator / "SKOM" / SK-HD1600</v>
      </c>
      <c r="E359" s="8" t="s">
        <v>1266</v>
      </c>
      <c r="F359" s="4" t="s">
        <v>920</v>
      </c>
      <c r="G359" s="4">
        <v>1</v>
      </c>
      <c r="H359" s="4"/>
      <c r="I359" s="4">
        <f>Table4[[#This Row],[Malın miqdarı]]*Table4[[#This Row],[Vahidin qiyməti]]</f>
        <v>0</v>
      </c>
      <c r="J359" s="4" t="s">
        <v>899</v>
      </c>
      <c r="K359" s="4" t="s">
        <v>893</v>
      </c>
      <c r="L359" s="4">
        <f>_xlfn.XLOOKUP(Table4[[#This Row],[Kontragentin adı]],Table2[Kontragentin adı],Table2[Müqavilə nömrəsi],"Xəta",0)</f>
        <v>0</v>
      </c>
      <c r="M359" s="4">
        <f>_xlfn.XLOOKUP(Table4[[#This Row],[Kontragentin adı]],Table2[Kontragentin adı],Table2[Müqavilə nömrəsi],"Xəta",0)</f>
        <v>0</v>
      </c>
    </row>
    <row r="360" spans="2:13" x14ac:dyDescent="0.3">
      <c r="B360" s="4">
        <f t="shared" si="5"/>
        <v>357</v>
      </c>
      <c r="C360" s="5">
        <v>46174</v>
      </c>
      <c r="D360" s="10" t="str" cm="1">
        <f t="array" ref="D360">_xlfn.XLOOKUP(Table4[[#This Row],[Malın kodu]],Table1[[#All],[Malın kodu]],Table1[[#All],[Malın adı]],"xəta",0)</f>
        <v>Nivelyator / "Leica" / NA 332</v>
      </c>
      <c r="E360" s="8" t="s">
        <v>1267</v>
      </c>
      <c r="F360" s="4" t="s">
        <v>920</v>
      </c>
      <c r="G360" s="4">
        <v>1</v>
      </c>
      <c r="H360" s="4"/>
      <c r="I360" s="4">
        <f>Table4[[#This Row],[Malın miqdarı]]*Table4[[#This Row],[Vahidin qiyməti]]</f>
        <v>0</v>
      </c>
      <c r="J360" s="4" t="s">
        <v>899</v>
      </c>
      <c r="K360" s="4" t="s">
        <v>893</v>
      </c>
      <c r="L360" s="4">
        <f>_xlfn.XLOOKUP(Table4[[#This Row],[Kontragentin adı]],Table2[Kontragentin adı],Table2[Müqavilə nömrəsi],"Xəta",0)</f>
        <v>0</v>
      </c>
      <c r="M360" s="4">
        <f>_xlfn.XLOOKUP(Table4[[#This Row],[Kontragentin adı]],Table2[Kontragentin adı],Table2[Müqavilə nömrəsi],"Xəta",0)</f>
        <v>0</v>
      </c>
    </row>
    <row r="361" spans="2:13" x14ac:dyDescent="0.3">
      <c r="B361" s="4">
        <f t="shared" si="5"/>
        <v>358</v>
      </c>
      <c r="C361" s="5">
        <v>46174</v>
      </c>
      <c r="D361" s="10" t="str" cm="1">
        <f t="array" ref="D361">_xlfn.XLOOKUP(Table4[[#This Row],[Malın kodu]],Table1[[#All],[Malın kodu]],Table1[[#All],[Malın adı]],"xəta",0)</f>
        <v>Akkumulyator / 12V / 450A / 50AH / "KAINAR" / Qazaxıstan istehsalı</v>
      </c>
      <c r="E361" s="8" t="s">
        <v>1268</v>
      </c>
      <c r="F361" s="4" t="s">
        <v>920</v>
      </c>
      <c r="G361" s="4">
        <v>1</v>
      </c>
      <c r="H361" s="4"/>
      <c r="I361" s="4">
        <f>Table4[[#This Row],[Malın miqdarı]]*Table4[[#This Row],[Vahidin qiyməti]]</f>
        <v>0</v>
      </c>
      <c r="J361" s="4" t="s">
        <v>899</v>
      </c>
      <c r="K361" s="4" t="s">
        <v>893</v>
      </c>
      <c r="L361" s="4">
        <f>_xlfn.XLOOKUP(Table4[[#This Row],[Kontragentin adı]],Table2[Kontragentin adı],Table2[Müqavilə nömrəsi],"Xəta",0)</f>
        <v>0</v>
      </c>
      <c r="M361" s="4">
        <f>_xlfn.XLOOKUP(Table4[[#This Row],[Kontragentin adı]],Table2[Kontragentin adı],Table2[Müqavilə nömrəsi],"Xəta",0)</f>
        <v>0</v>
      </c>
    </row>
    <row r="362" spans="2:13" x14ac:dyDescent="0.3">
      <c r="B362" s="4">
        <f t="shared" si="5"/>
        <v>359</v>
      </c>
      <c r="C362" s="5">
        <v>46174</v>
      </c>
      <c r="D362" s="10" t="str" cm="1">
        <f t="array" ref="D362">_xlfn.XLOOKUP(Table4[[#This Row],[Malın kodu]],Table1[[#All],[Malın kodu]],Table1[[#All],[Malın adı]],"xəta",0)</f>
        <v>Akkumulyator / 12V / 580A / 60AH / "Formula" / Ukrayna istehsalı</v>
      </c>
      <c r="E362" s="8" t="s">
        <v>1269</v>
      </c>
      <c r="F362" s="4" t="s">
        <v>920</v>
      </c>
      <c r="G362" s="4">
        <v>1</v>
      </c>
      <c r="H362" s="4"/>
      <c r="I362" s="4">
        <f>Table4[[#This Row],[Malın miqdarı]]*Table4[[#This Row],[Vahidin qiyməti]]</f>
        <v>0</v>
      </c>
      <c r="J362" s="4" t="s">
        <v>899</v>
      </c>
      <c r="K362" s="4" t="s">
        <v>893</v>
      </c>
      <c r="L362" s="4">
        <f>_xlfn.XLOOKUP(Table4[[#This Row],[Kontragentin adı]],Table2[Kontragentin adı],Table2[Müqavilə nömrəsi],"Xəta",0)</f>
        <v>0</v>
      </c>
      <c r="M362" s="4">
        <f>_xlfn.XLOOKUP(Table4[[#This Row],[Kontragentin adı]],Table2[Kontragentin adı],Table2[Müqavilə nömrəsi],"Xəta",0)</f>
        <v>0</v>
      </c>
    </row>
    <row r="363" spans="2:13" x14ac:dyDescent="0.3">
      <c r="B363" s="4">
        <f t="shared" si="5"/>
        <v>360</v>
      </c>
      <c r="C363" s="5">
        <v>46174</v>
      </c>
      <c r="D363" s="10" t="str" cm="1">
        <f t="array" ref="D363">_xlfn.XLOOKUP(Table4[[#This Row],[Malın kodu]],Table1[[#All],[Malın kodu]],Table1[[#All],[Malın adı]],"xəta",0)</f>
        <v>Akkumulyator / 12V / 77AH / 640A / "Tungstone"</v>
      </c>
      <c r="E363" s="8" t="s">
        <v>1270</v>
      </c>
      <c r="F363" s="4" t="s">
        <v>920</v>
      </c>
      <c r="G363" s="4">
        <v>1</v>
      </c>
      <c r="H363" s="4"/>
      <c r="I363" s="4">
        <f>Table4[[#This Row],[Malın miqdarı]]*Table4[[#This Row],[Vahidin qiyməti]]</f>
        <v>0</v>
      </c>
      <c r="J363" s="4" t="s">
        <v>899</v>
      </c>
      <c r="K363" s="4" t="s">
        <v>893</v>
      </c>
      <c r="L363" s="4">
        <f>_xlfn.XLOOKUP(Table4[[#This Row],[Kontragentin adı]],Table2[Kontragentin adı],Table2[Müqavilə nömrəsi],"Xəta",0)</f>
        <v>0</v>
      </c>
      <c r="M363" s="4">
        <f>_xlfn.XLOOKUP(Table4[[#This Row],[Kontragentin adı]],Table2[Kontragentin adı],Table2[Müqavilə nömrəsi],"Xəta",0)</f>
        <v>0</v>
      </c>
    </row>
    <row r="364" spans="2:13" x14ac:dyDescent="0.3">
      <c r="B364" s="4">
        <f t="shared" si="5"/>
        <v>361</v>
      </c>
      <c r="C364" s="5">
        <v>46174</v>
      </c>
      <c r="D364" s="10" t="str" cm="1">
        <f t="array" ref="D364">_xlfn.XLOOKUP(Table4[[#This Row],[Malın kodu]],Table1[[#All],[Malın kodu]],Table1[[#All],[Malın adı]],"xəta",0)</f>
        <v>Akkumulyator / 12V / 45AH / 390A / "Racing" / Ukrayna istehsalı</v>
      </c>
      <c r="E364" s="8" t="s">
        <v>1271</v>
      </c>
      <c r="F364" s="4" t="s">
        <v>920</v>
      </c>
      <c r="G364" s="4">
        <v>1</v>
      </c>
      <c r="H364" s="4"/>
      <c r="I364" s="4">
        <f>Table4[[#This Row],[Malın miqdarı]]*Table4[[#This Row],[Vahidin qiyməti]]</f>
        <v>0</v>
      </c>
      <c r="J364" s="4" t="s">
        <v>899</v>
      </c>
      <c r="K364" s="4" t="s">
        <v>893</v>
      </c>
      <c r="L364" s="4">
        <f>_xlfn.XLOOKUP(Table4[[#This Row],[Kontragentin adı]],Table2[Kontragentin adı],Table2[Müqavilə nömrəsi],"Xəta",0)</f>
        <v>0</v>
      </c>
      <c r="M364" s="4">
        <f>_xlfn.XLOOKUP(Table4[[#This Row],[Kontragentin adı]],Table2[Kontragentin adı],Table2[Müqavilə nömrəsi],"Xəta",0)</f>
        <v>0</v>
      </c>
    </row>
    <row r="365" spans="2:13" x14ac:dyDescent="0.3">
      <c r="B365" s="4">
        <f t="shared" si="5"/>
        <v>362</v>
      </c>
      <c r="C365" s="5">
        <v>46174</v>
      </c>
      <c r="D365" s="10" t="str" cm="1">
        <f t="array" ref="D365">_xlfn.XLOOKUP(Table4[[#This Row],[Malın kodu]],Table1[[#All],[Malın kodu]],Table1[[#All],[Malın adı]],"xəta",0)</f>
        <v>Akkumulyator / 12V / 10AH / 800A / "WESTA" / Ukrayna istehsalı</v>
      </c>
      <c r="E365" s="8" t="s">
        <v>1272</v>
      </c>
      <c r="F365" s="4" t="s">
        <v>920</v>
      </c>
      <c r="G365" s="4">
        <v>1</v>
      </c>
      <c r="H365" s="4"/>
      <c r="I365" s="4">
        <f>Table4[[#This Row],[Malın miqdarı]]*Table4[[#This Row],[Vahidin qiyməti]]</f>
        <v>0</v>
      </c>
      <c r="J365" s="4" t="s">
        <v>899</v>
      </c>
      <c r="K365" s="4" t="s">
        <v>893</v>
      </c>
      <c r="L365" s="4">
        <f>_xlfn.XLOOKUP(Table4[[#This Row],[Kontragentin adı]],Table2[Kontragentin adı],Table2[Müqavilə nömrəsi],"Xəta",0)</f>
        <v>0</v>
      </c>
      <c r="M365" s="4">
        <f>_xlfn.XLOOKUP(Table4[[#This Row],[Kontragentin adı]],Table2[Kontragentin adı],Table2[Müqavilə nömrəsi],"Xəta",0)</f>
        <v>0</v>
      </c>
    </row>
    <row r="366" spans="2:13" x14ac:dyDescent="0.3">
      <c r="B366" s="4">
        <f t="shared" si="5"/>
        <v>363</v>
      </c>
      <c r="C366" s="5">
        <v>46174</v>
      </c>
      <c r="D366" s="10" t="str" cm="1">
        <f t="array" ref="D366">_xlfn.XLOOKUP(Table4[[#This Row],[Malın kodu]],Table1[[#All],[Malın kodu]],Table1[[#All],[Malın adı]],"xəta",0)</f>
        <v>Su tərəzisi</v>
      </c>
      <c r="E366" s="8" t="s">
        <v>1273</v>
      </c>
      <c r="F366" s="4" t="s">
        <v>920</v>
      </c>
      <c r="G366" s="4">
        <v>1</v>
      </c>
      <c r="H366" s="4"/>
      <c r="I366" s="4">
        <f>Table4[[#This Row],[Malın miqdarı]]*Table4[[#This Row],[Vahidin qiyməti]]</f>
        <v>0</v>
      </c>
      <c r="J366" s="4" t="s">
        <v>899</v>
      </c>
      <c r="K366" s="4" t="s">
        <v>893</v>
      </c>
      <c r="L366" s="4">
        <f>_xlfn.XLOOKUP(Table4[[#This Row],[Kontragentin adı]],Table2[Kontragentin adı],Table2[Müqavilə nömrəsi],"Xəta",0)</f>
        <v>0</v>
      </c>
      <c r="M366" s="4">
        <f>_xlfn.XLOOKUP(Table4[[#This Row],[Kontragentin adı]],Table2[Kontragentin adı],Table2[Müqavilə nömrəsi],"Xəta",0)</f>
        <v>0</v>
      </c>
    </row>
    <row r="367" spans="2:13" x14ac:dyDescent="0.3">
      <c r="B367" s="4">
        <f t="shared" si="5"/>
        <v>364</v>
      </c>
      <c r="C367" s="5">
        <v>46174</v>
      </c>
      <c r="D367" s="10" t="str" cm="1">
        <f t="array" ref="D367">_xlfn.XLOOKUP(Table4[[#This Row],[Malın kodu]],Table1[[#All],[Malın kodu]],Table1[[#All],[Malın adı]],"xəta",0)</f>
        <v>Mühərrik / elektrik / alüminium / 1.5 kvt / 1500 d/d / 220/380V / 50Hz / Çin istehsalı</v>
      </c>
      <c r="E367" s="8" t="s">
        <v>1274</v>
      </c>
      <c r="F367" s="4" t="s">
        <v>920</v>
      </c>
      <c r="G367" s="4">
        <v>2</v>
      </c>
      <c r="H367" s="4"/>
      <c r="I367" s="4">
        <f>Table4[[#This Row],[Malın miqdarı]]*Table4[[#This Row],[Vahidin qiyməti]]</f>
        <v>0</v>
      </c>
      <c r="J367" s="4" t="s">
        <v>899</v>
      </c>
      <c r="K367" s="4" t="s">
        <v>893</v>
      </c>
      <c r="L367" s="4">
        <f>_xlfn.XLOOKUP(Table4[[#This Row],[Kontragentin adı]],Table2[Kontragentin adı],Table2[Müqavilə nömrəsi],"Xəta",0)</f>
        <v>0</v>
      </c>
      <c r="M367" s="4">
        <f>_xlfn.XLOOKUP(Table4[[#This Row],[Kontragentin adı]],Table2[Kontragentin adı],Table2[Müqavilə nömrəsi],"Xəta",0)</f>
        <v>0</v>
      </c>
    </row>
    <row r="368" spans="2:13" x14ac:dyDescent="0.3">
      <c r="B368" s="4">
        <f t="shared" si="5"/>
        <v>365</v>
      </c>
      <c r="C368" s="5">
        <v>46174</v>
      </c>
      <c r="D368" s="10" t="str" cm="1">
        <f t="array" ref="D368">_xlfn.XLOOKUP(Table4[[#This Row],[Malın kodu]],Table1[[#All],[Malın kodu]],Table1[[#All],[Malın adı]],"xəta",0)</f>
        <v>Bolt / M24 / L 80 mm</v>
      </c>
      <c r="E368" s="8" t="s">
        <v>1275</v>
      </c>
      <c r="F368" s="4" t="s">
        <v>920</v>
      </c>
      <c r="G368" s="4">
        <v>23</v>
      </c>
      <c r="H368" s="4"/>
      <c r="I368" s="4">
        <f>Table4[[#This Row],[Malın miqdarı]]*Table4[[#This Row],[Vahidin qiyməti]]</f>
        <v>0</v>
      </c>
      <c r="J368" s="4" t="s">
        <v>899</v>
      </c>
      <c r="K368" s="4" t="s">
        <v>893</v>
      </c>
      <c r="L368" s="4">
        <f>_xlfn.XLOOKUP(Table4[[#This Row],[Kontragentin adı]],Table2[Kontragentin adı],Table2[Müqavilə nömrəsi],"Xəta",0)</f>
        <v>0</v>
      </c>
      <c r="M368" s="4">
        <f>_xlfn.XLOOKUP(Table4[[#This Row],[Kontragentin adı]],Table2[Kontragentin adı],Table2[Müqavilə nömrəsi],"Xəta",0)</f>
        <v>0</v>
      </c>
    </row>
    <row r="369" spans="2:13" x14ac:dyDescent="0.3">
      <c r="B369" s="4">
        <f t="shared" si="5"/>
        <v>366</v>
      </c>
      <c r="C369" s="5">
        <v>46174</v>
      </c>
      <c r="D369" s="10" t="str" cm="1">
        <f t="array" ref="D369">_xlfn.XLOOKUP(Table4[[#This Row],[Malın kodu]],Table1[[#All],[Malın kodu]],Table1[[#All],[Malın adı]],"xəta",0)</f>
        <v>Lagonda / 2000 vt / 6500 d/d / "Dingqi" / JB02401 / Çin istehsalı</v>
      </c>
      <c r="E369" s="8" t="s">
        <v>1276</v>
      </c>
      <c r="F369" s="4" t="s">
        <v>920</v>
      </c>
      <c r="G369" s="4">
        <v>2</v>
      </c>
      <c r="H369" s="4"/>
      <c r="I369" s="4">
        <f>Table4[[#This Row],[Malın miqdarı]]*Table4[[#This Row],[Vahidin qiyməti]]</f>
        <v>0</v>
      </c>
      <c r="J369" s="4" t="s">
        <v>899</v>
      </c>
      <c r="K369" s="4" t="s">
        <v>893</v>
      </c>
      <c r="L369" s="4">
        <f>_xlfn.XLOOKUP(Table4[[#This Row],[Kontragentin adı]],Table2[Kontragentin adı],Table2[Müqavilə nömrəsi],"Xəta",0)</f>
        <v>0</v>
      </c>
      <c r="M369" s="4">
        <f>_xlfn.XLOOKUP(Table4[[#This Row],[Kontragentin adı]],Table2[Kontragentin adı],Table2[Müqavilə nömrəsi],"Xəta",0)</f>
        <v>0</v>
      </c>
    </row>
    <row r="370" spans="2:13" x14ac:dyDescent="0.3">
      <c r="B370" s="4">
        <f t="shared" si="5"/>
        <v>367</v>
      </c>
      <c r="C370" s="5">
        <v>46174</v>
      </c>
      <c r="D370" s="10" t="str" cm="1">
        <f t="array" ref="D370">_xlfn.XLOOKUP(Table4[[#This Row],[Malın kodu]],Table1[[#All],[Malın kodu]],Table1[[#All],[Malın adı]],"xəta",0)</f>
        <v>Lagonda / 2300 vt / 6500 d/d / "Dingqi" / Çin istehsalı</v>
      </c>
      <c r="E370" s="8" t="s">
        <v>1277</v>
      </c>
      <c r="F370" s="4" t="s">
        <v>920</v>
      </c>
      <c r="G370" s="4">
        <v>1</v>
      </c>
      <c r="H370" s="4"/>
      <c r="I370" s="4">
        <f>Table4[[#This Row],[Malın miqdarı]]*Table4[[#This Row],[Vahidin qiyməti]]</f>
        <v>0</v>
      </c>
      <c r="J370" s="4" t="s">
        <v>899</v>
      </c>
      <c r="K370" s="4" t="s">
        <v>893</v>
      </c>
      <c r="L370" s="4">
        <f>_xlfn.XLOOKUP(Table4[[#This Row],[Kontragentin adı]],Table2[Kontragentin adı],Table2[Müqavilə nömrəsi],"Xəta",0)</f>
        <v>0</v>
      </c>
      <c r="M370" s="4">
        <f>_xlfn.XLOOKUP(Table4[[#This Row],[Kontragentin adı]],Table2[Kontragentin adı],Table2[Müqavilə nömrəsi],"Xəta",0)</f>
        <v>0</v>
      </c>
    </row>
    <row r="371" spans="2:13" x14ac:dyDescent="0.3">
      <c r="B371" s="4">
        <f t="shared" si="5"/>
        <v>368</v>
      </c>
      <c r="C371" s="5">
        <v>46174</v>
      </c>
      <c r="D371" s="10" t="str" cm="1">
        <f t="array" ref="D371">_xlfn.XLOOKUP(Table4[[#This Row],[Malın kodu]],Table1[[#All],[Malın kodu]],Table1[[#All],[Malın adı]],"xəta",0)</f>
        <v>Lagonda / "Bosch" / GWS 21</v>
      </c>
      <c r="E371" s="8" t="s">
        <v>1278</v>
      </c>
      <c r="F371" s="4" t="s">
        <v>920</v>
      </c>
      <c r="G371" s="4">
        <v>1</v>
      </c>
      <c r="H371" s="4"/>
      <c r="I371" s="4">
        <f>Table4[[#This Row],[Malın miqdarı]]*Table4[[#This Row],[Vahidin qiyməti]]</f>
        <v>0</v>
      </c>
      <c r="J371" s="4" t="s">
        <v>899</v>
      </c>
      <c r="K371" s="4" t="s">
        <v>893</v>
      </c>
      <c r="L371" s="4">
        <f>_xlfn.XLOOKUP(Table4[[#This Row],[Kontragentin adı]],Table2[Kontragentin adı],Table2[Müqavilə nömrəsi],"Xəta",0)</f>
        <v>0</v>
      </c>
      <c r="M371" s="4">
        <f>_xlfn.XLOOKUP(Table4[[#This Row],[Kontragentin adı]],Table2[Kontragentin adı],Table2[Müqavilə nömrəsi],"Xəta",0)</f>
        <v>0</v>
      </c>
    </row>
    <row r="372" spans="2:13" x14ac:dyDescent="0.3">
      <c r="B372" s="4">
        <f t="shared" si="5"/>
        <v>369</v>
      </c>
      <c r="C372" s="5">
        <v>46174</v>
      </c>
      <c r="D372" s="10" t="str" cm="1">
        <f t="array" ref="D372">_xlfn.XLOOKUP(Table4[[#This Row],[Malın kodu]],Table1[[#All],[Malın kodu]],Table1[[#All],[Malın adı]],"xəta",0)</f>
        <v>Lobzik / 650 Vt / 3000 d/d / "Kad"</v>
      </c>
      <c r="E372" s="8" t="s">
        <v>1279</v>
      </c>
      <c r="F372" s="4" t="s">
        <v>920</v>
      </c>
      <c r="G372" s="4">
        <v>2</v>
      </c>
      <c r="H372" s="4"/>
      <c r="I372" s="4">
        <f>Table4[[#This Row],[Malın miqdarı]]*Table4[[#This Row],[Vahidin qiyməti]]</f>
        <v>0</v>
      </c>
      <c r="J372" s="4" t="s">
        <v>899</v>
      </c>
      <c r="K372" s="4" t="s">
        <v>893</v>
      </c>
      <c r="L372" s="4">
        <f>_xlfn.XLOOKUP(Table4[[#This Row],[Kontragentin adı]],Table2[Kontragentin adı],Table2[Müqavilə nömrəsi],"Xəta",0)</f>
        <v>0</v>
      </c>
      <c r="M372" s="4">
        <f>_xlfn.XLOOKUP(Table4[[#This Row],[Kontragentin adı]],Table2[Kontragentin adı],Table2[Müqavilə nömrəsi],"Xəta",0)</f>
        <v>0</v>
      </c>
    </row>
    <row r="373" spans="2:13" x14ac:dyDescent="0.3">
      <c r="B373" s="4">
        <f t="shared" si="5"/>
        <v>370</v>
      </c>
      <c r="C373" s="5">
        <v>46174</v>
      </c>
      <c r="D373" s="10" t="str" cm="1">
        <f t="array" ref="D373">_xlfn.XLOOKUP(Table4[[#This Row],[Malın kodu]],Table1[[#All],[Malın kodu]],Table1[[#All],[Malın adı]],"xəta",0)</f>
        <v>Lobzik / "Hidroterm"</v>
      </c>
      <c r="E373" s="8" t="s">
        <v>1280</v>
      </c>
      <c r="F373" s="4" t="s">
        <v>920</v>
      </c>
      <c r="G373" s="4">
        <v>1</v>
      </c>
      <c r="H373" s="4"/>
      <c r="I373" s="4">
        <f>Table4[[#This Row],[Malın miqdarı]]*Table4[[#This Row],[Vahidin qiyməti]]</f>
        <v>0</v>
      </c>
      <c r="J373" s="4" t="s">
        <v>899</v>
      </c>
      <c r="K373" s="4" t="s">
        <v>893</v>
      </c>
      <c r="L373" s="4">
        <f>_xlfn.XLOOKUP(Table4[[#This Row],[Kontragentin adı]],Table2[Kontragentin adı],Table2[Müqavilə nömrəsi],"Xəta",0)</f>
        <v>0</v>
      </c>
      <c r="M373" s="4">
        <f>_xlfn.XLOOKUP(Table4[[#This Row],[Kontragentin adı]],Table2[Kontragentin adı],Table2[Müqavilə nömrəsi],"Xəta",0)</f>
        <v>0</v>
      </c>
    </row>
    <row r="374" spans="2:13" x14ac:dyDescent="0.3">
      <c r="B374" s="4">
        <f t="shared" si="5"/>
        <v>371</v>
      </c>
      <c r="C374" s="5">
        <v>46174</v>
      </c>
      <c r="D374" s="10" t="str" cm="1">
        <f t="array" ref="D374">_xlfn.XLOOKUP(Table4[[#This Row],[Malın kodu]],Table1[[#All],[Malın kodu]],Table1[[#All],[Malın adı]],"xəta",0)</f>
        <v>Qızdırıcı / elektrik / 1200 Vt / 3 spirallı</v>
      </c>
      <c r="E374" s="8" t="s">
        <v>1281</v>
      </c>
      <c r="F374" s="4" t="s">
        <v>920</v>
      </c>
      <c r="G374" s="4">
        <v>3</v>
      </c>
      <c r="H374" s="4"/>
      <c r="I374" s="4">
        <f>Table4[[#This Row],[Malın miqdarı]]*Table4[[#This Row],[Vahidin qiyməti]]</f>
        <v>0</v>
      </c>
      <c r="J374" s="4" t="s">
        <v>899</v>
      </c>
      <c r="K374" s="4" t="s">
        <v>893</v>
      </c>
      <c r="L374" s="4">
        <f>_xlfn.XLOOKUP(Table4[[#This Row],[Kontragentin adı]],Table2[Kontragentin adı],Table2[Müqavilə nömrəsi],"Xəta",0)</f>
        <v>0</v>
      </c>
      <c r="M374" s="4">
        <f>_xlfn.XLOOKUP(Table4[[#This Row],[Kontragentin adı]],Table2[Kontragentin adı],Table2[Müqavilə nömrəsi],"Xəta",0)</f>
        <v>0</v>
      </c>
    </row>
    <row r="375" spans="2:13" x14ac:dyDescent="0.3">
      <c r="B375" s="4">
        <f t="shared" si="5"/>
        <v>372</v>
      </c>
      <c r="C375" s="5">
        <v>46174</v>
      </c>
      <c r="D375" s="10" t="str" cm="1">
        <f t="array" ref="D375">_xlfn.XLOOKUP(Table4[[#This Row],[Malın kodu]],Table1[[#All],[Malın kodu]],Table1[[#All],[Malın adı]],"xəta",0)</f>
        <v>Su pompası / hidrofor ilə / 0.37 kVt / H 32 metr / 2900 d/d / "M5"  / Çin istehsalı</v>
      </c>
      <c r="E375" s="8" t="s">
        <v>1282</v>
      </c>
      <c r="F375" s="4" t="s">
        <v>920</v>
      </c>
      <c r="G375" s="4">
        <v>1</v>
      </c>
      <c r="H375" s="4"/>
      <c r="I375" s="4">
        <f>Table4[[#This Row],[Malın miqdarı]]*Table4[[#This Row],[Vahidin qiyməti]]</f>
        <v>0</v>
      </c>
      <c r="J375" s="4" t="s">
        <v>899</v>
      </c>
      <c r="K375" s="4" t="s">
        <v>893</v>
      </c>
      <c r="L375" s="4">
        <f>_xlfn.XLOOKUP(Table4[[#This Row],[Kontragentin adı]],Table2[Kontragentin adı],Table2[Müqavilə nömrəsi],"Xəta",0)</f>
        <v>0</v>
      </c>
      <c r="M375" s="4">
        <f>_xlfn.XLOOKUP(Table4[[#This Row],[Kontragentin adı]],Table2[Kontragentin adı],Table2[Müqavilə nömrəsi],"Xəta",0)</f>
        <v>0</v>
      </c>
    </row>
    <row r="376" spans="2:13" x14ac:dyDescent="0.3">
      <c r="B376" s="4">
        <f t="shared" si="5"/>
        <v>373</v>
      </c>
      <c r="C376" s="5">
        <v>46174</v>
      </c>
      <c r="D376" s="10" t="str" cm="1">
        <f t="array" ref="D376">_xlfn.XLOOKUP(Table4[[#This Row],[Malın kodu]],Table1[[#All],[Malın kodu]],Table1[[#All],[Malın adı]],"xəta",0)</f>
        <v>Qırıcı çəkic / pnevmatik</v>
      </c>
      <c r="E376" s="8" t="s">
        <v>1283</v>
      </c>
      <c r="F376" s="4" t="s">
        <v>920</v>
      </c>
      <c r="G376" s="4">
        <v>2</v>
      </c>
      <c r="H376" s="4"/>
      <c r="I376" s="4">
        <f>Table4[[#This Row],[Malın miqdarı]]*Table4[[#This Row],[Vahidin qiyməti]]</f>
        <v>0</v>
      </c>
      <c r="J376" s="4" t="s">
        <v>899</v>
      </c>
      <c r="K376" s="4" t="s">
        <v>893</v>
      </c>
      <c r="L376" s="4">
        <f>_xlfn.XLOOKUP(Table4[[#This Row],[Kontragentin adı]],Table2[Kontragentin adı],Table2[Müqavilə nömrəsi],"Xəta",0)</f>
        <v>0</v>
      </c>
      <c r="M376" s="4">
        <f>_xlfn.XLOOKUP(Table4[[#This Row],[Kontragentin adı]],Table2[Kontragentin adı],Table2[Müqavilə nömrəsi],"Xəta",0)</f>
        <v>0</v>
      </c>
    </row>
    <row r="377" spans="2:13" x14ac:dyDescent="0.3">
      <c r="B377" s="4">
        <f t="shared" si="5"/>
        <v>374</v>
      </c>
      <c r="C377" s="5">
        <v>46174</v>
      </c>
      <c r="D377" s="10" t="str" cm="1">
        <f t="array" ref="D377">_xlfn.XLOOKUP(Table4[[#This Row],[Malın kodu]],Table1[[#All],[Malın kodu]],Table1[[#All],[Malın adı]],"xəta",0)</f>
        <v>Nivelyator / lazer / "Bosch" / GLL 3-80 P / Çin istehsalı</v>
      </c>
      <c r="E377" s="8" t="s">
        <v>1284</v>
      </c>
      <c r="F377" s="4" t="s">
        <v>920</v>
      </c>
      <c r="G377" s="4">
        <v>1</v>
      </c>
      <c r="H377" s="4"/>
      <c r="I377" s="4">
        <f>Table4[[#This Row],[Malın miqdarı]]*Table4[[#This Row],[Vahidin qiyməti]]</f>
        <v>0</v>
      </c>
      <c r="J377" s="4" t="s">
        <v>899</v>
      </c>
      <c r="K377" s="4" t="s">
        <v>893</v>
      </c>
      <c r="L377" s="4">
        <f>_xlfn.XLOOKUP(Table4[[#This Row],[Kontragentin adı]],Table2[Kontragentin adı],Table2[Müqavilə nömrəsi],"Xəta",0)</f>
        <v>0</v>
      </c>
      <c r="M377" s="4">
        <f>_xlfn.XLOOKUP(Table4[[#This Row],[Kontragentin adı]],Table2[Kontragentin adı],Table2[Müqavilə nömrəsi],"Xəta",0)</f>
        <v>0</v>
      </c>
    </row>
    <row r="378" spans="2:13" x14ac:dyDescent="0.3">
      <c r="B378" s="4">
        <f t="shared" si="5"/>
        <v>375</v>
      </c>
      <c r="C378" s="5">
        <v>46174</v>
      </c>
      <c r="D378" s="10" t="str" cm="1">
        <f t="array" ref="D378">_xlfn.XLOOKUP(Table4[[#This Row],[Malın kodu]],Table1[[#All],[Malın kodu]],Table1[[#All],[Malın adı]],"xəta",0)</f>
        <v>Videokamera / nəzarət / "Multistar" / B</v>
      </c>
      <c r="E378" s="8" t="s">
        <v>1285</v>
      </c>
      <c r="F378" s="4" t="s">
        <v>920</v>
      </c>
      <c r="G378" s="4">
        <v>1</v>
      </c>
      <c r="H378" s="4"/>
      <c r="I378" s="4">
        <f>Table4[[#This Row],[Malın miqdarı]]*Table4[[#This Row],[Vahidin qiyməti]]</f>
        <v>0</v>
      </c>
      <c r="J378" s="4" t="s">
        <v>899</v>
      </c>
      <c r="K378" s="4" t="s">
        <v>893</v>
      </c>
      <c r="L378" s="4">
        <f>_xlfn.XLOOKUP(Table4[[#This Row],[Kontragentin adı]],Table2[Kontragentin adı],Table2[Müqavilə nömrəsi],"Xəta",0)</f>
        <v>0</v>
      </c>
      <c r="M378" s="4">
        <f>_xlfn.XLOOKUP(Table4[[#This Row],[Kontragentin adı]],Table2[Kontragentin adı],Table2[Müqavilə nömrəsi],"Xəta",0)</f>
        <v>0</v>
      </c>
    </row>
    <row r="379" spans="2:13" x14ac:dyDescent="0.3">
      <c r="B379" s="4">
        <f t="shared" si="5"/>
        <v>376</v>
      </c>
      <c r="C379" s="5">
        <v>46174</v>
      </c>
      <c r="D379" s="10" t="str" cm="1">
        <f t="array" ref="D379">_xlfn.XLOOKUP(Table4[[#This Row],[Malın kodu]],Table1[[#All],[Malın kodu]],Table1[[#All],[Malın adı]],"xəta",0)</f>
        <v>Dizlik</v>
      </c>
      <c r="E379" s="8" t="s">
        <v>1286</v>
      </c>
      <c r="F379" s="4" t="s">
        <v>924</v>
      </c>
      <c r="G379" s="4">
        <v>10</v>
      </c>
      <c r="H379" s="4"/>
      <c r="I379" s="4">
        <f>Table4[[#This Row],[Malın miqdarı]]*Table4[[#This Row],[Vahidin qiyməti]]</f>
        <v>0</v>
      </c>
      <c r="J379" s="4" t="s">
        <v>899</v>
      </c>
      <c r="K379" s="4" t="s">
        <v>893</v>
      </c>
      <c r="L379" s="4">
        <f>_xlfn.XLOOKUP(Table4[[#This Row],[Kontragentin adı]],Table2[Kontragentin adı],Table2[Müqavilə nömrəsi],"Xəta",0)</f>
        <v>0</v>
      </c>
      <c r="M379" s="4">
        <f>_xlfn.XLOOKUP(Table4[[#This Row],[Kontragentin adı]],Table2[Kontragentin adı],Table2[Müqavilə nömrəsi],"Xəta",0)</f>
        <v>0</v>
      </c>
    </row>
    <row r="380" spans="2:13" x14ac:dyDescent="0.3">
      <c r="B380" s="4">
        <f t="shared" si="5"/>
        <v>377</v>
      </c>
      <c r="C380" s="5">
        <v>46174</v>
      </c>
      <c r="D380" s="10" t="str" cm="1">
        <f t="array" ref="D380">_xlfn.XLOOKUP(Table4[[#This Row],[Malın kodu]],Table1[[#All],[Malın kodu]],Table1[[#All],[Malın adı]],"xəta",0)</f>
        <v>Xomut / d 56-60 mm / şuruplu / metal</v>
      </c>
      <c r="E380" s="8" t="s">
        <v>1287</v>
      </c>
      <c r="F380" s="4" t="s">
        <v>920</v>
      </c>
      <c r="G380" s="4">
        <v>18</v>
      </c>
      <c r="H380" s="4"/>
      <c r="I380" s="4">
        <f>Table4[[#This Row],[Malın miqdarı]]*Table4[[#This Row],[Vahidin qiyməti]]</f>
        <v>0</v>
      </c>
      <c r="J380" s="4" t="s">
        <v>899</v>
      </c>
      <c r="K380" s="4" t="s">
        <v>893</v>
      </c>
      <c r="L380" s="4">
        <f>_xlfn.XLOOKUP(Table4[[#This Row],[Kontragentin adı]],Table2[Kontragentin adı],Table2[Müqavilə nömrəsi],"Xəta",0)</f>
        <v>0</v>
      </c>
      <c r="M380" s="4">
        <f>_xlfn.XLOOKUP(Table4[[#This Row],[Kontragentin adı]],Table2[Kontragentin adı],Table2[Müqavilə nömrəsi],"Xəta",0)</f>
        <v>0</v>
      </c>
    </row>
    <row r="381" spans="2:13" x14ac:dyDescent="0.3">
      <c r="B381" s="4">
        <f t="shared" si="5"/>
        <v>378</v>
      </c>
      <c r="C381" s="5">
        <v>46174</v>
      </c>
      <c r="D381" s="10" t="str" cm="1">
        <f t="array" ref="D381">_xlfn.XLOOKUP(Table4[[#This Row],[Malın kodu]],Table1[[#All],[Malın kodu]],Table1[[#All],[Malın adı]],"xəta",0)</f>
        <v>Fırça / lagonda üçün / 5 inch</v>
      </c>
      <c r="E381" s="8" t="s">
        <v>1288</v>
      </c>
      <c r="F381" s="4" t="s">
        <v>920</v>
      </c>
      <c r="G381" s="4">
        <v>2</v>
      </c>
      <c r="H381" s="4"/>
      <c r="I381" s="4">
        <f>Table4[[#This Row],[Malın miqdarı]]*Table4[[#This Row],[Vahidin qiyməti]]</f>
        <v>0</v>
      </c>
      <c r="J381" s="4" t="s">
        <v>899</v>
      </c>
      <c r="K381" s="4" t="s">
        <v>893</v>
      </c>
      <c r="L381" s="4">
        <f>_xlfn.XLOOKUP(Table4[[#This Row],[Kontragentin adı]],Table2[Kontragentin adı],Table2[Müqavilə nömrəsi],"Xəta",0)</f>
        <v>0</v>
      </c>
      <c r="M381" s="4">
        <f>_xlfn.XLOOKUP(Table4[[#This Row],[Kontragentin adı]],Table2[Kontragentin adı],Table2[Müqavilə nömrəsi],"Xəta",0)</f>
        <v>0</v>
      </c>
    </row>
    <row r="382" spans="2:13" x14ac:dyDescent="0.3">
      <c r="B382" s="4">
        <f t="shared" si="5"/>
        <v>379</v>
      </c>
      <c r="C382" s="5">
        <v>46174</v>
      </c>
      <c r="D382" s="10" t="str" cm="1">
        <f t="array" ref="D382">_xlfn.XLOOKUP(Table4[[#This Row],[Malın kodu]],Table1[[#All],[Malın kodu]],Table1[[#All],[Malın adı]],"xəta",0)</f>
        <v>Diyircəkli yastıq / 30206</v>
      </c>
      <c r="E382" s="8" t="s">
        <v>1289</v>
      </c>
      <c r="F382" s="4" t="s">
        <v>920</v>
      </c>
      <c r="G382" s="4">
        <v>15</v>
      </c>
      <c r="H382" s="4"/>
      <c r="I382" s="4">
        <f>Table4[[#This Row],[Malın miqdarı]]*Table4[[#This Row],[Vahidin qiyməti]]</f>
        <v>0</v>
      </c>
      <c r="J382" s="4" t="s">
        <v>899</v>
      </c>
      <c r="K382" s="4" t="s">
        <v>893</v>
      </c>
      <c r="L382" s="4">
        <f>_xlfn.XLOOKUP(Table4[[#This Row],[Kontragentin adı]],Table2[Kontragentin adı],Table2[Müqavilə nömrəsi],"Xəta",0)</f>
        <v>0</v>
      </c>
      <c r="M382" s="4">
        <f>_xlfn.XLOOKUP(Table4[[#This Row],[Kontragentin adı]],Table2[Kontragentin adı],Table2[Müqavilə nömrəsi],"Xəta",0)</f>
        <v>0</v>
      </c>
    </row>
    <row r="383" spans="2:13" x14ac:dyDescent="0.3">
      <c r="B383" s="4">
        <f t="shared" si="5"/>
        <v>380</v>
      </c>
      <c r="C383" s="5">
        <v>46174</v>
      </c>
      <c r="D383" s="10" t="str" cm="1">
        <f t="array" ref="D383">_xlfn.XLOOKUP(Table4[[#This Row],[Malın kodu]],Table1[[#All],[Malın kodu]],Table1[[#All],[Malın adı]],"xəta",0)</f>
        <v>Kabel sarğısı / spiralvari / 8 mm</v>
      </c>
      <c r="E383" s="8" t="s">
        <v>1290</v>
      </c>
      <c r="F383" s="4" t="s">
        <v>925</v>
      </c>
      <c r="G383" s="4">
        <v>10</v>
      </c>
      <c r="H383" s="4"/>
      <c r="I383" s="4">
        <f>Table4[[#This Row],[Malın miqdarı]]*Table4[[#This Row],[Vahidin qiyməti]]</f>
        <v>0</v>
      </c>
      <c r="J383" s="4" t="s">
        <v>899</v>
      </c>
      <c r="K383" s="4" t="s">
        <v>893</v>
      </c>
      <c r="L383" s="4">
        <f>_xlfn.XLOOKUP(Table4[[#This Row],[Kontragentin adı]],Table2[Kontragentin adı],Table2[Müqavilə nömrəsi],"Xəta",0)</f>
        <v>0</v>
      </c>
      <c r="M383" s="4">
        <f>_xlfn.XLOOKUP(Table4[[#This Row],[Kontragentin adı]],Table2[Kontragentin adı],Table2[Müqavilə nömrəsi],"Xəta",0)</f>
        <v>0</v>
      </c>
    </row>
    <row r="384" spans="2:13" x14ac:dyDescent="0.3">
      <c r="B384" s="4">
        <f t="shared" si="5"/>
        <v>381</v>
      </c>
      <c r="C384" s="5">
        <v>46174</v>
      </c>
      <c r="D384" s="10" t="str" cm="1">
        <f t="array" ref="D384">_xlfn.XLOOKUP(Table4[[#This Row],[Malın kodu]],Table1[[#All],[Malın kodu]],Table1[[#All],[Malın adı]],"xəta",0)</f>
        <v>Qayka açarı / əldəqayırma</v>
      </c>
      <c r="E384" s="8" t="s">
        <v>1291</v>
      </c>
      <c r="F384" s="4" t="s">
        <v>920</v>
      </c>
      <c r="G384" s="4">
        <v>1</v>
      </c>
      <c r="H384" s="4"/>
      <c r="I384" s="4">
        <f>Table4[[#This Row],[Malın miqdarı]]*Table4[[#This Row],[Vahidin qiyməti]]</f>
        <v>0</v>
      </c>
      <c r="J384" s="4" t="s">
        <v>899</v>
      </c>
      <c r="K384" s="4" t="s">
        <v>893</v>
      </c>
      <c r="L384" s="4">
        <f>_xlfn.XLOOKUP(Table4[[#This Row],[Kontragentin adı]],Table2[Kontragentin adı],Table2[Müqavilə nömrəsi],"Xəta",0)</f>
        <v>0</v>
      </c>
      <c r="M384" s="4">
        <f>_xlfn.XLOOKUP(Table4[[#This Row],[Kontragentin adı]],Table2[Kontragentin adı],Table2[Müqavilə nömrəsi],"Xəta",0)</f>
        <v>0</v>
      </c>
    </row>
    <row r="385" spans="2:13" x14ac:dyDescent="0.3">
      <c r="B385" s="4">
        <f t="shared" si="5"/>
        <v>382</v>
      </c>
      <c r="C385" s="5">
        <v>46174</v>
      </c>
      <c r="D385" s="10" t="str" cm="1">
        <f t="array" ref="D385">_xlfn.XLOOKUP(Table4[[#This Row],[Malın kodu]],Table1[[#All],[Malın kodu]],Table1[[#All],[Malın adı]],"xəta",0)</f>
        <v>Nivelyator dayağı / üçayaq / metal</v>
      </c>
      <c r="E385" s="8" t="s">
        <v>1292</v>
      </c>
      <c r="F385" s="4" t="s">
        <v>920</v>
      </c>
      <c r="G385" s="4">
        <v>2</v>
      </c>
      <c r="H385" s="4"/>
      <c r="I385" s="4">
        <f>Table4[[#This Row],[Malın miqdarı]]*Table4[[#This Row],[Vahidin qiyməti]]</f>
        <v>0</v>
      </c>
      <c r="J385" s="4" t="s">
        <v>899</v>
      </c>
      <c r="K385" s="4" t="s">
        <v>893</v>
      </c>
      <c r="L385" s="4">
        <f>_xlfn.XLOOKUP(Table4[[#This Row],[Kontragentin adı]],Table2[Kontragentin adı],Table2[Müqavilə nömrəsi],"Xəta",0)</f>
        <v>0</v>
      </c>
      <c r="M385" s="4">
        <f>_xlfn.XLOOKUP(Table4[[#This Row],[Kontragentin adı]],Table2[Kontragentin adı],Table2[Müqavilə nömrəsi],"Xəta",0)</f>
        <v>0</v>
      </c>
    </row>
    <row r="386" spans="2:13" x14ac:dyDescent="0.3">
      <c r="B386" s="4">
        <f t="shared" si="5"/>
        <v>383</v>
      </c>
      <c r="C386" s="5">
        <v>46174</v>
      </c>
      <c r="D386" s="10" t="str" cm="1">
        <f t="array" ref="D386">_xlfn.XLOOKUP(Table4[[#This Row],[Malın kodu]],Table1[[#All],[Malın kodu]],Table1[[#All],[Malın adı]],"xəta",0)</f>
        <v>Tezlik çeviricisi / "ABB" ACS550 01-045A-4 / Finlandiya istehsalı</v>
      </c>
      <c r="E386" s="8" t="s">
        <v>1293</v>
      </c>
      <c r="F386" s="4" t="s">
        <v>920</v>
      </c>
      <c r="G386" s="4">
        <v>1</v>
      </c>
      <c r="H386" s="4"/>
      <c r="I386" s="4">
        <f>Table4[[#This Row],[Malın miqdarı]]*Table4[[#This Row],[Vahidin qiyməti]]</f>
        <v>0</v>
      </c>
      <c r="J386" s="4" t="s">
        <v>899</v>
      </c>
      <c r="K386" s="4" t="s">
        <v>893</v>
      </c>
      <c r="L386" s="4">
        <f>_xlfn.XLOOKUP(Table4[[#This Row],[Kontragentin adı]],Table2[Kontragentin adı],Table2[Müqavilə nömrəsi],"Xəta",0)</f>
        <v>0</v>
      </c>
      <c r="M386" s="4">
        <f>_xlfn.XLOOKUP(Table4[[#This Row],[Kontragentin adı]],Table2[Kontragentin adı],Table2[Müqavilə nömrəsi],"Xəta",0)</f>
        <v>0</v>
      </c>
    </row>
    <row r="387" spans="2:13" x14ac:dyDescent="0.3">
      <c r="B387" s="4">
        <f t="shared" si="5"/>
        <v>384</v>
      </c>
      <c r="C387" s="5">
        <v>46174</v>
      </c>
      <c r="D387" s="10" t="str" cm="1">
        <f t="array" ref="D387">_xlfn.XLOOKUP(Table4[[#This Row],[Malın kodu]],Table1[[#All],[Malın kodu]],Table1[[#All],[Malın adı]],"xəta",0)</f>
        <v>Filtr / yağ / DW 962 / "Delsa" / Türkiyə istehsalı</v>
      </c>
      <c r="E387" s="8" t="s">
        <v>1294</v>
      </c>
      <c r="F387" s="4" t="s">
        <v>920</v>
      </c>
      <c r="G387" s="4">
        <v>3</v>
      </c>
      <c r="H387" s="4"/>
      <c r="I387" s="4">
        <f>Table4[[#This Row],[Malın miqdarı]]*Table4[[#This Row],[Vahidin qiyməti]]</f>
        <v>0</v>
      </c>
      <c r="J387" s="4" t="s">
        <v>899</v>
      </c>
      <c r="K387" s="4" t="s">
        <v>893</v>
      </c>
      <c r="L387" s="4">
        <f>_xlfn.XLOOKUP(Table4[[#This Row],[Kontragentin adı]],Table2[Kontragentin adı],Table2[Müqavilə nömrəsi],"Xəta",0)</f>
        <v>0</v>
      </c>
      <c r="M387" s="4">
        <f>_xlfn.XLOOKUP(Table4[[#This Row],[Kontragentin adı]],Table2[Kontragentin adı],Table2[Müqavilə nömrəsi],"Xəta",0)</f>
        <v>0</v>
      </c>
    </row>
    <row r="388" spans="2:13" x14ac:dyDescent="0.3">
      <c r="B388" s="4">
        <f t="shared" ref="B388:B451" si="6">ROW()-3</f>
        <v>385</v>
      </c>
      <c r="C388" s="5">
        <v>46174</v>
      </c>
      <c r="D388" s="10" t="str" cm="1">
        <f t="array" ref="D388">_xlfn.XLOOKUP(Table4[[#This Row],[Malın kodu]],Table1[[#All],[Malın kodu]],Table1[[#All],[Malın adı]],"xəta",0)</f>
        <v>Filtr / yağ / DS 1329 / "Delsa" / Türkiyə istehsalı</v>
      </c>
      <c r="E388" s="8" t="s">
        <v>1295</v>
      </c>
      <c r="F388" s="4" t="s">
        <v>920</v>
      </c>
      <c r="G388" s="4">
        <v>1</v>
      </c>
      <c r="H388" s="4"/>
      <c r="I388" s="4">
        <f>Table4[[#This Row],[Malın miqdarı]]*Table4[[#This Row],[Vahidin qiyməti]]</f>
        <v>0</v>
      </c>
      <c r="J388" s="4" t="s">
        <v>899</v>
      </c>
      <c r="K388" s="4" t="s">
        <v>893</v>
      </c>
      <c r="L388" s="4">
        <f>_xlfn.XLOOKUP(Table4[[#This Row],[Kontragentin adı]],Table2[Kontragentin adı],Table2[Müqavilə nömrəsi],"Xəta",0)</f>
        <v>0</v>
      </c>
      <c r="M388" s="4">
        <f>_xlfn.XLOOKUP(Table4[[#This Row],[Kontragentin adı]],Table2[Kontragentin adı],Table2[Müqavilə nömrəsi],"Xəta",0)</f>
        <v>0</v>
      </c>
    </row>
    <row r="389" spans="2:13" x14ac:dyDescent="0.3">
      <c r="B389" s="4">
        <f t="shared" si="6"/>
        <v>386</v>
      </c>
      <c r="C389" s="5">
        <v>46174</v>
      </c>
      <c r="D389" s="10" t="str" cm="1">
        <f t="array" ref="D389">_xlfn.XLOOKUP(Table4[[#This Row],[Malın kodu]],Table1[[#All],[Malın kodu]],Table1[[#All],[Malın adı]],"xəta",0)</f>
        <v>Filtr / yağ / DS 1430F / "Delsa" / Türkiyə istehsalı</v>
      </c>
      <c r="E389" s="8" t="s">
        <v>1296</v>
      </c>
      <c r="F389" s="4" t="s">
        <v>920</v>
      </c>
      <c r="G389" s="4">
        <v>4</v>
      </c>
      <c r="H389" s="4"/>
      <c r="I389" s="4">
        <f>Table4[[#This Row],[Malın miqdarı]]*Table4[[#This Row],[Vahidin qiyməti]]</f>
        <v>0</v>
      </c>
      <c r="J389" s="4" t="s">
        <v>899</v>
      </c>
      <c r="K389" s="4" t="s">
        <v>893</v>
      </c>
      <c r="L389" s="4">
        <f>_xlfn.XLOOKUP(Table4[[#This Row],[Kontragentin adı]],Table2[Kontragentin adı],Table2[Müqavilə nömrəsi],"Xəta",0)</f>
        <v>0</v>
      </c>
      <c r="M389" s="4">
        <f>_xlfn.XLOOKUP(Table4[[#This Row],[Kontragentin adı]],Table2[Kontragentin adı],Table2[Müqavilə nömrəsi],"Xəta",0)</f>
        <v>0</v>
      </c>
    </row>
    <row r="390" spans="2:13" x14ac:dyDescent="0.3">
      <c r="B390" s="4">
        <f t="shared" si="6"/>
        <v>387</v>
      </c>
      <c r="C390" s="5">
        <v>46174</v>
      </c>
      <c r="D390" s="10" t="str" cm="1">
        <f t="array" ref="D390">_xlfn.XLOOKUP(Table4[[#This Row],[Malın kodu]],Table1[[#All],[Malın kodu]],Table1[[#All],[Malın adı]],"xəta",0)</f>
        <v>Bolt / M24 / L 70 mm</v>
      </c>
      <c r="E390" s="8" t="s">
        <v>1297</v>
      </c>
      <c r="F390" s="4" t="s">
        <v>920</v>
      </c>
      <c r="G390" s="4">
        <v>23</v>
      </c>
      <c r="H390" s="4"/>
      <c r="I390" s="4">
        <f>Table4[[#This Row],[Malın miqdarı]]*Table4[[#This Row],[Vahidin qiyməti]]</f>
        <v>0</v>
      </c>
      <c r="J390" s="4" t="s">
        <v>899</v>
      </c>
      <c r="K390" s="4" t="s">
        <v>893</v>
      </c>
      <c r="L390" s="4">
        <f>_xlfn.XLOOKUP(Table4[[#This Row],[Kontragentin adı]],Table2[Kontragentin adı],Table2[Müqavilə nömrəsi],"Xəta",0)</f>
        <v>0</v>
      </c>
      <c r="M390" s="4">
        <f>_xlfn.XLOOKUP(Table4[[#This Row],[Kontragentin adı]],Table2[Kontragentin adı],Table2[Müqavilə nömrəsi],"Xəta",0)</f>
        <v>0</v>
      </c>
    </row>
    <row r="391" spans="2:13" x14ac:dyDescent="0.3">
      <c r="B391" s="4">
        <f t="shared" si="6"/>
        <v>388</v>
      </c>
      <c r="C391" s="5">
        <v>46174</v>
      </c>
      <c r="D391" s="10" t="str" cm="1">
        <f t="array" ref="D391">_xlfn.XLOOKUP(Table4[[#This Row],[Malın kodu]],Table1[[#All],[Malın kodu]],Table1[[#All],[Malın adı]],"xəta",0)</f>
        <v>Qayka / M24</v>
      </c>
      <c r="E391" s="8" t="s">
        <v>1298</v>
      </c>
      <c r="F391" s="4" t="s">
        <v>920</v>
      </c>
      <c r="G391" s="4">
        <v>17</v>
      </c>
      <c r="H391" s="4"/>
      <c r="I391" s="4">
        <f>Table4[[#This Row],[Malın miqdarı]]*Table4[[#This Row],[Vahidin qiyməti]]</f>
        <v>0</v>
      </c>
      <c r="J391" s="4" t="s">
        <v>899</v>
      </c>
      <c r="K391" s="4" t="s">
        <v>893</v>
      </c>
      <c r="L391" s="4">
        <f>_xlfn.XLOOKUP(Table4[[#This Row],[Kontragentin adı]],Table2[Kontragentin adı],Table2[Müqavilə nömrəsi],"Xəta",0)</f>
        <v>0</v>
      </c>
      <c r="M391" s="4">
        <f>_xlfn.XLOOKUP(Table4[[#This Row],[Kontragentin adı]],Table2[Kontragentin adı],Table2[Müqavilə nömrəsi],"Xəta",0)</f>
        <v>0</v>
      </c>
    </row>
    <row r="392" spans="2:13" x14ac:dyDescent="0.3">
      <c r="B392" s="4">
        <f t="shared" si="6"/>
        <v>389</v>
      </c>
      <c r="C392" s="5">
        <v>46174</v>
      </c>
      <c r="D392" s="10" t="str" cm="1">
        <f t="array" ref="D392">_xlfn.XLOOKUP(Table4[[#This Row],[Malın kodu]],Table1[[#All],[Malın kodu]],Table1[[#All],[Malın adı]],"xəta",0)</f>
        <v>Su pompası / dalğıc / 750 Vt / 2860 d/d / 47 metr / "Dingi" Çin istehsalı</v>
      </c>
      <c r="E392" s="8" t="s">
        <v>1299</v>
      </c>
      <c r="F392" s="4" t="s">
        <v>920</v>
      </c>
      <c r="G392" s="4">
        <v>1</v>
      </c>
      <c r="H392" s="4"/>
      <c r="I392" s="4">
        <f>Table4[[#This Row],[Malın miqdarı]]*Table4[[#This Row],[Vahidin qiyməti]]</f>
        <v>0</v>
      </c>
      <c r="J392" s="4" t="s">
        <v>899</v>
      </c>
      <c r="K392" s="4" t="s">
        <v>893</v>
      </c>
      <c r="L392" s="4">
        <f>_xlfn.XLOOKUP(Table4[[#This Row],[Kontragentin adı]],Table2[Kontragentin adı],Table2[Müqavilə nömrəsi],"Xəta",0)</f>
        <v>0</v>
      </c>
      <c r="M392" s="4">
        <f>_xlfn.XLOOKUP(Table4[[#This Row],[Kontragentin adı]],Table2[Kontragentin adı],Table2[Müqavilə nömrəsi],"Xəta",0)</f>
        <v>0</v>
      </c>
    </row>
    <row r="393" spans="2:13" x14ac:dyDescent="0.3">
      <c r="B393" s="4">
        <f t="shared" si="6"/>
        <v>390</v>
      </c>
      <c r="C393" s="5">
        <v>46174</v>
      </c>
      <c r="D393" s="10" t="str" cm="1">
        <f t="array" ref="D393">_xlfn.XLOOKUP(Table4[[#This Row],[Malın kodu]],Table1[[#All],[Malın kodu]],Table1[[#All],[Malın adı]],"xəta",0)</f>
        <v>Su pompası / dalğıc / 1500 Vt / 2860 d/d / 46 metr / "Dingi" Çin istehsalı</v>
      </c>
      <c r="E393" s="8" t="s">
        <v>1300</v>
      </c>
      <c r="F393" s="4" t="s">
        <v>920</v>
      </c>
      <c r="G393" s="4">
        <v>1</v>
      </c>
      <c r="H393" s="4"/>
      <c r="I393" s="4">
        <f>Table4[[#This Row],[Malın miqdarı]]*Table4[[#This Row],[Vahidin qiyməti]]</f>
        <v>0</v>
      </c>
      <c r="J393" s="4" t="s">
        <v>899</v>
      </c>
      <c r="K393" s="4" t="s">
        <v>893</v>
      </c>
      <c r="L393" s="4">
        <f>_xlfn.XLOOKUP(Table4[[#This Row],[Kontragentin adı]],Table2[Kontragentin adı],Table2[Müqavilə nömrəsi],"Xəta",0)</f>
        <v>0</v>
      </c>
      <c r="M393" s="4">
        <f>_xlfn.XLOOKUP(Table4[[#This Row],[Kontragentin adı]],Table2[Kontragentin adı],Table2[Müqavilə nömrəsi],"Xəta",0)</f>
        <v>0</v>
      </c>
    </row>
    <row r="394" spans="2:13" x14ac:dyDescent="0.3">
      <c r="B394" s="4">
        <f t="shared" si="6"/>
        <v>391</v>
      </c>
      <c r="C394" s="5">
        <v>46174</v>
      </c>
      <c r="D394" s="10" t="str" cm="1">
        <f t="array" ref="D394">_xlfn.XLOOKUP(Table4[[#This Row],[Malın kodu]],Table1[[#All],[Malın kodu]],Table1[[#All],[Malın adı]],"xəta",0)</f>
        <v>Dəbilgə / ağ</v>
      </c>
      <c r="E394" s="8" t="s">
        <v>1301</v>
      </c>
      <c r="F394" s="4" t="s">
        <v>920</v>
      </c>
      <c r="G394" s="4">
        <v>9</v>
      </c>
      <c r="H394" s="4"/>
      <c r="I394" s="4">
        <f>Table4[[#This Row],[Malın miqdarı]]*Table4[[#This Row],[Vahidin qiyməti]]</f>
        <v>0</v>
      </c>
      <c r="J394" s="4" t="s">
        <v>899</v>
      </c>
      <c r="K394" s="4" t="s">
        <v>893</v>
      </c>
      <c r="L394" s="4">
        <f>_xlfn.XLOOKUP(Table4[[#This Row],[Kontragentin adı]],Table2[Kontragentin adı],Table2[Müqavilə nömrəsi],"Xəta",0)</f>
        <v>0</v>
      </c>
      <c r="M394" s="4">
        <f>_xlfn.XLOOKUP(Table4[[#This Row],[Kontragentin adı]],Table2[Kontragentin adı],Table2[Müqavilə nömrəsi],"Xəta",0)</f>
        <v>0</v>
      </c>
    </row>
    <row r="395" spans="2:13" x14ac:dyDescent="0.3">
      <c r="B395" s="4">
        <f t="shared" si="6"/>
        <v>392</v>
      </c>
      <c r="C395" s="5">
        <v>46174</v>
      </c>
      <c r="D395" s="10" t="str" cm="1">
        <f t="array" ref="D395">_xlfn.XLOOKUP(Table4[[#This Row],[Malın kodu]],Table1[[#All],[Malın kodu]],Table1[[#All],[Malın adı]],"xəta",0)</f>
        <v>Beton vibratoru / şlanq ilə</v>
      </c>
      <c r="E395" s="8" t="s">
        <v>1302</v>
      </c>
      <c r="F395" s="4" t="s">
        <v>920</v>
      </c>
      <c r="G395" s="4">
        <v>1</v>
      </c>
      <c r="H395" s="4"/>
      <c r="I395" s="4">
        <f>Table4[[#This Row],[Malın miqdarı]]*Table4[[#This Row],[Vahidin qiyməti]]</f>
        <v>0</v>
      </c>
      <c r="J395" s="4" t="s">
        <v>899</v>
      </c>
      <c r="K395" s="4" t="s">
        <v>893</v>
      </c>
      <c r="L395" s="4">
        <f>_xlfn.XLOOKUP(Table4[[#This Row],[Kontragentin adı]],Table2[Kontragentin adı],Table2[Müqavilə nömrəsi],"Xəta",0)</f>
        <v>0</v>
      </c>
      <c r="M395" s="4">
        <f>_xlfn.XLOOKUP(Table4[[#This Row],[Kontragentin adı]],Table2[Kontragentin adı],Table2[Müqavilə nömrəsi],"Xəta",0)</f>
        <v>0</v>
      </c>
    </row>
    <row r="396" spans="2:13" x14ac:dyDescent="0.3">
      <c r="B396" s="4">
        <f t="shared" si="6"/>
        <v>393</v>
      </c>
      <c r="C396" s="5">
        <v>46174</v>
      </c>
      <c r="D396" s="10" t="str" cm="1">
        <f t="array" ref="D396">_xlfn.XLOOKUP(Table4[[#This Row],[Malın kodu]],Table1[[#All],[Malın kodu]],Table1[[#All],[Malın adı]],"xəta",0)</f>
        <v>Mühərrik / beton vibratoru üçün</v>
      </c>
      <c r="E396" s="8" t="s">
        <v>1303</v>
      </c>
      <c r="F396" s="4" t="s">
        <v>920</v>
      </c>
      <c r="G396" s="4">
        <v>4</v>
      </c>
      <c r="H396" s="4"/>
      <c r="I396" s="4">
        <f>Table4[[#This Row],[Malın miqdarı]]*Table4[[#This Row],[Vahidin qiyməti]]</f>
        <v>0</v>
      </c>
      <c r="J396" s="4" t="s">
        <v>899</v>
      </c>
      <c r="K396" s="4" t="s">
        <v>893</v>
      </c>
      <c r="L396" s="4">
        <f>_xlfn.XLOOKUP(Table4[[#This Row],[Kontragentin adı]],Table2[Kontragentin adı],Table2[Müqavilə nömrəsi],"Xəta",0)</f>
        <v>0</v>
      </c>
      <c r="M396" s="4">
        <f>_xlfn.XLOOKUP(Table4[[#This Row],[Kontragentin adı]],Table2[Kontragentin adı],Table2[Müqavilə nömrəsi],"Xəta",0)</f>
        <v>0</v>
      </c>
    </row>
    <row r="397" spans="2:13" x14ac:dyDescent="0.3">
      <c r="B397" s="4">
        <f t="shared" si="6"/>
        <v>394</v>
      </c>
      <c r="C397" s="5">
        <v>46174</v>
      </c>
      <c r="D397" s="10" t="str" cm="1">
        <f t="array" ref="D397">_xlfn.XLOOKUP(Table4[[#This Row],[Malın kodu]],Table1[[#All],[Malın kodu]],Table1[[#All],[Malın adı]],"xəta",0)</f>
        <v>Bolt / M24 / L 150 mm</v>
      </c>
      <c r="E397" s="8" t="s">
        <v>1304</v>
      </c>
      <c r="F397" s="4" t="s">
        <v>920</v>
      </c>
      <c r="G397" s="4">
        <v>11</v>
      </c>
      <c r="H397" s="4"/>
      <c r="I397" s="4">
        <f>Table4[[#This Row],[Malın miqdarı]]*Table4[[#This Row],[Vahidin qiyməti]]</f>
        <v>0</v>
      </c>
      <c r="J397" s="4" t="s">
        <v>899</v>
      </c>
      <c r="K397" s="4" t="s">
        <v>893</v>
      </c>
      <c r="L397" s="4">
        <f>_xlfn.XLOOKUP(Table4[[#This Row],[Kontragentin adı]],Table2[Kontragentin adı],Table2[Müqavilə nömrəsi],"Xəta",0)</f>
        <v>0</v>
      </c>
      <c r="M397" s="4">
        <f>_xlfn.XLOOKUP(Table4[[#This Row],[Kontragentin adı]],Table2[Kontragentin adı],Table2[Müqavilə nömrəsi],"Xəta",0)</f>
        <v>0</v>
      </c>
    </row>
    <row r="398" spans="2:13" x14ac:dyDescent="0.3">
      <c r="B398" s="4">
        <f t="shared" si="6"/>
        <v>395</v>
      </c>
      <c r="C398" s="5">
        <v>46174</v>
      </c>
      <c r="D398" s="10" t="str" cm="1">
        <f t="array" ref="D398">_xlfn.XLOOKUP(Table4[[#This Row],[Malın kodu]],Table1[[#All],[Malın kodu]],Table1[[#All],[Malın adı]],"xəta",0)</f>
        <v>Əks klepan / d 80 mm / geri dönməyən</v>
      </c>
      <c r="E398" s="8" t="s">
        <v>1305</v>
      </c>
      <c r="F398" s="4" t="s">
        <v>920</v>
      </c>
      <c r="G398" s="4">
        <v>2</v>
      </c>
      <c r="H398" s="4"/>
      <c r="I398" s="4">
        <f>Table4[[#This Row],[Malın miqdarı]]*Table4[[#This Row],[Vahidin qiyməti]]</f>
        <v>0</v>
      </c>
      <c r="J398" s="4" t="s">
        <v>899</v>
      </c>
      <c r="K398" s="4" t="s">
        <v>893</v>
      </c>
      <c r="L398" s="4">
        <f>_xlfn.XLOOKUP(Table4[[#This Row],[Kontragentin adı]],Table2[Kontragentin adı],Table2[Müqavilə nömrəsi],"Xəta",0)</f>
        <v>0</v>
      </c>
      <c r="M398" s="4">
        <f>_xlfn.XLOOKUP(Table4[[#This Row],[Kontragentin adı]],Table2[Kontragentin adı],Table2[Müqavilə nömrəsi],"Xəta",0)</f>
        <v>0</v>
      </c>
    </row>
    <row r="399" spans="2:13" x14ac:dyDescent="0.3">
      <c r="B399" s="4">
        <f t="shared" si="6"/>
        <v>396</v>
      </c>
      <c r="C399" s="5">
        <v>46174</v>
      </c>
      <c r="D399" s="10" t="str" cm="1">
        <f t="array" ref="D399">_xlfn.XLOOKUP(Table4[[#This Row],[Malın kodu]],Table1[[#All],[Malın kodu]],Table1[[#All],[Malın adı]],"xəta",0)</f>
        <v>Əks klepan / d 40 mm / geri dönməyən</v>
      </c>
      <c r="E399" s="8" t="s">
        <v>1306</v>
      </c>
      <c r="F399" s="4" t="s">
        <v>920</v>
      </c>
      <c r="G399" s="4">
        <v>3</v>
      </c>
      <c r="H399" s="4"/>
      <c r="I399" s="4">
        <f>Table4[[#This Row],[Malın miqdarı]]*Table4[[#This Row],[Vahidin qiyməti]]</f>
        <v>0</v>
      </c>
      <c r="J399" s="4" t="s">
        <v>899</v>
      </c>
      <c r="K399" s="4" t="s">
        <v>893</v>
      </c>
      <c r="L399" s="4">
        <f>_xlfn.XLOOKUP(Table4[[#This Row],[Kontragentin adı]],Table2[Kontragentin adı],Table2[Müqavilə nömrəsi],"Xəta",0)</f>
        <v>0</v>
      </c>
      <c r="M399" s="4">
        <f>_xlfn.XLOOKUP(Table4[[#This Row],[Kontragentin adı]],Table2[Kontragentin adı],Table2[Müqavilə nömrəsi],"Xəta",0)</f>
        <v>0</v>
      </c>
    </row>
    <row r="400" spans="2:13" x14ac:dyDescent="0.3">
      <c r="B400" s="4">
        <f t="shared" si="6"/>
        <v>397</v>
      </c>
      <c r="C400" s="5">
        <v>46174</v>
      </c>
      <c r="D400" s="10" t="str" cm="1">
        <f t="array" ref="D400">_xlfn.XLOOKUP(Table4[[#This Row],[Malın kodu]],Table1[[#All],[Malın kodu]],Table1[[#All],[Malın adı]],"xəta",0)</f>
        <v>Əks klepan / d 150 mm / geri dönməyən</v>
      </c>
      <c r="E400" s="8" t="s">
        <v>1307</v>
      </c>
      <c r="F400" s="4" t="s">
        <v>920</v>
      </c>
      <c r="G400" s="4">
        <v>3</v>
      </c>
      <c r="H400" s="4"/>
      <c r="I400" s="4">
        <f>Table4[[#This Row],[Malın miqdarı]]*Table4[[#This Row],[Vahidin qiyməti]]</f>
        <v>0</v>
      </c>
      <c r="J400" s="4" t="s">
        <v>899</v>
      </c>
      <c r="K400" s="4" t="s">
        <v>893</v>
      </c>
      <c r="L400" s="4">
        <f>_xlfn.XLOOKUP(Table4[[#This Row],[Kontragentin adı]],Table2[Kontragentin adı],Table2[Müqavilə nömrəsi],"Xəta",0)</f>
        <v>0</v>
      </c>
      <c r="M400" s="4">
        <f>_xlfn.XLOOKUP(Table4[[#This Row],[Kontragentin adı]],Table2[Kontragentin adı],Table2[Müqavilə nömrəsi],"Xəta",0)</f>
        <v>0</v>
      </c>
    </row>
    <row r="401" spans="2:13" x14ac:dyDescent="0.3">
      <c r="B401" s="4">
        <f t="shared" si="6"/>
        <v>398</v>
      </c>
      <c r="C401" s="5">
        <v>46174</v>
      </c>
      <c r="D401" s="10" t="str" cm="1">
        <f t="array" ref="D401">_xlfn.XLOOKUP(Table4[[#This Row],[Malın kodu]],Table1[[#All],[Malın kodu]],Table1[[#All],[Malın adı]],"xəta",0)</f>
        <v>Əks klepan / d 100 mm / geri dönməyən</v>
      </c>
      <c r="E401" s="8" t="s">
        <v>1308</v>
      </c>
      <c r="F401" s="4" t="s">
        <v>920</v>
      </c>
      <c r="G401" s="4">
        <v>4</v>
      </c>
      <c r="H401" s="4"/>
      <c r="I401" s="4">
        <f>Table4[[#This Row],[Malın miqdarı]]*Table4[[#This Row],[Vahidin qiyməti]]</f>
        <v>0</v>
      </c>
      <c r="J401" s="4" t="s">
        <v>899</v>
      </c>
      <c r="K401" s="4" t="s">
        <v>893</v>
      </c>
      <c r="L401" s="4">
        <f>_xlfn.XLOOKUP(Table4[[#This Row],[Kontragentin adı]],Table2[Kontragentin adı],Table2[Müqavilə nömrəsi],"Xəta",0)</f>
        <v>0</v>
      </c>
      <c r="M401" s="4">
        <f>_xlfn.XLOOKUP(Table4[[#This Row],[Kontragentin adı]],Table2[Kontragentin adı],Table2[Müqavilə nömrəsi],"Xəta",0)</f>
        <v>0</v>
      </c>
    </row>
    <row r="402" spans="2:13" x14ac:dyDescent="0.3">
      <c r="B402" s="4">
        <f t="shared" si="6"/>
        <v>399</v>
      </c>
      <c r="C402" s="5">
        <v>46174</v>
      </c>
      <c r="D402" s="10" t="str" cm="1">
        <f t="array" ref="D402">_xlfn.XLOOKUP(Table4[[#This Row],[Malın kodu]],Table1[[#All],[Malın kodu]],Table1[[#All],[Malın adı]],"xəta",0)</f>
        <v>Əks klepan / d 65 mm / geri dönməyən</v>
      </c>
      <c r="E402" s="8" t="s">
        <v>1309</v>
      </c>
      <c r="F402" s="4" t="s">
        <v>920</v>
      </c>
      <c r="G402" s="4">
        <v>1</v>
      </c>
      <c r="H402" s="4"/>
      <c r="I402" s="4">
        <f>Table4[[#This Row],[Malın miqdarı]]*Table4[[#This Row],[Vahidin qiyməti]]</f>
        <v>0</v>
      </c>
      <c r="J402" s="4" t="s">
        <v>899</v>
      </c>
      <c r="K402" s="4" t="s">
        <v>893</v>
      </c>
      <c r="L402" s="4">
        <f>_xlfn.XLOOKUP(Table4[[#This Row],[Kontragentin adı]],Table2[Kontragentin adı],Table2[Müqavilə nömrəsi],"Xəta",0)</f>
        <v>0</v>
      </c>
      <c r="M402" s="4">
        <f>_xlfn.XLOOKUP(Table4[[#This Row],[Kontragentin adı]],Table2[Kontragentin adı],Table2[Müqavilə nömrəsi],"Xəta",0)</f>
        <v>0</v>
      </c>
    </row>
    <row r="403" spans="2:13" x14ac:dyDescent="0.3">
      <c r="B403" s="4">
        <f t="shared" si="6"/>
        <v>400</v>
      </c>
      <c r="C403" s="5">
        <v>46174</v>
      </c>
      <c r="D403" s="10" t="str" cm="1">
        <f t="array" ref="D403">_xlfn.XLOOKUP(Table4[[#This Row],[Malın kodu]],Table1[[#All],[Malın kodu]],Table1[[#All],[Malın adı]],"xəta",0)</f>
        <v>Bolt-qayka / M28 / L 150 mm / şayba ilə</v>
      </c>
      <c r="E403" s="8" t="s">
        <v>1310</v>
      </c>
      <c r="F403" s="4" t="s">
        <v>921</v>
      </c>
      <c r="G403" s="4">
        <v>19</v>
      </c>
      <c r="H403" s="4"/>
      <c r="I403" s="4">
        <f>Table4[[#This Row],[Malın miqdarı]]*Table4[[#This Row],[Vahidin qiyməti]]</f>
        <v>0</v>
      </c>
      <c r="J403" s="4" t="s">
        <v>899</v>
      </c>
      <c r="K403" s="4" t="s">
        <v>893</v>
      </c>
      <c r="L403" s="4">
        <f>_xlfn.XLOOKUP(Table4[[#This Row],[Kontragentin adı]],Table2[Kontragentin adı],Table2[Müqavilə nömrəsi],"Xəta",0)</f>
        <v>0</v>
      </c>
      <c r="M403" s="4">
        <f>_xlfn.XLOOKUP(Table4[[#This Row],[Kontragentin adı]],Table2[Kontragentin adı],Table2[Müqavilə nömrəsi],"Xəta",0)</f>
        <v>0</v>
      </c>
    </row>
    <row r="404" spans="2:13" x14ac:dyDescent="0.3">
      <c r="B404" s="4">
        <f t="shared" si="6"/>
        <v>401</v>
      </c>
      <c r="C404" s="5">
        <v>46174</v>
      </c>
      <c r="D404" s="10" t="str" cm="1">
        <f t="array" ref="D404">_xlfn.XLOOKUP(Table4[[#This Row],[Malın kodu]],Table1[[#All],[Malın kodu]],Table1[[#All],[Malın adı]],"xəta",0)</f>
        <v>Su filtri / d 20 mm / polipropilen / B</v>
      </c>
      <c r="E404" s="8" t="s">
        <v>1311</v>
      </c>
      <c r="F404" s="4" t="s">
        <v>920</v>
      </c>
      <c r="G404" s="4">
        <v>53</v>
      </c>
      <c r="H404" s="4"/>
      <c r="I404" s="4">
        <f>Table4[[#This Row],[Malın miqdarı]]*Table4[[#This Row],[Vahidin qiyməti]]</f>
        <v>0</v>
      </c>
      <c r="J404" s="4" t="s">
        <v>899</v>
      </c>
      <c r="K404" s="4" t="s">
        <v>893</v>
      </c>
      <c r="L404" s="4">
        <f>_xlfn.XLOOKUP(Table4[[#This Row],[Kontragentin adı]],Table2[Kontragentin adı],Table2[Müqavilə nömrəsi],"Xəta",0)</f>
        <v>0</v>
      </c>
      <c r="M404" s="4">
        <f>_xlfn.XLOOKUP(Table4[[#This Row],[Kontragentin adı]],Table2[Kontragentin adı],Table2[Müqavilə nömrəsi],"Xəta",0)</f>
        <v>0</v>
      </c>
    </row>
    <row r="405" spans="2:13" x14ac:dyDescent="0.3">
      <c r="B405" s="4">
        <f t="shared" si="6"/>
        <v>402</v>
      </c>
      <c r="C405" s="5">
        <v>46174</v>
      </c>
      <c r="D405" s="10" t="str" cm="1">
        <f t="array" ref="D405">_xlfn.XLOOKUP(Table4[[#This Row],[Malın kodu]],Table1[[#All],[Malın kodu]],Table1[[#All],[Malın adı]],"xəta",0)</f>
        <v>Qapaq / d 25 mm / polietilen</v>
      </c>
      <c r="E405" s="8" t="s">
        <v>1312</v>
      </c>
      <c r="F405" s="4" t="s">
        <v>920</v>
      </c>
      <c r="G405" s="4">
        <v>86</v>
      </c>
      <c r="H405" s="4"/>
      <c r="I405" s="4">
        <f>Table4[[#This Row],[Malın miqdarı]]*Table4[[#This Row],[Vahidin qiyməti]]</f>
        <v>0</v>
      </c>
      <c r="J405" s="4" t="s">
        <v>899</v>
      </c>
      <c r="K405" s="4" t="s">
        <v>893</v>
      </c>
      <c r="L405" s="4">
        <f>_xlfn.XLOOKUP(Table4[[#This Row],[Kontragentin adı]],Table2[Kontragentin adı],Table2[Müqavilə nömrəsi],"Xəta",0)</f>
        <v>0</v>
      </c>
      <c r="M405" s="4">
        <f>_xlfn.XLOOKUP(Table4[[#This Row],[Kontragentin adı]],Table2[Kontragentin adı],Table2[Müqavilə nömrəsi],"Xəta",0)</f>
        <v>0</v>
      </c>
    </row>
    <row r="406" spans="2:13" x14ac:dyDescent="0.3">
      <c r="B406" s="4">
        <f t="shared" si="6"/>
        <v>403</v>
      </c>
      <c r="C406" s="5">
        <v>46174</v>
      </c>
      <c r="D406" s="10" t="str" cm="1">
        <f t="array" ref="D406">_xlfn.XLOOKUP(Table4[[#This Row],[Malın kodu]],Table1[[#All],[Malın kodu]],Table1[[#All],[Malın adı]],"xəta",0)</f>
        <v>Mufta / d 40 mm / polietilen</v>
      </c>
      <c r="E406" s="8" t="s">
        <v>1313</v>
      </c>
      <c r="F406" s="4" t="s">
        <v>920</v>
      </c>
      <c r="G406" s="4">
        <v>15</v>
      </c>
      <c r="H406" s="4"/>
      <c r="I406" s="4">
        <f>Table4[[#This Row],[Malın miqdarı]]*Table4[[#This Row],[Vahidin qiyməti]]</f>
        <v>0</v>
      </c>
      <c r="J406" s="4" t="s">
        <v>899</v>
      </c>
      <c r="K406" s="4" t="s">
        <v>893</v>
      </c>
      <c r="L406" s="4">
        <f>_xlfn.XLOOKUP(Table4[[#This Row],[Kontragentin adı]],Table2[Kontragentin adı],Table2[Müqavilə nömrəsi],"Xəta",0)</f>
        <v>0</v>
      </c>
      <c r="M406" s="4">
        <f>_xlfn.XLOOKUP(Table4[[#This Row],[Kontragentin adı]],Table2[Kontragentin adı],Table2[Müqavilə nömrəsi],"Xəta",0)</f>
        <v>0</v>
      </c>
    </row>
    <row r="407" spans="2:13" x14ac:dyDescent="0.3">
      <c r="B407" s="4">
        <f t="shared" si="6"/>
        <v>404</v>
      </c>
      <c r="C407" s="5">
        <v>46174</v>
      </c>
      <c r="D407" s="10" t="str" cm="1">
        <f t="array" ref="D407">_xlfn.XLOOKUP(Table4[[#This Row],[Malın kodu]],Table1[[#All],[Malın kodu]],Table1[[#All],[Malın adı]],"xəta",0)</f>
        <v>Keçid mufta / d 40 mm / çöl yiv / polipropilen</v>
      </c>
      <c r="E407" s="8" t="s">
        <v>1314</v>
      </c>
      <c r="F407" s="4" t="s">
        <v>920</v>
      </c>
      <c r="G407" s="4">
        <v>1</v>
      </c>
      <c r="H407" s="4"/>
      <c r="I407" s="4">
        <f>Table4[[#This Row],[Malın miqdarı]]*Table4[[#This Row],[Vahidin qiyməti]]</f>
        <v>0</v>
      </c>
      <c r="J407" s="4" t="s">
        <v>899</v>
      </c>
      <c r="K407" s="4" t="s">
        <v>893</v>
      </c>
      <c r="L407" s="4">
        <f>_xlfn.XLOOKUP(Table4[[#This Row],[Kontragentin adı]],Table2[Kontragentin adı],Table2[Müqavilə nömrəsi],"Xəta",0)</f>
        <v>0</v>
      </c>
      <c r="M407" s="4">
        <f>_xlfn.XLOOKUP(Table4[[#This Row],[Kontragentin adı]],Table2[Kontragentin adı],Table2[Müqavilə nömrəsi],"Xəta",0)</f>
        <v>0</v>
      </c>
    </row>
    <row r="408" spans="2:13" x14ac:dyDescent="0.3">
      <c r="B408" s="4">
        <f t="shared" si="6"/>
        <v>405</v>
      </c>
      <c r="C408" s="5">
        <v>46174</v>
      </c>
      <c r="D408" s="10" t="str" cm="1">
        <f t="array" ref="D408">_xlfn.XLOOKUP(Table4[[#This Row],[Malın kodu]],Table1[[#All],[Malın kodu]],Table1[[#All],[Malın adı]],"xəta",0)</f>
        <v>Üçlük / 25 x 20 mm / polipropilen</v>
      </c>
      <c r="E408" s="8" t="s">
        <v>1315</v>
      </c>
      <c r="F408" s="4" t="s">
        <v>920</v>
      </c>
      <c r="G408" s="4">
        <v>6</v>
      </c>
      <c r="H408" s="4"/>
      <c r="I408" s="4">
        <f>Table4[[#This Row],[Malın miqdarı]]*Table4[[#This Row],[Vahidin qiyməti]]</f>
        <v>0</v>
      </c>
      <c r="J408" s="4" t="s">
        <v>899</v>
      </c>
      <c r="K408" s="4" t="s">
        <v>893</v>
      </c>
      <c r="L408" s="4">
        <f>_xlfn.XLOOKUP(Table4[[#This Row],[Kontragentin adı]],Table2[Kontragentin adı],Table2[Müqavilə nömrəsi],"Xəta",0)</f>
        <v>0</v>
      </c>
      <c r="M408" s="4">
        <f>_xlfn.XLOOKUP(Table4[[#This Row],[Kontragentin adı]],Table2[Kontragentin adı],Table2[Müqavilə nömrəsi],"Xəta",0)</f>
        <v>0</v>
      </c>
    </row>
    <row r="409" spans="2:13" x14ac:dyDescent="0.3">
      <c r="B409" s="4">
        <f t="shared" si="6"/>
        <v>406</v>
      </c>
      <c r="C409" s="5">
        <v>46174</v>
      </c>
      <c r="D409" s="10" t="str" cm="1">
        <f t="array" ref="D409">_xlfn.XLOOKUP(Table4[[#This Row],[Malın kodu]],Table1[[#All],[Malın kodu]],Table1[[#All],[Malın adı]],"xəta",0)</f>
        <v>Keçid mufta / d 25 mm / polipropilen / iç yiv</v>
      </c>
      <c r="E409" s="8" t="s">
        <v>1316</v>
      </c>
      <c r="F409" s="4" t="s">
        <v>920</v>
      </c>
      <c r="G409" s="4">
        <v>2</v>
      </c>
      <c r="H409" s="4"/>
      <c r="I409" s="4">
        <f>Table4[[#This Row],[Malın miqdarı]]*Table4[[#This Row],[Vahidin qiyməti]]</f>
        <v>0</v>
      </c>
      <c r="J409" s="4" t="s">
        <v>899</v>
      </c>
      <c r="K409" s="4" t="s">
        <v>893</v>
      </c>
      <c r="L409" s="4">
        <f>_xlfn.XLOOKUP(Table4[[#This Row],[Kontragentin adı]],Table2[Kontragentin adı],Table2[Müqavilə nömrəsi],"Xəta",0)</f>
        <v>0</v>
      </c>
      <c r="M409" s="4">
        <f>_xlfn.XLOOKUP(Table4[[#This Row],[Kontragentin adı]],Table2[Kontragentin adı],Table2[Müqavilə nömrəsi],"Xəta",0)</f>
        <v>0</v>
      </c>
    </row>
    <row r="410" spans="2:13" x14ac:dyDescent="0.3">
      <c r="B410" s="4">
        <f t="shared" si="6"/>
        <v>407</v>
      </c>
      <c r="C410" s="5">
        <v>46174</v>
      </c>
      <c r="D410" s="10" t="str" cm="1">
        <f t="array" ref="D410">_xlfn.XLOOKUP(Table4[[#This Row],[Malın kodu]],Table1[[#All],[Malın kodu]],Table1[[#All],[Malın adı]],"xəta",0)</f>
        <v>Keçid mufta / d 25 mm / polipropilen / çöl yiv</v>
      </c>
      <c r="E410" s="8" t="s">
        <v>1317</v>
      </c>
      <c r="F410" s="4" t="s">
        <v>920</v>
      </c>
      <c r="G410" s="4">
        <v>4</v>
      </c>
      <c r="H410" s="4"/>
      <c r="I410" s="4">
        <f>Table4[[#This Row],[Malın miqdarı]]*Table4[[#This Row],[Vahidin qiyməti]]</f>
        <v>0</v>
      </c>
      <c r="J410" s="4" t="s">
        <v>899</v>
      </c>
      <c r="K410" s="4" t="s">
        <v>893</v>
      </c>
      <c r="L410" s="4">
        <f>_xlfn.XLOOKUP(Table4[[#This Row],[Kontragentin adı]],Table2[Kontragentin adı],Table2[Müqavilə nömrəsi],"Xəta",0)</f>
        <v>0</v>
      </c>
      <c r="M410" s="4">
        <f>_xlfn.XLOOKUP(Table4[[#This Row],[Kontragentin adı]],Table2[Kontragentin adı],Table2[Müqavilə nömrəsi],"Xəta",0)</f>
        <v>0</v>
      </c>
    </row>
    <row r="411" spans="2:13" x14ac:dyDescent="0.3">
      <c r="B411" s="4">
        <f t="shared" si="6"/>
        <v>408</v>
      </c>
      <c r="C411" s="5">
        <v>46174</v>
      </c>
      <c r="D411" s="10" t="str" cm="1">
        <f t="array" ref="D411">_xlfn.XLOOKUP(Table4[[#This Row],[Malın kodu]],Table1[[#All],[Malın kodu]],Table1[[#All],[Malın adı]],"xəta",0)</f>
        <v>Keçid mufta / d 32 x 40 mm / polipropilen</v>
      </c>
      <c r="E411" s="8" t="s">
        <v>1318</v>
      </c>
      <c r="F411" s="4" t="s">
        <v>920</v>
      </c>
      <c r="G411" s="4">
        <v>1</v>
      </c>
      <c r="H411" s="4"/>
      <c r="I411" s="4">
        <f>Table4[[#This Row],[Malın miqdarı]]*Table4[[#This Row],[Vahidin qiyməti]]</f>
        <v>0</v>
      </c>
      <c r="J411" s="4" t="s">
        <v>899</v>
      </c>
      <c r="K411" s="4" t="s">
        <v>893</v>
      </c>
      <c r="L411" s="4">
        <f>_xlfn.XLOOKUP(Table4[[#This Row],[Kontragentin adı]],Table2[Kontragentin adı],Table2[Müqavilə nömrəsi],"Xəta",0)</f>
        <v>0</v>
      </c>
      <c r="M411" s="4">
        <f>_xlfn.XLOOKUP(Table4[[#This Row],[Kontragentin adı]],Table2[Kontragentin adı],Table2[Müqavilə nömrəsi],"Xəta",0)</f>
        <v>0</v>
      </c>
    </row>
    <row r="412" spans="2:13" x14ac:dyDescent="0.3">
      <c r="B412" s="4">
        <f t="shared" si="6"/>
        <v>409</v>
      </c>
      <c r="C412" s="5">
        <v>46174</v>
      </c>
      <c r="D412" s="10" t="str" cm="1">
        <f t="array" ref="D412">_xlfn.XLOOKUP(Table4[[#This Row],[Malın kodu]],Table1[[#All],[Malın kodu]],Table1[[#All],[Malın adı]],"xəta",0)</f>
        <v>Keçid mufta / d 25 x 32 mm / polipropilen</v>
      </c>
      <c r="E412" s="8" t="s">
        <v>1319</v>
      </c>
      <c r="F412" s="4" t="s">
        <v>920</v>
      </c>
      <c r="G412" s="4">
        <v>1</v>
      </c>
      <c r="H412" s="4"/>
      <c r="I412" s="4">
        <f>Table4[[#This Row],[Malın miqdarı]]*Table4[[#This Row],[Vahidin qiyməti]]</f>
        <v>0</v>
      </c>
      <c r="J412" s="4" t="s">
        <v>899</v>
      </c>
      <c r="K412" s="4" t="s">
        <v>893</v>
      </c>
      <c r="L412" s="4">
        <f>_xlfn.XLOOKUP(Table4[[#This Row],[Kontragentin adı]],Table2[Kontragentin adı],Table2[Müqavilə nömrəsi],"Xəta",0)</f>
        <v>0</v>
      </c>
      <c r="M412" s="4">
        <f>_xlfn.XLOOKUP(Table4[[#This Row],[Kontragentin adı]],Table2[Kontragentin adı],Table2[Müqavilə nömrəsi],"Xəta",0)</f>
        <v>0</v>
      </c>
    </row>
    <row r="413" spans="2:13" x14ac:dyDescent="0.3">
      <c r="B413" s="4">
        <f t="shared" si="6"/>
        <v>410</v>
      </c>
      <c r="C413" s="5">
        <v>46174</v>
      </c>
      <c r="D413" s="10" t="str" cm="1">
        <f t="array" ref="D413">_xlfn.XLOOKUP(Table4[[#This Row],[Malın kodu]],Table1[[#All],[Malın kodu]],Table1[[#All],[Malın adı]],"xəta",0)</f>
        <v>Dirsək / d 25 mm / polipropilen / çöl yiv / 90</v>
      </c>
      <c r="E413" s="8" t="s">
        <v>1320</v>
      </c>
      <c r="F413" s="4" t="s">
        <v>920</v>
      </c>
      <c r="G413" s="4">
        <v>1</v>
      </c>
      <c r="H413" s="4"/>
      <c r="I413" s="4">
        <f>Table4[[#This Row],[Malın miqdarı]]*Table4[[#This Row],[Vahidin qiyməti]]</f>
        <v>0</v>
      </c>
      <c r="J413" s="4" t="s">
        <v>899</v>
      </c>
      <c r="K413" s="4" t="s">
        <v>893</v>
      </c>
      <c r="L413" s="4">
        <f>_xlfn.XLOOKUP(Table4[[#This Row],[Kontragentin adı]],Table2[Kontragentin adı],Table2[Müqavilə nömrəsi],"Xəta",0)</f>
        <v>0</v>
      </c>
      <c r="M413" s="4">
        <f>_xlfn.XLOOKUP(Table4[[#This Row],[Kontragentin adı]],Table2[Kontragentin adı],Table2[Müqavilə nömrəsi],"Xəta",0)</f>
        <v>0</v>
      </c>
    </row>
    <row r="414" spans="2:13" x14ac:dyDescent="0.3">
      <c r="B414" s="4">
        <f t="shared" si="6"/>
        <v>411</v>
      </c>
      <c r="C414" s="5">
        <v>46174</v>
      </c>
      <c r="D414" s="10" t="str" cm="1">
        <f t="array" ref="D414">_xlfn.XLOOKUP(Table4[[#This Row],[Malın kodu]],Table1[[#All],[Malın kodu]],Table1[[#All],[Malın adı]],"xəta",0)</f>
        <v>Ventil / d 25 mm / polipropilen</v>
      </c>
      <c r="E414" s="8" t="s">
        <v>1321</v>
      </c>
      <c r="F414" s="4" t="s">
        <v>920</v>
      </c>
      <c r="G414" s="4">
        <v>1</v>
      </c>
      <c r="H414" s="4"/>
      <c r="I414" s="4">
        <f>Table4[[#This Row],[Malın miqdarı]]*Table4[[#This Row],[Vahidin qiyməti]]</f>
        <v>0</v>
      </c>
      <c r="J414" s="4" t="s">
        <v>899</v>
      </c>
      <c r="K414" s="4" t="s">
        <v>893</v>
      </c>
      <c r="L414" s="4">
        <f>_xlfn.XLOOKUP(Table4[[#This Row],[Kontragentin adı]],Table2[Kontragentin adı],Table2[Müqavilə nömrəsi],"Xəta",0)</f>
        <v>0</v>
      </c>
      <c r="M414" s="4">
        <f>_xlfn.XLOOKUP(Table4[[#This Row],[Kontragentin adı]],Table2[Kontragentin adı],Table2[Müqavilə nömrəsi],"Xəta",0)</f>
        <v>0</v>
      </c>
    </row>
    <row r="415" spans="2:13" x14ac:dyDescent="0.3">
      <c r="B415" s="4">
        <f t="shared" si="6"/>
        <v>412</v>
      </c>
      <c r="C415" s="5">
        <v>46174</v>
      </c>
      <c r="D415" s="10" t="str" cm="1">
        <f t="array" ref="D415">_xlfn.XLOOKUP(Table4[[#This Row],[Malın kodu]],Table1[[#All],[Malın kodu]],Table1[[#All],[Malın adı]],"xəta",0)</f>
        <v>Üçlük / d 20 x 40 mm / polipropilen</v>
      </c>
      <c r="E415" s="8" t="s">
        <v>1322</v>
      </c>
      <c r="F415" s="4" t="s">
        <v>920</v>
      </c>
      <c r="G415" s="4">
        <v>1</v>
      </c>
      <c r="H415" s="4"/>
      <c r="I415" s="4">
        <f>Table4[[#This Row],[Malın miqdarı]]*Table4[[#This Row],[Vahidin qiyməti]]</f>
        <v>0</v>
      </c>
      <c r="J415" s="4" t="s">
        <v>899</v>
      </c>
      <c r="K415" s="4" t="s">
        <v>893</v>
      </c>
      <c r="L415" s="4">
        <f>_xlfn.XLOOKUP(Table4[[#This Row],[Kontragentin adı]],Table2[Kontragentin adı],Table2[Müqavilə nömrəsi],"Xəta",0)</f>
        <v>0</v>
      </c>
      <c r="M415" s="4">
        <f>_xlfn.XLOOKUP(Table4[[#This Row],[Kontragentin adı]],Table2[Kontragentin adı],Table2[Müqavilə nömrəsi],"Xəta",0)</f>
        <v>0</v>
      </c>
    </row>
    <row r="416" spans="2:13" x14ac:dyDescent="0.3">
      <c r="B416" s="4">
        <f t="shared" si="6"/>
        <v>413</v>
      </c>
      <c r="C416" s="5">
        <v>46174</v>
      </c>
      <c r="D416" s="10" t="str" cm="1">
        <f t="array" ref="D416">_xlfn.XLOOKUP(Table4[[#This Row],[Malın kodu]],Table1[[#All],[Malın kodu]],Table1[[#All],[Malın adı]],"xəta",0)</f>
        <v>Üçlük / d 20 x 25 mm / polipropilen</v>
      </c>
      <c r="E416" s="8" t="s">
        <v>1323</v>
      </c>
      <c r="F416" s="4" t="s">
        <v>920</v>
      </c>
      <c r="G416" s="4">
        <v>2</v>
      </c>
      <c r="H416" s="4"/>
      <c r="I416" s="4">
        <f>Table4[[#This Row],[Malın miqdarı]]*Table4[[#This Row],[Vahidin qiyməti]]</f>
        <v>0</v>
      </c>
      <c r="J416" s="4" t="s">
        <v>899</v>
      </c>
      <c r="K416" s="4" t="s">
        <v>893</v>
      </c>
      <c r="L416" s="4">
        <f>_xlfn.XLOOKUP(Table4[[#This Row],[Kontragentin adı]],Table2[Kontragentin adı],Table2[Müqavilə nömrəsi],"Xəta",0)</f>
        <v>0</v>
      </c>
      <c r="M416" s="4">
        <f>_xlfn.XLOOKUP(Table4[[#This Row],[Kontragentin adı]],Table2[Kontragentin adı],Table2[Müqavilə nömrəsi],"Xəta",0)</f>
        <v>0</v>
      </c>
    </row>
    <row r="417" spans="2:13" x14ac:dyDescent="0.3">
      <c r="B417" s="4">
        <f t="shared" si="6"/>
        <v>414</v>
      </c>
      <c r="C417" s="5">
        <v>46174</v>
      </c>
      <c r="D417" s="10" t="str" cm="1">
        <f t="array" ref="D417">_xlfn.XLOOKUP(Table4[[#This Row],[Malın kodu]],Table1[[#All],[Malın kodu]],Table1[[#All],[Malın adı]],"xəta",0)</f>
        <v>Mufta / d 25 mm / polipropilen / dolama</v>
      </c>
      <c r="E417" s="8" t="s">
        <v>1324</v>
      </c>
      <c r="F417" s="4" t="s">
        <v>920</v>
      </c>
      <c r="G417" s="4">
        <v>10</v>
      </c>
      <c r="H417" s="4"/>
      <c r="I417" s="4">
        <f>Table4[[#This Row],[Malın miqdarı]]*Table4[[#This Row],[Vahidin qiyməti]]</f>
        <v>0</v>
      </c>
      <c r="J417" s="4" t="s">
        <v>899</v>
      </c>
      <c r="K417" s="4" t="s">
        <v>893</v>
      </c>
      <c r="L417" s="4">
        <f>_xlfn.XLOOKUP(Table4[[#This Row],[Kontragentin adı]],Table2[Kontragentin adı],Table2[Müqavilə nömrəsi],"Xəta",0)</f>
        <v>0</v>
      </c>
      <c r="M417" s="4">
        <f>_xlfn.XLOOKUP(Table4[[#This Row],[Kontragentin adı]],Table2[Kontragentin adı],Table2[Müqavilə nömrəsi],"Xəta",0)</f>
        <v>0</v>
      </c>
    </row>
    <row r="418" spans="2:13" x14ac:dyDescent="0.3">
      <c r="B418" s="4">
        <f t="shared" si="6"/>
        <v>415</v>
      </c>
      <c r="C418" s="5">
        <v>46174</v>
      </c>
      <c r="D418" s="10" t="str" cm="1">
        <f t="array" ref="D418">_xlfn.XLOOKUP(Table4[[#This Row],[Malın kodu]],Table1[[#All],[Malın kodu]],Table1[[#All],[Malın adı]],"xəta",0)</f>
        <v>Mufta / d 63 mm / polipropilen</v>
      </c>
      <c r="E418" s="8" t="s">
        <v>1325</v>
      </c>
      <c r="F418" s="4" t="s">
        <v>920</v>
      </c>
      <c r="G418" s="4">
        <v>2</v>
      </c>
      <c r="H418" s="4"/>
      <c r="I418" s="4">
        <f>Table4[[#This Row],[Malın miqdarı]]*Table4[[#This Row],[Vahidin qiyməti]]</f>
        <v>0</v>
      </c>
      <c r="J418" s="4" t="s">
        <v>899</v>
      </c>
      <c r="K418" s="4" t="s">
        <v>893</v>
      </c>
      <c r="L418" s="4">
        <f>_xlfn.XLOOKUP(Table4[[#This Row],[Kontragentin adı]],Table2[Kontragentin adı],Table2[Müqavilə nömrəsi],"Xəta",0)</f>
        <v>0</v>
      </c>
      <c r="M418" s="4">
        <f>_xlfn.XLOOKUP(Table4[[#This Row],[Kontragentin adı]],Table2[Kontragentin adı],Table2[Müqavilə nömrəsi],"Xəta",0)</f>
        <v>0</v>
      </c>
    </row>
    <row r="419" spans="2:13" x14ac:dyDescent="0.3">
      <c r="B419" s="4">
        <f t="shared" si="6"/>
        <v>416</v>
      </c>
      <c r="C419" s="5">
        <v>46174</v>
      </c>
      <c r="D419" s="10" t="str" cm="1">
        <f t="array" ref="D419">_xlfn.XLOOKUP(Table4[[#This Row],[Malın kodu]],Table1[[#All],[Malın kodu]],Table1[[#All],[Malın adı]],"xəta",0)</f>
        <v>Dirsək / d 63 mm / polipropilen</v>
      </c>
      <c r="E419" s="8" t="s">
        <v>1326</v>
      </c>
      <c r="F419" s="4" t="s">
        <v>920</v>
      </c>
      <c r="G419" s="4">
        <v>1</v>
      </c>
      <c r="H419" s="4"/>
      <c r="I419" s="4">
        <f>Table4[[#This Row],[Malın miqdarı]]*Table4[[#This Row],[Vahidin qiyməti]]</f>
        <v>0</v>
      </c>
      <c r="J419" s="4" t="s">
        <v>899</v>
      </c>
      <c r="K419" s="4" t="s">
        <v>893</v>
      </c>
      <c r="L419" s="4">
        <f>_xlfn.XLOOKUP(Table4[[#This Row],[Kontragentin adı]],Table2[Kontragentin adı],Table2[Müqavilə nömrəsi],"Xəta",0)</f>
        <v>0</v>
      </c>
      <c r="M419" s="4">
        <f>_xlfn.XLOOKUP(Table4[[#This Row],[Kontragentin adı]],Table2[Kontragentin adı],Table2[Müqavilə nömrəsi],"Xəta",0)</f>
        <v>0</v>
      </c>
    </row>
    <row r="420" spans="2:13" x14ac:dyDescent="0.3">
      <c r="B420" s="4">
        <f t="shared" si="6"/>
        <v>417</v>
      </c>
      <c r="C420" s="5">
        <v>46174</v>
      </c>
      <c r="D420" s="10" t="str" cm="1">
        <f t="array" ref="D420">_xlfn.XLOOKUP(Table4[[#This Row],[Malın kodu]],Table1[[#All],[Malın kodu]],Table1[[#All],[Malın adı]],"xəta",0)</f>
        <v>Keçid / d 50 x 75 mm / polipropilen</v>
      </c>
      <c r="E420" s="8" t="s">
        <v>1327</v>
      </c>
      <c r="F420" s="4" t="s">
        <v>920</v>
      </c>
      <c r="G420" s="4">
        <v>1</v>
      </c>
      <c r="H420" s="4"/>
      <c r="I420" s="4">
        <f>Table4[[#This Row],[Malın miqdarı]]*Table4[[#This Row],[Vahidin qiyməti]]</f>
        <v>0</v>
      </c>
      <c r="J420" s="4" t="s">
        <v>899</v>
      </c>
      <c r="K420" s="4" t="s">
        <v>893</v>
      </c>
      <c r="L420" s="4">
        <f>_xlfn.XLOOKUP(Table4[[#This Row],[Kontragentin adı]],Table2[Kontragentin adı],Table2[Müqavilə nömrəsi],"Xəta",0)</f>
        <v>0</v>
      </c>
      <c r="M420" s="4">
        <f>_xlfn.XLOOKUP(Table4[[#This Row],[Kontragentin adı]],Table2[Kontragentin adı],Table2[Müqavilə nömrəsi],"Xəta",0)</f>
        <v>0</v>
      </c>
    </row>
    <row r="421" spans="2:13" x14ac:dyDescent="0.3">
      <c r="B421" s="4">
        <f t="shared" si="6"/>
        <v>418</v>
      </c>
      <c r="C421" s="5">
        <v>46174</v>
      </c>
      <c r="D421" s="10" t="str" cm="1">
        <f t="array" ref="D421">_xlfn.XLOOKUP(Table4[[#This Row],[Malın kodu]],Table1[[#All],[Malın kodu]],Table1[[#All],[Malın adı]],"xəta",0)</f>
        <v>Dirsək / d 25 mm / polipropilen / 45°</v>
      </c>
      <c r="E421" s="8" t="s">
        <v>1328</v>
      </c>
      <c r="F421" s="4" t="s">
        <v>920</v>
      </c>
      <c r="G421" s="4">
        <v>1</v>
      </c>
      <c r="H421" s="4"/>
      <c r="I421" s="4">
        <f>Table4[[#This Row],[Malın miqdarı]]*Table4[[#This Row],[Vahidin qiyməti]]</f>
        <v>0</v>
      </c>
      <c r="J421" s="4" t="s">
        <v>899</v>
      </c>
      <c r="K421" s="4" t="s">
        <v>893</v>
      </c>
      <c r="L421" s="4">
        <f>_xlfn.XLOOKUP(Table4[[#This Row],[Kontragentin adı]],Table2[Kontragentin adı],Table2[Müqavilə nömrəsi],"Xəta",0)</f>
        <v>0</v>
      </c>
      <c r="M421" s="4">
        <f>_xlfn.XLOOKUP(Table4[[#This Row],[Kontragentin adı]],Table2[Kontragentin adı],Table2[Müqavilə nömrəsi],"Xəta",0)</f>
        <v>0</v>
      </c>
    </row>
    <row r="422" spans="2:13" x14ac:dyDescent="0.3">
      <c r="B422" s="4">
        <f t="shared" si="6"/>
        <v>419</v>
      </c>
      <c r="C422" s="5">
        <v>46174</v>
      </c>
      <c r="D422" s="10" t="str" cm="1">
        <f t="array" ref="D422">_xlfn.XLOOKUP(Table4[[#This Row],[Malın kodu]],Table1[[#All],[Malın kodu]],Table1[[#All],[Malın adı]],"xəta",0)</f>
        <v>Mufta / d 25 mm / polipropilen</v>
      </c>
      <c r="E422" s="8" t="s">
        <v>1329</v>
      </c>
      <c r="F422" s="4" t="s">
        <v>920</v>
      </c>
      <c r="G422" s="4">
        <v>1</v>
      </c>
      <c r="H422" s="4"/>
      <c r="I422" s="4">
        <f>Table4[[#This Row],[Malın miqdarı]]*Table4[[#This Row],[Vahidin qiyməti]]</f>
        <v>0</v>
      </c>
      <c r="J422" s="4" t="s">
        <v>899</v>
      </c>
      <c r="K422" s="4" t="s">
        <v>893</v>
      </c>
      <c r="L422" s="4">
        <f>_xlfn.XLOOKUP(Table4[[#This Row],[Kontragentin adı]],Table2[Kontragentin adı],Table2[Müqavilə nömrəsi],"Xəta",0)</f>
        <v>0</v>
      </c>
      <c r="M422" s="4">
        <f>_xlfn.XLOOKUP(Table4[[#This Row],[Kontragentin adı]],Table2[Kontragentin adı],Table2[Müqavilə nömrəsi],"Xəta",0)</f>
        <v>0</v>
      </c>
    </row>
    <row r="423" spans="2:13" x14ac:dyDescent="0.3">
      <c r="B423" s="4">
        <f t="shared" si="6"/>
        <v>420</v>
      </c>
      <c r="C423" s="5">
        <v>46174</v>
      </c>
      <c r="D423" s="10" t="str" cm="1">
        <f t="array" ref="D423">_xlfn.XLOOKUP(Table4[[#This Row],[Malın kodu]],Table1[[#All],[Malın kodu]],Table1[[#All],[Malın adı]],"xəta",0)</f>
        <v>Dirsək / d 40 mm / polipropilen / 45°</v>
      </c>
      <c r="E423" s="8" t="s">
        <v>1330</v>
      </c>
      <c r="F423" s="4" t="s">
        <v>920</v>
      </c>
      <c r="G423" s="4">
        <v>1</v>
      </c>
      <c r="H423" s="4"/>
      <c r="I423" s="4">
        <f>Table4[[#This Row],[Malın miqdarı]]*Table4[[#This Row],[Vahidin qiyməti]]</f>
        <v>0</v>
      </c>
      <c r="J423" s="4" t="s">
        <v>899</v>
      </c>
      <c r="K423" s="4" t="s">
        <v>893</v>
      </c>
      <c r="L423" s="4">
        <f>_xlfn.XLOOKUP(Table4[[#This Row],[Kontragentin adı]],Table2[Kontragentin adı],Table2[Müqavilə nömrəsi],"Xəta",0)</f>
        <v>0</v>
      </c>
      <c r="M423" s="4">
        <f>_xlfn.XLOOKUP(Table4[[#This Row],[Kontragentin adı]],Table2[Kontragentin adı],Table2[Müqavilə nömrəsi],"Xəta",0)</f>
        <v>0</v>
      </c>
    </row>
    <row r="424" spans="2:13" x14ac:dyDescent="0.3">
      <c r="B424" s="4">
        <f t="shared" si="6"/>
        <v>421</v>
      </c>
      <c r="C424" s="5">
        <v>46174</v>
      </c>
      <c r="D424" s="10" t="str" cm="1">
        <f t="array" ref="D424">_xlfn.XLOOKUP(Table4[[#This Row],[Malın kodu]],Table1[[#All],[Malın kodu]],Table1[[#All],[Malın adı]],"xəta",0)</f>
        <v>Keçid / d 25 x 50 mm / polipropilen</v>
      </c>
      <c r="E424" s="8" t="s">
        <v>1331</v>
      </c>
      <c r="F424" s="4" t="s">
        <v>920</v>
      </c>
      <c r="G424" s="4">
        <v>1</v>
      </c>
      <c r="H424" s="4"/>
      <c r="I424" s="4">
        <f>Table4[[#This Row],[Malın miqdarı]]*Table4[[#This Row],[Vahidin qiyməti]]</f>
        <v>0</v>
      </c>
      <c r="J424" s="4" t="s">
        <v>899</v>
      </c>
      <c r="K424" s="4" t="s">
        <v>893</v>
      </c>
      <c r="L424" s="4">
        <f>_xlfn.XLOOKUP(Table4[[#This Row],[Kontragentin adı]],Table2[Kontragentin adı],Table2[Müqavilə nömrəsi],"Xəta",0)</f>
        <v>0</v>
      </c>
      <c r="M424" s="4">
        <f>_xlfn.XLOOKUP(Table4[[#This Row],[Kontragentin adı]],Table2[Kontragentin adı],Table2[Müqavilə nömrəsi],"Xəta",0)</f>
        <v>0</v>
      </c>
    </row>
    <row r="425" spans="2:13" x14ac:dyDescent="0.3">
      <c r="B425" s="4">
        <f t="shared" si="6"/>
        <v>422</v>
      </c>
      <c r="C425" s="5">
        <v>46174</v>
      </c>
      <c r="D425" s="10" t="str" cm="1">
        <f t="array" ref="D425">_xlfn.XLOOKUP(Table4[[#This Row],[Malın kodu]],Table1[[#All],[Malın kodu]],Table1[[#All],[Malın adı]],"xəta",0)</f>
        <v>Mufta / d 32 mm / polietilen / elektrofizyon / A</v>
      </c>
      <c r="E425" s="8" t="s">
        <v>1332</v>
      </c>
      <c r="F425" s="4" t="s">
        <v>920</v>
      </c>
      <c r="G425" s="4">
        <v>1</v>
      </c>
      <c r="H425" s="4"/>
      <c r="I425" s="4">
        <f>Table4[[#This Row],[Malın miqdarı]]*Table4[[#This Row],[Vahidin qiyməti]]</f>
        <v>0</v>
      </c>
      <c r="J425" s="4" t="s">
        <v>899</v>
      </c>
      <c r="K425" s="4" t="s">
        <v>893</v>
      </c>
      <c r="L425" s="4">
        <f>_xlfn.XLOOKUP(Table4[[#This Row],[Kontragentin adı]],Table2[Kontragentin adı],Table2[Müqavilə nömrəsi],"Xəta",0)</f>
        <v>0</v>
      </c>
      <c r="M425" s="4">
        <f>_xlfn.XLOOKUP(Table4[[#This Row],[Kontragentin adı]],Table2[Kontragentin adı],Table2[Müqavilə nömrəsi],"Xəta",0)</f>
        <v>0</v>
      </c>
    </row>
    <row r="426" spans="2:13" x14ac:dyDescent="0.3">
      <c r="B426" s="4">
        <f t="shared" si="6"/>
        <v>423</v>
      </c>
      <c r="C426" s="5">
        <v>46174</v>
      </c>
      <c r="D426" s="10" t="str" cm="1">
        <f t="array" ref="D426">_xlfn.XLOOKUP(Table4[[#This Row],[Malın kodu]],Table1[[#All],[Malın kodu]],Table1[[#All],[Malın adı]],"xəta",0)</f>
        <v>Dirsək / d 32 mm / PVC U /  90°</v>
      </c>
      <c r="E426" s="8" t="s">
        <v>1333</v>
      </c>
      <c r="F426" s="4" t="s">
        <v>920</v>
      </c>
      <c r="G426" s="4">
        <v>1</v>
      </c>
      <c r="H426" s="4"/>
      <c r="I426" s="4">
        <f>Table4[[#This Row],[Malın miqdarı]]*Table4[[#This Row],[Vahidin qiyməti]]</f>
        <v>0</v>
      </c>
      <c r="J426" s="4" t="s">
        <v>899</v>
      </c>
      <c r="K426" s="4" t="s">
        <v>893</v>
      </c>
      <c r="L426" s="4">
        <f>_xlfn.XLOOKUP(Table4[[#This Row],[Kontragentin adı]],Table2[Kontragentin adı],Table2[Müqavilə nömrəsi],"Xəta",0)</f>
        <v>0</v>
      </c>
      <c r="M426" s="4">
        <f>_xlfn.XLOOKUP(Table4[[#This Row],[Kontragentin adı]],Table2[Kontragentin adı],Table2[Müqavilə nömrəsi],"Xəta",0)</f>
        <v>0</v>
      </c>
    </row>
    <row r="427" spans="2:13" x14ac:dyDescent="0.3">
      <c r="B427" s="4">
        <f t="shared" si="6"/>
        <v>424</v>
      </c>
      <c r="C427" s="5">
        <v>46174</v>
      </c>
      <c r="D427" s="10" t="str" cm="1">
        <f t="array" ref="D427">_xlfn.XLOOKUP(Table4[[#This Row],[Malın kodu]],Table1[[#All],[Malın kodu]],Table1[[#All],[Malın adı]],"xəta",0)</f>
        <v>Üçlük / d 25 x 20 mm / polipropilen</v>
      </c>
      <c r="E427" s="8" t="s">
        <v>1334</v>
      </c>
      <c r="F427" s="4" t="s">
        <v>920</v>
      </c>
      <c r="G427" s="4">
        <v>1</v>
      </c>
      <c r="H427" s="4"/>
      <c r="I427" s="4">
        <f>Table4[[#This Row],[Malın miqdarı]]*Table4[[#This Row],[Vahidin qiyməti]]</f>
        <v>0</v>
      </c>
      <c r="J427" s="4" t="s">
        <v>899</v>
      </c>
      <c r="K427" s="4" t="s">
        <v>893</v>
      </c>
      <c r="L427" s="4">
        <f>_xlfn.XLOOKUP(Table4[[#This Row],[Kontragentin adı]],Table2[Kontragentin adı],Table2[Müqavilə nömrəsi],"Xəta",0)</f>
        <v>0</v>
      </c>
      <c r="M427" s="4">
        <f>_xlfn.XLOOKUP(Table4[[#This Row],[Kontragentin adı]],Table2[Kontragentin adı],Table2[Müqavilə nömrəsi],"Xəta",0)</f>
        <v>0</v>
      </c>
    </row>
    <row r="428" spans="2:13" x14ac:dyDescent="0.3">
      <c r="B428" s="4">
        <f t="shared" si="6"/>
        <v>425</v>
      </c>
      <c r="C428" s="5">
        <v>46174</v>
      </c>
      <c r="D428" s="10" t="str" cm="1">
        <f t="array" ref="D428">_xlfn.XLOOKUP(Table4[[#This Row],[Malın kodu]],Table1[[#All],[Malın kodu]],Table1[[#All],[Malın adı]],"xəta",0)</f>
        <v>Kabel / 4 x 0.22 / internet</v>
      </c>
      <c r="E428" s="8" t="s">
        <v>1335</v>
      </c>
      <c r="F428" s="4" t="s">
        <v>925</v>
      </c>
      <c r="G428" s="4">
        <v>115</v>
      </c>
      <c r="H428" s="4"/>
      <c r="I428" s="4">
        <f>Table4[[#This Row],[Malın miqdarı]]*Table4[[#This Row],[Vahidin qiyməti]]</f>
        <v>0</v>
      </c>
      <c r="J428" s="4" t="s">
        <v>899</v>
      </c>
      <c r="K428" s="4" t="s">
        <v>893</v>
      </c>
      <c r="L428" s="4">
        <f>_xlfn.XLOOKUP(Table4[[#This Row],[Kontragentin adı]],Table2[Kontragentin adı],Table2[Müqavilə nömrəsi],"Xəta",0)</f>
        <v>0</v>
      </c>
      <c r="M428" s="4">
        <f>_xlfn.XLOOKUP(Table4[[#This Row],[Kontragentin adı]],Table2[Kontragentin adı],Table2[Müqavilə nömrəsi],"Xəta",0)</f>
        <v>0</v>
      </c>
    </row>
    <row r="429" spans="2:13" x14ac:dyDescent="0.3">
      <c r="B429" s="4">
        <f t="shared" si="6"/>
        <v>426</v>
      </c>
      <c r="C429" s="5">
        <v>46174</v>
      </c>
      <c r="D429" s="10" t="str" cm="1">
        <f t="array" ref="D429">_xlfn.XLOOKUP(Table4[[#This Row],[Malın kodu]],Table1[[#All],[Malın kodu]],Table1[[#All],[Malın adı]],"xəta",0)</f>
        <v>Üz qoruyucu sipər / şəffav plastik</v>
      </c>
      <c r="E429" s="8" t="s">
        <v>1336</v>
      </c>
      <c r="F429" s="4" t="s">
        <v>921</v>
      </c>
      <c r="G429" s="4">
        <v>1</v>
      </c>
      <c r="H429" s="4"/>
      <c r="I429" s="4">
        <f>Table4[[#This Row],[Malın miqdarı]]*Table4[[#This Row],[Vahidin qiyməti]]</f>
        <v>0</v>
      </c>
      <c r="J429" s="4" t="s">
        <v>899</v>
      </c>
      <c r="K429" s="4" t="s">
        <v>893</v>
      </c>
      <c r="L429" s="4">
        <f>_xlfn.XLOOKUP(Table4[[#This Row],[Kontragentin adı]],Table2[Kontragentin adı],Table2[Müqavilə nömrəsi],"Xəta",0)</f>
        <v>0</v>
      </c>
      <c r="M429" s="4">
        <f>_xlfn.XLOOKUP(Table4[[#This Row],[Kontragentin adı]],Table2[Kontragentin adı],Table2[Müqavilə nömrəsi],"Xəta",0)</f>
        <v>0</v>
      </c>
    </row>
    <row r="430" spans="2:13" x14ac:dyDescent="0.3">
      <c r="B430" s="4">
        <f t="shared" si="6"/>
        <v>427</v>
      </c>
      <c r="C430" s="5">
        <v>46174</v>
      </c>
      <c r="D430" s="10" t="str" cm="1">
        <f t="array" ref="D430">_xlfn.XLOOKUP(Table4[[#This Row],[Malın kodu]],Table1[[#All],[Malın kodu]],Table1[[#All],[Malın adı]],"xəta",0)</f>
        <v>Suqızdırıcısı / spirallı / "Cemsan" / Türkiyə istehsalı</v>
      </c>
      <c r="E430" s="8" t="s">
        <v>1337</v>
      </c>
      <c r="F430" s="4" t="s">
        <v>920</v>
      </c>
      <c r="G430" s="4">
        <v>1</v>
      </c>
      <c r="H430" s="4"/>
      <c r="I430" s="4">
        <f>Table4[[#This Row],[Malın miqdarı]]*Table4[[#This Row],[Vahidin qiyməti]]</f>
        <v>0</v>
      </c>
      <c r="J430" s="4" t="s">
        <v>899</v>
      </c>
      <c r="K430" s="4" t="s">
        <v>893</v>
      </c>
      <c r="L430" s="4">
        <f>_xlfn.XLOOKUP(Table4[[#This Row],[Kontragentin adı]],Table2[Kontragentin adı],Table2[Müqavilə nömrəsi],"Xəta",0)</f>
        <v>0</v>
      </c>
      <c r="M430" s="4">
        <f>_xlfn.XLOOKUP(Table4[[#This Row],[Kontragentin adı]],Table2[Kontragentin adı],Table2[Müqavilə nömrəsi],"Xəta",0)</f>
        <v>0</v>
      </c>
    </row>
    <row r="431" spans="2:13" x14ac:dyDescent="0.3">
      <c r="B431" s="4">
        <f t="shared" si="6"/>
        <v>428</v>
      </c>
      <c r="C431" s="5">
        <v>46174</v>
      </c>
      <c r="D431" s="10" t="str" cm="1">
        <f t="array" ref="D431">_xlfn.XLOOKUP(Table4[[#This Row],[Malın kodu]],Table1[[#All],[Malın kodu]],Table1[[#All],[Malın adı]],"xəta",0)</f>
        <v>Tıxac / şurup üçün / 6-lıq / plastik</v>
      </c>
      <c r="E431" s="8" t="s">
        <v>1338</v>
      </c>
      <c r="F431" s="4" t="s">
        <v>922</v>
      </c>
      <c r="G431" s="4">
        <v>1</v>
      </c>
      <c r="H431" s="4"/>
      <c r="I431" s="4">
        <f>Table4[[#This Row],[Malın miqdarı]]*Table4[[#This Row],[Vahidin qiyməti]]</f>
        <v>0</v>
      </c>
      <c r="J431" s="4" t="s">
        <v>899</v>
      </c>
      <c r="K431" s="4" t="s">
        <v>893</v>
      </c>
      <c r="L431" s="4">
        <f>_xlfn.XLOOKUP(Table4[[#This Row],[Kontragentin adı]],Table2[Kontragentin adı],Table2[Müqavilə nömrəsi],"Xəta",0)</f>
        <v>0</v>
      </c>
      <c r="M431" s="4">
        <f>_xlfn.XLOOKUP(Table4[[#This Row],[Kontragentin adı]],Table2[Kontragentin adı],Table2[Müqavilə nömrəsi],"Xəta",0)</f>
        <v>0</v>
      </c>
    </row>
    <row r="432" spans="2:13" x14ac:dyDescent="0.3">
      <c r="B432" s="4">
        <f t="shared" si="6"/>
        <v>429</v>
      </c>
      <c r="C432" s="5">
        <v>46174</v>
      </c>
      <c r="D432" s="10" t="str" cm="1">
        <f t="array" ref="D432">_xlfn.XLOOKUP(Table4[[#This Row],[Malın kodu]],Table1[[#All],[Malın kodu]],Table1[[#All],[Malın adı]],"xəta",0)</f>
        <v>Tıxac / şurup üçün / 10-luq / plastik</v>
      </c>
      <c r="E432" s="8" t="s">
        <v>1339</v>
      </c>
      <c r="F432" s="4" t="s">
        <v>922</v>
      </c>
      <c r="G432" s="4">
        <v>1</v>
      </c>
      <c r="H432" s="4"/>
      <c r="I432" s="4">
        <f>Table4[[#This Row],[Malın miqdarı]]*Table4[[#This Row],[Vahidin qiyməti]]</f>
        <v>0</v>
      </c>
      <c r="J432" s="4" t="s">
        <v>899</v>
      </c>
      <c r="K432" s="4" t="s">
        <v>893</v>
      </c>
      <c r="L432" s="4">
        <f>_xlfn.XLOOKUP(Table4[[#This Row],[Kontragentin adı]],Table2[Kontragentin adı],Table2[Müqavilə nömrəsi],"Xəta",0)</f>
        <v>0</v>
      </c>
      <c r="M432" s="4">
        <f>_xlfn.XLOOKUP(Table4[[#This Row],[Kontragentin adı]],Table2[Kontragentin adı],Table2[Müqavilə nömrəsi],"Xəta",0)</f>
        <v>0</v>
      </c>
    </row>
    <row r="433" spans="2:13" x14ac:dyDescent="0.3">
      <c r="B433" s="4">
        <f t="shared" si="6"/>
        <v>430</v>
      </c>
      <c r="C433" s="5">
        <v>46174</v>
      </c>
      <c r="D433" s="10" t="str" cm="1">
        <f t="array" ref="D433">_xlfn.XLOOKUP(Table4[[#This Row],[Malın kodu]],Table1[[#All],[Malın kodu]],Table1[[#All],[Malın adı]],"xəta",0)</f>
        <v>Üçlük / d 32 mm / polietilen / A</v>
      </c>
      <c r="E433" s="8" t="s">
        <v>1340</v>
      </c>
      <c r="F433" s="4" t="s">
        <v>920</v>
      </c>
      <c r="G433" s="4">
        <v>1</v>
      </c>
      <c r="H433" s="4"/>
      <c r="I433" s="4">
        <f>Table4[[#This Row],[Malın miqdarı]]*Table4[[#This Row],[Vahidin qiyməti]]</f>
        <v>0</v>
      </c>
      <c r="J433" s="4" t="s">
        <v>899</v>
      </c>
      <c r="K433" s="4" t="s">
        <v>893</v>
      </c>
      <c r="L433" s="4">
        <f>_xlfn.XLOOKUP(Table4[[#This Row],[Kontragentin adı]],Table2[Kontragentin adı],Table2[Müqavilə nömrəsi],"Xəta",0)</f>
        <v>0</v>
      </c>
      <c r="M433" s="4">
        <f>_xlfn.XLOOKUP(Table4[[#This Row],[Kontragentin adı]],Table2[Kontragentin adı],Table2[Müqavilə nömrəsi],"Xəta",0)</f>
        <v>0</v>
      </c>
    </row>
    <row r="434" spans="2:13" x14ac:dyDescent="0.3">
      <c r="B434" s="4">
        <f t="shared" si="6"/>
        <v>431</v>
      </c>
      <c r="C434" s="5">
        <v>46174</v>
      </c>
      <c r="D434" s="10" t="str" cm="1">
        <f t="array" ref="D434">_xlfn.XLOOKUP(Table4[[#This Row],[Malın kodu]],Table1[[#All],[Malın kodu]],Table1[[#All],[Malın adı]],"xəta",0)</f>
        <v>Tıxac / plastik / şurup ilə</v>
      </c>
      <c r="E434" s="8" t="s">
        <v>1341</v>
      </c>
      <c r="F434" s="4" t="s">
        <v>921</v>
      </c>
      <c r="G434" s="4">
        <v>65</v>
      </c>
      <c r="H434" s="4"/>
      <c r="I434" s="4">
        <f>Table4[[#This Row],[Malın miqdarı]]*Table4[[#This Row],[Vahidin qiyməti]]</f>
        <v>0</v>
      </c>
      <c r="J434" s="4" t="s">
        <v>899</v>
      </c>
      <c r="K434" s="4" t="s">
        <v>893</v>
      </c>
      <c r="L434" s="4">
        <f>_xlfn.XLOOKUP(Table4[[#This Row],[Kontragentin adı]],Table2[Kontragentin adı],Table2[Müqavilə nömrəsi],"Xəta",0)</f>
        <v>0</v>
      </c>
      <c r="M434" s="4">
        <f>_xlfn.XLOOKUP(Table4[[#This Row],[Kontragentin adı]],Table2[Kontragentin adı],Table2[Müqavilə nömrəsi],"Xəta",0)</f>
        <v>0</v>
      </c>
    </row>
    <row r="435" spans="2:13" x14ac:dyDescent="0.3">
      <c r="B435" s="4">
        <f t="shared" si="6"/>
        <v>432</v>
      </c>
      <c r="C435" s="5">
        <v>46174</v>
      </c>
      <c r="D435" s="10" t="str" cm="1">
        <f t="array" ref="D435">_xlfn.XLOOKUP(Table4[[#This Row],[Malın kodu]],Table1[[#All],[Malın kodu]],Table1[[#All],[Malın adı]],"xəta",0)</f>
        <v>Diyircəkli yastıq / 32309</v>
      </c>
      <c r="E435" s="8" t="s">
        <v>1342</v>
      </c>
      <c r="F435" s="4" t="s">
        <v>920</v>
      </c>
      <c r="G435" s="4">
        <v>2</v>
      </c>
      <c r="H435" s="4"/>
      <c r="I435" s="4">
        <f>Table4[[#This Row],[Malın miqdarı]]*Table4[[#This Row],[Vahidin qiyməti]]</f>
        <v>0</v>
      </c>
      <c r="J435" s="4" t="s">
        <v>899</v>
      </c>
      <c r="K435" s="4" t="s">
        <v>893</v>
      </c>
      <c r="L435" s="4">
        <f>_xlfn.XLOOKUP(Table4[[#This Row],[Kontragentin adı]],Table2[Kontragentin adı],Table2[Müqavilə nömrəsi],"Xəta",0)</f>
        <v>0</v>
      </c>
      <c r="M435" s="4">
        <f>_xlfn.XLOOKUP(Table4[[#This Row],[Kontragentin adı]],Table2[Kontragentin adı],Table2[Müqavilə nömrəsi],"Xəta",0)</f>
        <v>0</v>
      </c>
    </row>
    <row r="436" spans="2:13" x14ac:dyDescent="0.3">
      <c r="B436" s="4">
        <f t="shared" si="6"/>
        <v>433</v>
      </c>
      <c r="C436" s="5">
        <v>46174</v>
      </c>
      <c r="D436" s="10" t="str" cm="1">
        <f t="array" ref="D436">_xlfn.XLOOKUP(Table4[[#This Row],[Malın kodu]],Table1[[#All],[Malın kodu]],Table1[[#All],[Malın adı]],"xəta",0)</f>
        <v>Diyircəkli yastıq / 62309</v>
      </c>
      <c r="E436" s="8" t="s">
        <v>1343</v>
      </c>
      <c r="F436" s="4" t="s">
        <v>920</v>
      </c>
      <c r="G436" s="4">
        <v>1</v>
      </c>
      <c r="H436" s="4"/>
      <c r="I436" s="4">
        <f>Table4[[#This Row],[Malın miqdarı]]*Table4[[#This Row],[Vahidin qiyməti]]</f>
        <v>0</v>
      </c>
      <c r="J436" s="4" t="s">
        <v>899</v>
      </c>
      <c r="K436" s="4" t="s">
        <v>893</v>
      </c>
      <c r="L436" s="4">
        <f>_xlfn.XLOOKUP(Table4[[#This Row],[Kontragentin adı]],Table2[Kontragentin adı],Table2[Müqavilə nömrəsi],"Xəta",0)</f>
        <v>0</v>
      </c>
      <c r="M436" s="4">
        <f>_xlfn.XLOOKUP(Table4[[#This Row],[Kontragentin adı]],Table2[Kontragentin adı],Table2[Müqavilə nömrəsi],"Xəta",0)</f>
        <v>0</v>
      </c>
    </row>
    <row r="437" spans="2:13" x14ac:dyDescent="0.3">
      <c r="B437" s="4">
        <f t="shared" si="6"/>
        <v>434</v>
      </c>
      <c r="C437" s="5">
        <v>46174</v>
      </c>
      <c r="D437" s="10" t="str" cm="1">
        <f t="array" ref="D437">_xlfn.XLOOKUP(Table4[[#This Row],[Malın kodu]],Table1[[#All],[Malın kodu]],Table1[[#All],[Malın adı]],"xəta",0)</f>
        <v>Fırça / laqononda üçün / 3 İnch</v>
      </c>
      <c r="E437" s="8" t="s">
        <v>1344</v>
      </c>
      <c r="F437" s="4" t="s">
        <v>920</v>
      </c>
      <c r="G437" s="4">
        <v>2</v>
      </c>
      <c r="H437" s="4"/>
      <c r="I437" s="4">
        <f>Table4[[#This Row],[Malın miqdarı]]*Table4[[#This Row],[Vahidin qiyməti]]</f>
        <v>0</v>
      </c>
      <c r="J437" s="4" t="s">
        <v>899</v>
      </c>
      <c r="K437" s="4" t="s">
        <v>893</v>
      </c>
      <c r="L437" s="4">
        <f>_xlfn.XLOOKUP(Table4[[#This Row],[Kontragentin adı]],Table2[Kontragentin adı],Table2[Müqavilə nömrəsi],"Xəta",0)</f>
        <v>0</v>
      </c>
      <c r="M437" s="4">
        <f>_xlfn.XLOOKUP(Table4[[#This Row],[Kontragentin adı]],Table2[Kontragentin adı],Table2[Müqavilə nömrəsi],"Xəta",0)</f>
        <v>0</v>
      </c>
    </row>
    <row r="438" spans="2:13" x14ac:dyDescent="0.3">
      <c r="B438" s="4">
        <f t="shared" si="6"/>
        <v>435</v>
      </c>
      <c r="C438" s="5">
        <v>46174</v>
      </c>
      <c r="D438" s="10" t="str" cm="1">
        <f t="array" ref="D438">_xlfn.XLOOKUP(Table4[[#This Row],[Malın kodu]],Table1[[#All],[Malın kodu]],Table1[[#All],[Malın adı]],"xəta",0)</f>
        <v>Fiksator / plastik / armatur üçün / 30/8-24</v>
      </c>
      <c r="E438" s="8" t="s">
        <v>1345</v>
      </c>
      <c r="F438" s="4" t="s">
        <v>920</v>
      </c>
      <c r="G438" s="4">
        <v>77</v>
      </c>
      <c r="H438" s="4"/>
      <c r="I438" s="4">
        <f>Table4[[#This Row],[Malın miqdarı]]*Table4[[#This Row],[Vahidin qiyməti]]</f>
        <v>0</v>
      </c>
      <c r="J438" s="4" t="s">
        <v>899</v>
      </c>
      <c r="K438" s="4" t="s">
        <v>893</v>
      </c>
      <c r="L438" s="4">
        <f>_xlfn.XLOOKUP(Table4[[#This Row],[Kontragentin adı]],Table2[Kontragentin adı],Table2[Müqavilə nömrəsi],"Xəta",0)</f>
        <v>0</v>
      </c>
      <c r="M438" s="4">
        <f>_xlfn.XLOOKUP(Table4[[#This Row],[Kontragentin adı]],Table2[Kontragentin adı],Table2[Müqavilə nömrəsi],"Xəta",0)</f>
        <v>0</v>
      </c>
    </row>
    <row r="439" spans="2:13" x14ac:dyDescent="0.3">
      <c r="B439" s="4">
        <f t="shared" si="6"/>
        <v>436</v>
      </c>
      <c r="C439" s="5">
        <v>46174</v>
      </c>
      <c r="D439" s="10" t="str" cm="1">
        <f t="array" ref="D439">_xlfn.XLOOKUP(Table4[[#This Row],[Malın kodu]],Table1[[#All],[Malın kodu]],Table1[[#All],[Malın adı]],"xəta",0)</f>
        <v>Yanğınsöndürən balon</v>
      </c>
      <c r="E439" s="8" t="s">
        <v>1346</v>
      </c>
      <c r="F439" s="4" t="s">
        <v>920</v>
      </c>
      <c r="G439" s="4">
        <v>10</v>
      </c>
      <c r="H439" s="4"/>
      <c r="I439" s="4">
        <f>Table4[[#This Row],[Malın miqdarı]]*Table4[[#This Row],[Vahidin qiyməti]]</f>
        <v>0</v>
      </c>
      <c r="J439" s="4" t="s">
        <v>899</v>
      </c>
      <c r="K439" s="4" t="s">
        <v>893</v>
      </c>
      <c r="L439" s="4">
        <f>_xlfn.XLOOKUP(Table4[[#This Row],[Kontragentin adı]],Table2[Kontragentin adı],Table2[Müqavilə nömrəsi],"Xəta",0)</f>
        <v>0</v>
      </c>
      <c r="M439" s="4">
        <f>_xlfn.XLOOKUP(Table4[[#This Row],[Kontragentin adı]],Table2[Kontragentin adı],Table2[Müqavilə nömrəsi],"Xəta",0)</f>
        <v>0</v>
      </c>
    </row>
    <row r="440" spans="2:13" x14ac:dyDescent="0.3">
      <c r="B440" s="4">
        <f t="shared" si="6"/>
        <v>437</v>
      </c>
      <c r="C440" s="5">
        <v>46174</v>
      </c>
      <c r="D440" s="10" t="str" cm="1">
        <f t="array" ref="D440">_xlfn.XLOOKUP(Table4[[#This Row],[Malın kodu]],Table1[[#All],[Malın kodu]],Table1[[#All],[Malın adı]],"xəta",0)</f>
        <v>Armatur başlığı / plastik / qoruyucu</v>
      </c>
      <c r="E440" s="8" t="s">
        <v>1347</v>
      </c>
      <c r="F440" s="4" t="s">
        <v>920</v>
      </c>
      <c r="G440" s="4">
        <v>293</v>
      </c>
      <c r="H440" s="4"/>
      <c r="I440" s="4">
        <f>Table4[[#This Row],[Malın miqdarı]]*Table4[[#This Row],[Vahidin qiyməti]]</f>
        <v>0</v>
      </c>
      <c r="J440" s="4" t="s">
        <v>899</v>
      </c>
      <c r="K440" s="4" t="s">
        <v>893</v>
      </c>
      <c r="L440" s="4">
        <f>_xlfn.XLOOKUP(Table4[[#This Row],[Kontragentin adı]],Table2[Kontragentin adı],Table2[Müqavilə nömrəsi],"Xəta",0)</f>
        <v>0</v>
      </c>
      <c r="M440" s="4">
        <f>_xlfn.XLOOKUP(Table4[[#This Row],[Kontragentin adı]],Table2[Kontragentin adı],Table2[Müqavilə nömrəsi],"Xəta",0)</f>
        <v>0</v>
      </c>
    </row>
    <row r="441" spans="2:13" x14ac:dyDescent="0.3">
      <c r="B441" s="4">
        <f t="shared" si="6"/>
        <v>438</v>
      </c>
      <c r="C441" s="5">
        <v>46174</v>
      </c>
      <c r="D441" s="10" t="str" cm="1">
        <f t="array" ref="D441">_xlfn.XLOOKUP(Table4[[#This Row],[Malın kodu]],Table1[[#All],[Malın kodu]],Table1[[#All],[Malın adı]],"xəta",0)</f>
        <v>Yanğınsöndürmə şlanqı / 6 İnch (150 mm) x 20 metr</v>
      </c>
      <c r="E441" s="8" t="s">
        <v>1348</v>
      </c>
      <c r="F441" s="4" t="s">
        <v>923</v>
      </c>
      <c r="G441" s="4">
        <v>3</v>
      </c>
      <c r="H441" s="4"/>
      <c r="I441" s="4">
        <f>Table4[[#This Row],[Malın miqdarı]]*Table4[[#This Row],[Vahidin qiyməti]]</f>
        <v>0</v>
      </c>
      <c r="J441" s="4" t="s">
        <v>899</v>
      </c>
      <c r="K441" s="4" t="s">
        <v>893</v>
      </c>
      <c r="L441" s="4">
        <f>_xlfn.XLOOKUP(Table4[[#This Row],[Kontragentin adı]],Table2[Kontragentin adı],Table2[Müqavilə nömrəsi],"Xəta",0)</f>
        <v>0</v>
      </c>
      <c r="M441" s="4">
        <f>_xlfn.XLOOKUP(Table4[[#This Row],[Kontragentin adı]],Table2[Kontragentin adı],Table2[Müqavilə nömrəsi],"Xəta",0)</f>
        <v>0</v>
      </c>
    </row>
    <row r="442" spans="2:13" x14ac:dyDescent="0.3">
      <c r="B442" s="4">
        <f t="shared" si="6"/>
        <v>439</v>
      </c>
      <c r="C442" s="5">
        <v>46174</v>
      </c>
      <c r="D442" s="10" t="str" cm="1">
        <f t="array" ref="D442">_xlfn.XLOOKUP(Table4[[#This Row],[Malın kodu]],Table1[[#All],[Malın kodu]],Table1[[#All],[Malın adı]],"xəta",0)</f>
        <v>Xomut / boru üçün / metal / 149 x 161 mm</v>
      </c>
      <c r="E442" s="8" t="s">
        <v>1349</v>
      </c>
      <c r="F442" s="4" t="s">
        <v>920</v>
      </c>
      <c r="G442" s="4">
        <v>8</v>
      </c>
      <c r="H442" s="4"/>
      <c r="I442" s="4">
        <f>Table4[[#This Row],[Malın miqdarı]]*Table4[[#This Row],[Vahidin qiyməti]]</f>
        <v>0</v>
      </c>
      <c r="J442" s="4" t="s">
        <v>899</v>
      </c>
      <c r="K442" s="4" t="s">
        <v>893</v>
      </c>
      <c r="L442" s="4">
        <f>_xlfn.XLOOKUP(Table4[[#This Row],[Kontragentin adı]],Table2[Kontragentin adı],Table2[Müqavilə nömrəsi],"Xəta",0)</f>
        <v>0</v>
      </c>
      <c r="M442" s="4">
        <f>_xlfn.XLOOKUP(Table4[[#This Row],[Kontragentin adı]],Table2[Kontragentin adı],Table2[Müqavilə nömrəsi],"Xəta",0)</f>
        <v>0</v>
      </c>
    </row>
    <row r="443" spans="2:13" x14ac:dyDescent="0.3">
      <c r="B443" s="4">
        <f t="shared" si="6"/>
        <v>440</v>
      </c>
      <c r="C443" s="5">
        <v>46174</v>
      </c>
      <c r="D443" s="10" t="str" cm="1">
        <f t="array" ref="D443">_xlfn.XLOOKUP(Table4[[#This Row],[Malın kodu]],Table1[[#All],[Malın kodu]],Table1[[#All],[Malın adı]],"xəta",0)</f>
        <v>Əhəng / söndürülmüş / 20 kq / "Bertaş"</v>
      </c>
      <c r="E443" s="8" t="s">
        <v>1350</v>
      </c>
      <c r="F443" s="4" t="s">
        <v>926</v>
      </c>
      <c r="G443" s="4">
        <v>1</v>
      </c>
      <c r="H443" s="4"/>
      <c r="I443" s="4">
        <f>Table4[[#This Row],[Malın miqdarı]]*Table4[[#This Row],[Vahidin qiyməti]]</f>
        <v>0</v>
      </c>
      <c r="J443" s="4" t="s">
        <v>899</v>
      </c>
      <c r="K443" s="4" t="s">
        <v>893</v>
      </c>
      <c r="L443" s="4">
        <f>_xlfn.XLOOKUP(Table4[[#This Row],[Kontragentin adı]],Table2[Kontragentin adı],Table2[Müqavilə nömrəsi],"Xəta",0)</f>
        <v>0</v>
      </c>
      <c r="M443" s="4">
        <f>_xlfn.XLOOKUP(Table4[[#This Row],[Kontragentin adı]],Table2[Kontragentin adı],Table2[Müqavilə nömrəsi],"Xəta",0)</f>
        <v>0</v>
      </c>
    </row>
    <row r="444" spans="2:13" x14ac:dyDescent="0.3">
      <c r="B444" s="4">
        <f t="shared" si="6"/>
        <v>441</v>
      </c>
      <c r="C444" s="5">
        <v>46174</v>
      </c>
      <c r="D444" s="10" t="str" cm="1">
        <f t="array" ref="D444">_xlfn.XLOOKUP(Table4[[#This Row],[Malın kodu]],Table1[[#All],[Malın kodu]],Table1[[#All],[Malın adı]],"xəta",0)</f>
        <v>Ştuser / d 150 mm / polad</v>
      </c>
      <c r="E444" s="8" t="s">
        <v>1351</v>
      </c>
      <c r="F444" s="4" t="s">
        <v>920</v>
      </c>
      <c r="G444" s="4">
        <v>2</v>
      </c>
      <c r="H444" s="4"/>
      <c r="I444" s="4">
        <f>Table4[[#This Row],[Malın miqdarı]]*Table4[[#This Row],[Vahidin qiyməti]]</f>
        <v>0</v>
      </c>
      <c r="J444" s="4" t="s">
        <v>899</v>
      </c>
      <c r="K444" s="4" t="s">
        <v>893</v>
      </c>
      <c r="L444" s="4">
        <f>_xlfn.XLOOKUP(Table4[[#This Row],[Kontragentin adı]],Table2[Kontragentin adı],Table2[Müqavilə nömrəsi],"Xəta",0)</f>
        <v>0</v>
      </c>
      <c r="M444" s="4">
        <f>_xlfn.XLOOKUP(Table4[[#This Row],[Kontragentin adı]],Table2[Kontragentin adı],Table2[Müqavilə nömrəsi],"Xəta",0)</f>
        <v>0</v>
      </c>
    </row>
    <row r="445" spans="2:13" x14ac:dyDescent="0.3">
      <c r="B445" s="4">
        <f t="shared" si="6"/>
        <v>442</v>
      </c>
      <c r="C445" s="5">
        <v>46174</v>
      </c>
      <c r="D445" s="10" t="str" cm="1">
        <f t="array" ref="D445">_xlfn.XLOOKUP(Table4[[#This Row],[Malın kodu]],Table1[[#All],[Malın kodu]],Table1[[#All],[Malın adı]],"xəta",0)</f>
        <v>Xətkeş / nivelyator üçün / A</v>
      </c>
      <c r="E445" s="8" t="s">
        <v>1352</v>
      </c>
      <c r="F445" s="4" t="s">
        <v>920</v>
      </c>
      <c r="G445" s="4">
        <v>1</v>
      </c>
      <c r="H445" s="4"/>
      <c r="I445" s="4">
        <f>Table4[[#This Row],[Malın miqdarı]]*Table4[[#This Row],[Vahidin qiyməti]]</f>
        <v>0</v>
      </c>
      <c r="J445" s="4" t="s">
        <v>899</v>
      </c>
      <c r="K445" s="4" t="s">
        <v>893</v>
      </c>
      <c r="L445" s="4">
        <f>_xlfn.XLOOKUP(Table4[[#This Row],[Kontragentin adı]],Table2[Kontragentin adı],Table2[Müqavilə nömrəsi],"Xəta",0)</f>
        <v>0</v>
      </c>
      <c r="M445" s="4">
        <f>_xlfn.XLOOKUP(Table4[[#This Row],[Kontragentin adı]],Table2[Kontragentin adı],Table2[Müqavilə nömrəsi],"Xəta",0)</f>
        <v>0</v>
      </c>
    </row>
    <row r="446" spans="2:13" x14ac:dyDescent="0.3">
      <c r="B446" s="4">
        <f t="shared" si="6"/>
        <v>443</v>
      </c>
      <c r="C446" s="5">
        <v>46174</v>
      </c>
      <c r="D446" s="10" t="str" cm="1">
        <f t="array" ref="D446">_xlfn.XLOOKUP(Table4[[#This Row],[Malın kodu]],Table1[[#All],[Malın kodu]],Table1[[#All],[Malın adı]],"xəta",0)</f>
        <v>Geodezik prizma / d 62 mm / "Leica"</v>
      </c>
      <c r="E446" s="8" t="s">
        <v>1353</v>
      </c>
      <c r="F446" s="4" t="s">
        <v>920</v>
      </c>
      <c r="G446" s="4">
        <v>2</v>
      </c>
      <c r="H446" s="4"/>
      <c r="I446" s="4">
        <f>Table4[[#This Row],[Malın miqdarı]]*Table4[[#This Row],[Vahidin qiyməti]]</f>
        <v>0</v>
      </c>
      <c r="J446" s="4" t="s">
        <v>899</v>
      </c>
      <c r="K446" s="4" t="s">
        <v>893</v>
      </c>
      <c r="L446" s="4">
        <f>_xlfn.XLOOKUP(Table4[[#This Row],[Kontragentin adı]],Table2[Kontragentin adı],Table2[Müqavilə nömrəsi],"Xəta",0)</f>
        <v>0</v>
      </c>
      <c r="M446" s="4">
        <f>_xlfn.XLOOKUP(Table4[[#This Row],[Kontragentin adı]],Table2[Kontragentin adı],Table2[Müqavilə nömrəsi],"Xəta",0)</f>
        <v>0</v>
      </c>
    </row>
    <row r="447" spans="2:13" x14ac:dyDescent="0.3">
      <c r="B447" s="4">
        <f t="shared" si="6"/>
        <v>444</v>
      </c>
      <c r="C447" s="5">
        <v>46174</v>
      </c>
      <c r="D447" s="10" t="str" cm="1">
        <f t="array" ref="D447">_xlfn.XLOOKUP(Table4[[#This Row],[Malın kodu]],Table1[[#All],[Malın kodu]],Table1[[#All],[Malın adı]],"xəta",0)</f>
        <v>Filtr / yanacaq / "Sampiyon" / CS 0169M</v>
      </c>
      <c r="E447" s="8" t="s">
        <v>1354</v>
      </c>
      <c r="F447" s="4" t="s">
        <v>920</v>
      </c>
      <c r="G447" s="4">
        <v>1</v>
      </c>
      <c r="H447" s="4"/>
      <c r="I447" s="4">
        <f>Table4[[#This Row],[Malın miqdarı]]*Table4[[#This Row],[Vahidin qiyməti]]</f>
        <v>0</v>
      </c>
      <c r="J447" s="4" t="s">
        <v>899</v>
      </c>
      <c r="K447" s="4" t="s">
        <v>893</v>
      </c>
      <c r="L447" s="4">
        <f>_xlfn.XLOOKUP(Table4[[#This Row],[Kontragentin adı]],Table2[Kontragentin adı],Table2[Müqavilə nömrəsi],"Xəta",0)</f>
        <v>0</v>
      </c>
      <c r="M447" s="4">
        <f>_xlfn.XLOOKUP(Table4[[#This Row],[Kontragentin adı]],Table2[Kontragentin adı],Table2[Müqavilə nömrəsi],"Xəta",0)</f>
        <v>0</v>
      </c>
    </row>
    <row r="448" spans="2:13" x14ac:dyDescent="0.3">
      <c r="B448" s="4">
        <f t="shared" si="6"/>
        <v>445</v>
      </c>
      <c r="C448" s="5">
        <v>46174</v>
      </c>
      <c r="D448" s="10" t="str" cm="1">
        <f t="array" ref="D448">_xlfn.XLOOKUP(Table4[[#This Row],[Malın kodu]],Table1[[#All],[Malın kodu]],Table1[[#All],[Malın adı]],"xəta",0)</f>
        <v>Filtr / yanacaq / "Sampiyon" / CS 1606M</v>
      </c>
      <c r="E448" s="8" t="s">
        <v>1355</v>
      </c>
      <c r="F448" s="4" t="s">
        <v>920</v>
      </c>
      <c r="G448" s="4">
        <v>1</v>
      </c>
      <c r="H448" s="4"/>
      <c r="I448" s="4">
        <f>Table4[[#This Row],[Malın miqdarı]]*Table4[[#This Row],[Vahidin qiyməti]]</f>
        <v>0</v>
      </c>
      <c r="J448" s="4" t="s">
        <v>899</v>
      </c>
      <c r="K448" s="4" t="s">
        <v>893</v>
      </c>
      <c r="L448" s="4">
        <f>_xlfn.XLOOKUP(Table4[[#This Row],[Kontragentin adı]],Table2[Kontragentin adı],Table2[Müqavilə nömrəsi],"Xəta",0)</f>
        <v>0</v>
      </c>
      <c r="M448" s="4">
        <f>_xlfn.XLOOKUP(Table4[[#This Row],[Kontragentin adı]],Table2[Kontragentin adı],Table2[Müqavilə nömrəsi],"Xəta",0)</f>
        <v>0</v>
      </c>
    </row>
    <row r="449" spans="2:13" x14ac:dyDescent="0.3">
      <c r="B449" s="4">
        <f t="shared" si="6"/>
        <v>446</v>
      </c>
      <c r="C449" s="5">
        <v>46174</v>
      </c>
      <c r="D449" s="10" t="str" cm="1">
        <f t="array" ref="D449">_xlfn.XLOOKUP(Table4[[#This Row],[Malın kodu]],Table1[[#All],[Malın kodu]],Table1[[#All],[Malın adı]],"xəta",0)</f>
        <v>Filtr / yanacaq / "Sampiyon" / CS 1430MVL</v>
      </c>
      <c r="E449" s="8" t="s">
        <v>1356</v>
      </c>
      <c r="F449" s="4" t="s">
        <v>920</v>
      </c>
      <c r="G449" s="4">
        <v>1</v>
      </c>
      <c r="H449" s="4"/>
      <c r="I449" s="4">
        <f>Table4[[#This Row],[Malın miqdarı]]*Table4[[#This Row],[Vahidin qiyməti]]</f>
        <v>0</v>
      </c>
      <c r="J449" s="4" t="s">
        <v>899</v>
      </c>
      <c r="K449" s="4" t="s">
        <v>893</v>
      </c>
      <c r="L449" s="4">
        <f>_xlfn.XLOOKUP(Table4[[#This Row],[Kontragentin adı]],Table2[Kontragentin adı],Table2[Müqavilə nömrəsi],"Xəta",0)</f>
        <v>0</v>
      </c>
      <c r="M449" s="4">
        <f>_xlfn.XLOOKUP(Table4[[#This Row],[Kontragentin adı]],Table2[Kontragentin adı],Table2[Müqavilə nömrəsi],"Xəta",0)</f>
        <v>0</v>
      </c>
    </row>
    <row r="450" spans="2:13" x14ac:dyDescent="0.3">
      <c r="B450" s="4">
        <f t="shared" si="6"/>
        <v>447</v>
      </c>
      <c r="C450" s="5">
        <v>46174</v>
      </c>
      <c r="D450" s="10" t="str" cm="1">
        <f t="array" ref="D450">_xlfn.XLOOKUP(Table4[[#This Row],[Malın kodu]],Table1[[#All],[Malın kodu]],Table1[[#All],[Malın adı]],"xəta",0)</f>
        <v>Filtr / yağ / "Sampiyon" / CS 1428</v>
      </c>
      <c r="E450" s="8" t="s">
        <v>1357</v>
      </c>
      <c r="F450" s="4" t="s">
        <v>920</v>
      </c>
      <c r="G450" s="4">
        <v>2</v>
      </c>
      <c r="H450" s="4"/>
      <c r="I450" s="4">
        <f>Table4[[#This Row],[Malın miqdarı]]*Table4[[#This Row],[Vahidin qiyməti]]</f>
        <v>0</v>
      </c>
      <c r="J450" s="4" t="s">
        <v>899</v>
      </c>
      <c r="K450" s="4" t="s">
        <v>893</v>
      </c>
      <c r="L450" s="4">
        <f>_xlfn.XLOOKUP(Table4[[#This Row],[Kontragentin adı]],Table2[Kontragentin adı],Table2[Müqavilə nömrəsi],"Xəta",0)</f>
        <v>0</v>
      </c>
      <c r="M450" s="4">
        <f>_xlfn.XLOOKUP(Table4[[#This Row],[Kontragentin adı]],Table2[Kontragentin adı],Table2[Müqavilə nömrəsi],"Xəta",0)</f>
        <v>0</v>
      </c>
    </row>
    <row r="451" spans="2:13" x14ac:dyDescent="0.3">
      <c r="B451" s="4">
        <f t="shared" si="6"/>
        <v>448</v>
      </c>
      <c r="C451" s="5">
        <v>46174</v>
      </c>
      <c r="D451" s="10" t="str" cm="1">
        <f t="array" ref="D451">_xlfn.XLOOKUP(Table4[[#This Row],[Malın kodu]],Table1[[#All],[Malın kodu]],Table1[[#All],[Malın adı]],"xəta",0)</f>
        <v>Filtr / yanacaq / "Delsa" / DE 1001F</v>
      </c>
      <c r="E451" s="8" t="s">
        <v>1358</v>
      </c>
      <c r="F451" s="4" t="s">
        <v>920</v>
      </c>
      <c r="G451" s="4">
        <v>1</v>
      </c>
      <c r="H451" s="4"/>
      <c r="I451" s="4">
        <f>Table4[[#This Row],[Malın miqdarı]]*Table4[[#This Row],[Vahidin qiyməti]]</f>
        <v>0</v>
      </c>
      <c r="J451" s="4" t="s">
        <v>899</v>
      </c>
      <c r="K451" s="4" t="s">
        <v>893</v>
      </c>
      <c r="L451" s="4">
        <f>_xlfn.XLOOKUP(Table4[[#This Row],[Kontragentin adı]],Table2[Kontragentin adı],Table2[Müqavilə nömrəsi],"Xəta",0)</f>
        <v>0</v>
      </c>
      <c r="M451" s="4">
        <f>_xlfn.XLOOKUP(Table4[[#This Row],[Kontragentin adı]],Table2[Kontragentin adı],Table2[Müqavilə nömrəsi],"Xəta",0)</f>
        <v>0</v>
      </c>
    </row>
    <row r="452" spans="2:13" x14ac:dyDescent="0.3">
      <c r="B452" s="4">
        <f t="shared" ref="B452:B515" si="7">ROW()-3</f>
        <v>449</v>
      </c>
      <c r="C452" s="5">
        <v>46174</v>
      </c>
      <c r="D452" s="10" t="str" cm="1">
        <f t="array" ref="D452">_xlfn.XLOOKUP(Table4[[#This Row],[Malın kodu]],Table1[[#All],[Malın kodu]],Table1[[#All],[Malın adı]],"xəta",0)</f>
        <v>Yağ / transmissiya / 80 W 90 / API GL-5 / 20Litr / "ALPINE" Almaniya istehsalı</v>
      </c>
      <c r="E452" s="8" t="s">
        <v>1359</v>
      </c>
      <c r="F452" s="4" t="s">
        <v>920</v>
      </c>
      <c r="G452" s="4">
        <v>1</v>
      </c>
      <c r="H452" s="4"/>
      <c r="I452" s="4">
        <f>Table4[[#This Row],[Malın miqdarı]]*Table4[[#This Row],[Vahidin qiyməti]]</f>
        <v>0</v>
      </c>
      <c r="J452" s="4" t="s">
        <v>899</v>
      </c>
      <c r="K452" s="4" t="s">
        <v>893</v>
      </c>
      <c r="L452" s="4">
        <f>_xlfn.XLOOKUP(Table4[[#This Row],[Kontragentin adı]],Table2[Kontragentin adı],Table2[Müqavilə nömrəsi],"Xəta",0)</f>
        <v>0</v>
      </c>
      <c r="M452" s="4">
        <f>_xlfn.XLOOKUP(Table4[[#This Row],[Kontragentin adı]],Table2[Kontragentin adı],Table2[Müqavilə nömrəsi],"Xəta",0)</f>
        <v>0</v>
      </c>
    </row>
    <row r="453" spans="2:13" x14ac:dyDescent="0.3">
      <c r="B453" s="4">
        <f t="shared" si="7"/>
        <v>450</v>
      </c>
      <c r="C453" s="5">
        <v>46174</v>
      </c>
      <c r="D453" s="10" t="str" cm="1">
        <f t="array" ref="D453">_xlfn.XLOOKUP(Table4[[#This Row],[Malın kodu]],Table1[[#All],[Malın kodu]],Table1[[#All],[Malın adı]],"xəta",0)</f>
        <v>Jilet / fosforlu</v>
      </c>
      <c r="E453" s="8" t="s">
        <v>1360</v>
      </c>
      <c r="F453" s="4" t="s">
        <v>920</v>
      </c>
      <c r="G453" s="4">
        <v>10</v>
      </c>
      <c r="H453" s="4"/>
      <c r="I453" s="4">
        <f>Table4[[#This Row],[Malın miqdarı]]*Table4[[#This Row],[Vahidin qiyməti]]</f>
        <v>0</v>
      </c>
      <c r="J453" s="4" t="s">
        <v>899</v>
      </c>
      <c r="K453" s="4" t="s">
        <v>893</v>
      </c>
      <c r="L453" s="4">
        <f>_xlfn.XLOOKUP(Table4[[#This Row],[Kontragentin adı]],Table2[Kontragentin adı],Table2[Müqavilə nömrəsi],"Xəta",0)</f>
        <v>0</v>
      </c>
      <c r="M453" s="4">
        <f>_xlfn.XLOOKUP(Table4[[#This Row],[Kontragentin adı]],Table2[Kontragentin adı],Table2[Müqavilə nömrəsi],"Xəta",0)</f>
        <v>0</v>
      </c>
    </row>
    <row r="454" spans="2:13" x14ac:dyDescent="0.3">
      <c r="B454" s="4">
        <f t="shared" si="7"/>
        <v>451</v>
      </c>
      <c r="C454" s="5">
        <v>46174</v>
      </c>
      <c r="D454" s="10" t="str" cm="1">
        <f t="array" ref="D454">_xlfn.XLOOKUP(Table4[[#This Row],[Malın kodu]],Table1[[#All],[Malın kodu]],Table1[[#All],[Malın adı]],"xəta",0)</f>
        <v>Lobzik / 3000 d/d / "Kad" / W650</v>
      </c>
      <c r="E454" s="8" t="s">
        <v>1361</v>
      </c>
      <c r="F454" s="4" t="s">
        <v>920</v>
      </c>
      <c r="G454" s="4">
        <v>1</v>
      </c>
      <c r="H454" s="4"/>
      <c r="I454" s="4">
        <f>Table4[[#This Row],[Malın miqdarı]]*Table4[[#This Row],[Vahidin qiyməti]]</f>
        <v>0</v>
      </c>
      <c r="J454" s="4" t="s">
        <v>899</v>
      </c>
      <c r="K454" s="4" t="s">
        <v>893</v>
      </c>
      <c r="L454" s="4">
        <f>_xlfn.XLOOKUP(Table4[[#This Row],[Kontragentin adı]],Table2[Kontragentin adı],Table2[Müqavilə nömrəsi],"Xəta",0)</f>
        <v>0</v>
      </c>
      <c r="M454" s="4">
        <f>_xlfn.XLOOKUP(Table4[[#This Row],[Kontragentin adı]],Table2[Kontragentin adı],Table2[Müqavilə nömrəsi],"Xəta",0)</f>
        <v>0</v>
      </c>
    </row>
    <row r="455" spans="2:13" x14ac:dyDescent="0.3">
      <c r="B455" s="4">
        <f t="shared" si="7"/>
        <v>452</v>
      </c>
      <c r="C455" s="5">
        <v>46174</v>
      </c>
      <c r="D455" s="10" t="str" cm="1">
        <f t="array" ref="D455">_xlfn.XLOOKUP(Table4[[#This Row],[Malın kodu]],Table1[[#All],[Malın kodu]],Table1[[#All],[Malın adı]],"xəta",0)</f>
        <v>Hidravlik pompa / "Boring"</v>
      </c>
      <c r="E455" s="8" t="s">
        <v>1362</v>
      </c>
      <c r="F455" s="4" t="s">
        <v>920</v>
      </c>
      <c r="G455" s="4">
        <v>1</v>
      </c>
      <c r="H455" s="4"/>
      <c r="I455" s="4">
        <f>Table4[[#This Row],[Malın miqdarı]]*Table4[[#This Row],[Vahidin qiyməti]]</f>
        <v>0</v>
      </c>
      <c r="J455" s="4" t="s">
        <v>899</v>
      </c>
      <c r="K455" s="4" t="s">
        <v>893</v>
      </c>
      <c r="L455" s="4">
        <f>_xlfn.XLOOKUP(Table4[[#This Row],[Kontragentin adı]],Table2[Kontragentin adı],Table2[Müqavilə nömrəsi],"Xəta",0)</f>
        <v>0</v>
      </c>
      <c r="M455" s="4">
        <f>_xlfn.XLOOKUP(Table4[[#This Row],[Kontragentin adı]],Table2[Kontragentin adı],Table2[Müqavilə nömrəsi],"Xəta",0)</f>
        <v>0</v>
      </c>
    </row>
    <row r="456" spans="2:13" x14ac:dyDescent="0.3">
      <c r="B456" s="4">
        <f t="shared" si="7"/>
        <v>453</v>
      </c>
      <c r="C456" s="5">
        <v>46174</v>
      </c>
      <c r="D456" s="10" t="str" cm="1">
        <f t="array" ref="D456">_xlfn.XLOOKUP(Table4[[#This Row],[Malın kodu]],Table1[[#All],[Malın kodu]],Table1[[#All],[Malın adı]],"xəta",0)</f>
        <v>Silikon / 250 ml</v>
      </c>
      <c r="E456" s="8" t="s">
        <v>1363</v>
      </c>
      <c r="F456" s="4" t="s">
        <v>920</v>
      </c>
      <c r="G456" s="4">
        <v>2</v>
      </c>
      <c r="H456" s="4"/>
      <c r="I456" s="4">
        <f>Table4[[#This Row],[Malın miqdarı]]*Table4[[#This Row],[Vahidin qiyməti]]</f>
        <v>0</v>
      </c>
      <c r="J456" s="4" t="s">
        <v>899</v>
      </c>
      <c r="K456" s="4" t="s">
        <v>893</v>
      </c>
      <c r="L456" s="4">
        <f>_xlfn.XLOOKUP(Table4[[#This Row],[Kontragentin adı]],Table2[Kontragentin adı],Table2[Müqavilə nömrəsi],"Xəta",0)</f>
        <v>0</v>
      </c>
      <c r="M456" s="4">
        <f>_xlfn.XLOOKUP(Table4[[#This Row],[Kontragentin adı]],Table2[Kontragentin adı],Table2[Müqavilə nömrəsi],"Xəta",0)</f>
        <v>0</v>
      </c>
    </row>
    <row r="457" spans="2:13" x14ac:dyDescent="0.3">
      <c r="B457" s="4">
        <f t="shared" si="7"/>
        <v>454</v>
      </c>
      <c r="C457" s="5">
        <v>46174</v>
      </c>
      <c r="D457" s="10" t="str" cm="1">
        <f t="array" ref="D457">_xlfn.XLOOKUP(Table4[[#This Row],[Malın kodu]],Table1[[#All],[Malın kodu]],Table1[[#All],[Malın adı]],"xəta",0)</f>
        <v>Starter / avto</v>
      </c>
      <c r="E457" s="8" t="s">
        <v>1364</v>
      </c>
      <c r="F457" s="4" t="s">
        <v>920</v>
      </c>
      <c r="G457" s="4">
        <v>1</v>
      </c>
      <c r="H457" s="4"/>
      <c r="I457" s="4">
        <f>Table4[[#This Row],[Malın miqdarı]]*Table4[[#This Row],[Vahidin qiyməti]]</f>
        <v>0</v>
      </c>
      <c r="J457" s="4" t="s">
        <v>899</v>
      </c>
      <c r="K457" s="4" t="s">
        <v>893</v>
      </c>
      <c r="L457" s="4">
        <f>_xlfn.XLOOKUP(Table4[[#This Row],[Kontragentin adı]],Table2[Kontragentin adı],Table2[Müqavilə nömrəsi],"Xəta",0)</f>
        <v>0</v>
      </c>
      <c r="M457" s="4">
        <f>_xlfn.XLOOKUP(Table4[[#This Row],[Kontragentin adı]],Table2[Kontragentin adı],Table2[Müqavilə nömrəsi],"Xəta",0)</f>
        <v>0</v>
      </c>
    </row>
    <row r="458" spans="2:13" x14ac:dyDescent="0.3">
      <c r="B458" s="4">
        <f t="shared" si="7"/>
        <v>455</v>
      </c>
      <c r="C458" s="5">
        <v>46174</v>
      </c>
      <c r="D458" s="10" t="str" cm="1">
        <f t="array" ref="D458">_xlfn.XLOOKUP(Table4[[#This Row],[Malın kodu]],Table1[[#All],[Malın kodu]],Table1[[#All],[Malın adı]],"xəta",0)</f>
        <v>Vibrator / beton üçün / portativ</v>
      </c>
      <c r="E458" s="8" t="s">
        <v>1365</v>
      </c>
      <c r="F458" s="4" t="s">
        <v>920</v>
      </c>
      <c r="G458" s="4">
        <v>1</v>
      </c>
      <c r="H458" s="4"/>
      <c r="I458" s="4">
        <f>Table4[[#This Row],[Malın miqdarı]]*Table4[[#This Row],[Vahidin qiyməti]]</f>
        <v>0</v>
      </c>
      <c r="J458" s="4" t="s">
        <v>899</v>
      </c>
      <c r="K458" s="4" t="s">
        <v>893</v>
      </c>
      <c r="L458" s="4">
        <f>_xlfn.XLOOKUP(Table4[[#This Row],[Kontragentin adı]],Table2[Kontragentin adı],Table2[Müqavilə nömrəsi],"Xəta",0)</f>
        <v>0</v>
      </c>
      <c r="M458" s="4">
        <f>_xlfn.XLOOKUP(Table4[[#This Row],[Kontragentin adı]],Table2[Kontragentin adı],Table2[Müqavilə nömrəsi],"Xəta",0)</f>
        <v>0</v>
      </c>
    </row>
    <row r="459" spans="2:13" x14ac:dyDescent="0.3">
      <c r="B459" s="4">
        <f t="shared" si="7"/>
        <v>456</v>
      </c>
      <c r="C459" s="5">
        <v>46174</v>
      </c>
      <c r="D459" s="10" t="str" cm="1">
        <f t="array" ref="D459">_xlfn.XLOOKUP(Table4[[#This Row],[Malın kodu]],Table1[[#All],[Malın kodu]],Table1[[#All],[Malın adı]],"xəta",0)</f>
        <v>Karot ucu / d 75 mm x 110 mm / almaz</v>
      </c>
      <c r="E459" s="8" t="s">
        <v>1366</v>
      </c>
      <c r="F459" s="4" t="s">
        <v>920</v>
      </c>
      <c r="G459" s="4">
        <v>2</v>
      </c>
      <c r="H459" s="4"/>
      <c r="I459" s="4">
        <f>Table4[[#This Row],[Malın miqdarı]]*Table4[[#This Row],[Vahidin qiyməti]]</f>
        <v>0</v>
      </c>
      <c r="J459" s="4" t="s">
        <v>899</v>
      </c>
      <c r="K459" s="4" t="s">
        <v>893</v>
      </c>
      <c r="L459" s="4">
        <f>_xlfn.XLOOKUP(Table4[[#This Row],[Kontragentin adı]],Table2[Kontragentin adı],Table2[Müqavilə nömrəsi],"Xəta",0)</f>
        <v>0</v>
      </c>
      <c r="M459" s="4">
        <f>_xlfn.XLOOKUP(Table4[[#This Row],[Kontragentin adı]],Table2[Kontragentin adı],Table2[Müqavilə nömrəsi],"Xəta",0)</f>
        <v>0</v>
      </c>
    </row>
    <row r="460" spans="2:13" x14ac:dyDescent="0.3">
      <c r="B460" s="4">
        <f t="shared" si="7"/>
        <v>457</v>
      </c>
      <c r="C460" s="5">
        <v>46174</v>
      </c>
      <c r="D460" s="10" t="str" cm="1">
        <f t="array" ref="D460">_xlfn.XLOOKUP(Table4[[#This Row],[Malın kodu]],Table1[[#All],[Malın kodu]],Table1[[#All],[Malın adı]],"xəta",0)</f>
        <v>Karot ucu / d 75 mm x 125 mm / almaz</v>
      </c>
      <c r="E460" s="8" t="s">
        <v>1367</v>
      </c>
      <c r="F460" s="4" t="s">
        <v>920</v>
      </c>
      <c r="G460" s="4">
        <v>1</v>
      </c>
      <c r="H460" s="4"/>
      <c r="I460" s="4">
        <f>Table4[[#This Row],[Malın miqdarı]]*Table4[[#This Row],[Vahidin qiyməti]]</f>
        <v>0</v>
      </c>
      <c r="J460" s="4" t="s">
        <v>899</v>
      </c>
      <c r="K460" s="4" t="s">
        <v>893</v>
      </c>
      <c r="L460" s="4">
        <f>_xlfn.XLOOKUP(Table4[[#This Row],[Kontragentin adı]],Table2[Kontragentin adı],Table2[Müqavilə nömrəsi],"Xəta",0)</f>
        <v>0</v>
      </c>
      <c r="M460" s="4">
        <f>_xlfn.XLOOKUP(Table4[[#This Row],[Kontragentin adı]],Table2[Kontragentin adı],Table2[Müqavilə nömrəsi],"Xəta",0)</f>
        <v>0</v>
      </c>
    </row>
    <row r="461" spans="2:13" x14ac:dyDescent="0.3">
      <c r="B461" s="4">
        <f t="shared" si="7"/>
        <v>458</v>
      </c>
      <c r="C461" s="5">
        <v>46174</v>
      </c>
      <c r="D461" s="10" t="str" cm="1">
        <f t="array" ref="D461">_xlfn.XLOOKUP(Table4[[#This Row],[Malın kodu]],Table1[[#All],[Malın kodu]],Table1[[#All],[Malın adı]],"xəta",0)</f>
        <v>Karot ucu / d 90 mm x L 110 mm / almaz</v>
      </c>
      <c r="E461" s="8" t="s">
        <v>1368</v>
      </c>
      <c r="F461" s="4" t="s">
        <v>920</v>
      </c>
      <c r="G461" s="4">
        <v>2</v>
      </c>
      <c r="H461" s="4"/>
      <c r="I461" s="4">
        <f>Table4[[#This Row],[Malın miqdarı]]*Table4[[#This Row],[Vahidin qiyməti]]</f>
        <v>0</v>
      </c>
      <c r="J461" s="4" t="s">
        <v>899</v>
      </c>
      <c r="K461" s="4" t="s">
        <v>893</v>
      </c>
      <c r="L461" s="4">
        <f>_xlfn.XLOOKUP(Table4[[#This Row],[Kontragentin adı]],Table2[Kontragentin adı],Table2[Müqavilə nömrəsi],"Xəta",0)</f>
        <v>0</v>
      </c>
      <c r="M461" s="4">
        <f>_xlfn.XLOOKUP(Table4[[#This Row],[Kontragentin adı]],Table2[Kontragentin adı],Table2[Müqavilə nömrəsi],"Xəta",0)</f>
        <v>0</v>
      </c>
    </row>
    <row r="462" spans="2:13" x14ac:dyDescent="0.3">
      <c r="B462" s="4">
        <f t="shared" si="7"/>
        <v>459</v>
      </c>
      <c r="C462" s="5">
        <v>46174</v>
      </c>
      <c r="D462" s="10" t="str" cm="1">
        <f t="array" ref="D462">_xlfn.XLOOKUP(Table4[[#This Row],[Malın kodu]],Table1[[#All],[Malın kodu]],Table1[[#All],[Malın adı]],"xəta",0)</f>
        <v>Şlanq / hidravlik / 330 Bar / 3/8 inch / L 155 mm / "FORCESTREAM"</v>
      </c>
      <c r="E462" s="8" t="s">
        <v>1369</v>
      </c>
      <c r="F462" s="4" t="s">
        <v>920</v>
      </c>
      <c r="G462" s="4">
        <v>3</v>
      </c>
      <c r="H462" s="4"/>
      <c r="I462" s="4">
        <f>Table4[[#This Row],[Malın miqdarı]]*Table4[[#This Row],[Vahidin qiyməti]]</f>
        <v>0</v>
      </c>
      <c r="J462" s="4" t="s">
        <v>899</v>
      </c>
      <c r="K462" s="4" t="s">
        <v>893</v>
      </c>
      <c r="L462" s="4">
        <f>_xlfn.XLOOKUP(Table4[[#This Row],[Kontragentin adı]],Table2[Kontragentin adı],Table2[Müqavilə nömrəsi],"Xəta",0)</f>
        <v>0</v>
      </c>
      <c r="M462" s="4">
        <f>_xlfn.XLOOKUP(Table4[[#This Row],[Kontragentin adı]],Table2[Kontragentin adı],Table2[Müqavilə nömrəsi],"Xəta",0)</f>
        <v>0</v>
      </c>
    </row>
    <row r="463" spans="2:13" x14ac:dyDescent="0.3">
      <c r="B463" s="4">
        <f t="shared" si="7"/>
        <v>460</v>
      </c>
      <c r="C463" s="5">
        <v>46174</v>
      </c>
      <c r="D463" s="10" t="str" cm="1">
        <f t="array" ref="D463">_xlfn.XLOOKUP(Table4[[#This Row],[Malın kodu]],Table1[[#All],[Malın kodu]],Table1[[#All],[Malın adı]],"xəta",0)</f>
        <v>Şlanq / Hidravlik / 330 Bar / L 100 mm / 3/8 inch / "FORCESTREAM"</v>
      </c>
      <c r="E463" s="8" t="s">
        <v>1370</v>
      </c>
      <c r="F463" s="4" t="s">
        <v>920</v>
      </c>
      <c r="G463" s="4">
        <v>2</v>
      </c>
      <c r="H463" s="4"/>
      <c r="I463" s="4">
        <f>Table4[[#This Row],[Malın miqdarı]]*Table4[[#This Row],[Vahidin qiyməti]]</f>
        <v>0</v>
      </c>
      <c r="J463" s="4" t="s">
        <v>899</v>
      </c>
      <c r="K463" s="4" t="s">
        <v>893</v>
      </c>
      <c r="L463" s="4">
        <f>_xlfn.XLOOKUP(Table4[[#This Row],[Kontragentin adı]],Table2[Kontragentin adı],Table2[Müqavilə nömrəsi],"Xəta",0)</f>
        <v>0</v>
      </c>
      <c r="M463" s="4">
        <f>_xlfn.XLOOKUP(Table4[[#This Row],[Kontragentin adı]],Table2[Kontragentin adı],Table2[Müqavilə nömrəsi],"Xəta",0)</f>
        <v>0</v>
      </c>
    </row>
    <row r="464" spans="2:13" x14ac:dyDescent="0.3">
      <c r="B464" s="4">
        <f t="shared" si="7"/>
        <v>461</v>
      </c>
      <c r="C464" s="5">
        <v>46174</v>
      </c>
      <c r="D464" s="10" t="str" cm="1">
        <f t="array" ref="D464">_xlfn.XLOOKUP(Table4[[#This Row],[Malın kodu]],Table1[[#All],[Malın kodu]],Table1[[#All],[Malın adı]],"xəta",0)</f>
        <v>Qaynaqçı dəbilgəsi</v>
      </c>
      <c r="E464" s="8" t="s">
        <v>1371</v>
      </c>
      <c r="F464" s="4" t="s">
        <v>920</v>
      </c>
      <c r="G464" s="4">
        <v>2</v>
      </c>
      <c r="H464" s="4"/>
      <c r="I464" s="4">
        <f>Table4[[#This Row],[Malın miqdarı]]*Table4[[#This Row],[Vahidin qiyməti]]</f>
        <v>0</v>
      </c>
      <c r="J464" s="4" t="s">
        <v>899</v>
      </c>
      <c r="K464" s="4" t="s">
        <v>893</v>
      </c>
      <c r="L464" s="4">
        <f>_xlfn.XLOOKUP(Table4[[#This Row],[Kontragentin adı]],Table2[Kontragentin adı],Table2[Müqavilə nömrəsi],"Xəta",0)</f>
        <v>0</v>
      </c>
      <c r="M464" s="4">
        <f>_xlfn.XLOOKUP(Table4[[#This Row],[Kontragentin adı]],Table2[Kontragentin adı],Table2[Müqavilə nömrəsi],"Xəta",0)</f>
        <v>0</v>
      </c>
    </row>
    <row r="465" spans="2:13" x14ac:dyDescent="0.3">
      <c r="B465" s="4">
        <f t="shared" si="7"/>
        <v>462</v>
      </c>
      <c r="C465" s="5">
        <v>46174</v>
      </c>
      <c r="D465" s="10" t="str" cm="1">
        <f t="array" ref="D465">_xlfn.XLOOKUP(Table4[[#This Row],[Malın kodu]],Table1[[#All],[Malın kodu]],Table1[[#All],[Malın adı]],"xəta",0)</f>
        <v>Sipər çərçivəsi / şüşəsiz</v>
      </c>
      <c r="E465" s="8" t="s">
        <v>1372</v>
      </c>
      <c r="F465" s="4" t="s">
        <v>920</v>
      </c>
      <c r="G465" s="4">
        <v>11</v>
      </c>
      <c r="H465" s="4"/>
      <c r="I465" s="4">
        <f>Table4[[#This Row],[Malın miqdarı]]*Table4[[#This Row],[Vahidin qiyməti]]</f>
        <v>0</v>
      </c>
      <c r="J465" s="4" t="s">
        <v>899</v>
      </c>
      <c r="K465" s="4" t="s">
        <v>893</v>
      </c>
      <c r="L465" s="4">
        <f>_xlfn.XLOOKUP(Table4[[#This Row],[Kontragentin adı]],Table2[Kontragentin adı],Table2[Müqavilə nömrəsi],"Xəta",0)</f>
        <v>0</v>
      </c>
      <c r="M465" s="4">
        <f>_xlfn.XLOOKUP(Table4[[#This Row],[Kontragentin adı]],Table2[Kontragentin adı],Table2[Müqavilə nömrəsi],"Xəta",0)</f>
        <v>0</v>
      </c>
    </row>
    <row r="466" spans="2:13" x14ac:dyDescent="0.3">
      <c r="B466" s="4">
        <f t="shared" si="7"/>
        <v>463</v>
      </c>
      <c r="C466" s="5">
        <v>46174</v>
      </c>
      <c r="D466" s="10" t="str" cm="1">
        <f t="array" ref="D466">_xlfn.XLOOKUP(Table4[[#This Row],[Malın kodu]],Table1[[#All],[Malın kodu]],Table1[[#All],[Malın adı]],"xəta",0)</f>
        <v>Su pompası / dalğıc / "SHIMGE" / 417 L/d</v>
      </c>
      <c r="E466" s="8" t="s">
        <v>1373</v>
      </c>
      <c r="F466" s="4" t="s">
        <v>920</v>
      </c>
      <c r="G466" s="4">
        <v>1</v>
      </c>
      <c r="H466" s="4"/>
      <c r="I466" s="4">
        <f>Table4[[#This Row],[Malın miqdarı]]*Table4[[#This Row],[Vahidin qiyməti]]</f>
        <v>0</v>
      </c>
      <c r="J466" s="4" t="s">
        <v>899</v>
      </c>
      <c r="K466" s="4" t="s">
        <v>893</v>
      </c>
      <c r="L466" s="4">
        <f>_xlfn.XLOOKUP(Table4[[#This Row],[Kontragentin adı]],Table2[Kontragentin adı],Table2[Müqavilə nömrəsi],"Xəta",0)</f>
        <v>0</v>
      </c>
      <c r="M466" s="4">
        <f>_xlfn.XLOOKUP(Table4[[#This Row],[Kontragentin adı]],Table2[Kontragentin adı],Table2[Müqavilə nömrəsi],"Xəta",0)</f>
        <v>0</v>
      </c>
    </row>
    <row r="467" spans="2:13" x14ac:dyDescent="0.3">
      <c r="B467" s="4">
        <f t="shared" si="7"/>
        <v>464</v>
      </c>
      <c r="C467" s="5">
        <v>46174</v>
      </c>
      <c r="D467" s="10" t="str" cm="1">
        <f t="array" ref="D467">_xlfn.XLOOKUP(Table4[[#This Row],[Malın kodu]],Table1[[#All],[Malın kodu]],Table1[[#All],[Malın adı]],"xəta",0)</f>
        <v>Su pompası / dalğıc / 2.2 kvt / 14.5 metr / 400 L/d</v>
      </c>
      <c r="E467" s="8" t="s">
        <v>1374</v>
      </c>
      <c r="F467" s="4" t="s">
        <v>920</v>
      </c>
      <c r="G467" s="4">
        <v>1</v>
      </c>
      <c r="H467" s="4"/>
      <c r="I467" s="4">
        <f>Table4[[#This Row],[Malın miqdarı]]*Table4[[#This Row],[Vahidin qiyməti]]</f>
        <v>0</v>
      </c>
      <c r="J467" s="4" t="s">
        <v>899</v>
      </c>
      <c r="K467" s="4" t="s">
        <v>893</v>
      </c>
      <c r="L467" s="4">
        <f>_xlfn.XLOOKUP(Table4[[#This Row],[Kontragentin adı]],Table2[Kontragentin adı],Table2[Müqavilə nömrəsi],"Xəta",0)</f>
        <v>0</v>
      </c>
      <c r="M467" s="4">
        <f>_xlfn.XLOOKUP(Table4[[#This Row],[Kontragentin adı]],Table2[Kontragentin adı],Table2[Müqavilə nömrəsi],"Xəta",0)</f>
        <v>0</v>
      </c>
    </row>
    <row r="468" spans="2:13" x14ac:dyDescent="0.3">
      <c r="B468" s="4">
        <f t="shared" si="7"/>
        <v>465</v>
      </c>
      <c r="C468" s="5">
        <v>46174</v>
      </c>
      <c r="D468" s="10" t="str" cm="1">
        <f t="array" ref="D468">_xlfn.XLOOKUP(Table4[[#This Row],[Malın kodu]],Table1[[#All],[Malın kodu]],Table1[[#All],[Malın adı]],"xəta",0)</f>
        <v>Qarmaq / 3 tonn</v>
      </c>
      <c r="E468" s="8" t="s">
        <v>1375</v>
      </c>
      <c r="F468" s="4" t="s">
        <v>920</v>
      </c>
      <c r="G468" s="4">
        <v>1</v>
      </c>
      <c r="H468" s="4"/>
      <c r="I468" s="4">
        <f>Table4[[#This Row],[Malın miqdarı]]*Table4[[#This Row],[Vahidin qiyməti]]</f>
        <v>0</v>
      </c>
      <c r="J468" s="4" t="s">
        <v>899</v>
      </c>
      <c r="K468" s="4" t="s">
        <v>893</v>
      </c>
      <c r="L468" s="4">
        <f>_xlfn.XLOOKUP(Table4[[#This Row],[Kontragentin adı]],Table2[Kontragentin adı],Table2[Müqavilə nömrəsi],"Xəta",0)</f>
        <v>0</v>
      </c>
      <c r="M468" s="4">
        <f>_xlfn.XLOOKUP(Table4[[#This Row],[Kontragentin adı]],Table2[Kontragentin adı],Table2[Müqavilə nömrəsi],"Xəta",0)</f>
        <v>0</v>
      </c>
    </row>
    <row r="469" spans="2:13" x14ac:dyDescent="0.3">
      <c r="B469" s="4">
        <f t="shared" si="7"/>
        <v>466</v>
      </c>
      <c r="C469" s="5">
        <v>46174</v>
      </c>
      <c r="D469" s="10" t="str" cm="1">
        <f t="array" ref="D469">_xlfn.XLOOKUP(Table4[[#This Row],[Malın kodu]],Table1[[#All],[Malın kodu]],Table1[[#All],[Malın adı]],"xəta",0)</f>
        <v>Xomut / metal / torpaqlama üçün</v>
      </c>
      <c r="E469" s="8" t="s">
        <v>1376</v>
      </c>
      <c r="F469" s="4" t="s">
        <v>921</v>
      </c>
      <c r="G469" s="4">
        <v>14</v>
      </c>
      <c r="H469" s="4"/>
      <c r="I469" s="4">
        <f>Table4[[#This Row],[Malın miqdarı]]*Table4[[#This Row],[Vahidin qiyməti]]</f>
        <v>0</v>
      </c>
      <c r="J469" s="4" t="s">
        <v>899</v>
      </c>
      <c r="K469" s="4" t="s">
        <v>893</v>
      </c>
      <c r="L469" s="4">
        <f>_xlfn.XLOOKUP(Table4[[#This Row],[Kontragentin adı]],Table2[Kontragentin adı],Table2[Müqavilə nömrəsi],"Xəta",0)</f>
        <v>0</v>
      </c>
      <c r="M469" s="4">
        <f>_xlfn.XLOOKUP(Table4[[#This Row],[Kontragentin adı]],Table2[Kontragentin adı],Table2[Müqavilə nömrəsi],"Xəta",0)</f>
        <v>0</v>
      </c>
    </row>
    <row r="470" spans="2:13" x14ac:dyDescent="0.3">
      <c r="B470" s="4">
        <f t="shared" si="7"/>
        <v>467</v>
      </c>
      <c r="C470" s="5">
        <v>46174</v>
      </c>
      <c r="D470" s="10" t="str" cm="1">
        <f t="array" ref="D470">_xlfn.XLOOKUP(Table4[[#This Row],[Malın kodu]],Table1[[#All],[Malın kodu]],Table1[[#All],[Malın adı]],"xəta",0)</f>
        <v>Pəstah / rezin</v>
      </c>
      <c r="E470" s="8" t="s">
        <v>1377</v>
      </c>
      <c r="F470" s="4" t="s">
        <v>920</v>
      </c>
      <c r="G470" s="4">
        <v>12</v>
      </c>
      <c r="H470" s="4"/>
      <c r="I470" s="4">
        <f>Table4[[#This Row],[Malın miqdarı]]*Table4[[#This Row],[Vahidin qiyməti]]</f>
        <v>0</v>
      </c>
      <c r="J470" s="4" t="s">
        <v>899</v>
      </c>
      <c r="K470" s="4" t="s">
        <v>893</v>
      </c>
      <c r="L470" s="4">
        <f>_xlfn.XLOOKUP(Table4[[#This Row],[Kontragentin adı]],Table2[Kontragentin adı],Table2[Müqavilə nömrəsi],"Xəta",0)</f>
        <v>0</v>
      </c>
      <c r="M470" s="4">
        <f>_xlfn.XLOOKUP(Table4[[#This Row],[Kontragentin adı]],Table2[Kontragentin adı],Table2[Müqavilə nömrəsi],"Xəta",0)</f>
        <v>0</v>
      </c>
    </row>
    <row r="471" spans="2:13" x14ac:dyDescent="0.3">
      <c r="B471" s="4">
        <f t="shared" si="7"/>
        <v>468</v>
      </c>
      <c r="C471" s="5">
        <v>46174</v>
      </c>
      <c r="D471" s="10" t="str" cm="1">
        <f t="array" ref="D471">_xlfn.XLOOKUP(Table4[[#This Row],[Malın kodu]],Table1[[#All],[Malın kodu]],Table1[[#All],[Malın adı]],"xəta",0)</f>
        <v>Qaynaq Aparatı / plastik boru üçün / 15 kvt / d 160-400 mm / "TURAN MAKINA"</v>
      </c>
      <c r="E471" s="8" t="s">
        <v>1378</v>
      </c>
      <c r="F471" s="4" t="s">
        <v>920</v>
      </c>
      <c r="G471" s="4">
        <v>1</v>
      </c>
      <c r="H471" s="4"/>
      <c r="I471" s="4">
        <f>Table4[[#This Row],[Malın miqdarı]]*Table4[[#This Row],[Vahidin qiyməti]]</f>
        <v>0</v>
      </c>
      <c r="J471" s="4" t="s">
        <v>899</v>
      </c>
      <c r="K471" s="4" t="s">
        <v>893</v>
      </c>
      <c r="L471" s="4">
        <f>_xlfn.XLOOKUP(Table4[[#This Row],[Kontragentin adı]],Table2[Kontragentin adı],Table2[Müqavilə nömrəsi],"Xəta",0)</f>
        <v>0</v>
      </c>
      <c r="M471" s="4">
        <f>_xlfn.XLOOKUP(Table4[[#This Row],[Kontragentin adı]],Table2[Kontragentin adı],Table2[Müqavilə nömrəsi],"Xəta",0)</f>
        <v>0</v>
      </c>
    </row>
    <row r="472" spans="2:13" x14ac:dyDescent="0.3">
      <c r="B472" s="4">
        <f t="shared" si="7"/>
        <v>469</v>
      </c>
      <c r="C472" s="5">
        <v>46174</v>
      </c>
      <c r="D472" s="10" t="str" cm="1">
        <f t="array" ref="D472">_xlfn.XLOOKUP(Table4[[#This Row],[Malın kodu]],Table1[[#All],[Malın kodu]],Table1[[#All],[Malın adı]],"xəta",0)</f>
        <v>Qaynaq aparatı / plastik boru üçün / 3 kvt / d 63-160 mm / "TURAN MAKINA"</v>
      </c>
      <c r="E472" s="8" t="s">
        <v>1379</v>
      </c>
      <c r="F472" s="4" t="s">
        <v>920</v>
      </c>
      <c r="G472" s="4">
        <v>1</v>
      </c>
      <c r="H472" s="4"/>
      <c r="I472" s="4">
        <f>Table4[[#This Row],[Malın miqdarı]]*Table4[[#This Row],[Vahidin qiyməti]]</f>
        <v>0</v>
      </c>
      <c r="J472" s="4" t="s">
        <v>899</v>
      </c>
      <c r="K472" s="4" t="s">
        <v>893</v>
      </c>
      <c r="L472" s="4">
        <f>_xlfn.XLOOKUP(Table4[[#This Row],[Kontragentin adı]],Table2[Kontragentin adı],Table2[Müqavilə nömrəsi],"Xəta",0)</f>
        <v>0</v>
      </c>
      <c r="M472" s="4">
        <f>_xlfn.XLOOKUP(Table4[[#This Row],[Kontragentin adı]],Table2[Kontragentin adı],Table2[Müqavilə nömrəsi],"Xəta",0)</f>
        <v>0</v>
      </c>
    </row>
    <row r="473" spans="2:13" x14ac:dyDescent="0.3">
      <c r="B473" s="4">
        <f t="shared" si="7"/>
        <v>470</v>
      </c>
      <c r="C473" s="5">
        <v>46174</v>
      </c>
      <c r="D473" s="10" t="str" cm="1">
        <f t="array" ref="D473">_xlfn.XLOOKUP(Table4[[#This Row],[Malın kodu]],Table1[[#All],[Malın kodu]],Table1[[#All],[Malın adı]],"xəta",0)</f>
        <v>Tezlik və gərginlik çeviricisi / "Wacker Neuson" / 2/042/200W / Almaniya istehsalı</v>
      </c>
      <c r="E473" s="8" t="s">
        <v>1380</v>
      </c>
      <c r="F473" s="4" t="s">
        <v>920</v>
      </c>
      <c r="G473" s="4">
        <v>1</v>
      </c>
      <c r="H473" s="4"/>
      <c r="I473" s="4">
        <f>Table4[[#This Row],[Malın miqdarı]]*Table4[[#This Row],[Vahidin qiyməti]]</f>
        <v>0</v>
      </c>
      <c r="J473" s="4" t="s">
        <v>899</v>
      </c>
      <c r="K473" s="4" t="s">
        <v>893</v>
      </c>
      <c r="L473" s="4">
        <f>_xlfn.XLOOKUP(Table4[[#This Row],[Kontragentin adı]],Table2[Kontragentin adı],Table2[Müqavilə nömrəsi],"Xəta",0)</f>
        <v>0</v>
      </c>
      <c r="M473" s="4">
        <f>_xlfn.XLOOKUP(Table4[[#This Row],[Kontragentin adı]],Table2[Kontragentin adı],Table2[Müqavilə nömrəsi],"Xəta",0)</f>
        <v>0</v>
      </c>
    </row>
    <row r="474" spans="2:13" x14ac:dyDescent="0.3">
      <c r="B474" s="4">
        <f t="shared" si="7"/>
        <v>471</v>
      </c>
      <c r="C474" s="5">
        <v>46174</v>
      </c>
      <c r="D474" s="10" t="str" cm="1">
        <f t="array" ref="D474">_xlfn.XLOOKUP(Table4[[#This Row],[Malın kodu]],Table1[[#All],[Malın kodu]],Table1[[#All],[Malın adı]],"xəta",0)</f>
        <v>Nivelyator oxu / 4 ədədli</v>
      </c>
      <c r="E474" s="8" t="s">
        <v>1381</v>
      </c>
      <c r="F474" s="4" t="s">
        <v>921</v>
      </c>
      <c r="G474" s="4">
        <v>2</v>
      </c>
      <c r="H474" s="4"/>
      <c r="I474" s="4">
        <f>Table4[[#This Row],[Malın miqdarı]]*Table4[[#This Row],[Vahidin qiyməti]]</f>
        <v>0</v>
      </c>
      <c r="J474" s="4" t="s">
        <v>899</v>
      </c>
      <c r="K474" s="4" t="s">
        <v>893</v>
      </c>
      <c r="L474" s="4">
        <f>_xlfn.XLOOKUP(Table4[[#This Row],[Kontragentin adı]],Table2[Kontragentin adı],Table2[Müqavilə nömrəsi],"Xəta",0)</f>
        <v>0</v>
      </c>
      <c r="M474" s="4">
        <f>_xlfn.XLOOKUP(Table4[[#This Row],[Kontragentin adı]],Table2[Kontragentin adı],Table2[Müqavilə nömrəsi],"Xəta",0)</f>
        <v>0</v>
      </c>
    </row>
    <row r="475" spans="2:13" x14ac:dyDescent="0.3">
      <c r="B475" s="4">
        <f t="shared" si="7"/>
        <v>472</v>
      </c>
      <c r="C475" s="5">
        <v>46174</v>
      </c>
      <c r="D475" s="10" t="str" cm="1">
        <f t="array" ref="D475">_xlfn.XLOOKUP(Table4[[#This Row],[Malın kodu]],Table1[[#All],[Malın kodu]],Table1[[#All],[Malın adı]],"xəta",0)</f>
        <v>Aragatı / rezin</v>
      </c>
      <c r="E475" s="8" t="s">
        <v>1382</v>
      </c>
      <c r="F475" s="4" t="s">
        <v>925</v>
      </c>
      <c r="G475" s="4">
        <v>3.75</v>
      </c>
      <c r="H475" s="4"/>
      <c r="I475" s="4">
        <f>Table4[[#This Row],[Malın miqdarı]]*Table4[[#This Row],[Vahidin qiyməti]]</f>
        <v>0</v>
      </c>
      <c r="J475" s="4" t="s">
        <v>899</v>
      </c>
      <c r="K475" s="4" t="s">
        <v>893</v>
      </c>
      <c r="L475" s="4">
        <f>_xlfn.XLOOKUP(Table4[[#This Row],[Kontragentin adı]],Table2[Kontragentin adı],Table2[Müqavilə nömrəsi],"Xəta",0)</f>
        <v>0</v>
      </c>
      <c r="M475" s="4">
        <f>_xlfn.XLOOKUP(Table4[[#This Row],[Kontragentin adı]],Table2[Kontragentin adı],Table2[Müqavilə nömrəsi],"Xəta",0)</f>
        <v>0</v>
      </c>
    </row>
    <row r="476" spans="2:13" x14ac:dyDescent="0.3">
      <c r="B476" s="4">
        <f t="shared" si="7"/>
        <v>473</v>
      </c>
      <c r="C476" s="5">
        <v>46174</v>
      </c>
      <c r="D476" s="10" t="str" cm="1">
        <f t="array" ref="D476">_xlfn.XLOOKUP(Table4[[#This Row],[Malın kodu]],Table1[[#All],[Malın kodu]],Table1[[#All],[Malın adı]],"xəta",0)</f>
        <v>Starter / 30107817231</v>
      </c>
      <c r="E476" s="8" t="s">
        <v>1383</v>
      </c>
      <c r="F476" s="4" t="s">
        <v>920</v>
      </c>
      <c r="G476" s="4">
        <v>1</v>
      </c>
      <c r="H476" s="4"/>
      <c r="I476" s="4">
        <f>Table4[[#This Row],[Malın miqdarı]]*Table4[[#This Row],[Vahidin qiyməti]]</f>
        <v>0</v>
      </c>
      <c r="J476" s="4" t="s">
        <v>899</v>
      </c>
      <c r="K476" s="4" t="s">
        <v>893</v>
      </c>
      <c r="L476" s="4">
        <f>_xlfn.XLOOKUP(Table4[[#This Row],[Kontragentin adı]],Table2[Kontragentin adı],Table2[Müqavilə nömrəsi],"Xəta",0)</f>
        <v>0</v>
      </c>
      <c r="M476" s="4">
        <f>_xlfn.XLOOKUP(Table4[[#This Row],[Kontragentin adı]],Table2[Kontragentin adı],Table2[Müqavilə nömrəsi],"Xəta",0)</f>
        <v>0</v>
      </c>
    </row>
    <row r="477" spans="2:13" x14ac:dyDescent="0.3">
      <c r="B477" s="4">
        <f t="shared" si="7"/>
        <v>474</v>
      </c>
      <c r="C477" s="5">
        <v>46174</v>
      </c>
      <c r="D477" s="10" t="str" cm="1">
        <f t="array" ref="D477">_xlfn.XLOOKUP(Table4[[#This Row],[Malın kodu]],Table1[[#All],[Malın kodu]],Table1[[#All],[Malın adı]],"xəta",0)</f>
        <v>Starter / "Denso" / YM 119717-77010 / Yaponiya istehsalı</v>
      </c>
      <c r="E477" s="8" t="s">
        <v>1384</v>
      </c>
      <c r="F477" s="4" t="s">
        <v>920</v>
      </c>
      <c r="G477" s="4">
        <v>1</v>
      </c>
      <c r="H477" s="4"/>
      <c r="I477" s="4">
        <f>Table4[[#This Row],[Malın miqdarı]]*Table4[[#This Row],[Vahidin qiyməti]]</f>
        <v>0</v>
      </c>
      <c r="J477" s="4" t="s">
        <v>899</v>
      </c>
      <c r="K477" s="4" t="s">
        <v>893</v>
      </c>
      <c r="L477" s="4">
        <f>_xlfn.XLOOKUP(Table4[[#This Row],[Kontragentin adı]],Table2[Kontragentin adı],Table2[Müqavilə nömrəsi],"Xəta",0)</f>
        <v>0</v>
      </c>
      <c r="M477" s="4">
        <f>_xlfn.XLOOKUP(Table4[[#This Row],[Kontragentin adı]],Table2[Kontragentin adı],Table2[Müqavilə nömrəsi],"Xəta",0)</f>
        <v>0</v>
      </c>
    </row>
    <row r="478" spans="2:13" x14ac:dyDescent="0.3">
      <c r="B478" s="4">
        <f t="shared" si="7"/>
        <v>475</v>
      </c>
      <c r="C478" s="5">
        <v>46174</v>
      </c>
      <c r="D478" s="10" t="str" cm="1">
        <f t="array" ref="D478">_xlfn.XLOOKUP(Table4[[#This Row],[Malın kodu]],Table1[[#All],[Malın kodu]],Table1[[#All],[Malın adı]],"xəta",0)</f>
        <v>Bolt / ikitərəfli qaykalı / M18 L 200 mm</v>
      </c>
      <c r="E478" s="8" t="s">
        <v>1385</v>
      </c>
      <c r="F478" s="4" t="s">
        <v>920</v>
      </c>
      <c r="G478" s="4">
        <v>8</v>
      </c>
      <c r="H478" s="4"/>
      <c r="I478" s="4">
        <f>Table4[[#This Row],[Malın miqdarı]]*Table4[[#This Row],[Vahidin qiyməti]]</f>
        <v>0</v>
      </c>
      <c r="J478" s="4" t="s">
        <v>899</v>
      </c>
      <c r="K478" s="4" t="s">
        <v>893</v>
      </c>
      <c r="L478" s="4">
        <f>_xlfn.XLOOKUP(Table4[[#This Row],[Kontragentin adı]],Table2[Kontragentin adı],Table2[Müqavilə nömrəsi],"Xəta",0)</f>
        <v>0</v>
      </c>
      <c r="M478" s="4">
        <f>_xlfn.XLOOKUP(Table4[[#This Row],[Kontragentin adı]],Table2[Kontragentin adı],Table2[Müqavilə nömrəsi],"Xəta",0)</f>
        <v>0</v>
      </c>
    </row>
    <row r="479" spans="2:13" x14ac:dyDescent="0.3">
      <c r="B479" s="4">
        <f t="shared" si="7"/>
        <v>476</v>
      </c>
      <c r="C479" s="5">
        <v>46174</v>
      </c>
      <c r="D479" s="10" t="str" cm="1">
        <f t="array" ref="D479">_xlfn.XLOOKUP(Table4[[#This Row],[Malın kodu]],Table1[[#All],[Malın kodu]],Table1[[#All],[Malın adı]],"xəta",0)</f>
        <v>Respirator / 2 kartric ilə</v>
      </c>
      <c r="E479" s="8" t="s">
        <v>1386</v>
      </c>
      <c r="F479" s="4" t="s">
        <v>920</v>
      </c>
      <c r="G479" s="4">
        <v>2</v>
      </c>
      <c r="H479" s="4"/>
      <c r="I479" s="4">
        <f>Table4[[#This Row],[Malın miqdarı]]*Table4[[#This Row],[Vahidin qiyməti]]</f>
        <v>0</v>
      </c>
      <c r="J479" s="4" t="s">
        <v>899</v>
      </c>
      <c r="K479" s="4" t="s">
        <v>893</v>
      </c>
      <c r="L479" s="4">
        <f>_xlfn.XLOOKUP(Table4[[#This Row],[Kontragentin adı]],Table2[Kontragentin adı],Table2[Müqavilə nömrəsi],"Xəta",0)</f>
        <v>0</v>
      </c>
      <c r="M479" s="4">
        <f>_xlfn.XLOOKUP(Table4[[#This Row],[Kontragentin adı]],Table2[Kontragentin adı],Table2[Müqavilə nömrəsi],"Xəta",0)</f>
        <v>0</v>
      </c>
    </row>
    <row r="480" spans="2:13" x14ac:dyDescent="0.3">
      <c r="B480" s="4">
        <f t="shared" si="7"/>
        <v>477</v>
      </c>
      <c r="C480" s="5">
        <v>46174</v>
      </c>
      <c r="D480" s="10" t="str" cm="1">
        <f t="array" ref="D480">_xlfn.XLOOKUP(Table4[[#This Row],[Malın kodu]],Table1[[#All],[Malın kodu]],Table1[[#All],[Malın adı]],"xəta",0)</f>
        <v>Pika / 14 x 250 mm / perforator üçün</v>
      </c>
      <c r="E480" s="8" t="s">
        <v>1387</v>
      </c>
      <c r="F480" s="4" t="s">
        <v>920</v>
      </c>
      <c r="G480" s="4">
        <v>1</v>
      </c>
      <c r="H480" s="4"/>
      <c r="I480" s="4">
        <f>Table4[[#This Row],[Malın miqdarı]]*Table4[[#This Row],[Vahidin qiyməti]]</f>
        <v>0</v>
      </c>
      <c r="J480" s="4" t="s">
        <v>899</v>
      </c>
      <c r="K480" s="4" t="s">
        <v>893</v>
      </c>
      <c r="L480" s="4">
        <f>_xlfn.XLOOKUP(Table4[[#This Row],[Kontragentin adı]],Table2[Kontragentin adı],Table2[Müqavilə nömrəsi],"Xəta",0)</f>
        <v>0</v>
      </c>
      <c r="M480" s="4">
        <f>_xlfn.XLOOKUP(Table4[[#This Row],[Kontragentin adı]],Table2[Kontragentin adı],Table2[Müqavilə nömrəsi],"Xəta",0)</f>
        <v>0</v>
      </c>
    </row>
    <row r="481" spans="2:13" x14ac:dyDescent="0.3">
      <c r="B481" s="4">
        <f t="shared" si="7"/>
        <v>478</v>
      </c>
      <c r="C481" s="5">
        <v>46174</v>
      </c>
      <c r="D481" s="10" t="str" cm="1">
        <f t="array" ref="D481">_xlfn.XLOOKUP(Table4[[#This Row],[Malın kodu]],Table1[[#All],[Malın kodu]],Table1[[#All],[Malın adı]],"xəta",0)</f>
        <v>Köynək / cibli / qəlibçi üçün</v>
      </c>
      <c r="E481" s="8" t="s">
        <v>1388</v>
      </c>
      <c r="F481" s="4" t="s">
        <v>920</v>
      </c>
      <c r="G481" s="4">
        <v>3</v>
      </c>
      <c r="H481" s="4"/>
      <c r="I481" s="4">
        <f>Table4[[#This Row],[Malın miqdarı]]*Table4[[#This Row],[Vahidin qiyməti]]</f>
        <v>0</v>
      </c>
      <c r="J481" s="4" t="s">
        <v>899</v>
      </c>
      <c r="K481" s="4" t="s">
        <v>893</v>
      </c>
      <c r="L481" s="4">
        <f>_xlfn.XLOOKUP(Table4[[#This Row],[Kontragentin adı]],Table2[Kontragentin adı],Table2[Müqavilə nömrəsi],"Xəta",0)</f>
        <v>0</v>
      </c>
      <c r="M481" s="4">
        <f>_xlfn.XLOOKUP(Table4[[#This Row],[Kontragentin adı]],Table2[Kontragentin adı],Table2[Müqavilə nömrəsi],"Xəta",0)</f>
        <v>0</v>
      </c>
    </row>
    <row r="482" spans="2:13" x14ac:dyDescent="0.3">
      <c r="B482" s="4">
        <f t="shared" si="7"/>
        <v>479</v>
      </c>
      <c r="C482" s="5">
        <v>46174</v>
      </c>
      <c r="D482" s="10" t="str" cm="1">
        <f t="array" ref="D482">_xlfn.XLOOKUP(Table4[[#This Row],[Malın kodu]],Table1[[#All],[Malın kodu]],Table1[[#All],[Malın adı]],"xəta",0)</f>
        <v>Şalvar / qaynaqçı üçün</v>
      </c>
      <c r="E482" s="8" t="s">
        <v>1389</v>
      </c>
      <c r="F482" s="4" t="s">
        <v>920</v>
      </c>
      <c r="G482" s="4">
        <v>2</v>
      </c>
      <c r="H482" s="4"/>
      <c r="I482" s="4">
        <f>Table4[[#This Row],[Malın miqdarı]]*Table4[[#This Row],[Vahidin qiyməti]]</f>
        <v>0</v>
      </c>
      <c r="J482" s="4" t="s">
        <v>899</v>
      </c>
      <c r="K482" s="4" t="s">
        <v>893</v>
      </c>
      <c r="L482" s="4">
        <f>_xlfn.XLOOKUP(Table4[[#This Row],[Kontragentin adı]],Table2[Kontragentin adı],Table2[Müqavilə nömrəsi],"Xəta",0)</f>
        <v>0</v>
      </c>
      <c r="M482" s="4">
        <f>_xlfn.XLOOKUP(Table4[[#This Row],[Kontragentin adı]],Table2[Kontragentin adı],Table2[Müqavilə nömrəsi],"Xəta",0)</f>
        <v>0</v>
      </c>
    </row>
    <row r="483" spans="2:13" x14ac:dyDescent="0.3">
      <c r="B483" s="4">
        <f t="shared" si="7"/>
        <v>480</v>
      </c>
      <c r="C483" s="5">
        <v>46174</v>
      </c>
      <c r="D483" s="10" t="str" cm="1">
        <f t="array" ref="D483">_xlfn.XLOOKUP(Table4[[#This Row],[Malın kodu]],Table1[[#All],[Malın kodu]],Table1[[#All],[Malın adı]],"xəta",0)</f>
        <v>Bolt-qayka / M20 / L 200 mm</v>
      </c>
      <c r="E483" s="8" t="s">
        <v>1390</v>
      </c>
      <c r="F483" s="4" t="s">
        <v>920</v>
      </c>
      <c r="G483" s="4">
        <v>25</v>
      </c>
      <c r="H483" s="4"/>
      <c r="I483" s="4">
        <f>Table4[[#This Row],[Malın miqdarı]]*Table4[[#This Row],[Vahidin qiyməti]]</f>
        <v>0</v>
      </c>
      <c r="J483" s="4" t="s">
        <v>899</v>
      </c>
      <c r="K483" s="4" t="s">
        <v>893</v>
      </c>
      <c r="L483" s="4">
        <f>_xlfn.XLOOKUP(Table4[[#This Row],[Kontragentin adı]],Table2[Kontragentin adı],Table2[Müqavilə nömrəsi],"Xəta",0)</f>
        <v>0</v>
      </c>
      <c r="M483" s="4">
        <f>_xlfn.XLOOKUP(Table4[[#This Row],[Kontragentin adı]],Table2[Kontragentin adı],Table2[Müqavilə nömrəsi],"Xəta",0)</f>
        <v>0</v>
      </c>
    </row>
    <row r="484" spans="2:13" x14ac:dyDescent="0.3">
      <c r="B484" s="4">
        <f t="shared" si="7"/>
        <v>481</v>
      </c>
      <c r="C484" s="5">
        <v>46174</v>
      </c>
      <c r="D484" s="10" t="str" cm="1">
        <f t="array" ref="D484">_xlfn.XLOOKUP(Table4[[#This Row],[Malın kodu]],Table1[[#All],[Malın kodu]],Table1[[#All],[Malın adı]],"xəta",0)</f>
        <v>Sırğa / 6 tonn</v>
      </c>
      <c r="E484" s="8" t="s">
        <v>1391</v>
      </c>
      <c r="F484" s="4" t="s">
        <v>920</v>
      </c>
      <c r="G484" s="4">
        <v>1</v>
      </c>
      <c r="H484" s="4"/>
      <c r="I484" s="4">
        <f>Table4[[#This Row],[Malın miqdarı]]*Table4[[#This Row],[Vahidin qiyməti]]</f>
        <v>0</v>
      </c>
      <c r="J484" s="4" t="s">
        <v>899</v>
      </c>
      <c r="K484" s="4" t="s">
        <v>893</v>
      </c>
      <c r="L484" s="4">
        <f>_xlfn.XLOOKUP(Table4[[#This Row],[Kontragentin adı]],Table2[Kontragentin adı],Table2[Müqavilə nömrəsi],"Xəta",0)</f>
        <v>0</v>
      </c>
      <c r="M484" s="4">
        <f>_xlfn.XLOOKUP(Table4[[#This Row],[Kontragentin adı]],Table2[Kontragentin adı],Table2[Müqavilə nömrəsi],"Xəta",0)</f>
        <v>0</v>
      </c>
    </row>
    <row r="485" spans="2:13" x14ac:dyDescent="0.3">
      <c r="B485" s="4">
        <f t="shared" si="7"/>
        <v>482</v>
      </c>
      <c r="C485" s="5">
        <v>46174</v>
      </c>
      <c r="D485" s="10" t="str" cm="1">
        <f t="array" ref="D485">_xlfn.XLOOKUP(Table4[[#This Row],[Malın kodu]],Table1[[#All],[Malın kodu]],Table1[[#All],[Malın adı]],"xəta",0)</f>
        <v>Boya / alüminium / 350° dözümlü / 0.85 Litr</v>
      </c>
      <c r="E485" s="8" t="s">
        <v>1392</v>
      </c>
      <c r="F485" s="4" t="s">
        <v>920</v>
      </c>
      <c r="G485" s="4">
        <v>2</v>
      </c>
      <c r="H485" s="4"/>
      <c r="I485" s="4">
        <f>Table4[[#This Row],[Malın miqdarı]]*Table4[[#This Row],[Vahidin qiyməti]]</f>
        <v>0</v>
      </c>
      <c r="J485" s="4" t="s">
        <v>899</v>
      </c>
      <c r="K485" s="4" t="s">
        <v>893</v>
      </c>
      <c r="L485" s="4">
        <f>_xlfn.XLOOKUP(Table4[[#This Row],[Kontragentin adı]],Table2[Kontragentin adı],Table2[Müqavilə nömrəsi],"Xəta",0)</f>
        <v>0</v>
      </c>
      <c r="M485" s="4">
        <f>_xlfn.XLOOKUP(Table4[[#This Row],[Kontragentin adı]],Table2[Kontragentin adı],Table2[Müqavilə nömrəsi],"Xəta",0)</f>
        <v>0</v>
      </c>
    </row>
    <row r="486" spans="2:13" x14ac:dyDescent="0.3">
      <c r="B486" s="4">
        <f t="shared" si="7"/>
        <v>483</v>
      </c>
      <c r="C486" s="5">
        <v>46174</v>
      </c>
      <c r="D486" s="10" t="str" cm="1">
        <f t="array" ref="D486">_xlfn.XLOOKUP(Table4[[#This Row],[Malın kodu]],Table1[[#All],[Malın kodu]],Table1[[#All],[Malın adı]],"xəta",0)</f>
        <v>Sürtkü yağı / kauçuklu / KG-3 / "Greson"</v>
      </c>
      <c r="E486" s="8" t="s">
        <v>1393</v>
      </c>
      <c r="F486" s="4" t="s">
        <v>927</v>
      </c>
      <c r="G486" s="4">
        <v>4</v>
      </c>
      <c r="H486" s="4"/>
      <c r="I486" s="4">
        <f>Table4[[#This Row],[Malın miqdarı]]*Table4[[#This Row],[Vahidin qiyməti]]</f>
        <v>0</v>
      </c>
      <c r="J486" s="4" t="s">
        <v>899</v>
      </c>
      <c r="K486" s="4" t="s">
        <v>893</v>
      </c>
      <c r="L486" s="4">
        <f>_xlfn.XLOOKUP(Table4[[#This Row],[Kontragentin adı]],Table2[Kontragentin adı],Table2[Müqavilə nömrəsi],"Xəta",0)</f>
        <v>0</v>
      </c>
      <c r="M486" s="4">
        <f>_xlfn.XLOOKUP(Table4[[#This Row],[Kontragentin adı]],Table2[Kontragentin adı],Table2[Müqavilə nömrəsi],"Xəta",0)</f>
        <v>0</v>
      </c>
    </row>
    <row r="487" spans="2:13" x14ac:dyDescent="0.3">
      <c r="B487" s="4">
        <f t="shared" si="7"/>
        <v>484</v>
      </c>
      <c r="C487" s="5">
        <v>46174</v>
      </c>
      <c r="D487" s="10" t="str" cm="1">
        <f t="array" ref="D487">_xlfn.XLOOKUP(Table4[[#This Row],[Malın kodu]],Table1[[#All],[Malın kodu]],Table1[[#All],[Malın adı]],"xəta",0)</f>
        <v>Tiner</v>
      </c>
      <c r="E487" s="8" t="s">
        <v>1394</v>
      </c>
      <c r="F487" s="4" t="s">
        <v>920</v>
      </c>
      <c r="G487" s="4">
        <v>2</v>
      </c>
      <c r="H487" s="4"/>
      <c r="I487" s="4">
        <f>Table4[[#This Row],[Malın miqdarı]]*Table4[[#This Row],[Vahidin qiyməti]]</f>
        <v>0</v>
      </c>
      <c r="J487" s="4" t="s">
        <v>899</v>
      </c>
      <c r="K487" s="4" t="s">
        <v>893</v>
      </c>
      <c r="L487" s="4">
        <f>_xlfn.XLOOKUP(Table4[[#This Row],[Kontragentin adı]],Table2[Kontragentin adı],Table2[Müqavilə nömrəsi],"Xəta",0)</f>
        <v>0</v>
      </c>
      <c r="M487" s="4">
        <f>_xlfn.XLOOKUP(Table4[[#This Row],[Kontragentin adı]],Table2[Kontragentin adı],Table2[Müqavilə nömrəsi],"Xəta",0)</f>
        <v>0</v>
      </c>
    </row>
    <row r="488" spans="2:13" x14ac:dyDescent="0.3">
      <c r="B488" s="4">
        <f t="shared" si="7"/>
        <v>485</v>
      </c>
      <c r="C488" s="5">
        <v>46174</v>
      </c>
      <c r="D488" s="10" t="str" cm="1">
        <f t="array" ref="D488">_xlfn.XLOOKUP(Table4[[#This Row],[Malın kodu]],Table1[[#All],[Malın kodu]],Table1[[#All],[Malın adı]],"xəta",0)</f>
        <v>Boya / fasad / akril / "Expert" / 15 litr</v>
      </c>
      <c r="E488" s="8" t="s">
        <v>1395</v>
      </c>
      <c r="F488" s="4" t="s">
        <v>928</v>
      </c>
      <c r="G488" s="4">
        <v>1</v>
      </c>
      <c r="H488" s="4"/>
      <c r="I488" s="4">
        <f>Table4[[#This Row],[Malın miqdarı]]*Table4[[#This Row],[Vahidin qiyməti]]</f>
        <v>0</v>
      </c>
      <c r="J488" s="4" t="s">
        <v>899</v>
      </c>
      <c r="K488" s="4" t="s">
        <v>893</v>
      </c>
      <c r="L488" s="4">
        <f>_xlfn.XLOOKUP(Table4[[#This Row],[Kontragentin adı]],Table2[Kontragentin adı],Table2[Müqavilə nömrəsi],"Xəta",0)</f>
        <v>0</v>
      </c>
      <c r="M488" s="4">
        <f>_xlfn.XLOOKUP(Table4[[#This Row],[Kontragentin adı]],Table2[Kontragentin adı],Table2[Müqavilə nömrəsi],"Xəta",0)</f>
        <v>0</v>
      </c>
    </row>
    <row r="489" spans="2:13" x14ac:dyDescent="0.3">
      <c r="B489" s="4">
        <f t="shared" si="7"/>
        <v>486</v>
      </c>
      <c r="C489" s="5">
        <v>46174</v>
      </c>
      <c r="D489" s="10" t="str" cm="1">
        <f t="array" ref="D489">_xlfn.XLOOKUP(Table4[[#This Row],[Malın kodu]],Table1[[#All],[Malın kodu]],Table1[[#All],[Malın adı]],"xəta",0)</f>
        <v>Yapışdırıcı / divar kağızı üçün / 150 gr</v>
      </c>
      <c r="E489" s="8" t="s">
        <v>1396</v>
      </c>
      <c r="F489" s="4" t="s">
        <v>920</v>
      </c>
      <c r="G489" s="4">
        <v>1</v>
      </c>
      <c r="H489" s="4"/>
      <c r="I489" s="4">
        <f>Table4[[#This Row],[Malın miqdarı]]*Table4[[#This Row],[Vahidin qiyməti]]</f>
        <v>0</v>
      </c>
      <c r="J489" s="4" t="s">
        <v>899</v>
      </c>
      <c r="K489" s="4" t="s">
        <v>893</v>
      </c>
      <c r="L489" s="4">
        <f>_xlfn.XLOOKUP(Table4[[#This Row],[Kontragentin adı]],Table2[Kontragentin adı],Table2[Müqavilə nömrəsi],"Xəta",0)</f>
        <v>0</v>
      </c>
      <c r="M489" s="4">
        <f>_xlfn.XLOOKUP(Table4[[#This Row],[Kontragentin adı]],Table2[Kontragentin adı],Table2[Müqavilə nömrəsi],"Xəta",0)</f>
        <v>0</v>
      </c>
    </row>
    <row r="490" spans="2:13" x14ac:dyDescent="0.3">
      <c r="B490" s="4">
        <f t="shared" si="7"/>
        <v>487</v>
      </c>
      <c r="C490" s="5">
        <v>46174</v>
      </c>
      <c r="D490" s="10" t="str" cm="1">
        <f t="array" ref="D490">_xlfn.XLOOKUP(Table4[[#This Row],[Malın kodu]],Table1[[#All],[Malın kodu]],Table1[[#All],[Malın adı]],"xəta",0)</f>
        <v>Çıkic / sapı ilə/ 500 gr</v>
      </c>
      <c r="E490" s="8" t="s">
        <v>1397</v>
      </c>
      <c r="F490" s="4" t="s">
        <v>920</v>
      </c>
      <c r="G490" s="4">
        <v>1</v>
      </c>
      <c r="H490" s="4"/>
      <c r="I490" s="4">
        <f>Table4[[#This Row],[Malın miqdarı]]*Table4[[#This Row],[Vahidin qiyməti]]</f>
        <v>0</v>
      </c>
      <c r="J490" s="4" t="s">
        <v>899</v>
      </c>
      <c r="K490" s="4" t="s">
        <v>893</v>
      </c>
      <c r="L490" s="4">
        <f>_xlfn.XLOOKUP(Table4[[#This Row],[Kontragentin adı]],Table2[Kontragentin adı],Table2[Müqavilə nömrəsi],"Xəta",0)</f>
        <v>0</v>
      </c>
      <c r="M490" s="4">
        <f>_xlfn.XLOOKUP(Table4[[#This Row],[Kontragentin adı]],Table2[Kontragentin adı],Table2[Müqavilə nömrəsi],"Xəta",0)</f>
        <v>0</v>
      </c>
    </row>
    <row r="491" spans="2:13" x14ac:dyDescent="0.3">
      <c r="B491" s="4">
        <f t="shared" si="7"/>
        <v>488</v>
      </c>
      <c r="C491" s="5">
        <v>46174</v>
      </c>
      <c r="D491" s="10" t="str" cm="1">
        <f t="array" ref="D491">_xlfn.XLOOKUP(Table4[[#This Row],[Malın kodu]],Table1[[#All],[Malın kodu]],Table1[[#All],[Malın adı]],"xəta",0)</f>
        <v>Pika / L 250</v>
      </c>
      <c r="E491" s="8" t="s">
        <v>1398</v>
      </c>
      <c r="F491" s="4" t="s">
        <v>920</v>
      </c>
      <c r="G491" s="4">
        <v>1</v>
      </c>
      <c r="H491" s="4"/>
      <c r="I491" s="4">
        <f>Table4[[#This Row],[Malın miqdarı]]*Table4[[#This Row],[Vahidin qiyməti]]</f>
        <v>0</v>
      </c>
      <c r="J491" s="4" t="s">
        <v>899</v>
      </c>
      <c r="K491" s="4" t="s">
        <v>893</v>
      </c>
      <c r="L491" s="4">
        <f>_xlfn.XLOOKUP(Table4[[#This Row],[Kontragentin adı]],Table2[Kontragentin adı],Table2[Müqavilə nömrəsi],"Xəta",0)</f>
        <v>0</v>
      </c>
      <c r="M491" s="4">
        <f>_xlfn.XLOOKUP(Table4[[#This Row],[Kontragentin adı]],Table2[Kontragentin adı],Table2[Müqavilə nömrəsi],"Xəta",0)</f>
        <v>0</v>
      </c>
    </row>
    <row r="492" spans="2:13" x14ac:dyDescent="0.3">
      <c r="B492" s="4">
        <f t="shared" si="7"/>
        <v>489</v>
      </c>
      <c r="C492" s="5">
        <v>46174</v>
      </c>
      <c r="D492" s="10" t="str" cm="1">
        <f t="array" ref="D492">_xlfn.XLOOKUP(Table4[[#This Row],[Malın kodu]],Table1[[#All],[Malın kodu]],Table1[[#All],[Malın adı]],"xəta",0)</f>
        <v>Dişli qayıs / 9.5 x 1150 mm</v>
      </c>
      <c r="E492" s="8" t="s">
        <v>1399</v>
      </c>
      <c r="F492" s="4" t="s">
        <v>920</v>
      </c>
      <c r="G492" s="4">
        <v>1</v>
      </c>
      <c r="H492" s="4"/>
      <c r="I492" s="4">
        <f>Table4[[#This Row],[Malın miqdarı]]*Table4[[#This Row],[Vahidin qiyməti]]</f>
        <v>0</v>
      </c>
      <c r="J492" s="4" t="s">
        <v>899</v>
      </c>
      <c r="K492" s="4" t="s">
        <v>893</v>
      </c>
      <c r="L492" s="4">
        <f>_xlfn.XLOOKUP(Table4[[#This Row],[Kontragentin adı]],Table2[Kontragentin adı],Table2[Müqavilə nömrəsi],"Xəta",0)</f>
        <v>0</v>
      </c>
      <c r="M492" s="4">
        <f>_xlfn.XLOOKUP(Table4[[#This Row],[Kontragentin adı]],Table2[Kontragentin adı],Table2[Müqavilə nömrəsi],"Xəta",0)</f>
        <v>0</v>
      </c>
    </row>
    <row r="493" spans="2:13" x14ac:dyDescent="0.3">
      <c r="B493" s="4">
        <f t="shared" si="7"/>
        <v>490</v>
      </c>
      <c r="C493" s="5">
        <v>46174</v>
      </c>
      <c r="D493" s="10" t="str" cm="1">
        <f t="array" ref="D493">_xlfn.XLOOKUP(Table4[[#This Row],[Malın kodu]],Table1[[#All],[Malın kodu]],Table1[[#All],[Malın adı]],"xəta",0)</f>
        <v>Dişli qayış / 13A1200C / "Dayco"</v>
      </c>
      <c r="E493" s="8" t="s">
        <v>1400</v>
      </c>
      <c r="F493" s="4" t="s">
        <v>920</v>
      </c>
      <c r="G493" s="4">
        <v>2</v>
      </c>
      <c r="H493" s="4"/>
      <c r="I493" s="4">
        <f>Table4[[#This Row],[Malın miqdarı]]*Table4[[#This Row],[Vahidin qiyməti]]</f>
        <v>0</v>
      </c>
      <c r="J493" s="4" t="s">
        <v>899</v>
      </c>
      <c r="K493" s="4" t="s">
        <v>893</v>
      </c>
      <c r="L493" s="4">
        <f>_xlfn.XLOOKUP(Table4[[#This Row],[Kontragentin adı]],Table2[Kontragentin adı],Table2[Müqavilə nömrəsi],"Xəta",0)</f>
        <v>0</v>
      </c>
      <c r="M493" s="4">
        <f>_xlfn.XLOOKUP(Table4[[#This Row],[Kontragentin adı]],Table2[Kontragentin adı],Table2[Müqavilə nömrəsi],"Xəta",0)</f>
        <v>0</v>
      </c>
    </row>
    <row r="494" spans="2:13" x14ac:dyDescent="0.3">
      <c r="B494" s="4">
        <f t="shared" si="7"/>
        <v>491</v>
      </c>
      <c r="C494" s="5">
        <v>46174</v>
      </c>
      <c r="D494" s="10" t="str" cm="1">
        <f t="array" ref="D494">_xlfn.XLOOKUP(Table4[[#This Row],[Malın kodu]],Table1[[#All],[Malın kodu]],Table1[[#All],[Malın adı]],"xəta",0)</f>
        <v>Qayış / A71 / "Dongil"</v>
      </c>
      <c r="E494" s="8" t="s">
        <v>1401</v>
      </c>
      <c r="F494" s="4" t="s">
        <v>920</v>
      </c>
      <c r="G494" s="4">
        <v>3</v>
      </c>
      <c r="H494" s="4"/>
      <c r="I494" s="4">
        <f>Table4[[#This Row],[Malın miqdarı]]*Table4[[#This Row],[Vahidin qiyməti]]</f>
        <v>0</v>
      </c>
      <c r="J494" s="4" t="s">
        <v>899</v>
      </c>
      <c r="K494" s="4" t="s">
        <v>893</v>
      </c>
      <c r="L494" s="4">
        <f>_xlfn.XLOOKUP(Table4[[#This Row],[Kontragentin adı]],Table2[Kontragentin adı],Table2[Müqavilə nömrəsi],"Xəta",0)</f>
        <v>0</v>
      </c>
      <c r="M494" s="4">
        <f>_xlfn.XLOOKUP(Table4[[#This Row],[Kontragentin adı]],Table2[Kontragentin adı],Table2[Müqavilə nömrəsi],"Xəta",0)</f>
        <v>0</v>
      </c>
    </row>
    <row r="495" spans="2:13" x14ac:dyDescent="0.3">
      <c r="B495" s="4">
        <f t="shared" si="7"/>
        <v>492</v>
      </c>
      <c r="C495" s="5">
        <v>46174</v>
      </c>
      <c r="D495" s="10" t="str" cm="1">
        <f t="array" ref="D495">_xlfn.XLOOKUP(Table4[[#This Row],[Malın kodu]],Table1[[#All],[Malın kodu]],Table1[[#All],[Malın adı]],"xəta",0)</f>
        <v>Elektrik lövhəsi / 300 x 400 x 165 mm</v>
      </c>
      <c r="E495" s="8" t="s">
        <v>1402</v>
      </c>
      <c r="F495" s="4" t="s">
        <v>920</v>
      </c>
      <c r="G495" s="4">
        <v>2</v>
      </c>
      <c r="H495" s="4"/>
      <c r="I495" s="4">
        <f>Table4[[#This Row],[Malın miqdarı]]*Table4[[#This Row],[Vahidin qiyməti]]</f>
        <v>0</v>
      </c>
      <c r="J495" s="4" t="s">
        <v>899</v>
      </c>
      <c r="K495" s="4" t="s">
        <v>893</v>
      </c>
      <c r="L495" s="4">
        <f>_xlfn.XLOOKUP(Table4[[#This Row],[Kontragentin adı]],Table2[Kontragentin adı],Table2[Müqavilə nömrəsi],"Xəta",0)</f>
        <v>0</v>
      </c>
      <c r="M495" s="4">
        <f>_xlfn.XLOOKUP(Table4[[#This Row],[Kontragentin adı]],Table2[Kontragentin adı],Table2[Müqavilə nömrəsi],"Xəta",0)</f>
        <v>0</v>
      </c>
    </row>
    <row r="496" spans="2:13" x14ac:dyDescent="0.3">
      <c r="B496" s="4">
        <f t="shared" si="7"/>
        <v>493</v>
      </c>
      <c r="C496" s="5">
        <v>46174</v>
      </c>
      <c r="D496" s="10" t="str" cm="1">
        <f t="array" ref="D496">_xlfn.XLOOKUP(Table4[[#This Row],[Malın kodu]],Table1[[#All],[Malın kodu]],Table1[[#All],[Malın adı]],"xəta",0)</f>
        <v>Elektrik lövhəsi / 400 x 500 x 170 mm</v>
      </c>
      <c r="E496" s="8" t="s">
        <v>1403</v>
      </c>
      <c r="F496" s="4" t="s">
        <v>920</v>
      </c>
      <c r="G496" s="4">
        <v>1</v>
      </c>
      <c r="H496" s="4"/>
      <c r="I496" s="4">
        <f>Table4[[#This Row],[Malın miqdarı]]*Table4[[#This Row],[Vahidin qiyməti]]</f>
        <v>0</v>
      </c>
      <c r="J496" s="4" t="s">
        <v>899</v>
      </c>
      <c r="K496" s="4" t="s">
        <v>893</v>
      </c>
      <c r="L496" s="4">
        <f>_xlfn.XLOOKUP(Table4[[#This Row],[Kontragentin adı]],Table2[Kontragentin adı],Table2[Müqavilə nömrəsi],"Xəta",0)</f>
        <v>0</v>
      </c>
      <c r="M496" s="4">
        <f>_xlfn.XLOOKUP(Table4[[#This Row],[Kontragentin adı]],Table2[Kontragentin adı],Table2[Müqavilə nömrəsi],"Xəta",0)</f>
        <v>0</v>
      </c>
    </row>
    <row r="497" spans="2:13" x14ac:dyDescent="0.3">
      <c r="B497" s="4">
        <f t="shared" si="7"/>
        <v>494</v>
      </c>
      <c r="C497" s="5">
        <v>46174</v>
      </c>
      <c r="D497" s="10" t="str" cm="1">
        <f t="array" ref="D497">_xlfn.XLOOKUP(Table4[[#This Row],[Malın kodu]],Table1[[#All],[Malın kodu]],Table1[[#All],[Malın adı]],"xəta",0)</f>
        <v>Səviyyəölçən / ultrasəs / "ATEK" / Türkiyə istehsalı</v>
      </c>
      <c r="E497" s="8" t="s">
        <v>1404</v>
      </c>
      <c r="F497" s="4" t="s">
        <v>920</v>
      </c>
      <c r="G497" s="4">
        <v>1</v>
      </c>
      <c r="H497" s="4"/>
      <c r="I497" s="4">
        <f>Table4[[#This Row],[Malın miqdarı]]*Table4[[#This Row],[Vahidin qiyməti]]</f>
        <v>0</v>
      </c>
      <c r="J497" s="4" t="s">
        <v>899</v>
      </c>
      <c r="K497" s="4" t="s">
        <v>893</v>
      </c>
      <c r="L497" s="4">
        <f>_xlfn.XLOOKUP(Table4[[#This Row],[Kontragentin adı]],Table2[Kontragentin adı],Table2[Müqavilə nömrəsi],"Xəta",0)</f>
        <v>0</v>
      </c>
      <c r="M497" s="4">
        <f>_xlfn.XLOOKUP(Table4[[#This Row],[Kontragentin adı]],Table2[Kontragentin adı],Table2[Müqavilə nömrəsi],"Xəta",0)</f>
        <v>0</v>
      </c>
    </row>
    <row r="498" spans="2:13" x14ac:dyDescent="0.3">
      <c r="B498" s="4">
        <f t="shared" si="7"/>
        <v>495</v>
      </c>
      <c r="C498" s="5">
        <v>46174</v>
      </c>
      <c r="D498" s="10" t="str" cm="1">
        <f t="array" ref="D498">_xlfn.XLOOKUP(Table4[[#This Row],[Malın kodu]],Table1[[#All],[Malın kodu]],Table1[[#All],[Malın adı]],"xəta",0)</f>
        <v>Dişli qayış / 12.5 x 950 mm</v>
      </c>
      <c r="E498" s="8" t="s">
        <v>1405</v>
      </c>
      <c r="F498" s="4" t="s">
        <v>920</v>
      </c>
      <c r="G498" s="4">
        <v>1</v>
      </c>
      <c r="H498" s="4"/>
      <c r="I498" s="4">
        <f>Table4[[#This Row],[Malın miqdarı]]*Table4[[#This Row],[Vahidin qiyməti]]</f>
        <v>0</v>
      </c>
      <c r="J498" s="4" t="s">
        <v>899</v>
      </c>
      <c r="K498" s="4" t="s">
        <v>893</v>
      </c>
      <c r="L498" s="4">
        <f>_xlfn.XLOOKUP(Table4[[#This Row],[Kontragentin adı]],Table2[Kontragentin adı],Table2[Müqavilə nömrəsi],"Xəta",0)</f>
        <v>0</v>
      </c>
      <c r="M498" s="4">
        <f>_xlfn.XLOOKUP(Table4[[#This Row],[Kontragentin adı]],Table2[Kontragentin adı],Table2[Müqavilə nömrəsi],"Xəta",0)</f>
        <v>0</v>
      </c>
    </row>
    <row r="499" spans="2:13" x14ac:dyDescent="0.3">
      <c r="B499" s="4">
        <f t="shared" si="7"/>
        <v>496</v>
      </c>
      <c r="C499" s="5">
        <v>46174</v>
      </c>
      <c r="D499" s="10" t="str" cm="1">
        <f t="array" ref="D499">_xlfn.XLOOKUP(Table4[[#This Row],[Malın kodu]],Table1[[#All],[Malın kodu]],Table1[[#All],[Malın adı]],"xəta",0)</f>
        <v>Qayış / 9.5 x 750 mm</v>
      </c>
      <c r="E499" s="8" t="s">
        <v>1406</v>
      </c>
      <c r="F499" s="4" t="s">
        <v>920</v>
      </c>
      <c r="G499" s="4">
        <v>1</v>
      </c>
      <c r="H499" s="4"/>
      <c r="I499" s="4">
        <f>Table4[[#This Row],[Malın miqdarı]]*Table4[[#This Row],[Vahidin qiyməti]]</f>
        <v>0</v>
      </c>
      <c r="J499" s="4" t="s">
        <v>899</v>
      </c>
      <c r="K499" s="4" t="s">
        <v>893</v>
      </c>
      <c r="L499" s="4">
        <f>_xlfn.XLOOKUP(Table4[[#This Row],[Kontragentin adı]],Table2[Kontragentin adı],Table2[Müqavilə nömrəsi],"Xəta",0)</f>
        <v>0</v>
      </c>
      <c r="M499" s="4">
        <f>_xlfn.XLOOKUP(Table4[[#This Row],[Kontragentin adı]],Table2[Kontragentin adı],Table2[Müqavilə nömrəsi],"Xəta",0)</f>
        <v>0</v>
      </c>
    </row>
    <row r="500" spans="2:13" x14ac:dyDescent="0.3">
      <c r="B500" s="4">
        <f t="shared" si="7"/>
        <v>497</v>
      </c>
      <c r="C500" s="5">
        <v>46174</v>
      </c>
      <c r="D500" s="10" t="str" cm="1">
        <f t="array" ref="D500">_xlfn.XLOOKUP(Table4[[#This Row],[Malın kodu]],Table1[[#All],[Malın kodu]],Table1[[#All],[Malın adı]],"xəta",0)</f>
        <v>Qayış / 17 x 1100 mm</v>
      </c>
      <c r="E500" s="8" t="s">
        <v>1407</v>
      </c>
      <c r="F500" s="4" t="s">
        <v>920</v>
      </c>
      <c r="G500" s="4">
        <v>2</v>
      </c>
      <c r="H500" s="4"/>
      <c r="I500" s="4">
        <f>Table4[[#This Row],[Malın miqdarı]]*Table4[[#This Row],[Vahidin qiyməti]]</f>
        <v>0</v>
      </c>
      <c r="J500" s="4" t="s">
        <v>899</v>
      </c>
      <c r="K500" s="4" t="s">
        <v>893</v>
      </c>
      <c r="L500" s="4">
        <f>_xlfn.XLOOKUP(Table4[[#This Row],[Kontragentin adı]],Table2[Kontragentin adı],Table2[Müqavilə nömrəsi],"Xəta",0)</f>
        <v>0</v>
      </c>
      <c r="M500" s="4">
        <f>_xlfn.XLOOKUP(Table4[[#This Row],[Kontragentin adı]],Table2[Kontragentin adı],Table2[Müqavilə nömrəsi],"Xəta",0)</f>
        <v>0</v>
      </c>
    </row>
    <row r="501" spans="2:13" x14ac:dyDescent="0.3">
      <c r="B501" s="4">
        <f t="shared" si="7"/>
        <v>498</v>
      </c>
      <c r="C501" s="5">
        <v>46174</v>
      </c>
      <c r="D501" s="10" t="str" cm="1">
        <f t="array" ref="D501">_xlfn.XLOOKUP(Table4[[#This Row],[Malın kodu]],Table1[[#All],[Malın kodu]],Table1[[#All],[Malın adı]],"xəta",0)</f>
        <v>Dişli qayış / 9.5 x 1200 mm</v>
      </c>
      <c r="E501" s="8" t="s">
        <v>1408</v>
      </c>
      <c r="F501" s="4" t="s">
        <v>920</v>
      </c>
      <c r="G501" s="4">
        <v>1</v>
      </c>
      <c r="H501" s="4"/>
      <c r="I501" s="4">
        <f>Table4[[#This Row],[Malın miqdarı]]*Table4[[#This Row],[Vahidin qiyməti]]</f>
        <v>0</v>
      </c>
      <c r="J501" s="4" t="s">
        <v>899</v>
      </c>
      <c r="K501" s="4" t="s">
        <v>893</v>
      </c>
      <c r="L501" s="4">
        <f>_xlfn.XLOOKUP(Table4[[#This Row],[Kontragentin adı]],Table2[Kontragentin adı],Table2[Müqavilə nömrəsi],"Xəta",0)</f>
        <v>0</v>
      </c>
      <c r="M501" s="4">
        <f>_xlfn.XLOOKUP(Table4[[#This Row],[Kontragentin adı]],Table2[Kontragentin adı],Table2[Müqavilə nömrəsi],"Xəta",0)</f>
        <v>0</v>
      </c>
    </row>
    <row r="502" spans="2:13" x14ac:dyDescent="0.3">
      <c r="B502" s="4">
        <f t="shared" si="7"/>
        <v>499</v>
      </c>
      <c r="C502" s="5">
        <v>46174</v>
      </c>
      <c r="D502" s="10" t="str" cm="1">
        <f t="array" ref="D502">_xlfn.XLOOKUP(Table4[[#This Row],[Malın kodu]],Table1[[#All],[Malın kodu]],Table1[[#All],[Malın adı]],"xəta",0)</f>
        <v>Dişli qayış / 154 x 25.4 mm</v>
      </c>
      <c r="E502" s="8" t="s">
        <v>1409</v>
      </c>
      <c r="F502" s="4" t="s">
        <v>920</v>
      </c>
      <c r="G502" s="4">
        <v>1</v>
      </c>
      <c r="H502" s="4"/>
      <c r="I502" s="4">
        <f>Table4[[#This Row],[Malın miqdarı]]*Table4[[#This Row],[Vahidin qiyməti]]</f>
        <v>0</v>
      </c>
      <c r="J502" s="4" t="s">
        <v>899</v>
      </c>
      <c r="K502" s="4" t="s">
        <v>893</v>
      </c>
      <c r="L502" s="4">
        <f>_xlfn.XLOOKUP(Table4[[#This Row],[Kontragentin adı]],Table2[Kontragentin adı],Table2[Müqavilə nömrəsi],"Xəta",0)</f>
        <v>0</v>
      </c>
      <c r="M502" s="4">
        <f>_xlfn.XLOOKUP(Table4[[#This Row],[Kontragentin adı]],Table2[Kontragentin adı],Table2[Müqavilə nömrəsi],"Xəta",0)</f>
        <v>0</v>
      </c>
    </row>
    <row r="503" spans="2:13" x14ac:dyDescent="0.3">
      <c r="B503" s="4">
        <f t="shared" si="7"/>
        <v>500</v>
      </c>
      <c r="C503" s="5">
        <v>46174</v>
      </c>
      <c r="D503" s="10" t="str" cm="1">
        <f t="array" ref="D503">_xlfn.XLOOKUP(Table4[[#This Row],[Malın kodu]],Table1[[#All],[Malın kodu]],Table1[[#All],[Malın adı]],"xəta",0)</f>
        <v>Kondisioner / split / mühərriksiz / "AUX"</v>
      </c>
      <c r="E503" s="8" t="s">
        <v>1410</v>
      </c>
      <c r="F503" s="4" t="s">
        <v>920</v>
      </c>
      <c r="G503" s="4">
        <v>1</v>
      </c>
      <c r="H503" s="4"/>
      <c r="I503" s="4">
        <f>Table4[[#This Row],[Malın miqdarı]]*Table4[[#This Row],[Vahidin qiyməti]]</f>
        <v>0</v>
      </c>
      <c r="J503" s="4" t="s">
        <v>899</v>
      </c>
      <c r="K503" s="4" t="s">
        <v>893</v>
      </c>
      <c r="L503" s="4">
        <f>_xlfn.XLOOKUP(Table4[[#This Row],[Kontragentin adı]],Table2[Kontragentin adı],Table2[Müqavilə nömrəsi],"Xəta",0)</f>
        <v>0</v>
      </c>
      <c r="M503" s="4">
        <f>_xlfn.XLOOKUP(Table4[[#This Row],[Kontragentin adı]],Table2[Kontragentin adı],Table2[Müqavilə nömrəsi],"Xəta",0)</f>
        <v>0</v>
      </c>
    </row>
    <row r="504" spans="2:13" x14ac:dyDescent="0.3">
      <c r="B504" s="4">
        <f t="shared" si="7"/>
        <v>501</v>
      </c>
      <c r="C504" s="5">
        <v>46174</v>
      </c>
      <c r="D504" s="10" t="str" cm="1">
        <f t="array" ref="D504">_xlfn.XLOOKUP(Table4[[#This Row],[Malın kodu]],Table1[[#All],[Malın kodu]],Table1[[#All],[Malın adı]],"xəta",0)</f>
        <v>Disk / kəsici / laqonda üçün / d 180 mm</v>
      </c>
      <c r="E504" s="8" t="s">
        <v>1411</v>
      </c>
      <c r="F504" s="4" t="s">
        <v>920</v>
      </c>
      <c r="G504" s="4">
        <v>2</v>
      </c>
      <c r="H504" s="4"/>
      <c r="I504" s="4">
        <f>Table4[[#This Row],[Malın miqdarı]]*Table4[[#This Row],[Vahidin qiyməti]]</f>
        <v>0</v>
      </c>
      <c r="J504" s="4" t="s">
        <v>899</v>
      </c>
      <c r="K504" s="4" t="s">
        <v>893</v>
      </c>
      <c r="L504" s="4">
        <f>_xlfn.XLOOKUP(Table4[[#This Row],[Kontragentin adı]],Table2[Kontragentin adı],Table2[Müqavilə nömrəsi],"Xəta",0)</f>
        <v>0</v>
      </c>
      <c r="M504" s="4">
        <f>_xlfn.XLOOKUP(Table4[[#This Row],[Kontragentin adı]],Table2[Kontragentin adı],Table2[Müqavilə nömrəsi],"Xəta",0)</f>
        <v>0</v>
      </c>
    </row>
    <row r="505" spans="2:13" x14ac:dyDescent="0.3">
      <c r="B505" s="4">
        <f t="shared" si="7"/>
        <v>502</v>
      </c>
      <c r="C505" s="5">
        <v>46174</v>
      </c>
      <c r="D505" s="10" t="str" cm="1">
        <f t="array" ref="D505">_xlfn.XLOOKUP(Table4[[#This Row],[Malın kodu]],Table1[[#All],[Malın kodu]],Table1[[#All],[Malın adı]],"xəta",0)</f>
        <v>Diyircəkli yastıq / 4T-HM 89410 / "NTN" / Yaponiya istehsalı</v>
      </c>
      <c r="E505" s="8" t="s">
        <v>1412</v>
      </c>
      <c r="F505" s="4" t="s">
        <v>920</v>
      </c>
      <c r="G505" s="4">
        <v>1</v>
      </c>
      <c r="H505" s="4"/>
      <c r="I505" s="4">
        <f>Table4[[#This Row],[Malın miqdarı]]*Table4[[#This Row],[Vahidin qiyməti]]</f>
        <v>0</v>
      </c>
      <c r="J505" s="4" t="s">
        <v>899</v>
      </c>
      <c r="K505" s="4" t="s">
        <v>893</v>
      </c>
      <c r="L505" s="4">
        <f>_xlfn.XLOOKUP(Table4[[#This Row],[Kontragentin adı]],Table2[Kontragentin adı],Table2[Müqavilə nömrəsi],"Xəta",0)</f>
        <v>0</v>
      </c>
      <c r="M505" s="4">
        <f>_xlfn.XLOOKUP(Table4[[#This Row],[Kontragentin adı]],Table2[Kontragentin adı],Table2[Müqavilə nömrəsi],"Xəta",0)</f>
        <v>0</v>
      </c>
    </row>
    <row r="506" spans="2:13" x14ac:dyDescent="0.3">
      <c r="B506" s="4">
        <f t="shared" si="7"/>
        <v>503</v>
      </c>
      <c r="C506" s="5">
        <v>46174</v>
      </c>
      <c r="D506" s="10" t="str" cm="1">
        <f t="array" ref="D506">_xlfn.XLOOKUP(Table4[[#This Row],[Malın kodu]],Table1[[#All],[Malın kodu]],Table1[[#All],[Malın adı]],"xəta",0)</f>
        <v>Qayka / M20</v>
      </c>
      <c r="E506" s="8" t="s">
        <v>1413</v>
      </c>
      <c r="F506" s="4" t="s">
        <v>920</v>
      </c>
      <c r="G506" s="4">
        <v>29</v>
      </c>
      <c r="H506" s="4"/>
      <c r="I506" s="4">
        <f>Table4[[#This Row],[Malın miqdarı]]*Table4[[#This Row],[Vahidin qiyməti]]</f>
        <v>0</v>
      </c>
      <c r="J506" s="4" t="s">
        <v>899</v>
      </c>
      <c r="K506" s="4" t="s">
        <v>893</v>
      </c>
      <c r="L506" s="4">
        <f>_xlfn.XLOOKUP(Table4[[#This Row],[Kontragentin adı]],Table2[Kontragentin adı],Table2[Müqavilə nömrəsi],"Xəta",0)</f>
        <v>0</v>
      </c>
      <c r="M506" s="4">
        <f>_xlfn.XLOOKUP(Table4[[#This Row],[Kontragentin adı]],Table2[Kontragentin adı],Table2[Müqavilə nömrəsi],"Xəta",0)</f>
        <v>0</v>
      </c>
    </row>
    <row r="507" spans="2:13" x14ac:dyDescent="0.3">
      <c r="B507" s="4">
        <f t="shared" si="7"/>
        <v>504</v>
      </c>
      <c r="C507" s="5">
        <v>46174</v>
      </c>
      <c r="D507" s="10" t="str" cm="1">
        <f t="array" ref="D507">_xlfn.XLOOKUP(Table4[[#This Row],[Malın kodu]],Table1[[#All],[Malın kodu]],Table1[[#All],[Malın adı]],"xəta",0)</f>
        <v>Təzyiq klapanı / boyler üçün</v>
      </c>
      <c r="E507" s="8" t="s">
        <v>1414</v>
      </c>
      <c r="F507" s="4" t="s">
        <v>920</v>
      </c>
      <c r="G507" s="4">
        <v>1</v>
      </c>
      <c r="H507" s="4"/>
      <c r="I507" s="4">
        <f>Table4[[#This Row],[Malın miqdarı]]*Table4[[#This Row],[Vahidin qiyməti]]</f>
        <v>0</v>
      </c>
      <c r="J507" s="4" t="s">
        <v>899</v>
      </c>
      <c r="K507" s="4" t="s">
        <v>893</v>
      </c>
      <c r="L507" s="4">
        <f>_xlfn.XLOOKUP(Table4[[#This Row],[Kontragentin adı]],Table2[Kontragentin adı],Table2[Müqavilə nömrəsi],"Xəta",0)</f>
        <v>0</v>
      </c>
      <c r="M507" s="4">
        <f>_xlfn.XLOOKUP(Table4[[#This Row],[Kontragentin adı]],Table2[Kontragentin adı],Table2[Müqavilə nömrəsi],"Xəta",0)</f>
        <v>0</v>
      </c>
    </row>
    <row r="508" spans="2:13" x14ac:dyDescent="0.3">
      <c r="B508" s="4">
        <f t="shared" si="7"/>
        <v>505</v>
      </c>
      <c r="C508" s="5">
        <v>46174</v>
      </c>
      <c r="D508" s="10" t="str" cm="1">
        <f t="array" ref="D508">_xlfn.XLOOKUP(Table4[[#This Row],[Malın kodu]],Table1[[#All],[Malın kodu]],Table1[[#All],[Malın adı]],"xəta",0)</f>
        <v>Keçid / d 15 x 25 mm / metal</v>
      </c>
      <c r="E508" s="8" t="s">
        <v>1415</v>
      </c>
      <c r="F508" s="4" t="s">
        <v>920</v>
      </c>
      <c r="G508" s="4">
        <v>1</v>
      </c>
      <c r="H508" s="4"/>
      <c r="I508" s="4">
        <f>Table4[[#This Row],[Malın miqdarı]]*Table4[[#This Row],[Vahidin qiyməti]]</f>
        <v>0</v>
      </c>
      <c r="J508" s="4" t="s">
        <v>899</v>
      </c>
      <c r="K508" s="4" t="s">
        <v>893</v>
      </c>
      <c r="L508" s="4">
        <f>_xlfn.XLOOKUP(Table4[[#This Row],[Kontragentin adı]],Table2[Kontragentin adı],Table2[Müqavilə nömrəsi],"Xəta",0)</f>
        <v>0</v>
      </c>
      <c r="M508" s="4">
        <f>_xlfn.XLOOKUP(Table4[[#This Row],[Kontragentin adı]],Table2[Kontragentin adı],Table2[Müqavilə nömrəsi],"Xəta",0)</f>
        <v>0</v>
      </c>
    </row>
    <row r="509" spans="2:13" x14ac:dyDescent="0.3">
      <c r="B509" s="4">
        <f t="shared" si="7"/>
        <v>506</v>
      </c>
      <c r="C509" s="5">
        <v>46174</v>
      </c>
      <c r="D509" s="10" t="str" cm="1">
        <f t="array" ref="D509">_xlfn.XLOOKUP(Table4[[#This Row],[Malın kodu]],Table1[[#All],[Malın kodu]],Table1[[#All],[Malın adı]],"xəta",0)</f>
        <v>Aragatı / paronit / d 110 mm</v>
      </c>
      <c r="E509" s="8" t="s">
        <v>1416</v>
      </c>
      <c r="F509" s="4" t="s">
        <v>920</v>
      </c>
      <c r="G509" s="4">
        <v>6</v>
      </c>
      <c r="H509" s="4"/>
      <c r="I509" s="4">
        <f>Table4[[#This Row],[Malın miqdarı]]*Table4[[#This Row],[Vahidin qiyməti]]</f>
        <v>0</v>
      </c>
      <c r="J509" s="4" t="s">
        <v>899</v>
      </c>
      <c r="K509" s="4" t="s">
        <v>893</v>
      </c>
      <c r="L509" s="4">
        <f>_xlfn.XLOOKUP(Table4[[#This Row],[Kontragentin adı]],Table2[Kontragentin adı],Table2[Müqavilə nömrəsi],"Xəta",0)</f>
        <v>0</v>
      </c>
      <c r="M509" s="4">
        <f>_xlfn.XLOOKUP(Table4[[#This Row],[Kontragentin adı]],Table2[Kontragentin adı],Table2[Müqavilə nömrəsi],"Xəta",0)</f>
        <v>0</v>
      </c>
    </row>
    <row r="510" spans="2:13" x14ac:dyDescent="0.3">
      <c r="B510" s="4">
        <f t="shared" si="7"/>
        <v>507</v>
      </c>
      <c r="C510" s="5">
        <v>46174</v>
      </c>
      <c r="D510" s="10" t="str" cm="1">
        <f t="array" ref="D510">_xlfn.XLOOKUP(Table4[[#This Row],[Malın kodu]],Table1[[#All],[Malın kodu]],Table1[[#All],[Malın adı]],"xəta",0)</f>
        <v>Aragatı / paronit / d 150 mm</v>
      </c>
      <c r="E510" s="8" t="s">
        <v>1417</v>
      </c>
      <c r="F510" s="4" t="s">
        <v>920</v>
      </c>
      <c r="G510" s="4">
        <v>22</v>
      </c>
      <c r="H510" s="4"/>
      <c r="I510" s="4">
        <f>Table4[[#This Row],[Malın miqdarı]]*Table4[[#This Row],[Vahidin qiyməti]]</f>
        <v>0</v>
      </c>
      <c r="J510" s="4" t="s">
        <v>899</v>
      </c>
      <c r="K510" s="4" t="s">
        <v>893</v>
      </c>
      <c r="L510" s="4">
        <f>_xlfn.XLOOKUP(Table4[[#This Row],[Kontragentin adı]],Table2[Kontragentin adı],Table2[Müqavilə nömrəsi],"Xəta",0)</f>
        <v>0</v>
      </c>
      <c r="M510" s="4">
        <f>_xlfn.XLOOKUP(Table4[[#This Row],[Kontragentin adı]],Table2[Kontragentin adı],Table2[Müqavilə nömrəsi],"Xəta",0)</f>
        <v>0</v>
      </c>
    </row>
    <row r="511" spans="2:13" x14ac:dyDescent="0.3">
      <c r="B511" s="4">
        <f t="shared" si="7"/>
        <v>508</v>
      </c>
      <c r="C511" s="5">
        <v>46174</v>
      </c>
      <c r="D511" s="10" t="str" cm="1">
        <f t="array" ref="D511">_xlfn.XLOOKUP(Table4[[#This Row],[Malın kodu]],Table1[[#All],[Malın kodu]],Table1[[#All],[Malın adı]],"xəta",0)</f>
        <v>Aragatı / metal / d 150 mm</v>
      </c>
      <c r="E511" s="8" t="s">
        <v>1418</v>
      </c>
      <c r="F511" s="4" t="s">
        <v>920</v>
      </c>
      <c r="G511" s="4">
        <v>4</v>
      </c>
      <c r="H511" s="4"/>
      <c r="I511" s="4">
        <f>Table4[[#This Row],[Malın miqdarı]]*Table4[[#This Row],[Vahidin qiyməti]]</f>
        <v>0</v>
      </c>
      <c r="J511" s="4" t="s">
        <v>899</v>
      </c>
      <c r="K511" s="4" t="s">
        <v>893</v>
      </c>
      <c r="L511" s="4">
        <f>_xlfn.XLOOKUP(Table4[[#This Row],[Kontragentin adı]],Table2[Kontragentin adı],Table2[Müqavilə nömrəsi],"Xəta",0)</f>
        <v>0</v>
      </c>
      <c r="M511" s="4">
        <f>_xlfn.XLOOKUP(Table4[[#This Row],[Kontragentin adı]],Table2[Kontragentin adı],Table2[Müqavilə nömrəsi],"Xəta",0)</f>
        <v>0</v>
      </c>
    </row>
    <row r="512" spans="2:13" x14ac:dyDescent="0.3">
      <c r="B512" s="4">
        <f t="shared" si="7"/>
        <v>509</v>
      </c>
      <c r="C512" s="5">
        <v>46174</v>
      </c>
      <c r="D512" s="10" t="str" cm="1">
        <f t="array" ref="D512">_xlfn.XLOOKUP(Table4[[#This Row],[Malın kodu]],Table1[[#All],[Malın kodu]],Table1[[#All],[Malın adı]],"xəta",0)</f>
        <v>Aragatı / paronit / d 50 mm</v>
      </c>
      <c r="E512" s="8" t="s">
        <v>1419</v>
      </c>
      <c r="F512" s="4" t="s">
        <v>920</v>
      </c>
      <c r="G512" s="4">
        <v>9</v>
      </c>
      <c r="H512" s="4"/>
      <c r="I512" s="4">
        <f>Table4[[#This Row],[Malın miqdarı]]*Table4[[#This Row],[Vahidin qiyməti]]</f>
        <v>0</v>
      </c>
      <c r="J512" s="4" t="s">
        <v>899</v>
      </c>
      <c r="K512" s="4" t="s">
        <v>893</v>
      </c>
      <c r="L512" s="4">
        <f>_xlfn.XLOOKUP(Table4[[#This Row],[Kontragentin adı]],Table2[Kontragentin adı],Table2[Müqavilə nömrəsi],"Xəta",0)</f>
        <v>0</v>
      </c>
      <c r="M512" s="4">
        <f>_xlfn.XLOOKUP(Table4[[#This Row],[Kontragentin adı]],Table2[Kontragentin adı],Table2[Müqavilə nömrəsi],"Xəta",0)</f>
        <v>0</v>
      </c>
    </row>
    <row r="513" spans="2:13" x14ac:dyDescent="0.3">
      <c r="B513" s="4">
        <f t="shared" si="7"/>
        <v>510</v>
      </c>
      <c r="C513" s="5">
        <v>46174</v>
      </c>
      <c r="D513" s="10" t="str" cm="1">
        <f t="array" ref="D513">_xlfn.XLOOKUP(Table4[[#This Row],[Malın kodu]],Table1[[#All],[Malın kodu]],Table1[[#All],[Malın adı]],"xəta",0)</f>
        <v>Aragatı / paronit / d 80 mm</v>
      </c>
      <c r="E513" s="8" t="s">
        <v>1420</v>
      </c>
      <c r="F513" s="4" t="s">
        <v>920</v>
      </c>
      <c r="G513" s="4">
        <v>1</v>
      </c>
      <c r="H513" s="4"/>
      <c r="I513" s="4">
        <f>Table4[[#This Row],[Malın miqdarı]]*Table4[[#This Row],[Vahidin qiyməti]]</f>
        <v>0</v>
      </c>
      <c r="J513" s="4" t="s">
        <v>899</v>
      </c>
      <c r="K513" s="4" t="s">
        <v>893</v>
      </c>
      <c r="L513" s="4">
        <f>_xlfn.XLOOKUP(Table4[[#This Row],[Kontragentin adı]],Table2[Kontragentin adı],Table2[Müqavilə nömrəsi],"Xəta",0)</f>
        <v>0</v>
      </c>
      <c r="M513" s="4">
        <f>_xlfn.XLOOKUP(Table4[[#This Row],[Kontragentin adı]],Table2[Kontragentin adı],Table2[Müqavilə nömrəsi],"Xəta",0)</f>
        <v>0</v>
      </c>
    </row>
    <row r="514" spans="2:13" x14ac:dyDescent="0.3">
      <c r="B514" s="4">
        <f t="shared" si="7"/>
        <v>511</v>
      </c>
      <c r="C514" s="5">
        <v>46174</v>
      </c>
      <c r="D514" s="10" t="str" cm="1">
        <f t="array" ref="D514">_xlfn.XLOOKUP(Table4[[#This Row],[Malın kodu]],Table1[[#All],[Malın kodu]],Table1[[#All],[Malın adı]],"xəta",0)</f>
        <v>Aragatı / paronit / d 500 mm</v>
      </c>
      <c r="E514" s="8" t="s">
        <v>1421</v>
      </c>
      <c r="F514" s="4" t="s">
        <v>920</v>
      </c>
      <c r="G514" s="4">
        <v>2</v>
      </c>
      <c r="H514" s="4"/>
      <c r="I514" s="4">
        <f>Table4[[#This Row],[Malın miqdarı]]*Table4[[#This Row],[Vahidin qiyməti]]</f>
        <v>0</v>
      </c>
      <c r="J514" s="4" t="s">
        <v>899</v>
      </c>
      <c r="K514" s="4" t="s">
        <v>893</v>
      </c>
      <c r="L514" s="4">
        <f>_xlfn.XLOOKUP(Table4[[#This Row],[Kontragentin adı]],Table2[Kontragentin adı],Table2[Müqavilə nömrəsi],"Xəta",0)</f>
        <v>0</v>
      </c>
      <c r="M514" s="4">
        <f>_xlfn.XLOOKUP(Table4[[#This Row],[Kontragentin adı]],Table2[Kontragentin adı],Table2[Müqavilə nömrəsi],"Xəta",0)</f>
        <v>0</v>
      </c>
    </row>
    <row r="515" spans="2:13" x14ac:dyDescent="0.3">
      <c r="B515" s="4">
        <f t="shared" si="7"/>
        <v>512</v>
      </c>
      <c r="C515" s="5">
        <v>46174</v>
      </c>
      <c r="D515" s="10" t="str" cm="1">
        <f t="array" ref="D515">_xlfn.XLOOKUP(Table4[[#This Row],[Malın kodu]],Table1[[#All],[Malın kodu]],Table1[[#All],[Malın adı]],"xəta",0)</f>
        <v>Manometr / 60 atm</v>
      </c>
      <c r="E515" s="8" t="s">
        <v>1422</v>
      </c>
      <c r="F515" s="4" t="s">
        <v>920</v>
      </c>
      <c r="G515" s="4">
        <v>1</v>
      </c>
      <c r="H515" s="4"/>
      <c r="I515" s="4">
        <f>Table4[[#This Row],[Malın miqdarı]]*Table4[[#This Row],[Vahidin qiyməti]]</f>
        <v>0</v>
      </c>
      <c r="J515" s="4" t="s">
        <v>899</v>
      </c>
      <c r="K515" s="4" t="s">
        <v>893</v>
      </c>
      <c r="L515" s="4">
        <f>_xlfn.XLOOKUP(Table4[[#This Row],[Kontragentin adı]],Table2[Kontragentin adı],Table2[Müqavilə nömrəsi],"Xəta",0)</f>
        <v>0</v>
      </c>
      <c r="M515" s="4">
        <f>_xlfn.XLOOKUP(Table4[[#This Row],[Kontragentin adı]],Table2[Kontragentin adı],Table2[Müqavilə nömrəsi],"Xəta",0)</f>
        <v>0</v>
      </c>
    </row>
    <row r="516" spans="2:13" x14ac:dyDescent="0.3">
      <c r="B516" s="4">
        <f t="shared" ref="B516:B579" si="8">ROW()-3</f>
        <v>513</v>
      </c>
      <c r="C516" s="5">
        <v>46174</v>
      </c>
      <c r="D516" s="10" t="str" cm="1">
        <f t="array" ref="D516">_xlfn.XLOOKUP(Table4[[#This Row],[Malın kodu]],Table1[[#All],[Malın kodu]],Table1[[#All],[Malın adı]],"xəta",0)</f>
        <v>Rels / metal / 1 metr / elektrik lövhəsi üçün</v>
      </c>
      <c r="E516" s="8" t="s">
        <v>1423</v>
      </c>
      <c r="F516" s="4" t="s">
        <v>920</v>
      </c>
      <c r="G516" s="4">
        <v>1</v>
      </c>
      <c r="H516" s="4"/>
      <c r="I516" s="4">
        <f>Table4[[#This Row],[Malın miqdarı]]*Table4[[#This Row],[Vahidin qiyməti]]</f>
        <v>0</v>
      </c>
      <c r="J516" s="4" t="s">
        <v>899</v>
      </c>
      <c r="K516" s="4" t="s">
        <v>893</v>
      </c>
      <c r="L516" s="4">
        <f>_xlfn.XLOOKUP(Table4[[#This Row],[Kontragentin adı]],Table2[Kontragentin adı],Table2[Müqavilə nömrəsi],"Xəta",0)</f>
        <v>0</v>
      </c>
      <c r="M516" s="4">
        <f>_xlfn.XLOOKUP(Table4[[#This Row],[Kontragentin adı]],Table2[Kontragentin adı],Table2[Müqavilə nömrəsi],"Xəta",0)</f>
        <v>0</v>
      </c>
    </row>
    <row r="517" spans="2:13" x14ac:dyDescent="0.3">
      <c r="B517" s="4">
        <f t="shared" si="8"/>
        <v>514</v>
      </c>
      <c r="C517" s="5">
        <v>46174</v>
      </c>
      <c r="D517" s="10" t="str" cm="1">
        <f t="array" ref="D517">_xlfn.XLOOKUP(Table4[[#This Row],[Malın kodu]],Table1[[#All],[Malın kodu]],Table1[[#All],[Malın adı]],"xəta",0)</f>
        <v>Dişli qayış / "Bomag" / 06312023</v>
      </c>
      <c r="E517" s="8" t="s">
        <v>1424</v>
      </c>
      <c r="F517" s="4" t="s">
        <v>920</v>
      </c>
      <c r="G517" s="4">
        <v>3</v>
      </c>
      <c r="H517" s="4"/>
      <c r="I517" s="4">
        <f>Table4[[#This Row],[Malın miqdarı]]*Table4[[#This Row],[Vahidin qiyməti]]</f>
        <v>0</v>
      </c>
      <c r="J517" s="4" t="s">
        <v>899</v>
      </c>
      <c r="K517" s="4" t="s">
        <v>893</v>
      </c>
      <c r="L517" s="4">
        <f>_xlfn.XLOOKUP(Table4[[#This Row],[Kontragentin adı]],Table2[Kontragentin adı],Table2[Müqavilə nömrəsi],"Xəta",0)</f>
        <v>0</v>
      </c>
      <c r="M517" s="4">
        <f>_xlfn.XLOOKUP(Table4[[#This Row],[Kontragentin adı]],Table2[Kontragentin adı],Table2[Müqavilə nömrəsi],"Xəta",0)</f>
        <v>0</v>
      </c>
    </row>
    <row r="518" spans="2:13" x14ac:dyDescent="0.3">
      <c r="B518" s="4">
        <f t="shared" si="8"/>
        <v>515</v>
      </c>
      <c r="C518" s="5">
        <v>46174</v>
      </c>
      <c r="D518" s="10" t="str" cm="1">
        <f t="array" ref="D518">_xlfn.XLOOKUP(Table4[[#This Row],[Malın kodu]],Table1[[#All],[Malın kodu]],Table1[[#All],[Malın adı]],"xəta",0)</f>
        <v>Dişli qayış / XBZPZ 1175 La</v>
      </c>
      <c r="E518" s="8" t="s">
        <v>1425</v>
      </c>
      <c r="F518" s="4" t="s">
        <v>920</v>
      </c>
      <c r="G518" s="4">
        <v>1</v>
      </c>
      <c r="H518" s="4"/>
      <c r="I518" s="4">
        <f>Table4[[#This Row],[Malın miqdarı]]*Table4[[#This Row],[Vahidin qiyməti]]</f>
        <v>0</v>
      </c>
      <c r="J518" s="4" t="s">
        <v>899</v>
      </c>
      <c r="K518" s="4" t="s">
        <v>893</v>
      </c>
      <c r="L518" s="4">
        <f>_xlfn.XLOOKUP(Table4[[#This Row],[Kontragentin adı]],Table2[Kontragentin adı],Table2[Müqavilə nömrəsi],"Xəta",0)</f>
        <v>0</v>
      </c>
      <c r="M518" s="4">
        <f>_xlfn.XLOOKUP(Table4[[#This Row],[Kontragentin adı]],Table2[Kontragentin adı],Table2[Müqavilə nömrəsi],"Xəta",0)</f>
        <v>0</v>
      </c>
    </row>
    <row r="519" spans="2:13" x14ac:dyDescent="0.3">
      <c r="B519" s="4">
        <f t="shared" si="8"/>
        <v>516</v>
      </c>
      <c r="C519" s="5">
        <v>46174</v>
      </c>
      <c r="D519" s="10" t="str" cm="1">
        <f t="array" ref="D519">_xlfn.XLOOKUP(Table4[[#This Row],[Malın kodu]],Table1[[#All],[Malın kodu]],Table1[[#All],[Malın adı]],"xəta",0)</f>
        <v>Dişli qayış / XPZ 775 La</v>
      </c>
      <c r="E519" s="8" t="s">
        <v>1426</v>
      </c>
      <c r="F519" s="4" t="s">
        <v>920</v>
      </c>
      <c r="G519" s="4">
        <v>1</v>
      </c>
      <c r="H519" s="4"/>
      <c r="I519" s="4">
        <f>Table4[[#This Row],[Malın miqdarı]]*Table4[[#This Row],[Vahidin qiyməti]]</f>
        <v>0</v>
      </c>
      <c r="J519" s="4" t="s">
        <v>899</v>
      </c>
      <c r="K519" s="4" t="s">
        <v>893</v>
      </c>
      <c r="L519" s="4">
        <f>_xlfn.XLOOKUP(Table4[[#This Row],[Kontragentin adı]],Table2[Kontragentin adı],Table2[Müqavilə nömrəsi],"Xəta",0)</f>
        <v>0</v>
      </c>
      <c r="M519" s="4">
        <f>_xlfn.XLOOKUP(Table4[[#This Row],[Kontragentin adı]],Table2[Kontragentin adı],Table2[Müqavilə nömrəsi],"Xəta",0)</f>
        <v>0</v>
      </c>
    </row>
    <row r="520" spans="2:13" x14ac:dyDescent="0.3">
      <c r="B520" s="4">
        <f t="shared" si="8"/>
        <v>517</v>
      </c>
      <c r="C520" s="5">
        <v>46174</v>
      </c>
      <c r="D520" s="10" t="str" cm="1">
        <f t="array" ref="D520">_xlfn.XLOOKUP(Table4[[#This Row],[Malın kodu]],Table1[[#All],[Malın kodu]],Table1[[#All],[Malın adı]],"xəta",0)</f>
        <v>Dişli qayış / 4PK 863</v>
      </c>
      <c r="E520" s="8" t="s">
        <v>1427</v>
      </c>
      <c r="F520" s="4" t="s">
        <v>920</v>
      </c>
      <c r="G520" s="4">
        <v>1</v>
      </c>
      <c r="H520" s="4"/>
      <c r="I520" s="4">
        <f>Table4[[#This Row],[Malın miqdarı]]*Table4[[#This Row],[Vahidin qiyməti]]</f>
        <v>0</v>
      </c>
      <c r="J520" s="4" t="s">
        <v>899</v>
      </c>
      <c r="K520" s="4" t="s">
        <v>893</v>
      </c>
      <c r="L520" s="4">
        <f>_xlfn.XLOOKUP(Table4[[#This Row],[Kontragentin adı]],Table2[Kontragentin adı],Table2[Müqavilə nömrəsi],"Xəta",0)</f>
        <v>0</v>
      </c>
      <c r="M520" s="4">
        <f>_xlfn.XLOOKUP(Table4[[#This Row],[Kontragentin adı]],Table2[Kontragentin adı],Table2[Müqavilə nömrəsi],"Xəta",0)</f>
        <v>0</v>
      </c>
    </row>
    <row r="521" spans="2:13" x14ac:dyDescent="0.3">
      <c r="B521" s="4">
        <f t="shared" si="8"/>
        <v>518</v>
      </c>
      <c r="C521" s="5">
        <v>46174</v>
      </c>
      <c r="D521" s="10" t="str" cm="1">
        <f t="array" ref="D521">_xlfn.XLOOKUP(Table4[[#This Row],[Malın kodu]],Table1[[#All],[Malın kodu]],Table1[[#All],[Malın adı]],"xəta",0)</f>
        <v>Dişli qayış / 17 x 1500 mm</v>
      </c>
      <c r="E521" s="8" t="s">
        <v>1428</v>
      </c>
      <c r="F521" s="4" t="s">
        <v>920</v>
      </c>
      <c r="G521" s="4">
        <v>1</v>
      </c>
      <c r="H521" s="4"/>
      <c r="I521" s="4">
        <f>Table4[[#This Row],[Malın miqdarı]]*Table4[[#This Row],[Vahidin qiyməti]]</f>
        <v>0</v>
      </c>
      <c r="J521" s="4" t="s">
        <v>899</v>
      </c>
      <c r="K521" s="4" t="s">
        <v>893</v>
      </c>
      <c r="L521" s="4">
        <f>_xlfn.XLOOKUP(Table4[[#This Row],[Kontragentin adı]],Table2[Kontragentin adı],Table2[Müqavilə nömrəsi],"Xəta",0)</f>
        <v>0</v>
      </c>
      <c r="M521" s="4">
        <f>_xlfn.XLOOKUP(Table4[[#This Row],[Kontragentin adı]],Table2[Kontragentin adı],Table2[Müqavilə nömrəsi],"Xəta",0)</f>
        <v>0</v>
      </c>
    </row>
    <row r="522" spans="2:13" x14ac:dyDescent="0.3">
      <c r="B522" s="4">
        <f t="shared" si="8"/>
        <v>519</v>
      </c>
      <c r="C522" s="5">
        <v>46174</v>
      </c>
      <c r="D522" s="10" t="str" cm="1">
        <f t="array" ref="D522">_xlfn.XLOOKUP(Table4[[#This Row],[Malın kodu]],Table1[[#All],[Malın kodu]],Table1[[#All],[Malın adı]],"xəta",0)</f>
        <v>Qayış / 17 x 847 mm</v>
      </c>
      <c r="E522" s="8" t="s">
        <v>1429</v>
      </c>
      <c r="F522" s="4" t="s">
        <v>920</v>
      </c>
      <c r="G522" s="4">
        <v>1</v>
      </c>
      <c r="H522" s="4"/>
      <c r="I522" s="4">
        <f>Table4[[#This Row],[Malın miqdarı]]*Table4[[#This Row],[Vahidin qiyməti]]</f>
        <v>0</v>
      </c>
      <c r="J522" s="4" t="s">
        <v>899</v>
      </c>
      <c r="K522" s="4" t="s">
        <v>893</v>
      </c>
      <c r="L522" s="4">
        <f>_xlfn.XLOOKUP(Table4[[#This Row],[Kontragentin adı]],Table2[Kontragentin adı],Table2[Müqavilə nömrəsi],"Xəta",0)</f>
        <v>0</v>
      </c>
      <c r="M522" s="4">
        <f>_xlfn.XLOOKUP(Table4[[#This Row],[Kontragentin adı]],Table2[Kontragentin adı],Table2[Müqavilə nömrəsi],"Xəta",0)</f>
        <v>0</v>
      </c>
    </row>
    <row r="523" spans="2:13" x14ac:dyDescent="0.3">
      <c r="B523" s="4">
        <f t="shared" si="8"/>
        <v>520</v>
      </c>
      <c r="C523" s="5">
        <v>46174</v>
      </c>
      <c r="D523" s="10" t="str" cm="1">
        <f t="array" ref="D523">_xlfn.XLOOKUP(Table4[[#This Row],[Malın kodu]],Table1[[#All],[Malın kodu]],Table1[[#All],[Malın adı]],"xəta",0)</f>
        <v>Dişli qayış / 12.5 x 1175 mm</v>
      </c>
      <c r="E523" s="8" t="s">
        <v>1430</v>
      </c>
      <c r="F523" s="4" t="s">
        <v>920</v>
      </c>
      <c r="G523" s="4">
        <v>2</v>
      </c>
      <c r="H523" s="4"/>
      <c r="I523" s="4">
        <f>Table4[[#This Row],[Malın miqdarı]]*Table4[[#This Row],[Vahidin qiyməti]]</f>
        <v>0</v>
      </c>
      <c r="J523" s="4" t="s">
        <v>899</v>
      </c>
      <c r="K523" s="4" t="s">
        <v>893</v>
      </c>
      <c r="L523" s="4">
        <f>_xlfn.XLOOKUP(Table4[[#This Row],[Kontragentin adı]],Table2[Kontragentin adı],Table2[Müqavilə nömrəsi],"Xəta",0)</f>
        <v>0</v>
      </c>
      <c r="M523" s="4">
        <f>_xlfn.XLOOKUP(Table4[[#This Row],[Kontragentin adı]],Table2[Kontragentin adı],Table2[Müqavilə nömrəsi],"Xəta",0)</f>
        <v>0</v>
      </c>
    </row>
    <row r="524" spans="2:13" x14ac:dyDescent="0.3">
      <c r="B524" s="4">
        <f t="shared" si="8"/>
        <v>521</v>
      </c>
      <c r="C524" s="5">
        <v>46174</v>
      </c>
      <c r="D524" s="10" t="str" cm="1">
        <f t="array" ref="D524">_xlfn.XLOOKUP(Table4[[#This Row],[Malın kodu]],Table1[[#All],[Malın kodu]],Table1[[#All],[Malın adı]],"xəta",0)</f>
        <v>Dişli qayış / 12.5 x 775 mm</v>
      </c>
      <c r="E524" s="8" t="s">
        <v>1431</v>
      </c>
      <c r="F524" s="4" t="s">
        <v>920</v>
      </c>
      <c r="G524" s="4">
        <v>1</v>
      </c>
      <c r="H524" s="4"/>
      <c r="I524" s="4">
        <f>Table4[[#This Row],[Malın miqdarı]]*Table4[[#This Row],[Vahidin qiyməti]]</f>
        <v>0</v>
      </c>
      <c r="J524" s="4" t="s">
        <v>899</v>
      </c>
      <c r="K524" s="4" t="s">
        <v>893</v>
      </c>
      <c r="L524" s="4">
        <f>_xlfn.XLOOKUP(Table4[[#This Row],[Kontragentin adı]],Table2[Kontragentin adı],Table2[Müqavilə nömrəsi],"Xəta",0)</f>
        <v>0</v>
      </c>
      <c r="M524" s="4">
        <f>_xlfn.XLOOKUP(Table4[[#This Row],[Kontragentin adı]],Table2[Kontragentin adı],Table2[Müqavilə nömrəsi],"Xəta",0)</f>
        <v>0</v>
      </c>
    </row>
    <row r="525" spans="2:13" x14ac:dyDescent="0.3">
      <c r="B525" s="4">
        <f t="shared" si="8"/>
        <v>522</v>
      </c>
      <c r="C525" s="5">
        <v>46174</v>
      </c>
      <c r="D525" s="10" t="str" cm="1">
        <f t="array" ref="D525">_xlfn.XLOOKUP(Table4[[#This Row],[Malın kodu]],Table1[[#All],[Malın kodu]],Table1[[#All],[Malın adı]],"xəta",0)</f>
        <v>Dişli qayış / 8944791010</v>
      </c>
      <c r="E525" s="8" t="s">
        <v>1432</v>
      </c>
      <c r="F525" s="4" t="s">
        <v>920</v>
      </c>
      <c r="G525" s="4">
        <v>2</v>
      </c>
      <c r="H525" s="4"/>
      <c r="I525" s="4">
        <f>Table4[[#This Row],[Malın miqdarı]]*Table4[[#This Row],[Vahidin qiyməti]]</f>
        <v>0</v>
      </c>
      <c r="J525" s="4" t="s">
        <v>899</v>
      </c>
      <c r="K525" s="4" t="s">
        <v>893</v>
      </c>
      <c r="L525" s="4">
        <f>_xlfn.XLOOKUP(Table4[[#This Row],[Kontragentin adı]],Table2[Kontragentin adı],Table2[Müqavilə nömrəsi],"Xəta",0)</f>
        <v>0</v>
      </c>
      <c r="M525" s="4">
        <f>_xlfn.XLOOKUP(Table4[[#This Row],[Kontragentin adı]],Table2[Kontragentin adı],Table2[Müqavilə nömrəsi],"Xəta",0)</f>
        <v>0</v>
      </c>
    </row>
    <row r="526" spans="2:13" x14ac:dyDescent="0.3">
      <c r="B526" s="4">
        <f t="shared" si="8"/>
        <v>523</v>
      </c>
      <c r="C526" s="5">
        <v>46174</v>
      </c>
      <c r="D526" s="10" t="str" cm="1">
        <f t="array" ref="D526">_xlfn.XLOOKUP(Table4[[#This Row],[Malın kodu]],Table1[[#All],[Malın kodu]],Table1[[#All],[Malın adı]],"xəta",0)</f>
        <v>Dişli qayış / 15 x 1100 mm</v>
      </c>
      <c r="E526" s="8" t="s">
        <v>1433</v>
      </c>
      <c r="F526" s="4" t="s">
        <v>920</v>
      </c>
      <c r="G526" s="4">
        <v>1</v>
      </c>
      <c r="H526" s="4"/>
      <c r="I526" s="4">
        <f>Table4[[#This Row],[Malın miqdarı]]*Table4[[#This Row],[Vahidin qiyməti]]</f>
        <v>0</v>
      </c>
      <c r="J526" s="4" t="s">
        <v>899</v>
      </c>
      <c r="K526" s="4" t="s">
        <v>893</v>
      </c>
      <c r="L526" s="4">
        <f>_xlfn.XLOOKUP(Table4[[#This Row],[Kontragentin adı]],Table2[Kontragentin adı],Table2[Müqavilə nömrəsi],"Xəta",0)</f>
        <v>0</v>
      </c>
      <c r="M526" s="4">
        <f>_xlfn.XLOOKUP(Table4[[#This Row],[Kontragentin adı]],Table2[Kontragentin adı],Table2[Müqavilə nömrəsi],"Xəta",0)</f>
        <v>0</v>
      </c>
    </row>
    <row r="527" spans="2:13" x14ac:dyDescent="0.3">
      <c r="B527" s="4">
        <f t="shared" si="8"/>
        <v>524</v>
      </c>
      <c r="C527" s="5">
        <v>46174</v>
      </c>
      <c r="D527" s="10" t="str" cm="1">
        <f t="array" ref="D527">_xlfn.XLOOKUP(Table4[[#This Row],[Malın kodu]],Table1[[#All],[Malın kodu]],Table1[[#All],[Malın adı]],"xəta",0)</f>
        <v>Dişli qayış / 12.5 x 1050 mm</v>
      </c>
      <c r="E527" s="8" t="s">
        <v>1434</v>
      </c>
      <c r="F527" s="4" t="s">
        <v>920</v>
      </c>
      <c r="G527" s="4">
        <v>2</v>
      </c>
      <c r="H527" s="4"/>
      <c r="I527" s="4">
        <f>Table4[[#This Row],[Malın miqdarı]]*Table4[[#This Row],[Vahidin qiyməti]]</f>
        <v>0</v>
      </c>
      <c r="J527" s="4" t="s">
        <v>899</v>
      </c>
      <c r="K527" s="4" t="s">
        <v>893</v>
      </c>
      <c r="L527" s="4">
        <f>_xlfn.XLOOKUP(Table4[[#This Row],[Kontragentin adı]],Table2[Kontragentin adı],Table2[Müqavilə nömrəsi],"Xəta",0)</f>
        <v>0</v>
      </c>
      <c r="M527" s="4">
        <f>_xlfn.XLOOKUP(Table4[[#This Row],[Kontragentin adı]],Table2[Kontragentin adı],Table2[Müqavilə nömrəsi],"Xəta",0)</f>
        <v>0</v>
      </c>
    </row>
    <row r="528" spans="2:13" x14ac:dyDescent="0.3">
      <c r="B528" s="4">
        <f t="shared" si="8"/>
        <v>525</v>
      </c>
      <c r="C528" s="5">
        <v>46174</v>
      </c>
      <c r="D528" s="10" t="str" cm="1">
        <f t="array" ref="D528">_xlfn.XLOOKUP(Table4[[#This Row],[Malın kodu]],Table1[[#All],[Malın kodu]],Table1[[#All],[Malın adı]],"xəta",0)</f>
        <v>Dişli qayış / 13 x 1200 mm</v>
      </c>
      <c r="E528" s="8" t="s">
        <v>1435</v>
      </c>
      <c r="F528" s="4" t="s">
        <v>920</v>
      </c>
      <c r="G528" s="4">
        <v>2</v>
      </c>
      <c r="H528" s="4"/>
      <c r="I528" s="4">
        <f>Table4[[#This Row],[Malın miqdarı]]*Table4[[#This Row],[Vahidin qiyməti]]</f>
        <v>0</v>
      </c>
      <c r="J528" s="4" t="s">
        <v>899</v>
      </c>
      <c r="K528" s="4" t="s">
        <v>893</v>
      </c>
      <c r="L528" s="4">
        <f>_xlfn.XLOOKUP(Table4[[#This Row],[Kontragentin adı]],Table2[Kontragentin adı],Table2[Müqavilə nömrəsi],"Xəta",0)</f>
        <v>0</v>
      </c>
      <c r="M528" s="4">
        <f>_xlfn.XLOOKUP(Table4[[#This Row],[Kontragentin adı]],Table2[Kontragentin adı],Table2[Müqavilə nömrəsi],"Xəta",0)</f>
        <v>0</v>
      </c>
    </row>
    <row r="529" spans="2:13" x14ac:dyDescent="0.3">
      <c r="B529" s="4">
        <f t="shared" si="8"/>
        <v>526</v>
      </c>
      <c r="C529" s="5">
        <v>46174</v>
      </c>
      <c r="D529" s="10" t="str" cm="1">
        <f t="array" ref="D529">_xlfn.XLOOKUP(Table4[[#This Row],[Malın kodu]],Table1[[#All],[Malın kodu]],Table1[[#All],[Malın adı]],"xəta",0)</f>
        <v>Dişli qayış / 9.5 x 1175 mm</v>
      </c>
      <c r="E529" s="8" t="s">
        <v>1436</v>
      </c>
      <c r="F529" s="4" t="s">
        <v>920</v>
      </c>
      <c r="G529" s="4">
        <v>1</v>
      </c>
      <c r="H529" s="4"/>
      <c r="I529" s="4">
        <f>Table4[[#This Row],[Malın miqdarı]]*Table4[[#This Row],[Vahidin qiyməti]]</f>
        <v>0</v>
      </c>
      <c r="J529" s="4" t="s">
        <v>899</v>
      </c>
      <c r="K529" s="4" t="s">
        <v>893</v>
      </c>
      <c r="L529" s="4">
        <f>_xlfn.XLOOKUP(Table4[[#This Row],[Kontragentin adı]],Table2[Kontragentin adı],Table2[Müqavilə nömrəsi],"Xəta",0)</f>
        <v>0</v>
      </c>
      <c r="M529" s="4">
        <f>_xlfn.XLOOKUP(Table4[[#This Row],[Kontragentin adı]],Table2[Kontragentin adı],Table2[Müqavilə nömrəsi],"Xəta",0)</f>
        <v>0</v>
      </c>
    </row>
    <row r="530" spans="2:13" x14ac:dyDescent="0.3">
      <c r="B530" s="4">
        <f t="shared" si="8"/>
        <v>527</v>
      </c>
      <c r="C530" s="5">
        <v>46174</v>
      </c>
      <c r="D530" s="10" t="str" cm="1">
        <f t="array" ref="D530">_xlfn.XLOOKUP(Table4[[#This Row],[Malın kodu]],Table1[[#All],[Malın kodu]],Table1[[#All],[Malın adı]],"xəta",0)</f>
        <v>Reduktor / 1000-lik makina üçün</v>
      </c>
      <c r="E530" s="8" t="s">
        <v>1437</v>
      </c>
      <c r="F530" s="4" t="s">
        <v>920</v>
      </c>
      <c r="G530" s="4">
        <v>2</v>
      </c>
      <c r="H530" s="4"/>
      <c r="I530" s="4">
        <f>Table4[[#This Row],[Malın miqdarı]]*Table4[[#This Row],[Vahidin qiyməti]]</f>
        <v>0</v>
      </c>
      <c r="J530" s="4" t="s">
        <v>899</v>
      </c>
      <c r="K530" s="4" t="s">
        <v>893</v>
      </c>
      <c r="L530" s="4">
        <f>_xlfn.XLOOKUP(Table4[[#This Row],[Kontragentin adı]],Table2[Kontragentin adı],Table2[Müqavilə nömrəsi],"Xəta",0)</f>
        <v>0</v>
      </c>
      <c r="M530" s="4">
        <f>_xlfn.XLOOKUP(Table4[[#This Row],[Kontragentin adı]],Table2[Kontragentin adı],Table2[Müqavilə nömrəsi],"Xəta",0)</f>
        <v>0</v>
      </c>
    </row>
    <row r="531" spans="2:13" x14ac:dyDescent="0.3">
      <c r="B531" s="4">
        <f t="shared" si="8"/>
        <v>528</v>
      </c>
      <c r="C531" s="5">
        <v>46174</v>
      </c>
      <c r="D531" s="10" t="str" cm="1">
        <f t="array" ref="D531">_xlfn.XLOOKUP(Table4[[#This Row],[Malın kodu]],Table1[[#All],[Malın kodu]],Table1[[#All],[Malın adı]],"xəta",0)</f>
        <v>Yönləndirmə mühərriki (ümitə) / 1400-lük makina üçün</v>
      </c>
      <c r="E531" s="8" t="s">
        <v>1438</v>
      </c>
      <c r="F531" s="4" t="s">
        <v>921</v>
      </c>
      <c r="G531" s="4">
        <v>1</v>
      </c>
      <c r="H531" s="4"/>
      <c r="I531" s="4">
        <f>Table4[[#This Row],[Malın miqdarı]]*Table4[[#This Row],[Vahidin qiyməti]]</f>
        <v>0</v>
      </c>
      <c r="J531" s="4" t="s">
        <v>899</v>
      </c>
      <c r="K531" s="4" t="s">
        <v>893</v>
      </c>
      <c r="L531" s="4">
        <f>_xlfn.XLOOKUP(Table4[[#This Row],[Kontragentin adı]],Table2[Kontragentin adı],Table2[Müqavilə nömrəsi],"Xəta",0)</f>
        <v>0</v>
      </c>
      <c r="M531" s="4">
        <f>_xlfn.XLOOKUP(Table4[[#This Row],[Kontragentin adı]],Table2[Kontragentin adı],Table2[Müqavilə nömrəsi],"Xəta",0)</f>
        <v>0</v>
      </c>
    </row>
    <row r="532" spans="2:13" x14ac:dyDescent="0.3">
      <c r="B532" s="4">
        <f t="shared" si="8"/>
        <v>529</v>
      </c>
      <c r="C532" s="5">
        <v>46174</v>
      </c>
      <c r="D532" s="10" t="str" cm="1">
        <f t="array" ref="D532">_xlfn.XLOOKUP(Table4[[#This Row],[Malın kodu]],Table1[[#All],[Malın kodu]],Table1[[#All],[Malın adı]],"xəta",0)</f>
        <v>Su basıncı (ilbizvari)/ 1400-lük makina üçün</v>
      </c>
      <c r="E532" s="8" t="s">
        <v>1439</v>
      </c>
      <c r="F532" s="4" t="s">
        <v>920</v>
      </c>
      <c r="G532" s="4">
        <v>1</v>
      </c>
      <c r="H532" s="4"/>
      <c r="I532" s="4">
        <f>Table4[[#This Row],[Malın miqdarı]]*Table4[[#This Row],[Vahidin qiyməti]]</f>
        <v>0</v>
      </c>
      <c r="J532" s="4" t="s">
        <v>899</v>
      </c>
      <c r="K532" s="4" t="s">
        <v>893</v>
      </c>
      <c r="L532" s="4">
        <f>_xlfn.XLOOKUP(Table4[[#This Row],[Kontragentin adı]],Table2[Kontragentin adı],Table2[Müqavilə nömrəsi],"Xəta",0)</f>
        <v>0</v>
      </c>
      <c r="M532" s="4">
        <f>_xlfn.XLOOKUP(Table4[[#This Row],[Kontragentin adı]],Table2[Kontragentin adı],Table2[Müqavilə nömrəsi],"Xəta",0)</f>
        <v>0</v>
      </c>
    </row>
    <row r="533" spans="2:13" x14ac:dyDescent="0.3">
      <c r="B533" s="4">
        <f t="shared" si="8"/>
        <v>530</v>
      </c>
      <c r="C533" s="5">
        <v>46174</v>
      </c>
      <c r="D533" s="10" t="str" cm="1">
        <f t="array" ref="D533">_xlfn.XLOOKUP(Table4[[#This Row],[Malın kodu]],Table1[[#All],[Malın kodu]],Table1[[#All],[Malın adı]],"xəta",0)</f>
        <v>Yönləndirmə mühərriki (ümitə) / 1000-lik makina üçün</v>
      </c>
      <c r="E533" s="8" t="s">
        <v>1440</v>
      </c>
      <c r="F533" s="4" t="s">
        <v>921</v>
      </c>
      <c r="G533" s="4">
        <v>1</v>
      </c>
      <c r="H533" s="4"/>
      <c r="I533" s="4">
        <f>Table4[[#This Row],[Malın miqdarı]]*Table4[[#This Row],[Vahidin qiyməti]]</f>
        <v>0</v>
      </c>
      <c r="J533" s="4" t="s">
        <v>899</v>
      </c>
      <c r="K533" s="4" t="s">
        <v>893</v>
      </c>
      <c r="L533" s="4">
        <f>_xlfn.XLOOKUP(Table4[[#This Row],[Kontragentin adı]],Table2[Kontragentin adı],Table2[Müqavilə nömrəsi],"Xəta",0)</f>
        <v>0</v>
      </c>
      <c r="M533" s="4">
        <f>_xlfn.XLOOKUP(Table4[[#This Row],[Kontragentin adı]],Table2[Kontragentin adı],Table2[Müqavilə nömrəsi],"Xəta",0)</f>
        <v>0</v>
      </c>
    </row>
    <row r="534" spans="2:13" x14ac:dyDescent="0.3">
      <c r="B534" s="4">
        <f t="shared" si="8"/>
        <v>531</v>
      </c>
      <c r="C534" s="5">
        <v>46174</v>
      </c>
      <c r="D534" s="10" t="str" cm="1">
        <f t="array" ref="D534">_xlfn.XLOOKUP(Table4[[#This Row],[Malın kodu]],Table1[[#All],[Malın kodu]],Table1[[#All],[Malın adı]],"xəta",0)</f>
        <v>Konus / flyanslı / d 250 mm / laboratoriya üçün</v>
      </c>
      <c r="E534" s="8" t="s">
        <v>1441</v>
      </c>
      <c r="F534" s="4" t="s">
        <v>920</v>
      </c>
      <c r="G534" s="4">
        <v>1</v>
      </c>
      <c r="H534" s="4"/>
      <c r="I534" s="4">
        <f>Table4[[#This Row],[Malın miqdarı]]*Table4[[#This Row],[Vahidin qiyməti]]</f>
        <v>0</v>
      </c>
      <c r="J534" s="4" t="s">
        <v>899</v>
      </c>
      <c r="K534" s="4" t="s">
        <v>893</v>
      </c>
      <c r="L534" s="4">
        <f>_xlfn.XLOOKUP(Table4[[#This Row],[Kontragentin adı]],Table2[Kontragentin adı],Table2[Müqavilə nömrəsi],"Xəta",0)</f>
        <v>0</v>
      </c>
      <c r="M534" s="4">
        <f>_xlfn.XLOOKUP(Table4[[#This Row],[Kontragentin adı]],Table2[Kontragentin adı],Table2[Müqavilə nömrəsi],"Xəta",0)</f>
        <v>0</v>
      </c>
    </row>
    <row r="535" spans="2:13" x14ac:dyDescent="0.3">
      <c r="B535" s="4">
        <f t="shared" si="8"/>
        <v>532</v>
      </c>
      <c r="C535" s="5">
        <v>46174</v>
      </c>
      <c r="D535" s="10" t="str" cm="1">
        <f t="array" ref="D535">_xlfn.XLOOKUP(Table4[[#This Row],[Malın kodu]],Table1[[#All],[Malın kodu]],Table1[[#All],[Malın adı]],"xəta",0)</f>
        <v>Ələk / №20 / laboratoriya üçün / “Jeotest” / Türkiyə istehsalı</v>
      </c>
      <c r="E535" s="8" t="s">
        <v>1442</v>
      </c>
      <c r="F535" s="4" t="s">
        <v>920</v>
      </c>
      <c r="G535" s="4">
        <v>1</v>
      </c>
      <c r="H535" s="4"/>
      <c r="I535" s="4">
        <f>Table4[[#This Row],[Malın miqdarı]]*Table4[[#This Row],[Vahidin qiyməti]]</f>
        <v>0</v>
      </c>
      <c r="J535" s="4" t="s">
        <v>899</v>
      </c>
      <c r="K535" s="4" t="s">
        <v>893</v>
      </c>
      <c r="L535" s="4">
        <f>_xlfn.XLOOKUP(Table4[[#This Row],[Kontragentin adı]],Table2[Kontragentin adı],Table2[Müqavilə nömrəsi],"Xəta",0)</f>
        <v>0</v>
      </c>
      <c r="M535" s="4">
        <f>_xlfn.XLOOKUP(Table4[[#This Row],[Kontragentin adı]],Table2[Kontragentin adı],Table2[Müqavilə nömrəsi],"Xəta",0)</f>
        <v>0</v>
      </c>
    </row>
    <row r="536" spans="2:13" x14ac:dyDescent="0.3">
      <c r="B536" s="4">
        <f t="shared" si="8"/>
        <v>533</v>
      </c>
      <c r="C536" s="5">
        <v>46174</v>
      </c>
      <c r="D536" s="10" t="str" cm="1">
        <f t="array" ref="D536">_xlfn.XLOOKUP(Table4[[#This Row],[Malın kodu]],Table1[[#All],[Malın kodu]],Table1[[#All],[Malın adı]],"xəta",0)</f>
        <v>Metal qab (tava) / d 300 mm / laboratoriya üçün</v>
      </c>
      <c r="E536" s="8" t="s">
        <v>1443</v>
      </c>
      <c r="F536" s="4" t="s">
        <v>920</v>
      </c>
      <c r="G536" s="4">
        <v>1</v>
      </c>
      <c r="H536" s="4"/>
      <c r="I536" s="4">
        <f>Table4[[#This Row],[Malın miqdarı]]*Table4[[#This Row],[Vahidin qiyməti]]</f>
        <v>0</v>
      </c>
      <c r="J536" s="4" t="s">
        <v>899</v>
      </c>
      <c r="K536" s="4" t="s">
        <v>893</v>
      </c>
      <c r="L536" s="4">
        <f>_xlfn.XLOOKUP(Table4[[#This Row],[Kontragentin adı]],Table2[Kontragentin adı],Table2[Müqavilə nömrəsi],"Xəta",0)</f>
        <v>0</v>
      </c>
      <c r="M536" s="4">
        <f>_xlfn.XLOOKUP(Table4[[#This Row],[Kontragentin adı]],Table2[Kontragentin adı],Table2[Müqavilə nömrəsi],"Xəta",0)</f>
        <v>0</v>
      </c>
    </row>
    <row r="537" spans="2:13" x14ac:dyDescent="0.3">
      <c r="B537" s="4">
        <f t="shared" si="8"/>
        <v>534</v>
      </c>
      <c r="C537" s="5">
        <v>46174</v>
      </c>
      <c r="D537" s="10" t="str" cm="1">
        <f t="array" ref="D537">_xlfn.XLOOKUP(Table4[[#This Row],[Malın kodu]],Table1[[#All],[Malın kodu]],Table1[[#All],[Malın adı]],"xəta",0)</f>
        <v>Kasaqrande cihazı / bürünc qabı ilə / laboratoriya üçün / “Jeotest” / Türkiyə istehsalı</v>
      </c>
      <c r="E537" s="8" t="s">
        <v>1444</v>
      </c>
      <c r="F537" s="4" t="s">
        <v>920</v>
      </c>
      <c r="G537" s="4">
        <v>2</v>
      </c>
      <c r="H537" s="4"/>
      <c r="I537" s="4">
        <f>Table4[[#This Row],[Malın miqdarı]]*Table4[[#This Row],[Vahidin qiyməti]]</f>
        <v>0</v>
      </c>
      <c r="J537" s="4" t="s">
        <v>899</v>
      </c>
      <c r="K537" s="4" t="s">
        <v>893</v>
      </c>
      <c r="L537" s="4">
        <f>_xlfn.XLOOKUP(Table4[[#This Row],[Kontragentin adı]],Table2[Kontragentin adı],Table2[Müqavilə nömrəsi],"Xəta",0)</f>
        <v>0</v>
      </c>
      <c r="M537" s="4">
        <f>_xlfn.XLOOKUP(Table4[[#This Row],[Kontragentin adı]],Table2[Kontragentin adı],Table2[Müqavilə nömrəsi],"Xəta",0)</f>
        <v>0</v>
      </c>
    </row>
    <row r="538" spans="2:13" x14ac:dyDescent="0.3">
      <c r="B538" s="4">
        <f t="shared" si="8"/>
        <v>535</v>
      </c>
      <c r="C538" s="5">
        <v>46174</v>
      </c>
      <c r="D538" s="10" t="str" cm="1">
        <f t="array" ref="D538">_xlfn.XLOOKUP(Table4[[#This Row],[Malın kodu]],Table1[[#All],[Malın kodu]],Table1[[#All],[Malın adı]],"xəta",0)</f>
        <v>Metal qab / 4 künc / qulplu / 520x520 mm / laboratoriya üçün</v>
      </c>
      <c r="E538" s="8" t="s">
        <v>1445</v>
      </c>
      <c r="F538" s="4" t="s">
        <v>920</v>
      </c>
      <c r="G538" s="4">
        <v>2</v>
      </c>
      <c r="H538" s="4"/>
      <c r="I538" s="4">
        <f>Table4[[#This Row],[Malın miqdarı]]*Table4[[#This Row],[Vahidin qiyməti]]</f>
        <v>0</v>
      </c>
      <c r="J538" s="4" t="s">
        <v>899</v>
      </c>
      <c r="K538" s="4" t="s">
        <v>893</v>
      </c>
      <c r="L538" s="4">
        <f>_xlfn.XLOOKUP(Table4[[#This Row],[Kontragentin adı]],Table2[Kontragentin adı],Table2[Müqavilə nömrəsi],"Xəta",0)</f>
        <v>0</v>
      </c>
      <c r="M538" s="4">
        <f>_xlfn.XLOOKUP(Table4[[#This Row],[Kontragentin adı]],Table2[Kontragentin adı],Table2[Müqavilə nömrəsi],"Xəta",0)</f>
        <v>0</v>
      </c>
    </row>
    <row r="539" spans="2:13" x14ac:dyDescent="0.3">
      <c r="B539" s="4">
        <f t="shared" si="8"/>
        <v>536</v>
      </c>
      <c r="C539" s="5">
        <v>46174</v>
      </c>
      <c r="D539" s="10" t="str" cm="1">
        <f t="array" ref="D539">_xlfn.XLOOKUP(Table4[[#This Row],[Malın kodu]],Table1[[#All],[Malın kodu]],Table1[[#All],[Malın adı]],"xəta",0)</f>
        <v>Metal qab / 4 künc / 590x470 mm / laboratoriya üçün</v>
      </c>
      <c r="E539" s="8" t="s">
        <v>1446</v>
      </c>
      <c r="F539" s="4" t="s">
        <v>920</v>
      </c>
      <c r="G539" s="4">
        <v>2</v>
      </c>
      <c r="H539" s="4"/>
      <c r="I539" s="4">
        <f>Table4[[#This Row],[Malın miqdarı]]*Table4[[#This Row],[Vahidin qiyməti]]</f>
        <v>0</v>
      </c>
      <c r="J539" s="4" t="s">
        <v>899</v>
      </c>
      <c r="K539" s="4" t="s">
        <v>893</v>
      </c>
      <c r="L539" s="4">
        <f>_xlfn.XLOOKUP(Table4[[#This Row],[Kontragentin adı]],Table2[Kontragentin adı],Table2[Müqavilə nömrəsi],"Xəta",0)</f>
        <v>0</v>
      </c>
      <c r="M539" s="4">
        <f>_xlfn.XLOOKUP(Table4[[#This Row],[Kontragentin adı]],Table2[Kontragentin adı],Table2[Müqavilə nömrəsi],"Xəta",0)</f>
        <v>0</v>
      </c>
    </row>
    <row r="540" spans="2:13" x14ac:dyDescent="0.3">
      <c r="B540" s="4">
        <f t="shared" si="8"/>
        <v>537</v>
      </c>
      <c r="C540" s="5">
        <v>46174</v>
      </c>
      <c r="D540" s="10" t="str" cm="1">
        <f t="array" ref="D540">_xlfn.XLOOKUP(Table4[[#This Row],[Malın kodu]],Table1[[#All],[Malın kodu]],Table1[[#All],[Malın adı]],"xəta",0)</f>
        <v>Elektrik mişar / 1380 Vt / d 185 mm / 5300 dövr/dəq / “Makute” Çin istehsalı</v>
      </c>
      <c r="E540" s="8" t="s">
        <v>1447</v>
      </c>
      <c r="F540" s="4" t="s">
        <v>920</v>
      </c>
      <c r="G540" s="4">
        <v>2</v>
      </c>
      <c r="H540" s="4"/>
      <c r="I540" s="4">
        <f>Table4[[#This Row],[Malın miqdarı]]*Table4[[#This Row],[Vahidin qiyməti]]</f>
        <v>0</v>
      </c>
      <c r="J540" s="4" t="s">
        <v>899</v>
      </c>
      <c r="K540" s="4" t="s">
        <v>893</v>
      </c>
      <c r="L540" s="4">
        <f>_xlfn.XLOOKUP(Table4[[#This Row],[Kontragentin adı]],Table2[Kontragentin adı],Table2[Müqavilə nömrəsi],"Xəta",0)</f>
        <v>0</v>
      </c>
      <c r="M540" s="4">
        <f>_xlfn.XLOOKUP(Table4[[#This Row],[Kontragentin adı]],Table2[Kontragentin adı],Table2[Müqavilə nömrəsi],"Xəta",0)</f>
        <v>0</v>
      </c>
    </row>
    <row r="541" spans="2:13" x14ac:dyDescent="0.3">
      <c r="B541" s="4">
        <f t="shared" si="8"/>
        <v>538</v>
      </c>
      <c r="C541" s="5">
        <v>46174</v>
      </c>
      <c r="D541" s="10" t="str" cm="1">
        <f t="array" ref="D541">_xlfn.XLOOKUP(Table4[[#This Row],[Malın kodu]],Table1[[#All],[Malın kodu]],Table1[[#All],[Malın adı]],"xəta",0)</f>
        <v>Freza dişi / xüsusi texnika üçün</v>
      </c>
      <c r="E541" s="8" t="s">
        <v>1448</v>
      </c>
      <c r="F541" s="4" t="s">
        <v>920</v>
      </c>
      <c r="G541" s="4">
        <v>46</v>
      </c>
      <c r="H541" s="4"/>
      <c r="I541" s="4">
        <f>Table4[[#This Row],[Malın miqdarı]]*Table4[[#This Row],[Vahidin qiyməti]]</f>
        <v>0</v>
      </c>
      <c r="J541" s="4" t="s">
        <v>899</v>
      </c>
      <c r="K541" s="4" t="s">
        <v>893</v>
      </c>
      <c r="L541" s="4">
        <f>_xlfn.XLOOKUP(Table4[[#This Row],[Kontragentin adı]],Table2[Kontragentin adı],Table2[Müqavilə nömrəsi],"Xəta",0)</f>
        <v>0</v>
      </c>
      <c r="M541" s="4">
        <f>_xlfn.XLOOKUP(Table4[[#This Row],[Kontragentin adı]],Table2[Kontragentin adı],Table2[Müqavilə nömrəsi],"Xəta",0)</f>
        <v>0</v>
      </c>
    </row>
    <row r="542" spans="2:13" x14ac:dyDescent="0.3">
      <c r="B542" s="4">
        <f t="shared" si="8"/>
        <v>539</v>
      </c>
      <c r="C542" s="5">
        <v>46174</v>
      </c>
      <c r="D542" s="10" t="str" cm="1">
        <f t="array" ref="D542">_xlfn.XLOOKUP(Table4[[#This Row],[Malın kodu]],Table1[[#All],[Malın kodu]],Table1[[#All],[Malın adı]],"xəta",0)</f>
        <v>Ekstraktor - yiv açan</v>
      </c>
      <c r="E542" s="8" t="s">
        <v>1449</v>
      </c>
      <c r="F542" s="4" t="s">
        <v>921</v>
      </c>
      <c r="G542" s="4">
        <v>1</v>
      </c>
      <c r="H542" s="4"/>
      <c r="I542" s="4">
        <f>Table4[[#This Row],[Malın miqdarı]]*Table4[[#This Row],[Vahidin qiyməti]]</f>
        <v>0</v>
      </c>
      <c r="J542" s="4" t="s">
        <v>899</v>
      </c>
      <c r="K542" s="4" t="s">
        <v>893</v>
      </c>
      <c r="L542" s="4">
        <f>_xlfn.XLOOKUP(Table4[[#This Row],[Kontragentin adı]],Table2[Kontragentin adı],Table2[Müqavilə nömrəsi],"Xəta",0)</f>
        <v>0</v>
      </c>
      <c r="M542" s="4">
        <f>_xlfn.XLOOKUP(Table4[[#This Row],[Kontragentin adı]],Table2[Kontragentin adı],Table2[Müqavilə nömrəsi],"Xəta",0)</f>
        <v>0</v>
      </c>
    </row>
    <row r="543" spans="2:13" x14ac:dyDescent="0.3">
      <c r="B543" s="4">
        <f t="shared" si="8"/>
        <v>540</v>
      </c>
      <c r="C543" s="5">
        <v>46174</v>
      </c>
      <c r="D543" s="10" t="str" cm="1">
        <f t="array" ref="D543">_xlfn.XLOOKUP(Table4[[#This Row],[Malın kodu]],Table1[[#All],[Malın kodu]],Table1[[#All],[Malın adı]],"xəta",0)</f>
        <v>Şlanq / oksiqen</v>
      </c>
      <c r="E543" s="8" t="s">
        <v>1450</v>
      </c>
      <c r="F543" s="4" t="s">
        <v>929</v>
      </c>
      <c r="G543" s="4">
        <v>1</v>
      </c>
      <c r="H543" s="4"/>
      <c r="I543" s="4">
        <f>Table4[[#This Row],[Malın miqdarı]]*Table4[[#This Row],[Vahidin qiyməti]]</f>
        <v>0</v>
      </c>
      <c r="J543" s="4" t="s">
        <v>899</v>
      </c>
      <c r="K543" s="4" t="s">
        <v>893</v>
      </c>
      <c r="L543" s="4">
        <f>_xlfn.XLOOKUP(Table4[[#This Row],[Kontragentin adı]],Table2[Kontragentin adı],Table2[Müqavilə nömrəsi],"Xəta",0)</f>
        <v>0</v>
      </c>
      <c r="M543" s="4">
        <f>_xlfn.XLOOKUP(Table4[[#This Row],[Kontragentin adı]],Table2[Kontragentin adı],Table2[Müqavilə nömrəsi],"Xəta",0)</f>
        <v>0</v>
      </c>
    </row>
    <row r="544" spans="2:13" x14ac:dyDescent="0.3">
      <c r="B544" s="4">
        <f t="shared" si="8"/>
        <v>541</v>
      </c>
      <c r="C544" s="5">
        <v>46174</v>
      </c>
      <c r="D544" s="10" t="str" cm="1">
        <f t="array" ref="D544">_xlfn.XLOOKUP(Table4[[#This Row],[Malın kodu]],Table1[[#All],[Malın kodu]],Table1[[#All],[Malın adı]],"xəta",0)</f>
        <v>Lobzik / elektrik / 500 Vt / GST700</v>
      </c>
      <c r="E544" s="8" t="s">
        <v>1451</v>
      </c>
      <c r="F544" s="4" t="s">
        <v>920</v>
      </c>
      <c r="G544" s="4">
        <v>1</v>
      </c>
      <c r="H544" s="4"/>
      <c r="I544" s="4">
        <f>Table4[[#This Row],[Malın miqdarı]]*Table4[[#This Row],[Vahidin qiyməti]]</f>
        <v>0</v>
      </c>
      <c r="J544" s="4" t="s">
        <v>899</v>
      </c>
      <c r="K544" s="4" t="s">
        <v>893</v>
      </c>
      <c r="L544" s="4">
        <f>_xlfn.XLOOKUP(Table4[[#This Row],[Kontragentin adı]],Table2[Kontragentin adı],Table2[Müqavilə nömrəsi],"Xəta",0)</f>
        <v>0</v>
      </c>
      <c r="M544" s="4">
        <f>_xlfn.XLOOKUP(Table4[[#This Row],[Kontragentin adı]],Table2[Kontragentin adı],Table2[Müqavilə nömrəsi],"Xəta",0)</f>
        <v>0</v>
      </c>
    </row>
    <row r="545" spans="2:13" x14ac:dyDescent="0.3">
      <c r="B545" s="4">
        <f t="shared" si="8"/>
        <v>542</v>
      </c>
      <c r="C545" s="5">
        <v>46174</v>
      </c>
      <c r="D545" s="10" t="str" cm="1">
        <f t="array" ref="D545">_xlfn.XLOOKUP(Table4[[#This Row],[Malın kodu]],Table1[[#All],[Malın kodu]],Table1[[#All],[Malın adı]],"xəta",0)</f>
        <v>Keçid / d 250 x 280 mm / polietilen / "NTG" / Türkiyə istehsalı</v>
      </c>
      <c r="E545" s="8" t="s">
        <v>1453</v>
      </c>
      <c r="F545" s="4" t="s">
        <v>920</v>
      </c>
      <c r="G545" s="4">
        <v>1</v>
      </c>
      <c r="H545" s="4"/>
      <c r="I545" s="4">
        <f>Table4[[#This Row],[Malın miqdarı]]*Table4[[#This Row],[Vahidin qiyməti]]</f>
        <v>0</v>
      </c>
      <c r="J545" s="4" t="s">
        <v>899</v>
      </c>
      <c r="K545" s="4" t="s">
        <v>893</v>
      </c>
      <c r="L545" s="4">
        <f>_xlfn.XLOOKUP(Table4[[#This Row],[Kontragentin adı]],Table2[Kontragentin adı],Table2[Müqavilə nömrəsi],"Xəta",0)</f>
        <v>0</v>
      </c>
      <c r="M545" s="4">
        <f>_xlfn.XLOOKUP(Table4[[#This Row],[Kontragentin adı]],Table2[Kontragentin adı],Table2[Müqavilə nömrəsi],"Xəta",0)</f>
        <v>0</v>
      </c>
    </row>
    <row r="546" spans="2:13" x14ac:dyDescent="0.3">
      <c r="B546" s="4">
        <f t="shared" si="8"/>
        <v>543</v>
      </c>
      <c r="C546" s="5">
        <v>46174</v>
      </c>
      <c r="D546" s="10" t="str" cm="1">
        <f t="array" ref="D546">_xlfn.XLOOKUP(Table4[[#This Row],[Malın kodu]],Table1[[#All],[Malın kodu]],Table1[[#All],[Malın adı]],"xəta",0)</f>
        <v>Keçid / d 250 x 315 mm / polietilen / "NTG" / Türkiyə istehsalı</v>
      </c>
      <c r="E546" s="8" t="s">
        <v>1454</v>
      </c>
      <c r="F546" s="4" t="s">
        <v>920</v>
      </c>
      <c r="G546" s="4">
        <v>1</v>
      </c>
      <c r="H546" s="4"/>
      <c r="I546" s="4">
        <f>Table4[[#This Row],[Malın miqdarı]]*Table4[[#This Row],[Vahidin qiyməti]]</f>
        <v>0</v>
      </c>
      <c r="J546" s="4" t="s">
        <v>899</v>
      </c>
      <c r="K546" s="4" t="s">
        <v>893</v>
      </c>
      <c r="L546" s="4">
        <f>_xlfn.XLOOKUP(Table4[[#This Row],[Kontragentin adı]],Table2[Kontragentin adı],Table2[Müqavilə nömrəsi],"Xəta",0)</f>
        <v>0</v>
      </c>
      <c r="M546" s="4">
        <f>_xlfn.XLOOKUP(Table4[[#This Row],[Kontragentin adı]],Table2[Kontragentin adı],Table2[Müqavilə nömrəsi],"Xəta",0)</f>
        <v>0</v>
      </c>
    </row>
    <row r="547" spans="2:13" x14ac:dyDescent="0.3">
      <c r="B547" s="4">
        <f t="shared" si="8"/>
        <v>544</v>
      </c>
      <c r="C547" s="5">
        <v>46174</v>
      </c>
      <c r="D547" s="10" t="str" cm="1">
        <f t="array" ref="D547">_xlfn.XLOOKUP(Table4[[#This Row],[Malın kodu]],Table1[[#All],[Malın kodu]],Table1[[#All],[Malın adı]],"xəta",0)</f>
        <v>Dirsək (Угол) / d 350 mm / polietilen / 45°</v>
      </c>
      <c r="E547" s="8" t="s">
        <v>1455</v>
      </c>
      <c r="F547" s="4" t="s">
        <v>920</v>
      </c>
      <c r="G547" s="4">
        <v>1</v>
      </c>
      <c r="H547" s="4"/>
      <c r="I547" s="4">
        <f>Table4[[#This Row],[Malın miqdarı]]*Table4[[#This Row],[Vahidin qiyməti]]</f>
        <v>0</v>
      </c>
      <c r="J547" s="4" t="s">
        <v>899</v>
      </c>
      <c r="K547" s="4" t="s">
        <v>893</v>
      </c>
      <c r="L547" s="4">
        <f>_xlfn.XLOOKUP(Table4[[#This Row],[Kontragentin adı]],Table2[Kontragentin adı],Table2[Müqavilə nömrəsi],"Xəta",0)</f>
        <v>0</v>
      </c>
      <c r="M547" s="4">
        <f>_xlfn.XLOOKUP(Table4[[#This Row],[Kontragentin adı]],Table2[Kontragentin adı],Table2[Müqavilə nömrəsi],"Xəta",0)</f>
        <v>0</v>
      </c>
    </row>
    <row r="548" spans="2:13" x14ac:dyDescent="0.3">
      <c r="B548" s="4">
        <f t="shared" si="8"/>
        <v>545</v>
      </c>
      <c r="C548" s="5">
        <v>46174</v>
      </c>
      <c r="D548" s="10" t="str" cm="1">
        <f t="array" ref="D548">_xlfn.XLOOKUP(Table4[[#This Row],[Malın kodu]],Table1[[#All],[Malın kodu]],Table1[[#All],[Malın adı]],"xəta",0)</f>
        <v>Keçid / d 160 x 280 mm / polietilen</v>
      </c>
      <c r="E548" s="8" t="s">
        <v>1456</v>
      </c>
      <c r="F548" s="4" t="s">
        <v>920</v>
      </c>
      <c r="G548" s="4">
        <v>2</v>
      </c>
      <c r="H548" s="4"/>
      <c r="I548" s="4">
        <f>Table4[[#This Row],[Malın miqdarı]]*Table4[[#This Row],[Vahidin qiyməti]]</f>
        <v>0</v>
      </c>
      <c r="J548" s="4" t="s">
        <v>899</v>
      </c>
      <c r="K548" s="4" t="s">
        <v>893</v>
      </c>
      <c r="L548" s="4">
        <f>_xlfn.XLOOKUP(Table4[[#This Row],[Kontragentin adı]],Table2[Kontragentin adı],Table2[Müqavilə nömrəsi],"Xəta",0)</f>
        <v>0</v>
      </c>
      <c r="M548" s="4">
        <f>_xlfn.XLOOKUP(Table4[[#This Row],[Kontragentin adı]],Table2[Kontragentin adı],Table2[Müqavilə nömrəsi],"Xəta",0)</f>
        <v>0</v>
      </c>
    </row>
    <row r="549" spans="2:13" x14ac:dyDescent="0.3">
      <c r="B549" s="4">
        <f t="shared" si="8"/>
        <v>546</v>
      </c>
      <c r="C549" s="5">
        <v>46174</v>
      </c>
      <c r="D549" s="10" t="str" cm="1">
        <f t="array" ref="D549">_xlfn.XLOOKUP(Table4[[#This Row],[Malın kodu]],Table1[[#All],[Malın kodu]],Table1[[#All],[Malın adı]],"xəta",0)</f>
        <v>Üçlük / d 200 x 280 mm / polietilen</v>
      </c>
      <c r="E549" s="8" t="s">
        <v>1457</v>
      </c>
      <c r="F549" s="4" t="s">
        <v>920</v>
      </c>
      <c r="G549" s="4">
        <v>2</v>
      </c>
      <c r="H549" s="4"/>
      <c r="I549" s="4">
        <f>Table4[[#This Row],[Malın miqdarı]]*Table4[[#This Row],[Vahidin qiyməti]]</f>
        <v>0</v>
      </c>
      <c r="J549" s="4" t="s">
        <v>899</v>
      </c>
      <c r="K549" s="4" t="s">
        <v>893</v>
      </c>
      <c r="L549" s="4">
        <f>_xlfn.XLOOKUP(Table4[[#This Row],[Kontragentin adı]],Table2[Kontragentin adı],Table2[Müqavilə nömrəsi],"Xəta",0)</f>
        <v>0</v>
      </c>
      <c r="M549" s="4">
        <f>_xlfn.XLOOKUP(Table4[[#This Row],[Kontragentin adı]],Table2[Kontragentin adı],Table2[Müqavilə nömrəsi],"Xəta",0)</f>
        <v>0</v>
      </c>
    </row>
    <row r="550" spans="2:13" x14ac:dyDescent="0.3">
      <c r="B550" s="4">
        <f t="shared" si="8"/>
        <v>547</v>
      </c>
      <c r="C550" s="5">
        <v>46174</v>
      </c>
      <c r="D550" s="10" t="str" cm="1">
        <f t="array" ref="D550">_xlfn.XLOOKUP(Table4[[#This Row],[Malın kodu]],Table1[[#All],[Malın kodu]],Table1[[#All],[Malın adı]],"xəta",0)</f>
        <v>Üçlük / d 160 x 225 mm / polietilen</v>
      </c>
      <c r="E550" s="8" t="s">
        <v>1458</v>
      </c>
      <c r="F550" s="4" t="s">
        <v>920</v>
      </c>
      <c r="G550" s="4">
        <v>1</v>
      </c>
      <c r="H550" s="4"/>
      <c r="I550" s="4">
        <f>Table4[[#This Row],[Malın miqdarı]]*Table4[[#This Row],[Vahidin qiyməti]]</f>
        <v>0</v>
      </c>
      <c r="J550" s="4" t="s">
        <v>899</v>
      </c>
      <c r="K550" s="4" t="s">
        <v>893</v>
      </c>
      <c r="L550" s="4">
        <f>_xlfn.XLOOKUP(Table4[[#This Row],[Kontragentin adı]],Table2[Kontragentin adı],Table2[Müqavilə nömrəsi],"Xəta",0)</f>
        <v>0</v>
      </c>
      <c r="M550" s="4">
        <f>_xlfn.XLOOKUP(Table4[[#This Row],[Kontragentin adı]],Table2[Kontragentin adı],Table2[Müqavilə nömrəsi],"Xəta",0)</f>
        <v>0</v>
      </c>
    </row>
    <row r="551" spans="2:13" x14ac:dyDescent="0.3">
      <c r="B551" s="4">
        <f t="shared" si="8"/>
        <v>548</v>
      </c>
      <c r="C551" s="5">
        <v>46174</v>
      </c>
      <c r="D551" s="10" t="str" cm="1">
        <f t="array" ref="D551">_xlfn.XLOOKUP(Table4[[#This Row],[Malın kodu]],Table1[[#All],[Malın kodu]],Table1[[#All],[Malın adı]],"xəta",0)</f>
        <v>Dirsək / d 180 mm / polietilen / 45° / "Borfit" / Türkiyə istehsalı</v>
      </c>
      <c r="E551" s="8" t="s">
        <v>1459</v>
      </c>
      <c r="F551" s="4" t="s">
        <v>920</v>
      </c>
      <c r="G551" s="4">
        <v>1</v>
      </c>
      <c r="H551" s="4"/>
      <c r="I551" s="4">
        <f>Table4[[#This Row],[Malın miqdarı]]*Table4[[#This Row],[Vahidin qiyməti]]</f>
        <v>0</v>
      </c>
      <c r="J551" s="4" t="s">
        <v>899</v>
      </c>
      <c r="K551" s="4" t="s">
        <v>893</v>
      </c>
      <c r="L551" s="4">
        <f>_xlfn.XLOOKUP(Table4[[#This Row],[Kontragentin adı]],Table2[Kontragentin adı],Table2[Müqavilə nömrəsi],"Xəta",0)</f>
        <v>0</v>
      </c>
      <c r="M551" s="4">
        <f>_xlfn.XLOOKUP(Table4[[#This Row],[Kontragentin adı]],Table2[Kontragentin adı],Table2[Müqavilə nömrəsi],"Xəta",0)</f>
        <v>0</v>
      </c>
    </row>
    <row r="552" spans="2:13" x14ac:dyDescent="0.3">
      <c r="B552" s="4">
        <f t="shared" si="8"/>
        <v>549</v>
      </c>
      <c r="C552" s="5">
        <v>46174</v>
      </c>
      <c r="D552" s="10" t="str" cm="1">
        <f t="array" ref="D552">_xlfn.XLOOKUP(Table4[[#This Row],[Malın kodu]],Table1[[#All],[Malın kodu]],Table1[[#All],[Malın adı]],"xəta",0)</f>
        <v>Adaptor / d 110 mm / polietilen / "Borfit" / Türkiyə istehsalı</v>
      </c>
      <c r="E552" s="8" t="s">
        <v>1460</v>
      </c>
      <c r="F552" s="4" t="s">
        <v>920</v>
      </c>
      <c r="G552" s="4">
        <v>3</v>
      </c>
      <c r="H552" s="4"/>
      <c r="I552" s="4">
        <f>Table4[[#This Row],[Malın miqdarı]]*Table4[[#This Row],[Vahidin qiyməti]]</f>
        <v>0</v>
      </c>
      <c r="J552" s="4" t="s">
        <v>899</v>
      </c>
      <c r="K552" s="4" t="s">
        <v>893</v>
      </c>
      <c r="L552" s="4">
        <f>_xlfn.XLOOKUP(Table4[[#This Row],[Kontragentin adı]],Table2[Kontragentin adı],Table2[Müqavilə nömrəsi],"Xəta",0)</f>
        <v>0</v>
      </c>
      <c r="M552" s="4">
        <f>_xlfn.XLOOKUP(Table4[[#This Row],[Kontragentin adı]],Table2[Kontragentin adı],Table2[Müqavilə nömrəsi],"Xəta",0)</f>
        <v>0</v>
      </c>
    </row>
    <row r="553" spans="2:13" x14ac:dyDescent="0.3">
      <c r="B553" s="4">
        <f t="shared" si="8"/>
        <v>550</v>
      </c>
      <c r="C553" s="5">
        <v>46174</v>
      </c>
      <c r="D553" s="10" t="str" cm="1">
        <f t="array" ref="D553">_xlfn.XLOOKUP(Table4[[#This Row],[Malın kodu]],Table1[[#All],[Malın kodu]],Table1[[#All],[Malın adı]],"xəta",0)</f>
        <v>Üçlük / d 160 x 710 mm / polietilen / "Borfit" / Türkiyə istehsalı</v>
      </c>
      <c r="E553" s="8" t="s">
        <v>1461</v>
      </c>
      <c r="F553" s="4" t="s">
        <v>920</v>
      </c>
      <c r="G553" s="4">
        <v>1</v>
      </c>
      <c r="H553" s="4"/>
      <c r="I553" s="4">
        <f>Table4[[#This Row],[Malın miqdarı]]*Table4[[#This Row],[Vahidin qiyməti]]</f>
        <v>0</v>
      </c>
      <c r="J553" s="4" t="s">
        <v>899</v>
      </c>
      <c r="K553" s="4" t="s">
        <v>893</v>
      </c>
      <c r="L553" s="4">
        <f>_xlfn.XLOOKUP(Table4[[#This Row],[Kontragentin adı]],Table2[Kontragentin adı],Table2[Müqavilə nömrəsi],"Xəta",0)</f>
        <v>0</v>
      </c>
      <c r="M553" s="4">
        <f>_xlfn.XLOOKUP(Table4[[#This Row],[Kontragentin adı]],Table2[Kontragentin adı],Table2[Müqavilə nömrəsi],"Xəta",0)</f>
        <v>0</v>
      </c>
    </row>
    <row r="554" spans="2:13" x14ac:dyDescent="0.3">
      <c r="B554" s="4">
        <f t="shared" si="8"/>
        <v>551</v>
      </c>
      <c r="C554" s="5">
        <v>46174</v>
      </c>
      <c r="D554" s="10" t="str" cm="1">
        <f t="array" ref="D554">_xlfn.XLOOKUP(Table4[[#This Row],[Malın kodu]],Table1[[#All],[Malın kodu]],Table1[[#All],[Malın adı]],"xəta",0)</f>
        <v>Üçlük / d 110 x 160 mm / polietilen / "Borfit" / Türkiyə istehsalı</v>
      </c>
      <c r="E554" s="8" t="s">
        <v>1462</v>
      </c>
      <c r="F554" s="4" t="s">
        <v>920</v>
      </c>
      <c r="G554" s="4">
        <v>1</v>
      </c>
      <c r="H554" s="4"/>
      <c r="I554" s="4">
        <f>Table4[[#This Row],[Malın miqdarı]]*Table4[[#This Row],[Vahidin qiyməti]]</f>
        <v>0</v>
      </c>
      <c r="J554" s="4" t="s">
        <v>899</v>
      </c>
      <c r="K554" s="4" t="s">
        <v>893</v>
      </c>
      <c r="L554" s="4">
        <f>_xlfn.XLOOKUP(Table4[[#This Row],[Kontragentin adı]],Table2[Kontragentin adı],Table2[Müqavilə nömrəsi],"Xəta",0)</f>
        <v>0</v>
      </c>
      <c r="M554" s="4">
        <f>_xlfn.XLOOKUP(Table4[[#This Row],[Kontragentin adı]],Table2[Kontragentin adı],Table2[Müqavilə nömrəsi],"Xəta",0)</f>
        <v>0</v>
      </c>
    </row>
    <row r="555" spans="2:13" x14ac:dyDescent="0.3">
      <c r="B555" s="4">
        <f t="shared" si="8"/>
        <v>552</v>
      </c>
      <c r="C555" s="5">
        <v>46174</v>
      </c>
      <c r="D555" s="10" t="str" cm="1">
        <f t="array" ref="D555">_xlfn.XLOOKUP(Table4[[#This Row],[Malın kodu]],Table1[[#All],[Malın kodu]],Table1[[#All],[Malın adı]],"xəta",0)</f>
        <v>Qapaq / d 280 mm / polietilen / "Borfit" / Türkiyə istehsalı</v>
      </c>
      <c r="E555" s="8" t="s">
        <v>1463</v>
      </c>
      <c r="F555" s="4" t="s">
        <v>920</v>
      </c>
      <c r="G555" s="4">
        <v>1</v>
      </c>
      <c r="H555" s="4"/>
      <c r="I555" s="4">
        <f>Table4[[#This Row],[Malın miqdarı]]*Table4[[#This Row],[Vahidin qiyməti]]</f>
        <v>0</v>
      </c>
      <c r="J555" s="4" t="s">
        <v>899</v>
      </c>
      <c r="K555" s="4" t="s">
        <v>893</v>
      </c>
      <c r="L555" s="4">
        <f>_xlfn.XLOOKUP(Table4[[#This Row],[Kontragentin adı]],Table2[Kontragentin adı],Table2[Müqavilə nömrəsi],"Xəta",0)</f>
        <v>0</v>
      </c>
      <c r="M555" s="4">
        <f>_xlfn.XLOOKUP(Table4[[#This Row],[Kontragentin adı]],Table2[Kontragentin adı],Table2[Müqavilə nömrəsi],"Xəta",0)</f>
        <v>0</v>
      </c>
    </row>
    <row r="556" spans="2:13" x14ac:dyDescent="0.3">
      <c r="B556" s="4">
        <f t="shared" si="8"/>
        <v>553</v>
      </c>
      <c r="C556" s="5">
        <v>46174</v>
      </c>
      <c r="D556" s="10" t="str" cm="1">
        <f t="array" ref="D556">_xlfn.XLOOKUP(Table4[[#This Row],[Malın kodu]],Table1[[#All],[Malın kodu]],Table1[[#All],[Malın adı]],"xəta",0)</f>
        <v>Qapaq / d 160 mm / polietilen / "Borfit" / Türkiyə istehsalı</v>
      </c>
      <c r="E556" s="8" t="s">
        <v>1464</v>
      </c>
      <c r="F556" s="4" t="s">
        <v>920</v>
      </c>
      <c r="G556" s="4">
        <v>3</v>
      </c>
      <c r="H556" s="4"/>
      <c r="I556" s="4">
        <f>Table4[[#This Row],[Malın miqdarı]]*Table4[[#This Row],[Vahidin qiyməti]]</f>
        <v>0</v>
      </c>
      <c r="J556" s="4" t="s">
        <v>899</v>
      </c>
      <c r="K556" s="4" t="s">
        <v>893</v>
      </c>
      <c r="L556" s="4">
        <f>_xlfn.XLOOKUP(Table4[[#This Row],[Kontragentin adı]],Table2[Kontragentin adı],Table2[Müqavilə nömrəsi],"Xəta",0)</f>
        <v>0</v>
      </c>
      <c r="M556" s="4">
        <f>_xlfn.XLOOKUP(Table4[[#This Row],[Kontragentin adı]],Table2[Kontragentin adı],Table2[Müqavilə nömrəsi],"Xəta",0)</f>
        <v>0</v>
      </c>
    </row>
    <row r="557" spans="2:13" x14ac:dyDescent="0.3">
      <c r="B557" s="4">
        <f t="shared" si="8"/>
        <v>554</v>
      </c>
      <c r="C557" s="5">
        <v>46174</v>
      </c>
      <c r="D557" s="10" t="str" cm="1">
        <f t="array" ref="D557">_xlfn.XLOOKUP(Table4[[#This Row],[Malın kodu]],Table1[[#All],[Malın kodu]],Table1[[#All],[Malın adı]],"xəta",0)</f>
        <v>Qapaq / d 355 mm / polietilen / "Borfit" / Türkiyə istehsalı</v>
      </c>
      <c r="E557" s="8" t="s">
        <v>1465</v>
      </c>
      <c r="F557" s="4" t="s">
        <v>920</v>
      </c>
      <c r="G557" s="4">
        <v>4</v>
      </c>
      <c r="H557" s="4"/>
      <c r="I557" s="4">
        <f>Table4[[#This Row],[Malın miqdarı]]*Table4[[#This Row],[Vahidin qiyməti]]</f>
        <v>0</v>
      </c>
      <c r="J557" s="4" t="s">
        <v>899</v>
      </c>
      <c r="K557" s="4" t="s">
        <v>893</v>
      </c>
      <c r="L557" s="4">
        <f>_xlfn.XLOOKUP(Table4[[#This Row],[Kontragentin adı]],Table2[Kontragentin adı],Table2[Müqavilə nömrəsi],"Xəta",0)</f>
        <v>0</v>
      </c>
      <c r="M557" s="4">
        <f>_xlfn.XLOOKUP(Table4[[#This Row],[Kontragentin adı]],Table2[Kontragentin adı],Table2[Müqavilə nömrəsi],"Xəta",0)</f>
        <v>0</v>
      </c>
    </row>
    <row r="558" spans="2:13" x14ac:dyDescent="0.3">
      <c r="B558" s="4">
        <f t="shared" si="8"/>
        <v>555</v>
      </c>
      <c r="C558" s="5">
        <v>46174</v>
      </c>
      <c r="D558" s="10" t="str" cm="1">
        <f t="array" ref="D558">_xlfn.XLOOKUP(Table4[[#This Row],[Malın kodu]],Table1[[#All],[Malın kodu]],Table1[[#All],[Malın adı]],"xəta",0)</f>
        <v>Keçid / d 90 x 110 mm / polietilen</v>
      </c>
      <c r="E558" s="8" t="s">
        <v>1466</v>
      </c>
      <c r="F558" s="4" t="s">
        <v>920</v>
      </c>
      <c r="G558" s="4">
        <v>1</v>
      </c>
      <c r="H558" s="4"/>
      <c r="I558" s="4">
        <f>Table4[[#This Row],[Malın miqdarı]]*Table4[[#This Row],[Vahidin qiyməti]]</f>
        <v>0</v>
      </c>
      <c r="J558" s="4" t="s">
        <v>899</v>
      </c>
      <c r="K558" s="4" t="s">
        <v>893</v>
      </c>
      <c r="L558" s="4">
        <f>_xlfn.XLOOKUP(Table4[[#This Row],[Kontragentin adı]],Table2[Kontragentin adı],Table2[Müqavilə nömrəsi],"Xəta",0)</f>
        <v>0</v>
      </c>
      <c r="M558" s="4">
        <f>_xlfn.XLOOKUP(Table4[[#This Row],[Kontragentin adı]],Table2[Kontragentin adı],Table2[Müqavilə nömrəsi],"Xəta",0)</f>
        <v>0</v>
      </c>
    </row>
    <row r="559" spans="2:13" x14ac:dyDescent="0.3">
      <c r="B559" s="4">
        <f t="shared" si="8"/>
        <v>556</v>
      </c>
      <c r="C559" s="5">
        <v>46174</v>
      </c>
      <c r="D559" s="10" t="str" cm="1">
        <f t="array" ref="D559">_xlfn.XLOOKUP(Table4[[#This Row],[Malın kodu]],Table1[[#All],[Malın kodu]],Table1[[#All],[Malın adı]],"xəta",0)</f>
        <v>Dirsək / d 355 mm / polietilen / 45°</v>
      </c>
      <c r="E559" s="8" t="s">
        <v>1467</v>
      </c>
      <c r="F559" s="4" t="s">
        <v>920</v>
      </c>
      <c r="G559" s="4">
        <v>2</v>
      </c>
      <c r="H559" s="4"/>
      <c r="I559" s="4">
        <f>Table4[[#This Row],[Malın miqdarı]]*Table4[[#This Row],[Vahidin qiyməti]]</f>
        <v>0</v>
      </c>
      <c r="J559" s="4" t="s">
        <v>899</v>
      </c>
      <c r="K559" s="4" t="s">
        <v>893</v>
      </c>
      <c r="L559" s="4">
        <f>_xlfn.XLOOKUP(Table4[[#This Row],[Kontragentin adı]],Table2[Kontragentin adı],Table2[Müqavilə nömrəsi],"Xəta",0)</f>
        <v>0</v>
      </c>
      <c r="M559" s="4">
        <f>_xlfn.XLOOKUP(Table4[[#This Row],[Kontragentin adı]],Table2[Kontragentin adı],Table2[Müqavilə nömrəsi],"Xəta",0)</f>
        <v>0</v>
      </c>
    </row>
    <row r="560" spans="2:13" x14ac:dyDescent="0.3">
      <c r="B560" s="4">
        <f t="shared" si="8"/>
        <v>557</v>
      </c>
      <c r="C560" s="5">
        <v>46174</v>
      </c>
      <c r="D560" s="10" t="str" cm="1">
        <f t="array" ref="D560">_xlfn.XLOOKUP(Table4[[#This Row],[Malın kodu]],Table1[[#All],[Malın kodu]],Table1[[#All],[Malın adı]],"xəta",0)</f>
        <v>Üçlük / d 250 x 355 mm / polietilen / "Borfit" / Türkiyə istehsalı</v>
      </c>
      <c r="E560" s="8" t="s">
        <v>1468</v>
      </c>
      <c r="F560" s="4" t="s">
        <v>920</v>
      </c>
      <c r="G560" s="4">
        <v>1</v>
      </c>
      <c r="H560" s="4"/>
      <c r="I560" s="4">
        <f>Table4[[#This Row],[Malın miqdarı]]*Table4[[#This Row],[Vahidin qiyməti]]</f>
        <v>0</v>
      </c>
      <c r="J560" s="4" t="s">
        <v>899</v>
      </c>
      <c r="K560" s="4" t="s">
        <v>893</v>
      </c>
      <c r="L560" s="4">
        <f>_xlfn.XLOOKUP(Table4[[#This Row],[Kontragentin adı]],Table2[Kontragentin adı],Table2[Müqavilə nömrəsi],"Xəta",0)</f>
        <v>0</v>
      </c>
      <c r="M560" s="4">
        <f>_xlfn.XLOOKUP(Table4[[#This Row],[Kontragentin adı]],Table2[Kontragentin adı],Table2[Müqavilə nömrəsi],"Xəta",0)</f>
        <v>0</v>
      </c>
    </row>
    <row r="561" spans="2:13" x14ac:dyDescent="0.3">
      <c r="B561" s="4">
        <f t="shared" si="8"/>
        <v>558</v>
      </c>
      <c r="C561" s="5">
        <v>46174</v>
      </c>
      <c r="D561" s="10" t="str" cm="1">
        <f t="array" ref="D561">_xlfn.XLOOKUP(Table4[[#This Row],[Malın kodu]],Table1[[#All],[Malın kodu]],Table1[[#All],[Malın adı]],"xəta",0)</f>
        <v>Keçid / d 225 x 250 mm / polietilen / "NTG" / Türkiyə istehsalı</v>
      </c>
      <c r="E561" s="8" t="s">
        <v>1469</v>
      </c>
      <c r="F561" s="4" t="s">
        <v>920</v>
      </c>
      <c r="G561" s="4">
        <v>1</v>
      </c>
      <c r="H561" s="4"/>
      <c r="I561" s="4">
        <f>Table4[[#This Row],[Malın miqdarı]]*Table4[[#This Row],[Vahidin qiyməti]]</f>
        <v>0</v>
      </c>
      <c r="J561" s="4" t="s">
        <v>899</v>
      </c>
      <c r="K561" s="4" t="s">
        <v>893</v>
      </c>
      <c r="L561" s="4">
        <f>_xlfn.XLOOKUP(Table4[[#This Row],[Kontragentin adı]],Table2[Kontragentin adı],Table2[Müqavilə nömrəsi],"Xəta",0)</f>
        <v>0</v>
      </c>
      <c r="M561" s="4">
        <f>_xlfn.XLOOKUP(Table4[[#This Row],[Kontragentin adı]],Table2[Kontragentin adı],Table2[Müqavilə nömrəsi],"Xəta",0)</f>
        <v>0</v>
      </c>
    </row>
    <row r="562" spans="2:13" x14ac:dyDescent="0.3">
      <c r="B562" s="4">
        <f t="shared" si="8"/>
        <v>559</v>
      </c>
      <c r="C562" s="5">
        <v>46174</v>
      </c>
      <c r="D562" s="10" t="str" cm="1">
        <f t="array" ref="D562">_xlfn.XLOOKUP(Table4[[#This Row],[Malın kodu]],Table1[[#All],[Malın kodu]],Table1[[#All],[Malın adı]],"xəta",0)</f>
        <v>Adaptor / d 355 mm / polietilen / "Borfit" / Türkiyə istehsalı</v>
      </c>
      <c r="E562" s="8" t="s">
        <v>1470</v>
      </c>
      <c r="F562" s="4" t="s">
        <v>920</v>
      </c>
      <c r="G562" s="4">
        <v>5</v>
      </c>
      <c r="H562" s="4"/>
      <c r="I562" s="4">
        <f>Table4[[#This Row],[Malın miqdarı]]*Table4[[#This Row],[Vahidin qiyməti]]</f>
        <v>0</v>
      </c>
      <c r="J562" s="4" t="s">
        <v>899</v>
      </c>
      <c r="K562" s="4" t="s">
        <v>893</v>
      </c>
      <c r="L562" s="4">
        <f>_xlfn.XLOOKUP(Table4[[#This Row],[Kontragentin adı]],Table2[Kontragentin adı],Table2[Müqavilə nömrəsi],"Xəta",0)</f>
        <v>0</v>
      </c>
      <c r="M562" s="4">
        <f>_xlfn.XLOOKUP(Table4[[#This Row],[Kontragentin adı]],Table2[Kontragentin adı],Table2[Müqavilə nömrəsi],"Xəta",0)</f>
        <v>0</v>
      </c>
    </row>
    <row r="563" spans="2:13" x14ac:dyDescent="0.3">
      <c r="B563" s="4">
        <f t="shared" si="8"/>
        <v>560</v>
      </c>
      <c r="C563" s="5">
        <v>46174</v>
      </c>
      <c r="D563" s="10" t="str" cm="1">
        <f t="array" ref="D563">_xlfn.XLOOKUP(Table4[[#This Row],[Malın kodu]],Table1[[#All],[Malın kodu]],Table1[[#All],[Malın adı]],"xəta",0)</f>
        <v>Adaptor / d 225 mm / polietilen</v>
      </c>
      <c r="E563" s="8" t="s">
        <v>1471</v>
      </c>
      <c r="F563" s="4" t="s">
        <v>920</v>
      </c>
      <c r="G563" s="4">
        <v>3</v>
      </c>
      <c r="H563" s="4"/>
      <c r="I563" s="4">
        <f>Table4[[#This Row],[Malın miqdarı]]*Table4[[#This Row],[Vahidin qiyməti]]</f>
        <v>0</v>
      </c>
      <c r="J563" s="4" t="s">
        <v>899</v>
      </c>
      <c r="K563" s="4" t="s">
        <v>893</v>
      </c>
      <c r="L563" s="4">
        <f>_xlfn.XLOOKUP(Table4[[#This Row],[Kontragentin adı]],Table2[Kontragentin adı],Table2[Müqavilə nömrəsi],"Xəta",0)</f>
        <v>0</v>
      </c>
      <c r="M563" s="4">
        <f>_xlfn.XLOOKUP(Table4[[#This Row],[Kontragentin adı]],Table2[Kontragentin adı],Table2[Müqavilə nömrəsi],"Xəta",0)</f>
        <v>0</v>
      </c>
    </row>
    <row r="564" spans="2:13" x14ac:dyDescent="0.3">
      <c r="B564" s="4">
        <f t="shared" si="8"/>
        <v>561</v>
      </c>
      <c r="C564" s="5">
        <v>46174</v>
      </c>
      <c r="D564" s="10" t="str" cm="1">
        <f t="array" ref="D564">_xlfn.XLOOKUP(Table4[[#This Row],[Malın kodu]],Table1[[#All],[Malın kodu]],Table1[[#All],[Malın adı]],"xəta",0)</f>
        <v>Adaptor / d 180 mm / polietilen / "Borfit" / Türkiyə istehsalı</v>
      </c>
      <c r="E564" s="8" t="s">
        <v>1472</v>
      </c>
      <c r="F564" s="4" t="s">
        <v>920</v>
      </c>
      <c r="G564" s="4">
        <v>1</v>
      </c>
      <c r="H564" s="4"/>
      <c r="I564" s="4">
        <f>Table4[[#This Row],[Malın miqdarı]]*Table4[[#This Row],[Vahidin qiyməti]]</f>
        <v>0</v>
      </c>
      <c r="J564" s="4" t="s">
        <v>899</v>
      </c>
      <c r="K564" s="4" t="s">
        <v>893</v>
      </c>
      <c r="L564" s="4">
        <f>_xlfn.XLOOKUP(Table4[[#This Row],[Kontragentin adı]],Table2[Kontragentin adı],Table2[Müqavilə nömrəsi],"Xəta",0)</f>
        <v>0</v>
      </c>
      <c r="M564" s="4">
        <f>_xlfn.XLOOKUP(Table4[[#This Row],[Kontragentin adı]],Table2[Kontragentin adı],Table2[Müqavilə nömrəsi],"Xəta",0)</f>
        <v>0</v>
      </c>
    </row>
    <row r="565" spans="2:13" x14ac:dyDescent="0.3">
      <c r="B565" s="4">
        <f t="shared" si="8"/>
        <v>562</v>
      </c>
      <c r="C565" s="5">
        <v>46174</v>
      </c>
      <c r="D565" s="10" t="str" cm="1">
        <f t="array" ref="D565">_xlfn.XLOOKUP(Table4[[#This Row],[Malın kodu]],Table1[[#All],[Malın kodu]],Table1[[#All],[Malın adı]],"xəta",0)</f>
        <v>Adaptor / d 315 mm / polietilen</v>
      </c>
      <c r="E565" s="8" t="s">
        <v>1473</v>
      </c>
      <c r="F565" s="4" t="s">
        <v>920</v>
      </c>
      <c r="G565" s="4">
        <v>1</v>
      </c>
      <c r="H565" s="4"/>
      <c r="I565" s="4">
        <f>Table4[[#This Row],[Malın miqdarı]]*Table4[[#This Row],[Vahidin qiyməti]]</f>
        <v>0</v>
      </c>
      <c r="J565" s="4" t="s">
        <v>899</v>
      </c>
      <c r="K565" s="4" t="s">
        <v>893</v>
      </c>
      <c r="L565" s="4">
        <f>_xlfn.XLOOKUP(Table4[[#This Row],[Kontragentin adı]],Table2[Kontragentin adı],Table2[Müqavilə nömrəsi],"Xəta",0)</f>
        <v>0</v>
      </c>
      <c r="M565" s="4">
        <f>_xlfn.XLOOKUP(Table4[[#This Row],[Kontragentin adı]],Table2[Kontragentin adı],Table2[Müqavilə nömrəsi],"Xəta",0)</f>
        <v>0</v>
      </c>
    </row>
    <row r="566" spans="2:13" x14ac:dyDescent="0.3">
      <c r="B566" s="4">
        <f t="shared" si="8"/>
        <v>563</v>
      </c>
      <c r="C566" s="5">
        <v>46174</v>
      </c>
      <c r="D566" s="10" t="str" cm="1">
        <f t="array" ref="D566">_xlfn.XLOOKUP(Table4[[#This Row],[Malın kodu]],Table1[[#All],[Malın kodu]],Table1[[#All],[Malın adı]],"xəta",0)</f>
        <v>Dirsək / d 280 mm / polietilen / 45° / "Borfit" / Türkiyə istehsalı</v>
      </c>
      <c r="E566" s="8" t="s">
        <v>1474</v>
      </c>
      <c r="F566" s="4" t="s">
        <v>920</v>
      </c>
      <c r="G566" s="4">
        <v>1</v>
      </c>
      <c r="H566" s="4"/>
      <c r="I566" s="4">
        <f>Table4[[#This Row],[Malın miqdarı]]*Table4[[#This Row],[Vahidin qiyməti]]</f>
        <v>0</v>
      </c>
      <c r="J566" s="4" t="s">
        <v>899</v>
      </c>
      <c r="K566" s="4" t="s">
        <v>893</v>
      </c>
      <c r="L566" s="4">
        <f>_xlfn.XLOOKUP(Table4[[#This Row],[Kontragentin adı]],Table2[Kontragentin adı],Table2[Müqavilə nömrəsi],"Xəta",0)</f>
        <v>0</v>
      </c>
      <c r="M566" s="4">
        <f>_xlfn.XLOOKUP(Table4[[#This Row],[Kontragentin adı]],Table2[Kontragentin adı],Table2[Müqavilə nömrəsi],"Xəta",0)</f>
        <v>0</v>
      </c>
    </row>
    <row r="567" spans="2:13" x14ac:dyDescent="0.3">
      <c r="B567" s="4">
        <f t="shared" si="8"/>
        <v>564</v>
      </c>
      <c r="C567" s="5">
        <v>46174</v>
      </c>
      <c r="D567" s="10" t="str" cm="1">
        <f t="array" ref="D567">_xlfn.XLOOKUP(Table4[[#This Row],[Malın kodu]],Table1[[#All],[Malın kodu]],Table1[[#All],[Malın adı]],"xəta",0)</f>
        <v>Dirsək / d 160 mm / polietilen / 90° / "Borfit" / Türkiyə istehsalı</v>
      </c>
      <c r="E567" s="8" t="s">
        <v>1475</v>
      </c>
      <c r="F567" s="4" t="s">
        <v>920</v>
      </c>
      <c r="G567" s="4">
        <v>1</v>
      </c>
      <c r="H567" s="4"/>
      <c r="I567" s="4">
        <f>Table4[[#This Row],[Malın miqdarı]]*Table4[[#This Row],[Vahidin qiyməti]]</f>
        <v>0</v>
      </c>
      <c r="J567" s="4" t="s">
        <v>899</v>
      </c>
      <c r="K567" s="4" t="s">
        <v>893</v>
      </c>
      <c r="L567" s="4">
        <f>_xlfn.XLOOKUP(Table4[[#This Row],[Kontragentin adı]],Table2[Kontragentin adı],Table2[Müqavilə nömrəsi],"Xəta",0)</f>
        <v>0</v>
      </c>
      <c r="M567" s="4">
        <f>_xlfn.XLOOKUP(Table4[[#This Row],[Kontragentin adı]],Table2[Kontragentin adı],Table2[Müqavilə nömrəsi],"Xəta",0)</f>
        <v>0</v>
      </c>
    </row>
    <row r="568" spans="2:13" x14ac:dyDescent="0.3">
      <c r="B568" s="4">
        <f t="shared" si="8"/>
        <v>565</v>
      </c>
      <c r="C568" s="5">
        <v>46174</v>
      </c>
      <c r="D568" s="10" t="str" cm="1">
        <f t="array" ref="D568">_xlfn.XLOOKUP(Table4[[#This Row],[Malın kodu]],Table1[[#All],[Malın kodu]],Table1[[#All],[Malın adı]],"xəta",0)</f>
        <v>Dirsək / d 315 mm / polietilen / 90°</v>
      </c>
      <c r="E568" s="8" t="s">
        <v>1476</v>
      </c>
      <c r="F568" s="4" t="s">
        <v>920</v>
      </c>
      <c r="G568" s="4">
        <v>1</v>
      </c>
      <c r="H568" s="4"/>
      <c r="I568" s="4">
        <f>Table4[[#This Row],[Malın miqdarı]]*Table4[[#This Row],[Vahidin qiyməti]]</f>
        <v>0</v>
      </c>
      <c r="J568" s="4" t="s">
        <v>899</v>
      </c>
      <c r="K568" s="4" t="s">
        <v>893</v>
      </c>
      <c r="L568" s="4">
        <f>_xlfn.XLOOKUP(Table4[[#This Row],[Kontragentin adı]],Table2[Kontragentin adı],Table2[Müqavilə nömrəsi],"Xəta",0)</f>
        <v>0</v>
      </c>
      <c r="M568" s="4">
        <f>_xlfn.XLOOKUP(Table4[[#This Row],[Kontragentin adı]],Table2[Kontragentin adı],Table2[Müqavilə nömrəsi],"Xəta",0)</f>
        <v>0</v>
      </c>
    </row>
    <row r="569" spans="2:13" x14ac:dyDescent="0.3">
      <c r="B569" s="4">
        <f t="shared" si="8"/>
        <v>566</v>
      </c>
      <c r="C569" s="5">
        <v>46174</v>
      </c>
      <c r="D569" s="10" t="str" cm="1">
        <f t="array" ref="D569">_xlfn.XLOOKUP(Table4[[#This Row],[Malın kodu]],Table1[[#All],[Malın kodu]],Table1[[#All],[Malın adı]],"xəta",0)</f>
        <v>Dirsək / d 400 mm / polietilen / 45°</v>
      </c>
      <c r="E569" s="8" t="s">
        <v>1477</v>
      </c>
      <c r="F569" s="4" t="s">
        <v>920</v>
      </c>
      <c r="G569" s="4">
        <v>1</v>
      </c>
      <c r="H569" s="4"/>
      <c r="I569" s="4">
        <f>Table4[[#This Row],[Malın miqdarı]]*Table4[[#This Row],[Vahidin qiyməti]]</f>
        <v>0</v>
      </c>
      <c r="J569" s="4" t="s">
        <v>899</v>
      </c>
      <c r="K569" s="4" t="s">
        <v>893</v>
      </c>
      <c r="L569" s="4">
        <f>_xlfn.XLOOKUP(Table4[[#This Row],[Kontragentin adı]],Table2[Kontragentin adı],Table2[Müqavilə nömrəsi],"Xəta",0)</f>
        <v>0</v>
      </c>
      <c r="M569" s="4">
        <f>_xlfn.XLOOKUP(Table4[[#This Row],[Kontragentin adı]],Table2[Kontragentin adı],Table2[Müqavilə nömrəsi],"Xəta",0)</f>
        <v>0</v>
      </c>
    </row>
    <row r="570" spans="2:13" x14ac:dyDescent="0.3">
      <c r="B570" s="4">
        <f t="shared" si="8"/>
        <v>567</v>
      </c>
      <c r="C570" s="5">
        <v>46174</v>
      </c>
      <c r="D570" s="10" t="str" cm="1">
        <f t="array" ref="D570">_xlfn.XLOOKUP(Table4[[#This Row],[Malın kodu]],Table1[[#All],[Malın kodu]],Table1[[#All],[Malın adı]],"xəta",0)</f>
        <v>Siyirtmə sükanı (maxovik) / kiçik ölçülü</v>
      </c>
      <c r="E570" s="8" t="s">
        <v>1478</v>
      </c>
      <c r="F570" s="4" t="s">
        <v>920</v>
      </c>
      <c r="G570" s="4">
        <v>69</v>
      </c>
      <c r="H570" s="4"/>
      <c r="I570" s="4">
        <f>Table4[[#This Row],[Malın miqdarı]]*Table4[[#This Row],[Vahidin qiyməti]]</f>
        <v>0</v>
      </c>
      <c r="J570" s="4" t="s">
        <v>899</v>
      </c>
      <c r="K570" s="4" t="s">
        <v>893</v>
      </c>
      <c r="L570" s="4">
        <f>_xlfn.XLOOKUP(Table4[[#This Row],[Kontragentin adı]],Table2[Kontragentin adı],Table2[Müqavilə nömrəsi],"Xəta",0)</f>
        <v>0</v>
      </c>
      <c r="M570" s="4">
        <f>_xlfn.XLOOKUP(Table4[[#This Row],[Kontragentin adı]],Table2[Kontragentin adı],Table2[Müqavilə nömrəsi],"Xəta",0)</f>
        <v>0</v>
      </c>
    </row>
    <row r="571" spans="2:13" x14ac:dyDescent="0.3">
      <c r="B571" s="4">
        <f t="shared" si="8"/>
        <v>568</v>
      </c>
      <c r="C571" s="5">
        <v>46174</v>
      </c>
      <c r="D571" s="10" t="str" cm="1">
        <f t="array" ref="D571">_xlfn.XLOOKUP(Table4[[#This Row],[Malın kodu]],Table1[[#All],[Malın kodu]],Table1[[#All],[Malın adı]],"xəta",0)</f>
        <v>Siyirtmə sükanı (maxovik) / orta ölçülü</v>
      </c>
      <c r="E571" s="8" t="s">
        <v>1479</v>
      </c>
      <c r="F571" s="4" t="s">
        <v>920</v>
      </c>
      <c r="G571" s="4">
        <v>7</v>
      </c>
      <c r="H571" s="4"/>
      <c r="I571" s="4">
        <f>Table4[[#This Row],[Malın miqdarı]]*Table4[[#This Row],[Vahidin qiyməti]]</f>
        <v>0</v>
      </c>
      <c r="J571" s="4" t="s">
        <v>899</v>
      </c>
      <c r="K571" s="4" t="s">
        <v>893</v>
      </c>
      <c r="L571" s="4">
        <f>_xlfn.XLOOKUP(Table4[[#This Row],[Kontragentin adı]],Table2[Kontragentin adı],Table2[Müqavilə nömrəsi],"Xəta",0)</f>
        <v>0</v>
      </c>
      <c r="M571" s="4">
        <f>_xlfn.XLOOKUP(Table4[[#This Row],[Kontragentin adı]],Table2[Kontragentin adı],Table2[Müqavilə nömrəsi],"Xəta",0)</f>
        <v>0</v>
      </c>
    </row>
    <row r="572" spans="2:13" x14ac:dyDescent="0.3">
      <c r="B572" s="4">
        <f t="shared" si="8"/>
        <v>569</v>
      </c>
      <c r="C572" s="5">
        <v>46174</v>
      </c>
      <c r="D572" s="10" t="str" cm="1">
        <f t="array" ref="D572">_xlfn.XLOOKUP(Table4[[#This Row],[Malın kodu]],Table1[[#All],[Malın kodu]],Table1[[#All],[Malın adı]],"xəta",0)</f>
        <v>Siyirtmə sükanı (maxovik) / böyük ölçülü</v>
      </c>
      <c r="E572" s="8" t="s">
        <v>1480</v>
      </c>
      <c r="F572" s="4" t="s">
        <v>920</v>
      </c>
      <c r="G572" s="4">
        <v>2</v>
      </c>
      <c r="H572" s="4"/>
      <c r="I572" s="4">
        <f>Table4[[#This Row],[Malın miqdarı]]*Table4[[#This Row],[Vahidin qiyməti]]</f>
        <v>0</v>
      </c>
      <c r="J572" s="4" t="s">
        <v>899</v>
      </c>
      <c r="K572" s="4" t="s">
        <v>893</v>
      </c>
      <c r="L572" s="4">
        <f>_xlfn.XLOOKUP(Table4[[#This Row],[Kontragentin adı]],Table2[Kontragentin adı],Table2[Müqavilə nömrəsi],"Xəta",0)</f>
        <v>0</v>
      </c>
      <c r="M572" s="4">
        <f>_xlfn.XLOOKUP(Table4[[#This Row],[Kontragentin adı]],Table2[Kontragentin adı],Table2[Müqavilə nömrəsi],"Xəta",0)</f>
        <v>0</v>
      </c>
    </row>
    <row r="573" spans="2:13" x14ac:dyDescent="0.3">
      <c r="B573" s="4">
        <f t="shared" si="8"/>
        <v>570</v>
      </c>
      <c r="C573" s="5">
        <v>46174</v>
      </c>
      <c r="D573" s="10" t="str" cm="1">
        <f t="array" ref="D573">_xlfn.XLOOKUP(Table4[[#This Row],[Malın kodu]],Table1[[#All],[Malın kodu]],Table1[[#All],[Malın adı]],"xəta",0)</f>
        <v>Siyirtmə qapağı</v>
      </c>
      <c r="E573" s="8" t="s">
        <v>1481</v>
      </c>
      <c r="F573" s="4" t="s">
        <v>920</v>
      </c>
      <c r="G573" s="4">
        <v>17</v>
      </c>
      <c r="H573" s="4"/>
      <c r="I573" s="4">
        <f>Table4[[#This Row],[Malın miqdarı]]*Table4[[#This Row],[Vahidin qiyməti]]</f>
        <v>0</v>
      </c>
      <c r="J573" s="4" t="s">
        <v>899</v>
      </c>
      <c r="K573" s="4" t="s">
        <v>893</v>
      </c>
      <c r="L573" s="4">
        <f>_xlfn.XLOOKUP(Table4[[#This Row],[Kontragentin adı]],Table2[Kontragentin adı],Table2[Müqavilə nömrəsi],"Xəta",0)</f>
        <v>0</v>
      </c>
      <c r="M573" s="4">
        <f>_xlfn.XLOOKUP(Table4[[#This Row],[Kontragentin adı]],Table2[Kontragentin adı],Table2[Müqavilə nömrəsi],"Xəta",0)</f>
        <v>0</v>
      </c>
    </row>
    <row r="574" spans="2:13" x14ac:dyDescent="0.3">
      <c r="B574" s="4">
        <f t="shared" si="8"/>
        <v>571</v>
      </c>
      <c r="C574" s="5">
        <v>46174</v>
      </c>
      <c r="D574" s="10" t="str" cm="1">
        <f t="array" ref="D574">_xlfn.XLOOKUP(Table4[[#This Row],[Malın kodu]],Table1[[#All],[Malın kodu]],Table1[[#All],[Malın adı]],"xəta",0)</f>
        <v>Başlıq / yanğın şlanqı üçün / alüminium</v>
      </c>
      <c r="E574" s="8" t="s">
        <v>1482</v>
      </c>
      <c r="F574" s="4" t="s">
        <v>920</v>
      </c>
      <c r="G574" s="4">
        <v>226</v>
      </c>
      <c r="H574" s="4"/>
      <c r="I574" s="4">
        <f>Table4[[#This Row],[Malın miqdarı]]*Table4[[#This Row],[Vahidin qiyməti]]</f>
        <v>0</v>
      </c>
      <c r="J574" s="4" t="s">
        <v>899</v>
      </c>
      <c r="K574" s="4" t="s">
        <v>893</v>
      </c>
      <c r="L574" s="4">
        <f>_xlfn.XLOOKUP(Table4[[#This Row],[Kontragentin adı]],Table2[Kontragentin adı],Table2[Müqavilə nömrəsi],"Xəta",0)</f>
        <v>0</v>
      </c>
      <c r="M574" s="4">
        <f>_xlfn.XLOOKUP(Table4[[#This Row],[Kontragentin adı]],Table2[Kontragentin adı],Table2[Müqavilə nömrəsi],"Xəta",0)</f>
        <v>0</v>
      </c>
    </row>
    <row r="575" spans="2:13" x14ac:dyDescent="0.3">
      <c r="B575" s="4">
        <f t="shared" si="8"/>
        <v>572</v>
      </c>
      <c r="C575" s="5">
        <v>46174</v>
      </c>
      <c r="D575" s="10" t="str" cm="1">
        <f t="array" ref="D575">_xlfn.XLOOKUP(Table4[[#This Row],[Malın kodu]],Table1[[#All],[Malın kodu]],Table1[[#All],[Malın adı]],"xəta",0)</f>
        <v>Dirsək / d 63 mm / polietilen / 90° / "Borfit" / Türkiyə istehsalı</v>
      </c>
      <c r="E575" s="8" t="s">
        <v>1483</v>
      </c>
      <c r="F575" s="4" t="s">
        <v>920</v>
      </c>
      <c r="G575" s="4">
        <v>1</v>
      </c>
      <c r="H575" s="4"/>
      <c r="I575" s="4">
        <f>Table4[[#This Row],[Malın miqdarı]]*Table4[[#This Row],[Vahidin qiyməti]]</f>
        <v>0</v>
      </c>
      <c r="J575" s="4" t="s">
        <v>899</v>
      </c>
      <c r="K575" s="4" t="s">
        <v>893</v>
      </c>
      <c r="L575" s="4">
        <f>_xlfn.XLOOKUP(Table4[[#This Row],[Kontragentin adı]],Table2[Kontragentin adı],Table2[Müqavilə nömrəsi],"Xəta",0)</f>
        <v>0</v>
      </c>
      <c r="M575" s="4">
        <f>_xlfn.XLOOKUP(Table4[[#This Row],[Kontragentin adı]],Table2[Kontragentin adı],Table2[Müqavilə nömrəsi],"Xəta",0)</f>
        <v>0</v>
      </c>
    </row>
    <row r="576" spans="2:13" x14ac:dyDescent="0.3">
      <c r="B576" s="4">
        <f t="shared" si="8"/>
        <v>573</v>
      </c>
      <c r="C576" s="5">
        <v>46174</v>
      </c>
      <c r="D576" s="10" t="str" cm="1">
        <f t="array" ref="D576">_xlfn.XLOOKUP(Table4[[#This Row],[Malın kodu]],Table1[[#All],[Malın kodu]],Table1[[#All],[Malın adı]],"xəta",0)</f>
        <v>Mufta / elektrofizyon / d 90 mm / polietilen / "Borfit" / Türkiyə istehsalı</v>
      </c>
      <c r="E576" s="8" t="s">
        <v>1484</v>
      </c>
      <c r="F576" s="4" t="s">
        <v>920</v>
      </c>
      <c r="G576" s="4">
        <v>1</v>
      </c>
      <c r="H576" s="4"/>
      <c r="I576" s="4">
        <f>Table4[[#This Row],[Malın miqdarı]]*Table4[[#This Row],[Vahidin qiyməti]]</f>
        <v>0</v>
      </c>
      <c r="J576" s="4" t="s">
        <v>899</v>
      </c>
      <c r="K576" s="4" t="s">
        <v>893</v>
      </c>
      <c r="L576" s="4">
        <f>_xlfn.XLOOKUP(Table4[[#This Row],[Kontragentin adı]],Table2[Kontragentin adı],Table2[Müqavilə nömrəsi],"Xəta",0)</f>
        <v>0</v>
      </c>
      <c r="M576" s="4">
        <f>_xlfn.XLOOKUP(Table4[[#This Row],[Kontragentin adı]],Table2[Kontragentin adı],Table2[Müqavilə nömrəsi],"Xəta",0)</f>
        <v>0</v>
      </c>
    </row>
    <row r="577" spans="2:13" x14ac:dyDescent="0.3">
      <c r="B577" s="4">
        <f t="shared" si="8"/>
        <v>574</v>
      </c>
      <c r="C577" s="5">
        <v>46174</v>
      </c>
      <c r="D577" s="10" t="str" cm="1">
        <f t="array" ref="D577">_xlfn.XLOOKUP(Table4[[#This Row],[Malın kodu]],Table1[[#All],[Malın kodu]],Table1[[#All],[Malın adı]],"xəta",0)</f>
        <v>Keçid / d 32 x 63 mm / polietilen / "Borfit" / Türkiyə istehsalı</v>
      </c>
      <c r="E577" s="8" t="s">
        <v>1485</v>
      </c>
      <c r="F577" s="4" t="s">
        <v>920</v>
      </c>
      <c r="G577" s="4">
        <v>1</v>
      </c>
      <c r="H577" s="4"/>
      <c r="I577" s="4">
        <f>Table4[[#This Row],[Malın miqdarı]]*Table4[[#This Row],[Vahidin qiyməti]]</f>
        <v>0</v>
      </c>
      <c r="J577" s="4" t="s">
        <v>899</v>
      </c>
      <c r="K577" s="4" t="s">
        <v>893</v>
      </c>
      <c r="L577" s="4">
        <f>_xlfn.XLOOKUP(Table4[[#This Row],[Kontragentin adı]],Table2[Kontragentin adı],Table2[Müqavilə nömrəsi],"Xəta",0)</f>
        <v>0</v>
      </c>
      <c r="M577" s="4">
        <f>_xlfn.XLOOKUP(Table4[[#This Row],[Kontragentin adı]],Table2[Kontragentin adı],Table2[Müqavilə nömrəsi],"Xəta",0)</f>
        <v>0</v>
      </c>
    </row>
    <row r="578" spans="2:13" x14ac:dyDescent="0.3">
      <c r="B578" s="4">
        <f t="shared" si="8"/>
        <v>575</v>
      </c>
      <c r="C578" s="5">
        <v>46174</v>
      </c>
      <c r="D578" s="10" t="str" cm="1">
        <f t="array" ref="D578">_xlfn.XLOOKUP(Table4[[#This Row],[Malın kodu]],Table1[[#All],[Malın kodu]],Table1[[#All],[Malın adı]],"xəta",0)</f>
        <v>Adaptor / d 90 mm / polietilen / "Borfit" / Türkiyə istehsalı</v>
      </c>
      <c r="E578" s="8" t="s">
        <v>1486</v>
      </c>
      <c r="F578" s="4" t="s">
        <v>920</v>
      </c>
      <c r="G578" s="4">
        <v>1</v>
      </c>
      <c r="H578" s="4"/>
      <c r="I578" s="4">
        <f>Table4[[#This Row],[Malın miqdarı]]*Table4[[#This Row],[Vahidin qiyməti]]</f>
        <v>0</v>
      </c>
      <c r="J578" s="4" t="s">
        <v>899</v>
      </c>
      <c r="K578" s="4" t="s">
        <v>893</v>
      </c>
      <c r="L578" s="4">
        <f>_xlfn.XLOOKUP(Table4[[#This Row],[Kontragentin adı]],Table2[Kontragentin adı],Table2[Müqavilə nömrəsi],"Xəta",0)</f>
        <v>0</v>
      </c>
      <c r="M578" s="4">
        <f>_xlfn.XLOOKUP(Table4[[#This Row],[Kontragentin adı]],Table2[Kontragentin adı],Table2[Müqavilə nömrəsi],"Xəta",0)</f>
        <v>0</v>
      </c>
    </row>
    <row r="579" spans="2:13" x14ac:dyDescent="0.3">
      <c r="B579" s="4">
        <f t="shared" si="8"/>
        <v>576</v>
      </c>
      <c r="C579" s="5">
        <v>46174</v>
      </c>
      <c r="D579" s="10" t="str" cm="1">
        <f t="array" ref="D579">_xlfn.XLOOKUP(Table4[[#This Row],[Malın kodu]],Table1[[#All],[Malın kodu]],Table1[[#All],[Malın adı]],"xəta",0)</f>
        <v>Qapaq / d 90 mm / polietilen / "NTG" / Türkiyə istehsalı</v>
      </c>
      <c r="E579" s="8" t="s">
        <v>1487</v>
      </c>
      <c r="F579" s="4" t="s">
        <v>920</v>
      </c>
      <c r="G579" s="4">
        <v>1</v>
      </c>
      <c r="H579" s="4"/>
      <c r="I579" s="4">
        <f>Table4[[#This Row],[Malın miqdarı]]*Table4[[#This Row],[Vahidin qiyməti]]</f>
        <v>0</v>
      </c>
      <c r="J579" s="4" t="s">
        <v>899</v>
      </c>
      <c r="K579" s="4" t="s">
        <v>893</v>
      </c>
      <c r="L579" s="4">
        <f>_xlfn.XLOOKUP(Table4[[#This Row],[Kontragentin adı]],Table2[Kontragentin adı],Table2[Müqavilə nömrəsi],"Xəta",0)</f>
        <v>0</v>
      </c>
      <c r="M579" s="4">
        <f>_xlfn.XLOOKUP(Table4[[#This Row],[Kontragentin adı]],Table2[Kontragentin adı],Table2[Müqavilə nömrəsi],"Xəta",0)</f>
        <v>0</v>
      </c>
    </row>
    <row r="580" spans="2:13" x14ac:dyDescent="0.3">
      <c r="B580" s="4">
        <f t="shared" ref="B580:B643" si="9">ROW()-3</f>
        <v>577</v>
      </c>
      <c r="C580" s="5">
        <v>46174</v>
      </c>
      <c r="D580" s="10" t="str" cm="1">
        <f t="array" ref="D580">_xlfn.XLOOKUP(Table4[[#This Row],[Malın kodu]],Table1[[#All],[Malın kodu]],Table1[[#All],[Malın adı]],"xəta",0)</f>
        <v>Dirsək / d 50 mm / polietilen / 90°</v>
      </c>
      <c r="E580" s="8" t="s">
        <v>1488</v>
      </c>
      <c r="F580" s="4" t="s">
        <v>920</v>
      </c>
      <c r="G580" s="4">
        <v>1</v>
      </c>
      <c r="H580" s="4"/>
      <c r="I580" s="4">
        <f>Table4[[#This Row],[Malın miqdarı]]*Table4[[#This Row],[Vahidin qiyməti]]</f>
        <v>0</v>
      </c>
      <c r="J580" s="4" t="s">
        <v>899</v>
      </c>
      <c r="K580" s="4" t="s">
        <v>893</v>
      </c>
      <c r="L580" s="4">
        <f>_xlfn.XLOOKUP(Table4[[#This Row],[Kontragentin adı]],Table2[Kontragentin adı],Table2[Müqavilə nömrəsi],"Xəta",0)</f>
        <v>0</v>
      </c>
      <c r="M580" s="4">
        <f>_xlfn.XLOOKUP(Table4[[#This Row],[Kontragentin adı]],Table2[Kontragentin adı],Table2[Müqavilə nömrəsi],"Xəta",0)</f>
        <v>0</v>
      </c>
    </row>
    <row r="581" spans="2:13" x14ac:dyDescent="0.3">
      <c r="B581" s="4">
        <f t="shared" si="9"/>
        <v>578</v>
      </c>
      <c r="C581" s="5">
        <v>46174</v>
      </c>
      <c r="D581" s="10" t="str" cm="1">
        <f t="array" ref="D581">_xlfn.XLOOKUP(Table4[[#This Row],[Malın kodu]],Table1[[#All],[Malın kodu]],Table1[[#All],[Malın adı]],"xəta",0)</f>
        <v>Dirsək / d 25 mm / polietilen / 90° / "Borfit" / Türkiyə istehsalı</v>
      </c>
      <c r="E581" s="8" t="s">
        <v>1489</v>
      </c>
      <c r="F581" s="4" t="s">
        <v>920</v>
      </c>
      <c r="G581" s="4">
        <v>4</v>
      </c>
      <c r="H581" s="4"/>
      <c r="I581" s="4">
        <f>Table4[[#This Row],[Malın miqdarı]]*Table4[[#This Row],[Vahidin qiyməti]]</f>
        <v>0</v>
      </c>
      <c r="J581" s="4" t="s">
        <v>899</v>
      </c>
      <c r="K581" s="4" t="s">
        <v>893</v>
      </c>
      <c r="L581" s="4">
        <f>_xlfn.XLOOKUP(Table4[[#This Row],[Kontragentin adı]],Table2[Kontragentin adı],Table2[Müqavilə nömrəsi],"Xəta",0)</f>
        <v>0</v>
      </c>
      <c r="M581" s="4">
        <f>_xlfn.XLOOKUP(Table4[[#This Row],[Kontragentin adı]],Table2[Kontragentin adı],Table2[Müqavilə nömrəsi],"Xəta",0)</f>
        <v>0</v>
      </c>
    </row>
    <row r="582" spans="2:13" x14ac:dyDescent="0.3">
      <c r="B582" s="4">
        <f t="shared" si="9"/>
        <v>579</v>
      </c>
      <c r="C582" s="5">
        <v>46174</v>
      </c>
      <c r="D582" s="10" t="str" cm="1">
        <f t="array" ref="D582">_xlfn.XLOOKUP(Table4[[#This Row],[Malın kodu]],Table1[[#All],[Malın kodu]],Table1[[#All],[Malın adı]],"xəta",0)</f>
        <v>Dirsək / d 25 mm / polietilen / 45° / "TEGA" / Türkiyə istehsalı</v>
      </c>
      <c r="E582" s="8" t="s">
        <v>1490</v>
      </c>
      <c r="F582" s="4" t="s">
        <v>920</v>
      </c>
      <c r="G582" s="4">
        <v>1</v>
      </c>
      <c r="H582" s="4"/>
      <c r="I582" s="4">
        <f>Table4[[#This Row],[Malın miqdarı]]*Table4[[#This Row],[Vahidin qiyməti]]</f>
        <v>0</v>
      </c>
      <c r="J582" s="4" t="s">
        <v>899</v>
      </c>
      <c r="K582" s="4" t="s">
        <v>893</v>
      </c>
      <c r="L582" s="4">
        <f>_xlfn.XLOOKUP(Table4[[#This Row],[Kontragentin adı]],Table2[Kontragentin adı],Table2[Müqavilə nömrəsi],"Xəta",0)</f>
        <v>0</v>
      </c>
      <c r="M582" s="4">
        <f>_xlfn.XLOOKUP(Table4[[#This Row],[Kontragentin adı]],Table2[Kontragentin adı],Table2[Müqavilə nömrəsi],"Xəta",0)</f>
        <v>0</v>
      </c>
    </row>
    <row r="583" spans="2:13" x14ac:dyDescent="0.3">
      <c r="B583" s="4">
        <f t="shared" si="9"/>
        <v>580</v>
      </c>
      <c r="C583" s="5">
        <v>46174</v>
      </c>
      <c r="D583" s="10" t="str" cm="1">
        <f t="array" ref="D583">_xlfn.XLOOKUP(Table4[[#This Row],[Malın kodu]],Table1[[#All],[Malın kodu]],Table1[[#All],[Malın adı]],"xəta",0)</f>
        <v>Üçlük / d 25 mm / polietilen / "Borfit" / Türkiyə istehsalı</v>
      </c>
      <c r="E583" s="8" t="s">
        <v>1491</v>
      </c>
      <c r="F583" s="4" t="s">
        <v>920</v>
      </c>
      <c r="G583" s="4">
        <v>2</v>
      </c>
      <c r="H583" s="4"/>
      <c r="I583" s="4">
        <f>Table4[[#This Row],[Malın miqdarı]]*Table4[[#This Row],[Vahidin qiyməti]]</f>
        <v>0</v>
      </c>
      <c r="J583" s="4" t="s">
        <v>899</v>
      </c>
      <c r="K583" s="4" t="s">
        <v>893</v>
      </c>
      <c r="L583" s="4">
        <f>_xlfn.XLOOKUP(Table4[[#This Row],[Kontragentin adı]],Table2[Kontragentin adı],Table2[Müqavilə nömrəsi],"Xəta",0)</f>
        <v>0</v>
      </c>
      <c r="M583" s="4">
        <f>_xlfn.XLOOKUP(Table4[[#This Row],[Kontragentin adı]],Table2[Kontragentin adı],Table2[Müqavilə nömrəsi],"Xəta",0)</f>
        <v>0</v>
      </c>
    </row>
    <row r="584" spans="2:13" x14ac:dyDescent="0.3">
      <c r="B584" s="4">
        <f t="shared" si="9"/>
        <v>581</v>
      </c>
      <c r="C584" s="5">
        <v>46174</v>
      </c>
      <c r="D584" s="10" t="str" cm="1">
        <f t="array" ref="D584">_xlfn.XLOOKUP(Table4[[#This Row],[Malın kodu]],Table1[[#All],[Malın kodu]],Table1[[#All],[Malın adı]],"xəta",0)</f>
        <v>Adaptor / d 110 mm / polipropilen</v>
      </c>
      <c r="E584" s="8" t="s">
        <v>1492</v>
      </c>
      <c r="F584" s="4" t="s">
        <v>920</v>
      </c>
      <c r="G584" s="4">
        <v>2</v>
      </c>
      <c r="H584" s="4"/>
      <c r="I584" s="4">
        <f>Table4[[#This Row],[Malın miqdarı]]*Table4[[#This Row],[Vahidin qiyməti]]</f>
        <v>0</v>
      </c>
      <c r="J584" s="4" t="s">
        <v>899</v>
      </c>
      <c r="K584" s="4" t="s">
        <v>893</v>
      </c>
      <c r="L584" s="4">
        <f>_xlfn.XLOOKUP(Table4[[#This Row],[Kontragentin adı]],Table2[Kontragentin adı],Table2[Müqavilə nömrəsi],"Xəta",0)</f>
        <v>0</v>
      </c>
      <c r="M584" s="4">
        <f>_xlfn.XLOOKUP(Table4[[#This Row],[Kontragentin adı]],Table2[Kontragentin adı],Table2[Müqavilə nömrəsi],"Xəta",0)</f>
        <v>0</v>
      </c>
    </row>
    <row r="585" spans="2:13" x14ac:dyDescent="0.3">
      <c r="B585" s="4">
        <f t="shared" si="9"/>
        <v>582</v>
      </c>
      <c r="C585" s="5">
        <v>46174</v>
      </c>
      <c r="D585" s="10" t="str" cm="1">
        <f t="array" ref="D585">_xlfn.XLOOKUP(Table4[[#This Row],[Malın kodu]],Table1[[#All],[Malın kodu]],Table1[[#All],[Malın adı]],"xəta",0)</f>
        <v>Üçlük / d 50x63 mm / polipropilen</v>
      </c>
      <c r="E585" s="8" t="s">
        <v>1493</v>
      </c>
      <c r="F585" s="4" t="s">
        <v>920</v>
      </c>
      <c r="G585" s="4">
        <v>1</v>
      </c>
      <c r="H585" s="4"/>
      <c r="I585" s="4">
        <f>Table4[[#This Row],[Malın miqdarı]]*Table4[[#This Row],[Vahidin qiyməti]]</f>
        <v>0</v>
      </c>
      <c r="J585" s="4" t="s">
        <v>899</v>
      </c>
      <c r="K585" s="4" t="s">
        <v>893</v>
      </c>
      <c r="L585" s="4">
        <f>_xlfn.XLOOKUP(Table4[[#This Row],[Kontragentin adı]],Table2[Kontragentin adı],Table2[Müqavilə nömrəsi],"Xəta",0)</f>
        <v>0</v>
      </c>
      <c r="M585" s="4">
        <f>_xlfn.XLOOKUP(Table4[[#This Row],[Kontragentin adı]],Table2[Kontragentin adı],Table2[Müqavilə nömrəsi],"Xəta",0)</f>
        <v>0</v>
      </c>
    </row>
    <row r="586" spans="2:13" x14ac:dyDescent="0.3">
      <c r="B586" s="4">
        <f t="shared" si="9"/>
        <v>583</v>
      </c>
      <c r="C586" s="5">
        <v>46174</v>
      </c>
      <c r="D586" s="10" t="str" cm="1">
        <f t="array" ref="D586">_xlfn.XLOOKUP(Table4[[#This Row],[Malın kodu]],Table1[[#All],[Malın kodu]],Table1[[#All],[Malın adı]],"xəta",0)</f>
        <v>Üçlük / d 90 mm / polipropilen</v>
      </c>
      <c r="E586" s="8" t="s">
        <v>1494</v>
      </c>
      <c r="F586" s="4" t="s">
        <v>920</v>
      </c>
      <c r="G586" s="4">
        <v>1</v>
      </c>
      <c r="H586" s="4"/>
      <c r="I586" s="4">
        <f>Table4[[#This Row],[Malın miqdarı]]*Table4[[#This Row],[Vahidin qiyməti]]</f>
        <v>0</v>
      </c>
      <c r="J586" s="4" t="s">
        <v>899</v>
      </c>
      <c r="K586" s="4" t="s">
        <v>893</v>
      </c>
      <c r="L586" s="4">
        <f>_xlfn.XLOOKUP(Table4[[#This Row],[Kontragentin adı]],Table2[Kontragentin adı],Table2[Müqavilə nömrəsi],"Xəta",0)</f>
        <v>0</v>
      </c>
      <c r="M586" s="4">
        <f>_xlfn.XLOOKUP(Table4[[#This Row],[Kontragentin adı]],Table2[Kontragentin adı],Table2[Müqavilə nömrəsi],"Xəta",0)</f>
        <v>0</v>
      </c>
    </row>
    <row r="587" spans="2:13" x14ac:dyDescent="0.3">
      <c r="B587" s="4">
        <f t="shared" si="9"/>
        <v>584</v>
      </c>
      <c r="C587" s="5">
        <v>46174</v>
      </c>
      <c r="D587" s="10" t="str" cm="1">
        <f t="array" ref="D587">_xlfn.XLOOKUP(Table4[[#This Row],[Malın kodu]],Table1[[#All],[Malın kodu]],Table1[[#All],[Malın adı]],"xəta",0)</f>
        <v>Dirsək / d 110 mm / 90° / polipropilen</v>
      </c>
      <c r="E587" s="8" t="s">
        <v>1495</v>
      </c>
      <c r="F587" s="4" t="s">
        <v>920</v>
      </c>
      <c r="G587" s="4">
        <v>1</v>
      </c>
      <c r="H587" s="4"/>
      <c r="I587" s="4">
        <f>Table4[[#This Row],[Malın miqdarı]]*Table4[[#This Row],[Vahidin qiyməti]]</f>
        <v>0</v>
      </c>
      <c r="J587" s="4" t="s">
        <v>899</v>
      </c>
      <c r="K587" s="4" t="s">
        <v>893</v>
      </c>
      <c r="L587" s="4">
        <f>_xlfn.XLOOKUP(Table4[[#This Row],[Kontragentin adı]],Table2[Kontragentin adı],Table2[Müqavilə nömrəsi],"Xəta",0)</f>
        <v>0</v>
      </c>
      <c r="M587" s="4">
        <f>_xlfn.XLOOKUP(Table4[[#This Row],[Kontragentin adı]],Table2[Kontragentin adı],Table2[Müqavilə nömrəsi],"Xəta",0)</f>
        <v>0</v>
      </c>
    </row>
    <row r="588" spans="2:13" x14ac:dyDescent="0.3">
      <c r="B588" s="4">
        <f t="shared" si="9"/>
        <v>585</v>
      </c>
      <c r="C588" s="5">
        <v>46174</v>
      </c>
      <c r="D588" s="10" t="str" cm="1">
        <f t="array" ref="D588">_xlfn.XLOOKUP(Table4[[#This Row],[Malın kodu]],Table1[[#All],[Malın kodu]],Table1[[#All],[Malın adı]],"xəta",0)</f>
        <v>Konteyner / 6 metr</v>
      </c>
      <c r="E588" s="8" t="s">
        <v>1496</v>
      </c>
      <c r="F588" s="4" t="s">
        <v>920</v>
      </c>
      <c r="G588" s="4">
        <v>8</v>
      </c>
      <c r="H588" s="4"/>
      <c r="I588" s="4">
        <f>Table4[[#This Row],[Malın miqdarı]]*Table4[[#This Row],[Vahidin qiyməti]]</f>
        <v>0</v>
      </c>
      <c r="J588" s="4" t="s">
        <v>899</v>
      </c>
      <c r="K588" s="4" t="s">
        <v>893</v>
      </c>
      <c r="L588" s="4">
        <f>_xlfn.XLOOKUP(Table4[[#This Row],[Kontragentin adı]],Table2[Kontragentin adı],Table2[Müqavilə nömrəsi],"Xəta",0)</f>
        <v>0</v>
      </c>
      <c r="M588" s="4">
        <f>_xlfn.XLOOKUP(Table4[[#This Row],[Kontragentin adı]],Table2[Kontragentin adı],Table2[Müqavilə nömrəsi],"Xəta",0)</f>
        <v>0</v>
      </c>
    </row>
    <row r="589" spans="2:13" x14ac:dyDescent="0.3">
      <c r="B589" s="4">
        <f t="shared" si="9"/>
        <v>586</v>
      </c>
      <c r="C589" s="5">
        <v>46174</v>
      </c>
      <c r="D589" s="10" t="str" cm="1">
        <f t="array" ref="D589">_xlfn.XLOOKUP(Table4[[#This Row],[Malın kodu]],Table1[[#All],[Malın kodu]],Table1[[#All],[Malın adı]],"xəta",0)</f>
        <v>Konteyner / 12 metr</v>
      </c>
      <c r="E589" s="8" t="s">
        <v>1497</v>
      </c>
      <c r="F589" s="4" t="s">
        <v>920</v>
      </c>
      <c r="G589" s="4">
        <v>3</v>
      </c>
      <c r="H589" s="4"/>
      <c r="I589" s="4">
        <f>Table4[[#This Row],[Malın miqdarı]]*Table4[[#This Row],[Vahidin qiyməti]]</f>
        <v>0</v>
      </c>
      <c r="J589" s="4" t="s">
        <v>899</v>
      </c>
      <c r="K589" s="4" t="s">
        <v>893</v>
      </c>
      <c r="L589" s="4">
        <f>_xlfn.XLOOKUP(Table4[[#This Row],[Kontragentin adı]],Table2[Kontragentin adı],Table2[Müqavilə nömrəsi],"Xəta",0)</f>
        <v>0</v>
      </c>
      <c r="M589" s="4">
        <f>_xlfn.XLOOKUP(Table4[[#This Row],[Kontragentin adı]],Table2[Kontragentin adı],Table2[Müqavilə nömrəsi],"Xəta",0)</f>
        <v>0</v>
      </c>
    </row>
    <row r="590" spans="2:13" x14ac:dyDescent="0.3">
      <c r="B590" s="4">
        <f t="shared" si="9"/>
        <v>587</v>
      </c>
      <c r="C590" s="5">
        <v>46174</v>
      </c>
      <c r="D590" s="10" t="str" cm="1">
        <f t="array" ref="D590">_xlfn.XLOOKUP(Table4[[#This Row],[Malın kodu]],Table1[[#All],[Malın kodu]],Table1[[#All],[Malın adı]],"xəta",0)</f>
        <v>Elevator korpusu / mühərrikli</v>
      </c>
      <c r="E590" s="8" t="s">
        <v>1498</v>
      </c>
      <c r="F590" s="4" t="s">
        <v>920</v>
      </c>
      <c r="G590" s="4">
        <v>1</v>
      </c>
      <c r="H590" s="4"/>
      <c r="I590" s="4">
        <f>Table4[[#This Row],[Malın miqdarı]]*Table4[[#This Row],[Vahidin qiyməti]]</f>
        <v>0</v>
      </c>
      <c r="J590" s="4" t="s">
        <v>899</v>
      </c>
      <c r="K590" s="4" t="s">
        <v>893</v>
      </c>
      <c r="L590" s="4">
        <f>_xlfn.XLOOKUP(Table4[[#This Row],[Kontragentin adı]],Table2[Kontragentin adı],Table2[Müqavilə nömrəsi],"Xəta",0)</f>
        <v>0</v>
      </c>
      <c r="M590" s="4">
        <f>_xlfn.XLOOKUP(Table4[[#This Row],[Kontragentin adı]],Table2[Kontragentin adı],Table2[Müqavilə nömrəsi],"Xəta",0)</f>
        <v>0</v>
      </c>
    </row>
    <row r="591" spans="2:13" x14ac:dyDescent="0.3">
      <c r="B591" s="4">
        <f t="shared" si="9"/>
        <v>588</v>
      </c>
      <c r="C591" s="5">
        <v>46174</v>
      </c>
      <c r="D591" s="10" t="str" cm="1">
        <f t="array" ref="D591">_xlfn.XLOOKUP(Table4[[#This Row],[Malın kodu]],Table1[[#All],[Malın kodu]],Table1[[#All],[Malın adı]],"xəta",0)</f>
        <v>Ana piston dəsti / press / d1000 mm</v>
      </c>
      <c r="E591" s="8" t="s">
        <v>1499</v>
      </c>
      <c r="F591" s="4" t="s">
        <v>920</v>
      </c>
      <c r="G591" s="4">
        <v>1</v>
      </c>
      <c r="H591" s="4"/>
      <c r="I591" s="4">
        <f>Table4[[#This Row],[Malın miqdarı]]*Table4[[#This Row],[Vahidin qiyməti]]</f>
        <v>0</v>
      </c>
      <c r="J591" s="4" t="s">
        <v>899</v>
      </c>
      <c r="K591" s="4" t="s">
        <v>893</v>
      </c>
      <c r="L591" s="4">
        <f>_xlfn.XLOOKUP(Table4[[#This Row],[Kontragentin adı]],Table2[Kontragentin adı],Table2[Müqavilə nömrəsi],"Xəta",0)</f>
        <v>0</v>
      </c>
      <c r="M591" s="4">
        <f>_xlfn.XLOOKUP(Table4[[#This Row],[Kontragentin adı]],Table2[Kontragentin adı],Table2[Müqavilə nömrəsi],"Xəta",0)</f>
        <v>0</v>
      </c>
    </row>
    <row r="592" spans="2:13" x14ac:dyDescent="0.3">
      <c r="B592" s="4">
        <f t="shared" si="9"/>
        <v>589</v>
      </c>
      <c r="C592" s="5">
        <v>46174</v>
      </c>
      <c r="D592" s="10" t="str" cm="1">
        <f t="array" ref="D592">_xlfn.XLOOKUP(Table4[[#This Row],[Malın kodu]],Table1[[#All],[Malın kodu]],Table1[[#All],[Malın adı]],"xəta",0)</f>
        <v>Rels / ana piston üçün / d1000 mm</v>
      </c>
      <c r="E592" s="8" t="s">
        <v>1500</v>
      </c>
      <c r="F592" s="4" t="s">
        <v>920</v>
      </c>
      <c r="G592" s="4">
        <v>1</v>
      </c>
      <c r="H592" s="4"/>
      <c r="I592" s="4">
        <f>Table4[[#This Row],[Malın miqdarı]]*Table4[[#This Row],[Vahidin qiyməti]]</f>
        <v>0</v>
      </c>
      <c r="J592" s="4" t="s">
        <v>899</v>
      </c>
      <c r="K592" s="4" t="s">
        <v>893</v>
      </c>
      <c r="L592" s="4">
        <f>_xlfn.XLOOKUP(Table4[[#This Row],[Kontragentin adı]],Table2[Kontragentin adı],Table2[Müqavilə nömrəsi],"Xəta",0)</f>
        <v>0</v>
      </c>
      <c r="M592" s="4">
        <f>_xlfn.XLOOKUP(Table4[[#This Row],[Kontragentin adı]],Table2[Kontragentin adı],Table2[Müqavilə nömrəsi],"Xəta",0)</f>
        <v>0</v>
      </c>
    </row>
    <row r="593" spans="2:13" x14ac:dyDescent="0.3">
      <c r="B593" s="4">
        <f t="shared" si="9"/>
        <v>590</v>
      </c>
      <c r="C593" s="5">
        <v>46174</v>
      </c>
      <c r="D593" s="10" t="str" cm="1">
        <f t="array" ref="D593">_xlfn.XLOOKUP(Table4[[#This Row],[Malın kodu]],Table1[[#All],[Malın kodu]],Table1[[#All],[Malın adı]],"xəta",0)</f>
        <v>Ana piston dəsti / press / d2000 mm</v>
      </c>
      <c r="E593" s="8" t="s">
        <v>1501</v>
      </c>
      <c r="F593" s="4" t="s">
        <v>920</v>
      </c>
      <c r="G593" s="4">
        <v>1</v>
      </c>
      <c r="H593" s="4"/>
      <c r="I593" s="4">
        <f>Table4[[#This Row],[Malın miqdarı]]*Table4[[#This Row],[Vahidin qiyməti]]</f>
        <v>0</v>
      </c>
      <c r="J593" s="4" t="s">
        <v>899</v>
      </c>
      <c r="K593" s="4" t="s">
        <v>893</v>
      </c>
      <c r="L593" s="4">
        <f>_xlfn.XLOOKUP(Table4[[#This Row],[Kontragentin adı]],Table2[Kontragentin adı],Table2[Müqavilə nömrəsi],"Xəta",0)</f>
        <v>0</v>
      </c>
      <c r="M593" s="4">
        <f>_xlfn.XLOOKUP(Table4[[#This Row],[Kontragentin adı]],Table2[Kontragentin adı],Table2[Müqavilə nömrəsi],"Xəta",0)</f>
        <v>0</v>
      </c>
    </row>
    <row r="594" spans="2:13" x14ac:dyDescent="0.3">
      <c r="B594" s="4">
        <f t="shared" si="9"/>
        <v>591</v>
      </c>
      <c r="C594" s="5">
        <v>46174</v>
      </c>
      <c r="D594" s="10" t="str" cm="1">
        <f t="array" ref="D594">_xlfn.XLOOKUP(Table4[[#This Row],[Malın kodu]],Table1[[#All],[Malın kodu]],Table1[[#All],[Malın adı]],"xəta",0)</f>
        <v>Ana piston dəsti / press / d1400 mm</v>
      </c>
      <c r="E594" s="8" t="s">
        <v>1502</v>
      </c>
      <c r="F594" s="4" t="s">
        <v>920</v>
      </c>
      <c r="G594" s="4">
        <v>1</v>
      </c>
      <c r="H594" s="4"/>
      <c r="I594" s="4">
        <f>Table4[[#This Row],[Malın miqdarı]]*Table4[[#This Row],[Vahidin qiyməti]]</f>
        <v>0</v>
      </c>
      <c r="J594" s="4" t="s">
        <v>899</v>
      </c>
      <c r="K594" s="4" t="s">
        <v>893</v>
      </c>
      <c r="L594" s="4">
        <f>_xlfn.XLOOKUP(Table4[[#This Row],[Kontragentin adı]],Table2[Kontragentin adı],Table2[Müqavilə nömrəsi],"Xəta",0)</f>
        <v>0</v>
      </c>
      <c r="M594" s="4">
        <f>_xlfn.XLOOKUP(Table4[[#This Row],[Kontragentin adı]],Table2[Kontragentin adı],Table2[Müqavilə nömrəsi],"Xəta",0)</f>
        <v>0</v>
      </c>
    </row>
    <row r="595" spans="2:13" x14ac:dyDescent="0.3">
      <c r="B595" s="4">
        <f t="shared" si="9"/>
        <v>592</v>
      </c>
      <c r="C595" s="5">
        <v>46174</v>
      </c>
      <c r="D595" s="10" t="str" cm="1">
        <f t="array" ref="D595">_xlfn.XLOOKUP(Table4[[#This Row],[Malın kodu]],Table1[[#All],[Malın kodu]],Table1[[#All],[Malın adı]],"xəta",0)</f>
        <v>Başlıq / uran / d2500 mm</v>
      </c>
      <c r="E595" s="8" t="s">
        <v>1503</v>
      </c>
      <c r="F595" s="4" t="s">
        <v>920</v>
      </c>
      <c r="G595" s="4">
        <v>1</v>
      </c>
      <c r="H595" s="4"/>
      <c r="I595" s="4">
        <f>Table4[[#This Row],[Malın miqdarı]]*Table4[[#This Row],[Vahidin qiyməti]]</f>
        <v>0</v>
      </c>
      <c r="J595" s="4" t="s">
        <v>899</v>
      </c>
      <c r="K595" s="4" t="s">
        <v>893</v>
      </c>
      <c r="L595" s="4">
        <f>_xlfn.XLOOKUP(Table4[[#This Row],[Kontragentin adı]],Table2[Kontragentin adı],Table2[Müqavilə nömrəsi],"Xəta",0)</f>
        <v>0</v>
      </c>
      <c r="M595" s="4">
        <f>_xlfn.XLOOKUP(Table4[[#This Row],[Kontragentin adı]],Table2[Kontragentin adı],Table2[Müqavilə nömrəsi],"Xəta",0)</f>
        <v>0</v>
      </c>
    </row>
    <row r="596" spans="2:13" x14ac:dyDescent="0.3">
      <c r="B596" s="4">
        <f t="shared" si="9"/>
        <v>593</v>
      </c>
      <c r="C596" s="5">
        <v>46174</v>
      </c>
      <c r="D596" s="10" t="str" cm="1">
        <f t="array" ref="D596">_xlfn.XLOOKUP(Table4[[#This Row],[Malın kodu]],Table1[[#All],[Malın kodu]],Table1[[#All],[Malın adı]],"xəta",0)</f>
        <v>Başlıq / uran / d2200 mm</v>
      </c>
      <c r="E596" s="8" t="s">
        <v>1504</v>
      </c>
      <c r="F596" s="4" t="s">
        <v>920</v>
      </c>
      <c r="G596" s="4">
        <v>1</v>
      </c>
      <c r="H596" s="4"/>
      <c r="I596" s="4">
        <f>Table4[[#This Row],[Malın miqdarı]]*Table4[[#This Row],[Vahidin qiyməti]]</f>
        <v>0</v>
      </c>
      <c r="J596" s="4" t="s">
        <v>899</v>
      </c>
      <c r="K596" s="4" t="s">
        <v>893</v>
      </c>
      <c r="L596" s="4">
        <f>_xlfn.XLOOKUP(Table4[[#This Row],[Kontragentin adı]],Table2[Kontragentin adı],Table2[Müqavilə nömrəsi],"Xəta",0)</f>
        <v>0</v>
      </c>
      <c r="M596" s="4">
        <f>_xlfn.XLOOKUP(Table4[[#This Row],[Kontragentin adı]],Table2[Kontragentin adı],Table2[Müqavilə nömrəsi],"Xəta",0)</f>
        <v>0</v>
      </c>
    </row>
    <row r="597" spans="2:13" x14ac:dyDescent="0.3">
      <c r="B597" s="4">
        <f t="shared" si="9"/>
        <v>594</v>
      </c>
      <c r="C597" s="5">
        <v>46174</v>
      </c>
      <c r="D597" s="10" t="str" cm="1">
        <f t="array" ref="D597">_xlfn.XLOOKUP(Table4[[#This Row],[Malın kodu]],Table1[[#All],[Malın kodu]],Table1[[#All],[Malın adı]],"xəta",0)</f>
        <v>Başlıq / uran / d1000 mm</v>
      </c>
      <c r="E597" s="8" t="s">
        <v>1505</v>
      </c>
      <c r="F597" s="4" t="s">
        <v>920</v>
      </c>
      <c r="G597" s="4">
        <v>2</v>
      </c>
      <c r="H597" s="4"/>
      <c r="I597" s="4">
        <f>Table4[[#This Row],[Malın miqdarı]]*Table4[[#This Row],[Vahidin qiyməti]]</f>
        <v>0</v>
      </c>
      <c r="J597" s="4" t="s">
        <v>899</v>
      </c>
      <c r="K597" s="4" t="s">
        <v>893</v>
      </c>
      <c r="L597" s="4">
        <f>_xlfn.XLOOKUP(Table4[[#This Row],[Kontragentin adı]],Table2[Kontragentin adı],Table2[Müqavilə nömrəsi],"Xəta",0)</f>
        <v>0</v>
      </c>
      <c r="M597" s="4">
        <f>_xlfn.XLOOKUP(Table4[[#This Row],[Kontragentin adı]],Table2[Kontragentin adı],Table2[Müqavilə nömrəsi],"Xəta",0)</f>
        <v>0</v>
      </c>
    </row>
    <row r="598" spans="2:13" x14ac:dyDescent="0.3">
      <c r="B598" s="4">
        <f t="shared" si="9"/>
        <v>595</v>
      </c>
      <c r="C598" s="5">
        <v>46174</v>
      </c>
      <c r="D598" s="10" t="str" cm="1">
        <f t="array" ref="D598">_xlfn.XLOOKUP(Table4[[#This Row],[Malın kodu]],Table1[[#All],[Malın kodu]],Table1[[#All],[Malın adı]],"xəta",0)</f>
        <v>Başlıq / uran / d1000 mm / ön parçası</v>
      </c>
      <c r="E598" s="8" t="s">
        <v>1506</v>
      </c>
      <c r="F598" s="4" t="s">
        <v>920</v>
      </c>
      <c r="G598" s="4">
        <v>1</v>
      </c>
      <c r="H598" s="4"/>
      <c r="I598" s="4">
        <f>Table4[[#This Row],[Malın miqdarı]]*Table4[[#This Row],[Vahidin qiyməti]]</f>
        <v>0</v>
      </c>
      <c r="J598" s="4" t="s">
        <v>899</v>
      </c>
      <c r="K598" s="4" t="s">
        <v>893</v>
      </c>
      <c r="L598" s="4">
        <f>_xlfn.XLOOKUP(Table4[[#This Row],[Kontragentin adı]],Table2[Kontragentin adı],Table2[Müqavilə nömrəsi],"Xəta",0)</f>
        <v>0</v>
      </c>
      <c r="M598" s="4">
        <f>_xlfn.XLOOKUP(Table4[[#This Row],[Kontragentin adı]],Table2[Kontragentin adı],Table2[Müqavilə nömrəsi],"Xəta",0)</f>
        <v>0</v>
      </c>
    </row>
    <row r="599" spans="2:13" x14ac:dyDescent="0.3">
      <c r="B599" s="4">
        <f t="shared" si="9"/>
        <v>596</v>
      </c>
      <c r="C599" s="5">
        <v>46174</v>
      </c>
      <c r="D599" s="10" t="str" cm="1">
        <f t="array" ref="D599">_xlfn.XLOOKUP(Table4[[#This Row],[Malın kodu]],Table1[[#All],[Malın kodu]],Table1[[#All],[Malın adı]],"xəta",0)</f>
        <v>Ara tampon / d1000 mm / eni 600 mm</v>
      </c>
      <c r="E599" s="8" t="s">
        <v>1507</v>
      </c>
      <c r="F599" s="4" t="s">
        <v>920</v>
      </c>
      <c r="G599" s="4">
        <v>1</v>
      </c>
      <c r="H599" s="4"/>
      <c r="I599" s="4">
        <f>Table4[[#This Row],[Malın miqdarı]]*Table4[[#This Row],[Vahidin qiyməti]]</f>
        <v>0</v>
      </c>
      <c r="J599" s="4" t="s">
        <v>899</v>
      </c>
      <c r="K599" s="4" t="s">
        <v>893</v>
      </c>
      <c r="L599" s="4">
        <f>_xlfn.XLOOKUP(Table4[[#This Row],[Kontragentin adı]],Table2[Kontragentin adı],Table2[Müqavilə nömrəsi],"Xəta",0)</f>
        <v>0</v>
      </c>
      <c r="M599" s="4">
        <f>_xlfn.XLOOKUP(Table4[[#This Row],[Kontragentin adı]],Table2[Kontragentin adı],Table2[Müqavilə nömrəsi],"Xəta",0)</f>
        <v>0</v>
      </c>
    </row>
    <row r="600" spans="2:13" x14ac:dyDescent="0.3">
      <c r="B600" s="4">
        <f t="shared" si="9"/>
        <v>597</v>
      </c>
      <c r="C600" s="5">
        <v>46174</v>
      </c>
      <c r="D600" s="10" t="str" cm="1">
        <f t="array" ref="D600">_xlfn.XLOOKUP(Table4[[#This Row],[Malın kodu]],Table1[[#All],[Malın kodu]],Table1[[#All],[Malın adı]],"xəta",0)</f>
        <v>Ara tampon / d1000 mm / eni 1250 mm</v>
      </c>
      <c r="E600" s="8" t="s">
        <v>1508</v>
      </c>
      <c r="F600" s="4" t="s">
        <v>920</v>
      </c>
      <c r="G600" s="4">
        <v>1</v>
      </c>
      <c r="H600" s="4"/>
      <c r="I600" s="4">
        <f>Table4[[#This Row],[Malın miqdarı]]*Table4[[#This Row],[Vahidin qiyməti]]</f>
        <v>0</v>
      </c>
      <c r="J600" s="4" t="s">
        <v>899</v>
      </c>
      <c r="K600" s="4" t="s">
        <v>893</v>
      </c>
      <c r="L600" s="4">
        <f>_xlfn.XLOOKUP(Table4[[#This Row],[Kontragentin adı]],Table2[Kontragentin adı],Table2[Müqavilə nömrəsi],"Xəta",0)</f>
        <v>0</v>
      </c>
      <c r="M600" s="4">
        <f>_xlfn.XLOOKUP(Table4[[#This Row],[Kontragentin adı]],Table2[Kontragentin adı],Table2[Müqavilə nömrəsi],"Xəta",0)</f>
        <v>0</v>
      </c>
    </row>
    <row r="601" spans="2:13" x14ac:dyDescent="0.3">
      <c r="B601" s="4">
        <f t="shared" si="9"/>
        <v>598</v>
      </c>
      <c r="C601" s="5">
        <v>46174</v>
      </c>
      <c r="D601" s="10" t="str" cm="1">
        <f t="array" ref="D601">_xlfn.XLOOKUP(Table4[[#This Row],[Malın kodu]],Table1[[#All],[Malın kodu]],Table1[[#All],[Malın adı]],"xəta",0)</f>
        <v>Ara tampon / d1000 mm / eni 1180 mm</v>
      </c>
      <c r="E601" s="8" t="s">
        <v>1509</v>
      </c>
      <c r="F601" s="4" t="s">
        <v>920</v>
      </c>
      <c r="G601" s="4">
        <v>1</v>
      </c>
      <c r="H601" s="4"/>
      <c r="I601" s="4">
        <f>Table4[[#This Row],[Malın miqdarı]]*Table4[[#This Row],[Vahidin qiyməti]]</f>
        <v>0</v>
      </c>
      <c r="J601" s="4" t="s">
        <v>899</v>
      </c>
      <c r="K601" s="4" t="s">
        <v>893</v>
      </c>
      <c r="L601" s="4">
        <f>_xlfn.XLOOKUP(Table4[[#This Row],[Kontragentin adı]],Table2[Kontragentin adı],Table2[Müqavilə nömrəsi],"Xəta",0)</f>
        <v>0</v>
      </c>
      <c r="M601" s="4">
        <f>_xlfn.XLOOKUP(Table4[[#This Row],[Kontragentin adı]],Table2[Kontragentin adı],Table2[Müqavilə nömrəsi],"Xəta",0)</f>
        <v>0</v>
      </c>
    </row>
    <row r="602" spans="2:13" x14ac:dyDescent="0.3">
      <c r="B602" s="4">
        <f t="shared" si="9"/>
        <v>599</v>
      </c>
      <c r="C602" s="5">
        <v>46174</v>
      </c>
      <c r="D602" s="10" t="str" cm="1">
        <f t="array" ref="D602">_xlfn.XLOOKUP(Table4[[#This Row],[Malın kodu]],Table1[[#All],[Malın kodu]],Table1[[#All],[Malın adı]],"xəta",0)</f>
        <v>Ara tampon / d1400 mm / eni 1900 mm</v>
      </c>
      <c r="E602" s="8" t="s">
        <v>1510</v>
      </c>
      <c r="F602" s="4" t="s">
        <v>920</v>
      </c>
      <c r="G602" s="4">
        <v>1</v>
      </c>
      <c r="H602" s="4"/>
      <c r="I602" s="4">
        <f>Table4[[#This Row],[Malın miqdarı]]*Table4[[#This Row],[Vahidin qiyməti]]</f>
        <v>0</v>
      </c>
      <c r="J602" s="4" t="s">
        <v>899</v>
      </c>
      <c r="K602" s="4" t="s">
        <v>893</v>
      </c>
      <c r="L602" s="4">
        <f>_xlfn.XLOOKUP(Table4[[#This Row],[Kontragentin adı]],Table2[Kontragentin adı],Table2[Müqavilə nömrəsi],"Xəta",0)</f>
        <v>0</v>
      </c>
      <c r="M602" s="4">
        <f>_xlfn.XLOOKUP(Table4[[#This Row],[Kontragentin adı]],Table2[Kontragentin adı],Table2[Müqavilə nömrəsi],"Xəta",0)</f>
        <v>0</v>
      </c>
    </row>
    <row r="603" spans="2:13" x14ac:dyDescent="0.3">
      <c r="B603" s="4">
        <f t="shared" si="9"/>
        <v>600</v>
      </c>
      <c r="C603" s="5">
        <v>46174</v>
      </c>
      <c r="D603" s="10" t="str" cm="1">
        <f t="array" ref="D603">_xlfn.XLOOKUP(Table4[[#This Row],[Malın kodu]],Table1[[#All],[Malın kodu]],Table1[[#All],[Malın adı]],"xəta",0)</f>
        <v>Ara tampon / d1400 mm / eni 2040 mm</v>
      </c>
      <c r="E603" s="8" t="s">
        <v>1511</v>
      </c>
      <c r="F603" s="4" t="s">
        <v>920</v>
      </c>
      <c r="G603" s="4">
        <v>1</v>
      </c>
      <c r="H603" s="4"/>
      <c r="I603" s="4">
        <f>Table4[[#This Row],[Malın miqdarı]]*Table4[[#This Row],[Vahidin qiyməti]]</f>
        <v>0</v>
      </c>
      <c r="J603" s="4" t="s">
        <v>899</v>
      </c>
      <c r="K603" s="4" t="s">
        <v>893</v>
      </c>
      <c r="L603" s="4">
        <f>_xlfn.XLOOKUP(Table4[[#This Row],[Kontragentin adı]],Table2[Kontragentin adı],Table2[Müqavilə nömrəsi],"Xəta",0)</f>
        <v>0</v>
      </c>
      <c r="M603" s="4">
        <f>_xlfn.XLOOKUP(Table4[[#This Row],[Kontragentin adı]],Table2[Kontragentin adı],Table2[Müqavilə nömrəsi],"Xəta",0)</f>
        <v>0</v>
      </c>
    </row>
    <row r="604" spans="2:13" x14ac:dyDescent="0.3">
      <c r="B604" s="4">
        <f t="shared" si="9"/>
        <v>601</v>
      </c>
      <c r="C604" s="5">
        <v>46174</v>
      </c>
      <c r="D604" s="10" t="str" cm="1">
        <f t="array" ref="D604">_xlfn.XLOOKUP(Table4[[#This Row],[Malın kodu]],Table1[[#All],[Malın kodu]],Table1[[#All],[Malın adı]],"xəta",0)</f>
        <v>Ara tampon / d1400 mm / eni 1180 mm</v>
      </c>
      <c r="E604" s="8" t="s">
        <v>1512</v>
      </c>
      <c r="F604" s="4" t="s">
        <v>920</v>
      </c>
      <c r="G604" s="4">
        <v>1</v>
      </c>
      <c r="H604" s="4"/>
      <c r="I604" s="4">
        <f>Table4[[#This Row],[Malın miqdarı]]*Table4[[#This Row],[Vahidin qiyməti]]</f>
        <v>0</v>
      </c>
      <c r="J604" s="4" t="s">
        <v>899</v>
      </c>
      <c r="K604" s="4" t="s">
        <v>893</v>
      </c>
      <c r="L604" s="4">
        <f>_xlfn.XLOOKUP(Table4[[#This Row],[Kontragentin adı]],Table2[Kontragentin adı],Table2[Müqavilə nömrəsi],"Xəta",0)</f>
        <v>0</v>
      </c>
      <c r="M604" s="4">
        <f>_xlfn.XLOOKUP(Table4[[#This Row],[Kontragentin adı]],Table2[Kontragentin adı],Table2[Müqavilə nömrəsi],"Xəta",0)</f>
        <v>0</v>
      </c>
    </row>
    <row r="605" spans="2:13" x14ac:dyDescent="0.3">
      <c r="B605" s="4">
        <f t="shared" si="9"/>
        <v>602</v>
      </c>
      <c r="C605" s="5">
        <v>46174</v>
      </c>
      <c r="D605" s="10" t="str" cm="1">
        <f t="array" ref="D605">_xlfn.XLOOKUP(Table4[[#This Row],[Malın kodu]],Table1[[#All],[Malın kodu]],Table1[[#All],[Malın adı]],"xəta",0)</f>
        <v>Ara tampon / d 2160 mm / eni 1250 mm</v>
      </c>
      <c r="E605" s="8" t="s">
        <v>1513</v>
      </c>
      <c r="F605" s="4" t="s">
        <v>920</v>
      </c>
      <c r="G605" s="4">
        <v>1</v>
      </c>
      <c r="H605" s="4"/>
      <c r="I605" s="4">
        <f>Table4[[#This Row],[Malın miqdarı]]*Table4[[#This Row],[Vahidin qiyməti]]</f>
        <v>0</v>
      </c>
      <c r="J605" s="4" t="s">
        <v>899</v>
      </c>
      <c r="K605" s="4" t="s">
        <v>893</v>
      </c>
      <c r="L605" s="4">
        <f>_xlfn.XLOOKUP(Table4[[#This Row],[Kontragentin adı]],Table2[Kontragentin adı],Table2[Müqavilə nömrəsi],"Xəta",0)</f>
        <v>0</v>
      </c>
      <c r="M605" s="4">
        <f>_xlfn.XLOOKUP(Table4[[#This Row],[Kontragentin adı]],Table2[Kontragentin adı],Table2[Müqavilə nömrəsi],"Xəta",0)</f>
        <v>0</v>
      </c>
    </row>
    <row r="606" spans="2:13" x14ac:dyDescent="0.3">
      <c r="B606" s="4">
        <f t="shared" si="9"/>
        <v>603</v>
      </c>
      <c r="C606" s="5">
        <v>46174</v>
      </c>
      <c r="D606" s="10" t="str" cm="1">
        <f t="array" ref="D606">_xlfn.XLOOKUP(Table4[[#This Row],[Malın kodu]],Table1[[#All],[Malın kodu]],Table1[[#All],[Malın adı]],"xəta",0)</f>
        <v>Ara tampon / d 2400 mm / eni 1500 mm</v>
      </c>
      <c r="E606" s="8" t="s">
        <v>1514</v>
      </c>
      <c r="F606" s="4" t="s">
        <v>920</v>
      </c>
      <c r="G606" s="4">
        <v>1</v>
      </c>
      <c r="H606" s="4"/>
      <c r="I606" s="4">
        <f>Table4[[#This Row],[Malın miqdarı]]*Table4[[#This Row],[Vahidin qiyməti]]</f>
        <v>0</v>
      </c>
      <c r="J606" s="4" t="s">
        <v>899</v>
      </c>
      <c r="K606" s="4" t="s">
        <v>893</v>
      </c>
      <c r="L606" s="4">
        <f>_xlfn.XLOOKUP(Table4[[#This Row],[Kontragentin adı]],Table2[Kontragentin adı],Table2[Müqavilə nömrəsi],"Xəta",0)</f>
        <v>0</v>
      </c>
      <c r="M606" s="4">
        <f>_xlfn.XLOOKUP(Table4[[#This Row],[Kontragentin adı]],Table2[Kontragentin adı],Table2[Müqavilə nömrəsi],"Xəta",0)</f>
        <v>0</v>
      </c>
    </row>
    <row r="607" spans="2:13" x14ac:dyDescent="0.3">
      <c r="B607" s="4">
        <f t="shared" si="9"/>
        <v>604</v>
      </c>
      <c r="C607" s="5">
        <v>46174</v>
      </c>
      <c r="D607" s="10" t="str" cm="1">
        <f t="array" ref="D607">_xlfn.XLOOKUP(Table4[[#This Row],[Malın kodu]],Table1[[#All],[Malın kodu]],Table1[[#All],[Malın adı]],"xəta",0)</f>
        <v>Diyircəkli yastıq / d 1300 mm</v>
      </c>
      <c r="E607" s="8" t="s">
        <v>1515</v>
      </c>
      <c r="F607" s="4" t="s">
        <v>920</v>
      </c>
      <c r="G607" s="4">
        <v>1</v>
      </c>
      <c r="H607" s="4"/>
      <c r="I607" s="4">
        <f>Table4[[#This Row],[Malın miqdarı]]*Table4[[#This Row],[Vahidin qiyməti]]</f>
        <v>0</v>
      </c>
      <c r="J607" s="4" t="s">
        <v>899</v>
      </c>
      <c r="K607" s="4" t="s">
        <v>893</v>
      </c>
      <c r="L607" s="4">
        <f>_xlfn.XLOOKUP(Table4[[#This Row],[Kontragentin adı]],Table2[Kontragentin adı],Table2[Müqavilə nömrəsi],"Xəta",0)</f>
        <v>0</v>
      </c>
      <c r="M607" s="4">
        <f>_xlfn.XLOOKUP(Table4[[#This Row],[Kontragentin adı]],Table2[Kontragentin adı],Table2[Müqavilə nömrəsi],"Xəta",0)</f>
        <v>0</v>
      </c>
    </row>
    <row r="608" spans="2:13" x14ac:dyDescent="0.3">
      <c r="B608" s="4">
        <f t="shared" si="9"/>
        <v>605</v>
      </c>
      <c r="C608" s="5">
        <v>46174</v>
      </c>
      <c r="D608" s="10" t="str" cm="1">
        <f t="array" ref="D608">_xlfn.XLOOKUP(Table4[[#This Row],[Malın kodu]],Table1[[#All],[Malın kodu]],Table1[[#All],[Malın adı]],"xəta",0)</f>
        <v>Başlıq / d 1000 mm / metal</v>
      </c>
      <c r="E608" s="8" t="s">
        <v>1516</v>
      </c>
      <c r="F608" s="4" t="s">
        <v>920</v>
      </c>
      <c r="G608" s="4">
        <v>1</v>
      </c>
      <c r="H608" s="4"/>
      <c r="I608" s="4">
        <f>Table4[[#This Row],[Malın miqdarı]]*Table4[[#This Row],[Vahidin qiyməti]]</f>
        <v>0</v>
      </c>
      <c r="J608" s="4" t="s">
        <v>899</v>
      </c>
      <c r="K608" s="4" t="s">
        <v>893</v>
      </c>
      <c r="L608" s="4">
        <f>_xlfn.XLOOKUP(Table4[[#This Row],[Kontragentin adı]],Table2[Kontragentin adı],Table2[Müqavilə nömrəsi],"Xəta",0)</f>
        <v>0</v>
      </c>
      <c r="M608" s="4">
        <f>_xlfn.XLOOKUP(Table4[[#This Row],[Kontragentin adı]],Table2[Kontragentin adı],Table2[Müqavilə nömrəsi],"Xəta",0)</f>
        <v>0</v>
      </c>
    </row>
    <row r="609" spans="2:13" x14ac:dyDescent="0.3">
      <c r="B609" s="4">
        <f t="shared" si="9"/>
        <v>606</v>
      </c>
      <c r="C609" s="5">
        <v>46174</v>
      </c>
      <c r="D609" s="10" t="str" cm="1">
        <f t="array" ref="D609">_xlfn.XLOOKUP(Table4[[#This Row],[Malın kodu]],Table1[[#All],[Malın kodu]],Table1[[#All],[Malın adı]],"xəta",0)</f>
        <v>Artırma qolu / 540x240mm / 2000mm ara pistonu üçün</v>
      </c>
      <c r="E609" s="8" t="s">
        <v>1517</v>
      </c>
      <c r="F609" s="4" t="s">
        <v>920</v>
      </c>
      <c r="G609" s="4">
        <v>5</v>
      </c>
      <c r="H609" s="4"/>
      <c r="I609" s="4">
        <f>Table4[[#This Row],[Malın miqdarı]]*Table4[[#This Row],[Vahidin qiyməti]]</f>
        <v>0</v>
      </c>
      <c r="J609" s="4" t="s">
        <v>899</v>
      </c>
      <c r="K609" s="4" t="s">
        <v>893</v>
      </c>
      <c r="L609" s="4">
        <f>_xlfn.XLOOKUP(Table4[[#This Row],[Kontragentin adı]],Table2[Kontragentin adı],Table2[Müqavilə nömrəsi],"Xəta",0)</f>
        <v>0</v>
      </c>
      <c r="M609" s="4">
        <f>_xlfn.XLOOKUP(Table4[[#This Row],[Kontragentin adı]],Table2[Kontragentin adı],Table2[Müqavilə nömrəsi],"Xəta",0)</f>
        <v>0</v>
      </c>
    </row>
    <row r="610" spans="2:13" x14ac:dyDescent="0.3">
      <c r="B610" s="4">
        <f t="shared" si="9"/>
        <v>607</v>
      </c>
      <c r="C610" s="5">
        <v>46174</v>
      </c>
      <c r="D610" s="10" t="str" cm="1">
        <f t="array" ref="D610">_xlfn.XLOOKUP(Table4[[#This Row],[Malın kodu]],Table1[[#All],[Malın kodu]],Table1[[#All],[Malın adı]],"xəta",0)</f>
        <v>Şlanq / hidravlik / d 25mm / L 8metr / 380 atm</v>
      </c>
      <c r="E610" s="8" t="s">
        <v>1518</v>
      </c>
      <c r="F610" s="4" t="s">
        <v>920</v>
      </c>
      <c r="G610" s="4">
        <v>14</v>
      </c>
      <c r="H610" s="4"/>
      <c r="I610" s="4">
        <f>Table4[[#This Row],[Malın miqdarı]]*Table4[[#This Row],[Vahidin qiyməti]]</f>
        <v>0</v>
      </c>
      <c r="J610" s="4" t="s">
        <v>899</v>
      </c>
      <c r="K610" s="4" t="s">
        <v>893</v>
      </c>
      <c r="L610" s="4">
        <f>_xlfn.XLOOKUP(Table4[[#This Row],[Kontragentin adı]],Table2[Kontragentin adı],Table2[Müqavilə nömrəsi],"Xəta",0)</f>
        <v>0</v>
      </c>
      <c r="M610" s="4">
        <f>_xlfn.XLOOKUP(Table4[[#This Row],[Kontragentin adı]],Table2[Kontragentin adı],Table2[Müqavilə nömrəsi],"Xəta",0)</f>
        <v>0</v>
      </c>
    </row>
    <row r="611" spans="2:13" x14ac:dyDescent="0.3">
      <c r="B611" s="4">
        <f t="shared" si="9"/>
        <v>608</v>
      </c>
      <c r="C611" s="5">
        <v>46174</v>
      </c>
      <c r="D611" s="10" t="str" cm="1">
        <f t="array" ref="D611">_xlfn.XLOOKUP(Table4[[#This Row],[Malın kodu]],Table1[[#All],[Malın kodu]],Table1[[#All],[Malın adı]],"xəta",0)</f>
        <v>Kompakter / əl katoku / dizel</v>
      </c>
      <c r="E611" s="8" t="s">
        <v>1519</v>
      </c>
      <c r="F611" s="4" t="s">
        <v>920</v>
      </c>
      <c r="G611" s="4">
        <v>5</v>
      </c>
      <c r="H611" s="4"/>
      <c r="I611" s="4">
        <f>Table4[[#This Row],[Malın miqdarı]]*Table4[[#This Row],[Vahidin qiyməti]]</f>
        <v>0</v>
      </c>
      <c r="J611" s="4" t="s">
        <v>899</v>
      </c>
      <c r="K611" s="4" t="s">
        <v>893</v>
      </c>
      <c r="L611" s="4">
        <f>_xlfn.XLOOKUP(Table4[[#This Row],[Kontragentin adı]],Table2[Kontragentin adı],Table2[Müqavilə nömrəsi],"Xəta",0)</f>
        <v>0</v>
      </c>
      <c r="M611" s="4">
        <f>_xlfn.XLOOKUP(Table4[[#This Row],[Kontragentin adı]],Table2[Kontragentin adı],Table2[Müqavilə nömrəsi],"Xəta",0)</f>
        <v>0</v>
      </c>
    </row>
    <row r="612" spans="2:13" x14ac:dyDescent="0.3">
      <c r="B612" s="4">
        <f t="shared" si="9"/>
        <v>609</v>
      </c>
      <c r="C612" s="5">
        <v>46174</v>
      </c>
      <c r="D612" s="10" t="str" cm="1">
        <f t="array" ref="D612">_xlfn.XLOOKUP(Table4[[#This Row],[Malın kodu]],Table1[[#All],[Malın kodu]],Table1[[#All],[Malın adı]],"xəta",0)</f>
        <v>Ventilyator / 2.2 kvt / 8100 m³/saat / 940 d/d / ilbiz tipli / "Vents"</v>
      </c>
      <c r="E612" s="8" t="s">
        <v>1520</v>
      </c>
      <c r="F612" s="4" t="s">
        <v>920</v>
      </c>
      <c r="G612" s="4">
        <v>2</v>
      </c>
      <c r="H612" s="4"/>
      <c r="I612" s="4">
        <f>Table4[[#This Row],[Malın miqdarı]]*Table4[[#This Row],[Vahidin qiyməti]]</f>
        <v>0</v>
      </c>
      <c r="J612" s="4" t="s">
        <v>899</v>
      </c>
      <c r="K612" s="4" t="s">
        <v>893</v>
      </c>
      <c r="L612" s="4">
        <f>_xlfn.XLOOKUP(Table4[[#This Row],[Kontragentin adı]],Table2[Kontragentin adı],Table2[Müqavilə nömrəsi],"Xəta",0)</f>
        <v>0</v>
      </c>
      <c r="M612" s="4">
        <f>_xlfn.XLOOKUP(Table4[[#This Row],[Kontragentin adı]],Table2[Kontragentin adı],Table2[Müqavilə nömrəsi],"Xəta",0)</f>
        <v>0</v>
      </c>
    </row>
    <row r="613" spans="2:13" x14ac:dyDescent="0.3">
      <c r="B613" s="4">
        <f t="shared" si="9"/>
        <v>610</v>
      </c>
      <c r="C613" s="5">
        <v>46174</v>
      </c>
      <c r="D613" s="10" t="str" cm="1">
        <f t="array" ref="D613">_xlfn.XLOOKUP(Table4[[#This Row],[Malın kodu]],Table1[[#All],[Malın kodu]],Table1[[#All],[Malın adı]],"xəta",0)</f>
        <v>Qaynaq aparatı / ütü / d 315 mm / polietilen boru üçün</v>
      </c>
      <c r="E613" s="8" t="s">
        <v>1521</v>
      </c>
      <c r="F613" s="4" t="s">
        <v>921</v>
      </c>
      <c r="G613" s="4">
        <v>1</v>
      </c>
      <c r="H613" s="4"/>
      <c r="I613" s="4">
        <f>Table4[[#This Row],[Malın miqdarı]]*Table4[[#This Row],[Vahidin qiyməti]]</f>
        <v>0</v>
      </c>
      <c r="J613" s="4" t="s">
        <v>899</v>
      </c>
      <c r="K613" s="4" t="s">
        <v>893</v>
      </c>
      <c r="L613" s="4">
        <f>_xlfn.XLOOKUP(Table4[[#This Row],[Kontragentin adı]],Table2[Kontragentin adı],Table2[Müqavilə nömrəsi],"Xəta",0)</f>
        <v>0</v>
      </c>
      <c r="M613" s="4">
        <f>_xlfn.XLOOKUP(Table4[[#This Row],[Kontragentin adı]],Table2[Kontragentin adı],Table2[Müqavilə nömrəsi],"Xəta",0)</f>
        <v>0</v>
      </c>
    </row>
    <row r="614" spans="2:13" x14ac:dyDescent="0.3">
      <c r="B614" s="4">
        <f t="shared" si="9"/>
        <v>611</v>
      </c>
      <c r="C614" s="5">
        <v>46174</v>
      </c>
      <c r="D614" s="10" t="str" cm="1">
        <f t="array" ref="D614">_xlfn.XLOOKUP(Table4[[#This Row],[Malın kodu]],Table1[[#All],[Malın kodu]],Table1[[#All],[Malın adı]],"xəta",0)</f>
        <v>Generator / "NSM" / T100 LA / İtaliya istehsalı</v>
      </c>
      <c r="E614" s="8" t="s">
        <v>1522</v>
      </c>
      <c r="F614" s="4" t="s">
        <v>920</v>
      </c>
      <c r="G614" s="4">
        <v>1</v>
      </c>
      <c r="H614" s="4"/>
      <c r="I614" s="4">
        <f>Table4[[#This Row],[Malın miqdarı]]*Table4[[#This Row],[Vahidin qiyməti]]</f>
        <v>0</v>
      </c>
      <c r="J614" s="4" t="s">
        <v>899</v>
      </c>
      <c r="K614" s="4" t="s">
        <v>893</v>
      </c>
      <c r="L614" s="4">
        <f>_xlfn.XLOOKUP(Table4[[#This Row],[Kontragentin adı]],Table2[Kontragentin adı],Table2[Müqavilə nömrəsi],"Xəta",0)</f>
        <v>0</v>
      </c>
      <c r="M614" s="4">
        <f>_xlfn.XLOOKUP(Table4[[#This Row],[Kontragentin adı]],Table2[Kontragentin adı],Table2[Müqavilə nömrəsi],"Xəta",0)</f>
        <v>0</v>
      </c>
    </row>
    <row r="615" spans="2:13" x14ac:dyDescent="0.3">
      <c r="B615" s="4">
        <f t="shared" si="9"/>
        <v>612</v>
      </c>
      <c r="C615" s="5">
        <v>46174</v>
      </c>
      <c r="D615" s="10" t="str" cm="1">
        <f t="array" ref="D615">_xlfn.XLOOKUP(Table4[[#This Row],[Malın kodu]],Table1[[#All],[Malın kodu]],Table1[[#All],[Malın adı]],"xəta",0)</f>
        <v>Generator / "NSM" / WS220 TDC / İtaliya istehsalı</v>
      </c>
      <c r="E615" s="8" t="s">
        <v>1523</v>
      </c>
      <c r="F615" s="4" t="s">
        <v>920</v>
      </c>
      <c r="G615" s="4">
        <v>1</v>
      </c>
      <c r="H615" s="4"/>
      <c r="I615" s="4">
        <f>Table4[[#This Row],[Malın miqdarı]]*Table4[[#This Row],[Vahidin qiyməti]]</f>
        <v>0</v>
      </c>
      <c r="J615" s="4" t="s">
        <v>899</v>
      </c>
      <c r="K615" s="4" t="s">
        <v>893</v>
      </c>
      <c r="L615" s="4">
        <f>_xlfn.XLOOKUP(Table4[[#This Row],[Kontragentin adı]],Table2[Kontragentin adı],Table2[Müqavilə nömrəsi],"Xəta",0)</f>
        <v>0</v>
      </c>
      <c r="M615" s="4">
        <f>_xlfn.XLOOKUP(Table4[[#This Row],[Kontragentin adı]],Table2[Kontragentin adı],Table2[Müqavilə nömrəsi],"Xəta",0)</f>
        <v>0</v>
      </c>
    </row>
    <row r="616" spans="2:13" x14ac:dyDescent="0.3">
      <c r="B616" s="4">
        <f t="shared" si="9"/>
        <v>613</v>
      </c>
      <c r="C616" s="5">
        <v>46174</v>
      </c>
      <c r="D616" s="10" t="str" cm="1">
        <f t="array" ref="D616">_xlfn.XLOOKUP(Table4[[#This Row],[Malın kodu]],Table1[[#All],[Malın kodu]],Table1[[#All],[Malın adı]],"xəta",0)</f>
        <v>Generator / 7.5 kVA / dizel / "Power Tech"</v>
      </c>
      <c r="E616" s="8" t="s">
        <v>1524</v>
      </c>
      <c r="F616" s="4" t="s">
        <v>920</v>
      </c>
      <c r="G616" s="4">
        <v>1</v>
      </c>
      <c r="H616" s="4"/>
      <c r="I616" s="4">
        <f>Table4[[#This Row],[Malın miqdarı]]*Table4[[#This Row],[Vahidin qiyməti]]</f>
        <v>0</v>
      </c>
      <c r="J616" s="4" t="s">
        <v>899</v>
      </c>
      <c r="K616" s="4" t="s">
        <v>893</v>
      </c>
      <c r="L616" s="4">
        <f>_xlfn.XLOOKUP(Table4[[#This Row],[Kontragentin adı]],Table2[Kontragentin adı],Table2[Müqavilə nömrəsi],"Xəta",0)</f>
        <v>0</v>
      </c>
      <c r="M616" s="4">
        <f>_xlfn.XLOOKUP(Table4[[#This Row],[Kontragentin adı]],Table2[Kontragentin adı],Table2[Müqavilə nömrəsi],"Xəta",0)</f>
        <v>0</v>
      </c>
    </row>
    <row r="617" spans="2:13" x14ac:dyDescent="0.3">
      <c r="B617" s="4">
        <f t="shared" si="9"/>
        <v>614</v>
      </c>
      <c r="C617" s="5">
        <v>46174</v>
      </c>
      <c r="D617" s="10" t="str" cm="1">
        <f t="array" ref="D617">_xlfn.XLOOKUP(Table4[[#This Row],[Malın kodu]],Table1[[#All],[Malın kodu]],Table1[[#All],[Malın adı]],"xəta",0)</f>
        <v>Armatur kəsən / hidravlik / d 36 mm / 4 kvt / 1500 d/d / "AFACAN" / Türkiyə istehsalı</v>
      </c>
      <c r="E617" s="8" t="s">
        <v>1525</v>
      </c>
      <c r="F617" s="4" t="s">
        <v>920</v>
      </c>
      <c r="G617" s="4">
        <v>2</v>
      </c>
      <c r="H617" s="4"/>
      <c r="I617" s="4">
        <f>Table4[[#This Row],[Malın miqdarı]]*Table4[[#This Row],[Vahidin qiyməti]]</f>
        <v>0</v>
      </c>
      <c r="J617" s="4" t="s">
        <v>899</v>
      </c>
      <c r="K617" s="4" t="s">
        <v>893</v>
      </c>
      <c r="L617" s="4">
        <f>_xlfn.XLOOKUP(Table4[[#This Row],[Kontragentin adı]],Table2[Kontragentin adı],Table2[Müqavilə nömrəsi],"Xəta",0)</f>
        <v>0</v>
      </c>
      <c r="M617" s="4">
        <f>_xlfn.XLOOKUP(Table4[[#This Row],[Kontragentin adı]],Table2[Kontragentin adı],Table2[Müqavilə nömrəsi],"Xəta",0)</f>
        <v>0</v>
      </c>
    </row>
    <row r="618" spans="2:13" x14ac:dyDescent="0.3">
      <c r="B618" s="4">
        <f t="shared" si="9"/>
        <v>615</v>
      </c>
      <c r="C618" s="5">
        <v>46174</v>
      </c>
      <c r="D618" s="10" t="str" cm="1">
        <f t="array" ref="D618">_xlfn.XLOOKUP(Table4[[#This Row],[Malın kodu]],Table1[[#All],[Malın kodu]],Table1[[#All],[Malın adı]],"xəta",0)</f>
        <v>Lebyodka / 2 ton / 60 metr / elektrik mühərrikli</v>
      </c>
      <c r="E618" s="8" t="s">
        <v>1526</v>
      </c>
      <c r="F618" s="4" t="s">
        <v>920</v>
      </c>
      <c r="G618" s="4">
        <v>1</v>
      </c>
      <c r="H618" s="4"/>
      <c r="I618" s="4">
        <f>Table4[[#This Row],[Malın miqdarı]]*Table4[[#This Row],[Vahidin qiyməti]]</f>
        <v>0</v>
      </c>
      <c r="J618" s="4" t="s">
        <v>899</v>
      </c>
      <c r="K618" s="4" t="s">
        <v>893</v>
      </c>
      <c r="L618" s="4">
        <f>_xlfn.XLOOKUP(Table4[[#This Row],[Kontragentin adı]],Table2[Kontragentin adı],Table2[Müqavilə nömrəsi],"Xəta",0)</f>
        <v>0</v>
      </c>
      <c r="M618" s="4">
        <f>_xlfn.XLOOKUP(Table4[[#This Row],[Kontragentin adı]],Table2[Kontragentin adı],Table2[Müqavilə nömrəsi],"Xəta",0)</f>
        <v>0</v>
      </c>
    </row>
    <row r="619" spans="2:13" x14ac:dyDescent="0.3">
      <c r="B619" s="4">
        <f t="shared" si="9"/>
        <v>616</v>
      </c>
      <c r="C619" s="5">
        <v>46174</v>
      </c>
      <c r="D619" s="10" t="str" cm="1">
        <f t="array" ref="D619">_xlfn.XLOOKUP(Table4[[#This Row],[Malın kodu]],Table1[[#All],[Malın kodu]],Table1[[#All],[Malın adı]],"xəta",0)</f>
        <v>Rəndə dəzgahı / 1800 Vt / 300 mm / 9000 d/d / "ЗУБР" / РС-330</v>
      </c>
      <c r="E619" s="8" t="s">
        <v>1527</v>
      </c>
      <c r="F619" s="4" t="s">
        <v>920</v>
      </c>
      <c r="G619" s="4">
        <v>1</v>
      </c>
      <c r="H619" s="4"/>
      <c r="I619" s="4">
        <f>Table4[[#This Row],[Malın miqdarı]]*Table4[[#This Row],[Vahidin qiyməti]]</f>
        <v>0</v>
      </c>
      <c r="J619" s="4" t="s">
        <v>899</v>
      </c>
      <c r="K619" s="4" t="s">
        <v>893</v>
      </c>
      <c r="L619" s="4">
        <f>_xlfn.XLOOKUP(Table4[[#This Row],[Kontragentin adı]],Table2[Kontragentin adı],Table2[Müqavilə nömrəsi],"Xəta",0)</f>
        <v>0</v>
      </c>
      <c r="M619" s="4">
        <f>_xlfn.XLOOKUP(Table4[[#This Row],[Kontragentin adı]],Table2[Kontragentin adı],Table2[Müqavilə nömrəsi],"Xəta",0)</f>
        <v>0</v>
      </c>
    </row>
    <row r="620" spans="2:13" x14ac:dyDescent="0.3">
      <c r="B620" s="4">
        <f t="shared" si="9"/>
        <v>617</v>
      </c>
      <c r="C620" s="5">
        <v>46174</v>
      </c>
      <c r="D620" s="10" t="str" cm="1">
        <f t="array" ref="D620">_xlfn.XLOOKUP(Table4[[#This Row],[Malın kodu]],Table1[[#All],[Malın kodu]],Table1[[#All],[Malın adı]],"xəta",0)</f>
        <v>Generator / benzin / 3.0 kvt / AVR automatic</v>
      </c>
      <c r="E620" s="8" t="s">
        <v>1528</v>
      </c>
      <c r="F620" s="4" t="s">
        <v>920</v>
      </c>
      <c r="G620" s="4">
        <v>1</v>
      </c>
      <c r="H620" s="4"/>
      <c r="I620" s="4">
        <f>Table4[[#This Row],[Malın miqdarı]]*Table4[[#This Row],[Vahidin qiyməti]]</f>
        <v>0</v>
      </c>
      <c r="J620" s="4" t="s">
        <v>899</v>
      </c>
      <c r="K620" s="4" t="s">
        <v>893</v>
      </c>
      <c r="L620" s="4">
        <f>_xlfn.XLOOKUP(Table4[[#This Row],[Kontragentin adı]],Table2[Kontragentin adı],Table2[Müqavilə nömrəsi],"Xəta",0)</f>
        <v>0</v>
      </c>
      <c r="M620" s="4">
        <f>_xlfn.XLOOKUP(Table4[[#This Row],[Kontragentin adı]],Table2[Kontragentin adı],Table2[Müqavilə nömrəsi],"Xəta",0)</f>
        <v>0</v>
      </c>
    </row>
    <row r="621" spans="2:13" x14ac:dyDescent="0.3">
      <c r="B621" s="4">
        <f t="shared" si="9"/>
        <v>618</v>
      </c>
      <c r="C621" s="5">
        <v>46174</v>
      </c>
      <c r="D621" s="10" t="str" cm="1">
        <f t="array" ref="D621">_xlfn.XLOOKUP(Table4[[#This Row],[Malın kodu]],Table1[[#All],[Malın kodu]],Table1[[#All],[Malın adı]],"xəta",0)</f>
        <v>Hasar / plastik</v>
      </c>
      <c r="E621" s="8" t="s">
        <v>1529</v>
      </c>
      <c r="F621" s="4" t="s">
        <v>920</v>
      </c>
      <c r="G621" s="4">
        <v>10</v>
      </c>
      <c r="H621" s="4"/>
      <c r="I621" s="4">
        <f>Table4[[#This Row],[Malın miqdarı]]*Table4[[#This Row],[Vahidin qiyməti]]</f>
        <v>0</v>
      </c>
      <c r="J621" s="4" t="s">
        <v>899</v>
      </c>
      <c r="K621" s="4" t="s">
        <v>893</v>
      </c>
      <c r="L621" s="4">
        <f>_xlfn.XLOOKUP(Table4[[#This Row],[Kontragentin adı]],Table2[Kontragentin adı],Table2[Müqavilə nömrəsi],"Xəta",0)</f>
        <v>0</v>
      </c>
      <c r="M621" s="4">
        <f>_xlfn.XLOOKUP(Table4[[#This Row],[Kontragentin adı]],Table2[Kontragentin adı],Table2[Müqavilə nömrəsi],"Xəta",0)</f>
        <v>0</v>
      </c>
    </row>
    <row r="622" spans="2:13" x14ac:dyDescent="0.3">
      <c r="B622" s="4">
        <f t="shared" si="9"/>
        <v>619</v>
      </c>
      <c r="C622" s="5">
        <v>46174</v>
      </c>
      <c r="D622" s="10" t="str" cm="1">
        <f t="array" ref="D622">_xlfn.XLOOKUP(Table4[[#This Row],[Malın kodu]],Table1[[#All],[Malın kodu]],Table1[[#All],[Malın adı]],"xəta",0)</f>
        <v>Qazma qurğusu / horizantal şnekli / d 720 mm / 80-150 metr / 100 ton / Lazer nişanlı / "МЕМПЭКС" / МНБШ-600 / Belarus istehsalı</v>
      </c>
      <c r="E622" s="8" t="s">
        <v>1530</v>
      </c>
      <c r="F622" s="4" t="s">
        <v>921</v>
      </c>
      <c r="G622" s="4">
        <v>1</v>
      </c>
      <c r="H622" s="4"/>
      <c r="I622" s="4">
        <f>Table4[[#This Row],[Malın miqdarı]]*Table4[[#This Row],[Vahidin qiyməti]]</f>
        <v>0</v>
      </c>
      <c r="J622" s="4" t="s">
        <v>899</v>
      </c>
      <c r="K622" s="4" t="s">
        <v>893</v>
      </c>
      <c r="L622" s="4">
        <f>_xlfn.XLOOKUP(Table4[[#This Row],[Kontragentin adı]],Table2[Kontragentin adı],Table2[Müqavilə nömrəsi],"Xəta",0)</f>
        <v>0</v>
      </c>
      <c r="M622" s="4">
        <f>_xlfn.XLOOKUP(Table4[[#This Row],[Kontragentin adı]],Table2[Kontragentin adı],Table2[Müqavilə nömrəsi],"Xəta",0)</f>
        <v>0</v>
      </c>
    </row>
    <row r="623" spans="2:13" x14ac:dyDescent="0.3">
      <c r="B623" s="4">
        <f t="shared" si="9"/>
        <v>620</v>
      </c>
      <c r="C623" s="5">
        <v>46174</v>
      </c>
      <c r="D623" s="10" t="str" cm="1">
        <f t="array" ref="D623">_xlfn.XLOOKUP(Table4[[#This Row],[Malın kodu]],Table1[[#All],[Malın kodu]],Table1[[#All],[Malın adı]],"xəta",0)</f>
        <v>Beton kəsən / "PALME" / PD13B / Türkiyə istehsalı</v>
      </c>
      <c r="E623" s="8" t="s">
        <v>1531</v>
      </c>
      <c r="F623" s="4" t="s">
        <v>920</v>
      </c>
      <c r="G623" s="4">
        <v>1</v>
      </c>
      <c r="H623" s="4"/>
      <c r="I623" s="4">
        <f>Table4[[#This Row],[Malın miqdarı]]*Table4[[#This Row],[Vahidin qiyməti]]</f>
        <v>0</v>
      </c>
      <c r="J623" s="4" t="s">
        <v>899</v>
      </c>
      <c r="K623" s="4" t="s">
        <v>893</v>
      </c>
      <c r="L623" s="4">
        <f>_xlfn.XLOOKUP(Table4[[#This Row],[Kontragentin adı]],Table2[Kontragentin adı],Table2[Müqavilə nömrəsi],"Xəta",0)</f>
        <v>0</v>
      </c>
      <c r="M623" s="4">
        <f>_xlfn.XLOOKUP(Table4[[#This Row],[Kontragentin adı]],Table2[Kontragentin adı],Table2[Müqavilə nömrəsi],"Xəta",0)</f>
        <v>0</v>
      </c>
    </row>
    <row r="624" spans="2:13" x14ac:dyDescent="0.3">
      <c r="B624" s="4">
        <f t="shared" si="9"/>
        <v>621</v>
      </c>
      <c r="C624" s="5">
        <v>46174</v>
      </c>
      <c r="D624" s="10" t="str" cm="1">
        <f t="array" ref="D624">_xlfn.XLOOKUP(Table4[[#This Row],[Malın kodu]],Table1[[#All],[Malın kodu]],Table1[[#All],[Malın adı]],"xəta",0)</f>
        <v>Generator / dizel / 4.5 kvt / 220V / 50 Hz / IP23 / "FIRMAN" / SDG5500CLE / Çin istehsalı / 1 əd</v>
      </c>
      <c r="E624" s="8" t="s">
        <v>1532</v>
      </c>
      <c r="F624" s="4" t="s">
        <v>920</v>
      </c>
      <c r="G624" s="4">
        <v>1</v>
      </c>
      <c r="H624" s="4"/>
      <c r="I624" s="4">
        <f>Table4[[#This Row],[Malın miqdarı]]*Table4[[#This Row],[Vahidin qiyməti]]</f>
        <v>0</v>
      </c>
      <c r="J624" s="4" t="s">
        <v>899</v>
      </c>
      <c r="K624" s="4" t="s">
        <v>893</v>
      </c>
      <c r="L624" s="4">
        <f>_xlfn.XLOOKUP(Table4[[#This Row],[Kontragentin adı]],Table2[Kontragentin adı],Table2[Müqavilə nömrəsi],"Xəta",0)</f>
        <v>0</v>
      </c>
      <c r="M624" s="4">
        <f>_xlfn.XLOOKUP(Table4[[#This Row],[Kontragentin adı]],Table2[Kontragentin adı],Table2[Müqavilə nömrəsi],"Xəta",0)</f>
        <v>0</v>
      </c>
    </row>
    <row r="625" spans="2:13" x14ac:dyDescent="0.3">
      <c r="B625" s="4">
        <f t="shared" si="9"/>
        <v>622</v>
      </c>
      <c r="C625" s="5">
        <v>46174</v>
      </c>
      <c r="D625" s="10" t="str" cm="1">
        <f t="array" ref="D625">_xlfn.XLOOKUP(Table4[[#This Row],[Malın kodu]],Table1[[#All],[Malın kodu]],Table1[[#All],[Malın adı]],"xəta",0)</f>
        <v>Generator / "ITC POWER" / Çin istehsalı</v>
      </c>
      <c r="E625" s="8" t="s">
        <v>1533</v>
      </c>
      <c r="F625" s="4" t="s">
        <v>920</v>
      </c>
      <c r="G625" s="4">
        <v>1</v>
      </c>
      <c r="H625" s="4"/>
      <c r="I625" s="4">
        <f>Table4[[#This Row],[Malın miqdarı]]*Table4[[#This Row],[Vahidin qiyməti]]</f>
        <v>0</v>
      </c>
      <c r="J625" s="4" t="s">
        <v>899</v>
      </c>
      <c r="K625" s="4" t="s">
        <v>893</v>
      </c>
      <c r="L625" s="4">
        <f>_xlfn.XLOOKUP(Table4[[#This Row],[Kontragentin adı]],Table2[Kontragentin adı],Table2[Müqavilə nömrəsi],"Xəta",0)</f>
        <v>0</v>
      </c>
      <c r="M625" s="4">
        <f>_xlfn.XLOOKUP(Table4[[#This Row],[Kontragentin adı]],Table2[Kontragentin adı],Table2[Müqavilə nömrəsi],"Xəta",0)</f>
        <v>0</v>
      </c>
    </row>
    <row r="626" spans="2:13" x14ac:dyDescent="0.3">
      <c r="B626" s="4">
        <f t="shared" si="9"/>
        <v>623</v>
      </c>
      <c r="C626" s="5">
        <v>46174</v>
      </c>
      <c r="D626" s="10" t="str" cm="1">
        <f t="array" ref="D626">_xlfn.XLOOKUP(Table4[[#This Row],[Malın kodu]],Table1[[#All],[Malın kodu]],Table1[[#All],[Malın adı]],"xəta",0)</f>
        <v>Qaynaq Aparatı / 650A / 3 faza / 380V / 50/60 Hz / IP23 / "Gekamac" / RKM650 / Türkiyə istehsalı</v>
      </c>
      <c r="E626" s="8" t="s">
        <v>1534</v>
      </c>
      <c r="F626" s="4" t="s">
        <v>920</v>
      </c>
      <c r="G626" s="4">
        <v>1</v>
      </c>
      <c r="H626" s="4"/>
      <c r="I626" s="4">
        <f>Table4[[#This Row],[Malın miqdarı]]*Table4[[#This Row],[Vahidin qiyməti]]</f>
        <v>0</v>
      </c>
      <c r="J626" s="4" t="s">
        <v>899</v>
      </c>
      <c r="K626" s="4" t="s">
        <v>893</v>
      </c>
      <c r="L626" s="4">
        <f>_xlfn.XLOOKUP(Table4[[#This Row],[Kontragentin adı]],Table2[Kontragentin adı],Table2[Müqavilə nömrəsi],"Xəta",0)</f>
        <v>0</v>
      </c>
      <c r="M626" s="4">
        <f>_xlfn.XLOOKUP(Table4[[#This Row],[Kontragentin adı]],Table2[Kontragentin adı],Table2[Müqavilə nömrəsi],"Xəta",0)</f>
        <v>0</v>
      </c>
    </row>
    <row r="627" spans="2:13" x14ac:dyDescent="0.3">
      <c r="B627" s="4">
        <f t="shared" si="9"/>
        <v>624</v>
      </c>
      <c r="C627" s="5">
        <v>46174</v>
      </c>
      <c r="D627" s="10" t="str" cm="1">
        <f t="array" ref="D627">_xlfn.XLOOKUP(Table4[[#This Row],[Malın kodu]],Table1[[#All],[Malın kodu]],Table1[[#All],[Malın adı]],"xəta",0)</f>
        <v>Armatur kəsən / hidravlik / 3 kvt / 380V / "Yakar Kardeşler" / YK2609 / Türkiyə istehsalı</v>
      </c>
      <c r="E627" s="8" t="s">
        <v>1535</v>
      </c>
      <c r="F627" s="4" t="s">
        <v>920</v>
      </c>
      <c r="G627" s="4">
        <v>1</v>
      </c>
      <c r="H627" s="4"/>
      <c r="I627" s="4">
        <f>Table4[[#This Row],[Malın miqdarı]]*Table4[[#This Row],[Vahidin qiyməti]]</f>
        <v>0</v>
      </c>
      <c r="J627" s="4" t="s">
        <v>899</v>
      </c>
      <c r="K627" s="4" t="s">
        <v>893</v>
      </c>
      <c r="L627" s="4">
        <f>_xlfn.XLOOKUP(Table4[[#This Row],[Kontragentin adı]],Table2[Kontragentin adı],Table2[Müqavilə nömrəsi],"Xəta",0)</f>
        <v>0</v>
      </c>
      <c r="M627" s="4">
        <f>_xlfn.XLOOKUP(Table4[[#This Row],[Kontragentin adı]],Table2[Kontragentin adı],Table2[Müqavilə nömrəsi],"Xəta",0)</f>
        <v>0</v>
      </c>
    </row>
    <row r="628" spans="2:13" x14ac:dyDescent="0.3">
      <c r="B628" s="4">
        <f t="shared" si="9"/>
        <v>625</v>
      </c>
      <c r="C628" s="5">
        <v>46174</v>
      </c>
      <c r="D628" s="10" t="str" cm="1">
        <f t="array" ref="D628">_xlfn.XLOOKUP(Table4[[#This Row],[Malın kodu]],Table1[[#All],[Malın kodu]],Table1[[#All],[Malın adı]],"xəta",0)</f>
        <v>Generator / 6.5 kVA / 220A / 50 Hz / IP23 / 230-400V / "Antor HW" / Türkiyə istehsalı</v>
      </c>
      <c r="E628" s="8" t="s">
        <v>1536</v>
      </c>
      <c r="F628" s="4" t="s">
        <v>920</v>
      </c>
      <c r="G628" s="4">
        <v>1</v>
      </c>
      <c r="H628" s="4"/>
      <c r="I628" s="4">
        <f>Table4[[#This Row],[Malın miqdarı]]*Table4[[#This Row],[Vahidin qiyməti]]</f>
        <v>0</v>
      </c>
      <c r="J628" s="4" t="s">
        <v>899</v>
      </c>
      <c r="K628" s="4" t="s">
        <v>893</v>
      </c>
      <c r="L628" s="4">
        <f>_xlfn.XLOOKUP(Table4[[#This Row],[Kontragentin adı]],Table2[Kontragentin adı],Table2[Müqavilə nömrəsi],"Xəta",0)</f>
        <v>0</v>
      </c>
      <c r="M628" s="4">
        <f>_xlfn.XLOOKUP(Table4[[#This Row],[Kontragentin adı]],Table2[Kontragentin adı],Table2[Müqavilə nömrəsi],"Xəta",0)</f>
        <v>0</v>
      </c>
    </row>
    <row r="629" spans="2:13" x14ac:dyDescent="0.3">
      <c r="B629" s="4">
        <f t="shared" si="9"/>
        <v>626</v>
      </c>
      <c r="C629" s="5">
        <v>46174</v>
      </c>
      <c r="D629" s="10" t="str" cm="1">
        <f t="array" ref="D629">_xlfn.XLOOKUP(Table4[[#This Row],[Malın kodu]],Table1[[#All],[Malın kodu]],Table1[[#All],[Malın adı]],"xəta",0)</f>
        <v>Generator / 8.5 kVA / dizel / 220-240V / 1 faza / "Bison" / BS11000DCE / Çin istehsalı</v>
      </c>
      <c r="E629" s="8" t="s">
        <v>1537</v>
      </c>
      <c r="F629" s="4" t="s">
        <v>920</v>
      </c>
      <c r="G629" s="4">
        <v>1</v>
      </c>
      <c r="H629" s="4"/>
      <c r="I629" s="4">
        <f>Table4[[#This Row],[Malın miqdarı]]*Table4[[#This Row],[Vahidin qiyməti]]</f>
        <v>0</v>
      </c>
      <c r="J629" s="4" t="s">
        <v>899</v>
      </c>
      <c r="K629" s="4" t="s">
        <v>893</v>
      </c>
      <c r="L629" s="4">
        <f>_xlfn.XLOOKUP(Table4[[#This Row],[Kontragentin adı]],Table2[Kontragentin adı],Table2[Müqavilə nömrəsi],"Xəta",0)</f>
        <v>0</v>
      </c>
      <c r="M629" s="4">
        <f>_xlfn.XLOOKUP(Table4[[#This Row],[Kontragentin adı]],Table2[Kontragentin adı],Table2[Müqavilə nömrəsi],"Xəta",0)</f>
        <v>0</v>
      </c>
    </row>
    <row r="630" spans="2:13" x14ac:dyDescent="0.3">
      <c r="B630" s="4">
        <f t="shared" si="9"/>
        <v>627</v>
      </c>
      <c r="C630" s="5">
        <v>46174</v>
      </c>
      <c r="D630" s="10" t="str" cm="1">
        <f t="array" ref="D630">_xlfn.XLOOKUP(Table4[[#This Row],[Malın kodu]],Table1[[#All],[Malın kodu]],Table1[[#All],[Malın adı]],"xəta",0)</f>
        <v>Generator / 6.5 kvt / 230V / benzin / "AKSA" / AAP8000E / Türkiyə istehsalı</v>
      </c>
      <c r="E630" s="8" t="s">
        <v>1538</v>
      </c>
      <c r="F630" s="4" t="s">
        <v>920</v>
      </c>
      <c r="G630" s="4">
        <v>1</v>
      </c>
      <c r="H630" s="4"/>
      <c r="I630" s="4">
        <f>Table4[[#This Row],[Malın miqdarı]]*Table4[[#This Row],[Vahidin qiyməti]]</f>
        <v>0</v>
      </c>
      <c r="J630" s="4" t="s">
        <v>899</v>
      </c>
      <c r="K630" s="4" t="s">
        <v>893</v>
      </c>
      <c r="L630" s="4">
        <f>_xlfn.XLOOKUP(Table4[[#This Row],[Kontragentin adı]],Table2[Kontragentin adı],Table2[Müqavilə nömrəsi],"Xəta",0)</f>
        <v>0</v>
      </c>
      <c r="M630" s="4">
        <f>_xlfn.XLOOKUP(Table4[[#This Row],[Kontragentin adı]],Table2[Kontragentin adı],Table2[Müqavilə nömrəsi],"Xəta",0)</f>
        <v>0</v>
      </c>
    </row>
    <row r="631" spans="2:13" x14ac:dyDescent="0.3">
      <c r="B631" s="4">
        <f t="shared" si="9"/>
        <v>628</v>
      </c>
      <c r="C631" s="5">
        <v>46174</v>
      </c>
      <c r="D631" s="10" t="str" cm="1">
        <f t="array" ref="D631">_xlfn.XLOOKUP(Table4[[#This Row],[Malın kodu]],Table1[[#All],[Malın kodu]],Table1[[#All],[Malın adı]],"xəta",0)</f>
        <v>Generator / 7.5 kvt / benzin / 220-230V / "KEMAN" / Çin istehsalı</v>
      </c>
      <c r="E631" s="8" t="s">
        <v>1539</v>
      </c>
      <c r="F631" s="4" t="s">
        <v>920</v>
      </c>
      <c r="G631" s="4">
        <v>1</v>
      </c>
      <c r="H631" s="4"/>
      <c r="I631" s="4">
        <f>Table4[[#This Row],[Malın miqdarı]]*Table4[[#This Row],[Vahidin qiyməti]]</f>
        <v>0</v>
      </c>
      <c r="J631" s="4" t="s">
        <v>899</v>
      </c>
      <c r="K631" s="4" t="s">
        <v>893</v>
      </c>
      <c r="L631" s="4">
        <f>_xlfn.XLOOKUP(Table4[[#This Row],[Kontragentin adı]],Table2[Kontragentin adı],Table2[Müqavilə nömrəsi],"Xəta",0)</f>
        <v>0</v>
      </c>
      <c r="M631" s="4">
        <f>_xlfn.XLOOKUP(Table4[[#This Row],[Kontragentin adı]],Table2[Kontragentin adı],Table2[Müqavilə nömrəsi],"Xəta",0)</f>
        <v>0</v>
      </c>
    </row>
    <row r="632" spans="2:13" x14ac:dyDescent="0.3">
      <c r="B632" s="4">
        <f t="shared" si="9"/>
        <v>629</v>
      </c>
      <c r="C632" s="5">
        <v>46174</v>
      </c>
      <c r="D632" s="10" t="str" cm="1">
        <f t="array" ref="D632">_xlfn.XLOOKUP(Table4[[#This Row],[Malın kodu]],Table1[[#All],[Malın kodu]],Table1[[#All],[Malın adı]],"xəta",0)</f>
        <v>Armatur əyən / 3 kvt / 11 d/d / 380V / 3 faza / "AFACAN" / B36 / Türkiyə istehsalı</v>
      </c>
      <c r="E632" s="8" t="s">
        <v>1540</v>
      </c>
      <c r="F632" s="4" t="s">
        <v>920</v>
      </c>
      <c r="G632" s="4">
        <v>3</v>
      </c>
      <c r="H632" s="4"/>
      <c r="I632" s="4">
        <f>Table4[[#This Row],[Malın miqdarı]]*Table4[[#This Row],[Vahidin qiyməti]]</f>
        <v>0</v>
      </c>
      <c r="J632" s="4" t="s">
        <v>899</v>
      </c>
      <c r="K632" s="4" t="s">
        <v>893</v>
      </c>
      <c r="L632" s="4">
        <f>_xlfn.XLOOKUP(Table4[[#This Row],[Kontragentin adı]],Table2[Kontragentin adı],Table2[Müqavilə nömrəsi],"Xəta",0)</f>
        <v>0</v>
      </c>
      <c r="M632" s="4">
        <f>_xlfn.XLOOKUP(Table4[[#This Row],[Kontragentin adı]],Table2[Kontragentin adı],Table2[Müqavilə nömrəsi],"Xəta",0)</f>
        <v>0</v>
      </c>
    </row>
    <row r="633" spans="2:13" x14ac:dyDescent="0.3">
      <c r="B633" s="4">
        <f t="shared" si="9"/>
        <v>630</v>
      </c>
      <c r="C633" s="5">
        <v>46174</v>
      </c>
      <c r="D633" s="10" t="str" cm="1">
        <f t="array" ref="D633">_xlfn.XLOOKUP(Table4[[#This Row],[Malın kodu]],Table1[[#All],[Malın kodu]],Table1[[#All],[Malın adı]],"xəta",0)</f>
        <v>Pərçimləmə dəzgahı / press</v>
      </c>
      <c r="E633" s="8" t="s">
        <v>1541</v>
      </c>
      <c r="F633" s="4" t="s">
        <v>920</v>
      </c>
      <c r="G633" s="4">
        <v>1</v>
      </c>
      <c r="H633" s="4"/>
      <c r="I633" s="4">
        <f>Table4[[#This Row],[Malın miqdarı]]*Table4[[#This Row],[Vahidin qiyməti]]</f>
        <v>0</v>
      </c>
      <c r="J633" s="4" t="s">
        <v>899</v>
      </c>
      <c r="K633" s="4" t="s">
        <v>893</v>
      </c>
      <c r="L633" s="4">
        <f>_xlfn.XLOOKUP(Table4[[#This Row],[Kontragentin adı]],Table2[Kontragentin adı],Table2[Müqavilə nömrəsi],"Xəta",0)</f>
        <v>0</v>
      </c>
      <c r="M633" s="4">
        <f>_xlfn.XLOOKUP(Table4[[#This Row],[Kontragentin adı]],Table2[Kontragentin adı],Table2[Müqavilə nömrəsi],"Xəta",0)</f>
        <v>0</v>
      </c>
    </row>
    <row r="634" spans="2:13" x14ac:dyDescent="0.3">
      <c r="B634" s="4">
        <f t="shared" si="9"/>
        <v>631</v>
      </c>
      <c r="C634" s="5">
        <v>46174</v>
      </c>
      <c r="D634" s="10" t="str" cm="1">
        <f t="array" ref="D634">_xlfn.XLOOKUP(Table4[[#This Row],[Malın kodu]],Table1[[#All],[Malın kodu]],Table1[[#All],[Malın adı]],"xəta",0)</f>
        <v>Kompressor / 2.4 Atm / "IR Ingersoll Rand" / 7/3IE / İngiltərə istehsalı</v>
      </c>
      <c r="E634" s="8" t="s">
        <v>1542</v>
      </c>
      <c r="F634" s="4" t="s">
        <v>920</v>
      </c>
      <c r="G634" s="4">
        <v>1</v>
      </c>
      <c r="H634" s="4"/>
      <c r="I634" s="4">
        <f>Table4[[#This Row],[Malın miqdarı]]*Table4[[#This Row],[Vahidin qiyməti]]</f>
        <v>0</v>
      </c>
      <c r="J634" s="4" t="s">
        <v>899</v>
      </c>
      <c r="K634" s="4" t="s">
        <v>893</v>
      </c>
      <c r="L634" s="4">
        <f>_xlfn.XLOOKUP(Table4[[#This Row],[Kontragentin adı]],Table2[Kontragentin adı],Table2[Müqavilə nömrəsi],"Xəta",0)</f>
        <v>0</v>
      </c>
      <c r="M634" s="4">
        <f>_xlfn.XLOOKUP(Table4[[#This Row],[Kontragentin adı]],Table2[Kontragentin adı],Table2[Müqavilə nömrəsi],"Xəta",0)</f>
        <v>0</v>
      </c>
    </row>
    <row r="635" spans="2:13" x14ac:dyDescent="0.3">
      <c r="B635" s="4">
        <f t="shared" si="9"/>
        <v>632</v>
      </c>
      <c r="C635" s="5">
        <v>46174</v>
      </c>
      <c r="D635" s="10" t="str" cm="1">
        <f t="array" ref="D635">_xlfn.XLOOKUP(Table4[[#This Row],[Malın kodu]],Table1[[#All],[Malın kodu]],Table1[[#All],[Malın adı]],"xəta",0)</f>
        <v>Generator / dizel / 36 kVt/ 1500 d/d / "AKSA" / A3CRX32T / Türk istehsalı</v>
      </c>
      <c r="E635" s="8" t="s">
        <v>1543</v>
      </c>
      <c r="F635" s="4" t="s">
        <v>920</v>
      </c>
      <c r="G635" s="4">
        <v>1</v>
      </c>
      <c r="H635" s="4"/>
      <c r="I635" s="4">
        <f>Table4[[#This Row],[Malın miqdarı]]*Table4[[#This Row],[Vahidin qiyməti]]</f>
        <v>0</v>
      </c>
      <c r="J635" s="4" t="s">
        <v>899</v>
      </c>
      <c r="K635" s="4" t="s">
        <v>893</v>
      </c>
      <c r="L635" s="4">
        <f>_xlfn.XLOOKUP(Table4[[#This Row],[Kontragentin adı]],Table2[Kontragentin adı],Table2[Müqavilə nömrəsi],"Xəta",0)</f>
        <v>0</v>
      </c>
      <c r="M635" s="4">
        <f>_xlfn.XLOOKUP(Table4[[#This Row],[Kontragentin adı]],Table2[Kontragentin adı],Table2[Müqavilə nömrəsi],"Xəta",0)</f>
        <v>0</v>
      </c>
    </row>
    <row r="636" spans="2:13" x14ac:dyDescent="0.3">
      <c r="B636" s="4">
        <f t="shared" si="9"/>
        <v>633</v>
      </c>
      <c r="C636" s="5">
        <v>46174</v>
      </c>
      <c r="D636" s="10" t="str" cm="1">
        <f t="array" ref="D636">_xlfn.XLOOKUP(Table4[[#This Row],[Malın kodu]],Table1[[#All],[Malın kodu]],Table1[[#All],[Malın adı]],"xəta",0)</f>
        <v>Qazma qurğusu / horizantal şnekli / relsli</v>
      </c>
      <c r="E636" s="8" t="s">
        <v>1544</v>
      </c>
      <c r="F636" s="4" t="s">
        <v>921</v>
      </c>
      <c r="G636" s="4">
        <v>1</v>
      </c>
      <c r="H636" s="4"/>
      <c r="I636" s="4">
        <f>Table4[[#This Row],[Malın miqdarı]]*Table4[[#This Row],[Vahidin qiyməti]]</f>
        <v>0</v>
      </c>
      <c r="J636" s="4" t="s">
        <v>899</v>
      </c>
      <c r="K636" s="4" t="s">
        <v>893</v>
      </c>
      <c r="L636" s="4">
        <f>_xlfn.XLOOKUP(Table4[[#This Row],[Kontragentin adı]],Table2[Kontragentin adı],Table2[Müqavilə nömrəsi],"Xəta",0)</f>
        <v>0</v>
      </c>
      <c r="M636" s="4">
        <f>_xlfn.XLOOKUP(Table4[[#This Row],[Kontragentin adı]],Table2[Kontragentin adı],Table2[Müqavilə nömrəsi],"Xəta",0)</f>
        <v>0</v>
      </c>
    </row>
    <row r="637" spans="2:13" x14ac:dyDescent="0.3">
      <c r="B637" s="4">
        <f t="shared" si="9"/>
        <v>634</v>
      </c>
      <c r="C637" s="5">
        <v>46174</v>
      </c>
      <c r="D637" s="10" t="str" cm="1">
        <f t="array" ref="D637">_xlfn.XLOOKUP(Table4[[#This Row],[Malın kodu]],Table1[[#All],[Malın kodu]],Table1[[#All],[Malın adı]],"xəta",0)</f>
        <v>Generator / dizel / "TOPOR"</v>
      </c>
      <c r="E637" s="8" t="s">
        <v>1545</v>
      </c>
      <c r="F637" s="4" t="s">
        <v>920</v>
      </c>
      <c r="G637" s="4">
        <v>1</v>
      </c>
      <c r="H637" s="4"/>
      <c r="I637" s="4">
        <f>Table4[[#This Row],[Malın miqdarı]]*Table4[[#This Row],[Vahidin qiyməti]]</f>
        <v>0</v>
      </c>
      <c r="J637" s="4" t="s">
        <v>899</v>
      </c>
      <c r="K637" s="4" t="s">
        <v>893</v>
      </c>
      <c r="L637" s="4">
        <f>_xlfn.XLOOKUP(Table4[[#This Row],[Kontragentin adı]],Table2[Kontragentin adı],Table2[Müqavilə nömrəsi],"Xəta",0)</f>
        <v>0</v>
      </c>
      <c r="M637" s="4">
        <f>_xlfn.XLOOKUP(Table4[[#This Row],[Kontragentin adı]],Table2[Kontragentin adı],Table2[Müqavilə nömrəsi],"Xəta",0)</f>
        <v>0</v>
      </c>
    </row>
    <row r="638" spans="2:13" x14ac:dyDescent="0.3">
      <c r="B638" s="4">
        <f t="shared" si="9"/>
        <v>635</v>
      </c>
      <c r="C638" s="5">
        <v>46174</v>
      </c>
      <c r="D638" s="10" t="str" cm="1">
        <f t="array" ref="D638">_xlfn.XLOOKUP(Table4[[#This Row],[Malın kodu]],Table1[[#All],[Malın kodu]],Table1[[#All],[Malın adı]],"xəta",0)</f>
        <v>Boru / d 25 mm x 4.2 mm / polipropilen / 4 metr / "Metak"</v>
      </c>
      <c r="E638" s="8" t="s">
        <v>907</v>
      </c>
      <c r="F638" s="4" t="s">
        <v>920</v>
      </c>
      <c r="G638" s="4">
        <v>23</v>
      </c>
      <c r="H638" s="4"/>
      <c r="I638" s="4">
        <f>Table4[[#This Row],[Malın miqdarı]]*Table4[[#This Row],[Vahidin qiyməti]]</f>
        <v>0</v>
      </c>
      <c r="J638" s="4" t="s">
        <v>899</v>
      </c>
      <c r="K638" s="4" t="s">
        <v>893</v>
      </c>
      <c r="L638" s="4">
        <f>_xlfn.XLOOKUP(Table4[[#This Row],[Kontragentin adı]],Table2[Kontragentin adı],Table2[Müqavilə nömrəsi],"Xəta",0)</f>
        <v>0</v>
      </c>
      <c r="M638" s="4">
        <f>_xlfn.XLOOKUP(Table4[[#This Row],[Kontragentin adı]],Table2[Kontragentin adı],Table2[Müqavilə nömrəsi],"Xəta",0)</f>
        <v>0</v>
      </c>
    </row>
    <row r="639" spans="2:13" x14ac:dyDescent="0.3">
      <c r="B639" s="4">
        <f t="shared" si="9"/>
        <v>636</v>
      </c>
      <c r="C639" s="5">
        <v>46174</v>
      </c>
      <c r="D639" s="10" t="str" cm="1">
        <f t="array" ref="D639">_xlfn.XLOOKUP(Table4[[#This Row],[Malın kodu]],Table1[[#All],[Malın kodu]],Table1[[#All],[Malın adı]],"xəta",0)</f>
        <v>Boru / d 32 mm x 5.4 mm / polipropilen / 4 metr / "Metak"</v>
      </c>
      <c r="E639" s="8" t="s">
        <v>1546</v>
      </c>
      <c r="F639" s="4" t="s">
        <v>920</v>
      </c>
      <c r="G639" s="4">
        <v>11</v>
      </c>
      <c r="H639" s="4"/>
      <c r="I639" s="4">
        <f>Table4[[#This Row],[Malın miqdarı]]*Table4[[#This Row],[Vahidin qiyməti]]</f>
        <v>0</v>
      </c>
      <c r="J639" s="4" t="s">
        <v>899</v>
      </c>
      <c r="K639" s="4" t="s">
        <v>893</v>
      </c>
      <c r="L639" s="4">
        <f>_xlfn.XLOOKUP(Table4[[#This Row],[Kontragentin adı]],Table2[Kontragentin adı],Table2[Müqavilə nömrəsi],"Xəta",0)</f>
        <v>0</v>
      </c>
      <c r="M639" s="4">
        <f>_xlfn.XLOOKUP(Table4[[#This Row],[Kontragentin adı]],Table2[Kontragentin adı],Table2[Müqavilə nömrəsi],"Xəta",0)</f>
        <v>0</v>
      </c>
    </row>
    <row r="640" spans="2:13" x14ac:dyDescent="0.3">
      <c r="B640" s="4">
        <f t="shared" si="9"/>
        <v>637</v>
      </c>
      <c r="C640" s="5">
        <v>46174</v>
      </c>
      <c r="D640" s="10" t="str" cm="1">
        <f t="array" ref="D640">_xlfn.XLOOKUP(Table4[[#This Row],[Malın kodu]],Table1[[#All],[Malın kodu]],Table1[[#All],[Malın adı]],"xəta",0)</f>
        <v>Boru / d 110 mm / PVC / 5 metr</v>
      </c>
      <c r="E640" s="8" t="s">
        <v>1547</v>
      </c>
      <c r="F640" s="4" t="s">
        <v>920</v>
      </c>
      <c r="G640" s="4">
        <v>2</v>
      </c>
      <c r="H640" s="4"/>
      <c r="I640" s="4">
        <f>Table4[[#This Row],[Malın miqdarı]]*Table4[[#This Row],[Vahidin qiyməti]]</f>
        <v>0</v>
      </c>
      <c r="J640" s="4" t="s">
        <v>899</v>
      </c>
      <c r="K640" s="4" t="s">
        <v>893</v>
      </c>
      <c r="L640" s="4">
        <f>_xlfn.XLOOKUP(Table4[[#This Row],[Kontragentin adı]],Table2[Kontragentin adı],Table2[Müqavilə nömrəsi],"Xəta",0)</f>
        <v>0</v>
      </c>
      <c r="M640" s="4">
        <f>_xlfn.XLOOKUP(Table4[[#This Row],[Kontragentin adı]],Table2[Kontragentin adı],Table2[Müqavilə nömrəsi],"Xəta",0)</f>
        <v>0</v>
      </c>
    </row>
    <row r="641" spans="2:13" x14ac:dyDescent="0.3">
      <c r="B641" s="4">
        <f t="shared" si="9"/>
        <v>638</v>
      </c>
      <c r="C641" s="5">
        <v>46174</v>
      </c>
      <c r="D641" s="10" t="str" cm="1">
        <f t="array" ref="D641">_xlfn.XLOOKUP(Table4[[#This Row],[Malın kodu]],Table1[[#All],[Malın kodu]],Table1[[#All],[Malın adı]],"xəta",0)</f>
        <v>Boru / d 63 x 2.3 mm / polietilen / 6 metr</v>
      </c>
      <c r="E641" s="8" t="s">
        <v>1548</v>
      </c>
      <c r="F641" s="4" t="s">
        <v>920</v>
      </c>
      <c r="G641" s="4">
        <v>1</v>
      </c>
      <c r="H641" s="4"/>
      <c r="I641" s="4">
        <f>Table4[[#This Row],[Malın miqdarı]]*Table4[[#This Row],[Vahidin qiyməti]]</f>
        <v>0</v>
      </c>
      <c r="J641" s="4" t="s">
        <v>899</v>
      </c>
      <c r="K641" s="4" t="s">
        <v>893</v>
      </c>
      <c r="L641" s="4">
        <f>_xlfn.XLOOKUP(Table4[[#This Row],[Kontragentin adı]],Table2[Kontragentin adı],Table2[Müqavilə nömrəsi],"Xəta",0)</f>
        <v>0</v>
      </c>
      <c r="M641" s="4">
        <f>_xlfn.XLOOKUP(Table4[[#This Row],[Kontragentin adı]],Table2[Kontragentin adı],Table2[Müqavilə nömrəsi],"Xəta",0)</f>
        <v>0</v>
      </c>
    </row>
    <row r="642" spans="2:13" x14ac:dyDescent="0.3">
      <c r="B642" s="4">
        <f t="shared" si="9"/>
        <v>639</v>
      </c>
      <c r="C642" s="5">
        <v>46174</v>
      </c>
      <c r="D642" s="10" t="str" cm="1">
        <f t="array" ref="D642">_xlfn.XLOOKUP(Table4[[#This Row],[Malın kodu]],Table1[[#All],[Malın kodu]],Table1[[#All],[Malın adı]],"xəta",0)</f>
        <v>Boru / d 25 x 2.4 mm / polietilen / 5.8 metr</v>
      </c>
      <c r="E642" s="8" t="s">
        <v>1549</v>
      </c>
      <c r="F642" s="4" t="s">
        <v>920</v>
      </c>
      <c r="G642" s="4">
        <v>1</v>
      </c>
      <c r="H642" s="4"/>
      <c r="I642" s="4">
        <f>Table4[[#This Row],[Malın miqdarı]]*Table4[[#This Row],[Vahidin qiyməti]]</f>
        <v>0</v>
      </c>
      <c r="J642" s="4" t="s">
        <v>899</v>
      </c>
      <c r="K642" s="4" t="s">
        <v>893</v>
      </c>
      <c r="L642" s="4">
        <f>_xlfn.XLOOKUP(Table4[[#This Row],[Kontragentin adı]],Table2[Kontragentin adı],Table2[Müqavilə nömrəsi],"Xəta",0)</f>
        <v>0</v>
      </c>
      <c r="M642" s="4">
        <f>_xlfn.XLOOKUP(Table4[[#This Row],[Kontragentin adı]],Table2[Kontragentin adı],Table2[Müqavilə nömrəsi],"Xəta",0)</f>
        <v>0</v>
      </c>
    </row>
    <row r="643" spans="2:13" x14ac:dyDescent="0.3">
      <c r="B643" s="4">
        <f t="shared" si="9"/>
        <v>640</v>
      </c>
      <c r="C643" s="5">
        <v>46174</v>
      </c>
      <c r="D643" s="10" t="str" cm="1">
        <f t="array" ref="D643">_xlfn.XLOOKUP(Table4[[#This Row],[Malın kodu]],Table1[[#All],[Malın kodu]],Table1[[#All],[Malın adı]],"xəta",0)</f>
        <v>Boru / d 32 x 2 mm / polietilen / 4 metr</v>
      </c>
      <c r="E643" s="8" t="s">
        <v>1550</v>
      </c>
      <c r="F643" s="4" t="s">
        <v>920</v>
      </c>
      <c r="G643" s="4">
        <v>1</v>
      </c>
      <c r="H643" s="4"/>
      <c r="I643" s="4">
        <f>Table4[[#This Row],[Malın miqdarı]]*Table4[[#This Row],[Vahidin qiyməti]]</f>
        <v>0</v>
      </c>
      <c r="J643" s="4" t="s">
        <v>899</v>
      </c>
      <c r="K643" s="4" t="s">
        <v>893</v>
      </c>
      <c r="L643" s="4">
        <f>_xlfn.XLOOKUP(Table4[[#This Row],[Kontragentin adı]],Table2[Kontragentin adı],Table2[Müqavilə nömrəsi],"Xəta",0)</f>
        <v>0</v>
      </c>
      <c r="M643" s="4">
        <f>_xlfn.XLOOKUP(Table4[[#This Row],[Kontragentin adı]],Table2[Kontragentin adı],Table2[Müqavilə nömrəsi],"Xəta",0)</f>
        <v>0</v>
      </c>
    </row>
    <row r="644" spans="2:13" x14ac:dyDescent="0.3">
      <c r="B644" s="4">
        <f t="shared" ref="B644:B707" si="10">ROW()-3</f>
        <v>641</v>
      </c>
      <c r="C644" s="5">
        <v>46174</v>
      </c>
      <c r="D644" s="10" t="str" cm="1">
        <f t="array" ref="D644">_xlfn.XLOOKUP(Table4[[#This Row],[Malın kodu]],Table1[[#All],[Malın kodu]],Table1[[#All],[Malın adı]],"xəta",0)</f>
        <v>Şnek / d 450 mm</v>
      </c>
      <c r="E644" s="8" t="s">
        <v>1551</v>
      </c>
      <c r="F644" s="4" t="s">
        <v>920</v>
      </c>
      <c r="G644" s="4">
        <v>9</v>
      </c>
      <c r="H644" s="4"/>
      <c r="I644" s="4">
        <f>Table4[[#This Row],[Malın miqdarı]]*Table4[[#This Row],[Vahidin qiyməti]]</f>
        <v>0</v>
      </c>
      <c r="J644" s="4" t="s">
        <v>899</v>
      </c>
      <c r="K644" s="4" t="s">
        <v>893</v>
      </c>
      <c r="L644" s="4">
        <f>_xlfn.XLOOKUP(Table4[[#This Row],[Kontragentin adı]],Table2[Kontragentin adı],Table2[Müqavilə nömrəsi],"Xəta",0)</f>
        <v>0</v>
      </c>
      <c r="M644" s="4">
        <f>_xlfn.XLOOKUP(Table4[[#This Row],[Kontragentin adı]],Table2[Kontragentin adı],Table2[Müqavilə nömrəsi],"Xəta",0)</f>
        <v>0</v>
      </c>
    </row>
    <row r="645" spans="2:13" x14ac:dyDescent="0.3">
      <c r="B645" s="4">
        <f t="shared" si="10"/>
        <v>642</v>
      </c>
      <c r="C645" s="5">
        <v>46174</v>
      </c>
      <c r="D645" s="10" t="str" cm="1">
        <f t="array" ref="D645">_xlfn.XLOOKUP(Table4[[#This Row],[Malın kodu]],Table1[[#All],[Malın kodu]],Table1[[#All],[Malın adı]],"xəta",0)</f>
        <v>Şnek / d 400 mm</v>
      </c>
      <c r="E645" s="8" t="s">
        <v>1552</v>
      </c>
      <c r="F645" s="4" t="s">
        <v>920</v>
      </c>
      <c r="G645" s="4">
        <v>5</v>
      </c>
      <c r="H645" s="4"/>
      <c r="I645" s="4">
        <f>Table4[[#This Row],[Malın miqdarı]]*Table4[[#This Row],[Vahidin qiyməti]]</f>
        <v>0</v>
      </c>
      <c r="J645" s="4" t="s">
        <v>899</v>
      </c>
      <c r="K645" s="4" t="s">
        <v>893</v>
      </c>
      <c r="L645" s="4">
        <f>_xlfn.XLOOKUP(Table4[[#This Row],[Kontragentin adı]],Table2[Kontragentin adı],Table2[Müqavilə nömrəsi],"Xəta",0)</f>
        <v>0</v>
      </c>
      <c r="M645" s="4">
        <f>_xlfn.XLOOKUP(Table4[[#This Row],[Kontragentin adı]],Table2[Kontragentin adı],Table2[Müqavilə nömrəsi],"Xəta",0)</f>
        <v>0</v>
      </c>
    </row>
    <row r="646" spans="2:13" x14ac:dyDescent="0.3">
      <c r="B646" s="4">
        <f t="shared" si="10"/>
        <v>643</v>
      </c>
      <c r="C646" s="5">
        <v>46174</v>
      </c>
      <c r="D646" s="10" t="str" cm="1">
        <f t="array" ref="D646">_xlfn.XLOOKUP(Table4[[#This Row],[Malın kodu]],Table1[[#All],[Malın kodu]],Table1[[#All],[Malın adı]],"xəta",0)</f>
        <v>Şnek / d 700 mm</v>
      </c>
      <c r="E646" s="8" t="s">
        <v>1553</v>
      </c>
      <c r="F646" s="4" t="s">
        <v>920</v>
      </c>
      <c r="G646" s="4">
        <v>6</v>
      </c>
      <c r="H646" s="4"/>
      <c r="I646" s="4">
        <f>Table4[[#This Row],[Malın miqdarı]]*Table4[[#This Row],[Vahidin qiyməti]]</f>
        <v>0</v>
      </c>
      <c r="J646" s="4" t="s">
        <v>899</v>
      </c>
      <c r="K646" s="4" t="s">
        <v>893</v>
      </c>
      <c r="L646" s="4">
        <f>_xlfn.XLOOKUP(Table4[[#This Row],[Kontragentin adı]],Table2[Kontragentin adı],Table2[Müqavilə nömrəsi],"Xəta",0)</f>
        <v>0</v>
      </c>
      <c r="M646" s="4">
        <f>_xlfn.XLOOKUP(Table4[[#This Row],[Kontragentin adı]],Table2[Kontragentin adı],Table2[Müqavilə nömrəsi],"Xəta",0)</f>
        <v>0</v>
      </c>
    </row>
    <row r="647" spans="2:13" x14ac:dyDescent="0.3">
      <c r="B647" s="4">
        <f t="shared" si="10"/>
        <v>644</v>
      </c>
      <c r="C647" s="5">
        <v>46174</v>
      </c>
      <c r="D647" s="10" t="str" cm="1">
        <f t="array" ref="D647">_xlfn.XLOOKUP(Table4[[#This Row],[Malın kodu]],Table1[[#All],[Malın kodu]],Table1[[#All],[Malın adı]],"xəta",0)</f>
        <v>Şnek / d 600 mm</v>
      </c>
      <c r="E647" s="8" t="s">
        <v>1554</v>
      </c>
      <c r="F647" s="4" t="s">
        <v>920</v>
      </c>
      <c r="G647" s="4">
        <v>1</v>
      </c>
      <c r="H647" s="4"/>
      <c r="I647" s="4">
        <f>Table4[[#This Row],[Malın miqdarı]]*Table4[[#This Row],[Vahidin qiyməti]]</f>
        <v>0</v>
      </c>
      <c r="J647" s="4" t="s">
        <v>899</v>
      </c>
      <c r="K647" s="4" t="s">
        <v>893</v>
      </c>
      <c r="L647" s="4">
        <f>_xlfn.XLOOKUP(Table4[[#This Row],[Kontragentin adı]],Table2[Kontragentin adı],Table2[Müqavilə nömrəsi],"Xəta",0)</f>
        <v>0</v>
      </c>
      <c r="M647" s="4">
        <f>_xlfn.XLOOKUP(Table4[[#This Row],[Kontragentin adı]],Table2[Kontragentin adı],Table2[Müqavilə nömrəsi],"Xəta",0)</f>
        <v>0</v>
      </c>
    </row>
    <row r="648" spans="2:13" x14ac:dyDescent="0.3">
      <c r="B648" s="4">
        <f t="shared" si="10"/>
        <v>645</v>
      </c>
      <c r="C648" s="5">
        <v>46174</v>
      </c>
      <c r="D648" s="10" t="str" cm="1">
        <f t="array" ref="D648">_xlfn.XLOOKUP(Table4[[#This Row],[Malın kodu]],Table1[[#All],[Malın kodu]],Table1[[#All],[Malın adı]],"xəta",0)</f>
        <v>Şnek / d 300 mm</v>
      </c>
      <c r="E648" s="8" t="s">
        <v>1555</v>
      </c>
      <c r="F648" s="4" t="s">
        <v>920</v>
      </c>
      <c r="G648" s="4">
        <v>2</v>
      </c>
      <c r="H648" s="4"/>
      <c r="I648" s="4">
        <f>Table4[[#This Row],[Malın miqdarı]]*Table4[[#This Row],[Vahidin qiyməti]]</f>
        <v>0</v>
      </c>
      <c r="J648" s="4" t="s">
        <v>899</v>
      </c>
      <c r="K648" s="4" t="s">
        <v>893</v>
      </c>
      <c r="L648" s="4">
        <f>_xlfn.XLOOKUP(Table4[[#This Row],[Kontragentin adı]],Table2[Kontragentin adı],Table2[Müqavilə nömrəsi],"Xəta",0)</f>
        <v>0</v>
      </c>
      <c r="M648" s="4">
        <f>_xlfn.XLOOKUP(Table4[[#This Row],[Kontragentin adı]],Table2[Kontragentin adı],Table2[Müqavilə nömrəsi],"Xəta",0)</f>
        <v>0</v>
      </c>
    </row>
    <row r="649" spans="2:13" x14ac:dyDescent="0.3">
      <c r="B649" s="4">
        <f t="shared" si="10"/>
        <v>646</v>
      </c>
      <c r="C649" s="5">
        <v>46174</v>
      </c>
      <c r="D649" s="10" t="str" cm="1">
        <f t="array" ref="D649">_xlfn.XLOOKUP(Table4[[#This Row],[Malın kodu]],Table1[[#All],[Malın kodu]],Table1[[#All],[Malın adı]],"xəta",0)</f>
        <v>Tunel qəlibi / giriş-çıxış quyuları üçün</v>
      </c>
      <c r="E649" s="8" t="s">
        <v>1556</v>
      </c>
      <c r="F649" s="4" t="s">
        <v>920</v>
      </c>
      <c r="G649" s="4">
        <v>29</v>
      </c>
      <c r="H649" s="4"/>
      <c r="I649" s="4">
        <f>Table4[[#This Row],[Malın miqdarı]]*Table4[[#This Row],[Vahidin qiyməti]]</f>
        <v>0</v>
      </c>
      <c r="J649" s="4" t="s">
        <v>899</v>
      </c>
      <c r="K649" s="4" t="s">
        <v>893</v>
      </c>
      <c r="L649" s="4">
        <f>_xlfn.XLOOKUP(Table4[[#This Row],[Kontragentin adı]],Table2[Kontragentin adı],Table2[Müqavilə nömrəsi],"Xəta",0)</f>
        <v>0</v>
      </c>
      <c r="M649" s="4">
        <f>_xlfn.XLOOKUP(Table4[[#This Row],[Kontragentin adı]],Table2[Kontragentin adı],Table2[Müqavilə nömrəsi],"Xəta",0)</f>
        <v>0</v>
      </c>
    </row>
    <row r="650" spans="2:13" x14ac:dyDescent="0.3">
      <c r="B650" s="4">
        <f t="shared" si="10"/>
        <v>647</v>
      </c>
      <c r="C650" s="5">
        <v>46174</v>
      </c>
      <c r="D650" s="10" t="str" cm="1">
        <f t="array" ref="D650">_xlfn.XLOOKUP(Table4[[#This Row],[Malın kodu]],Table1[[#All],[Malın kodu]],Table1[[#All],[Malın adı]],"xəta",0)</f>
        <v>Beton boru / d 1400 mm</v>
      </c>
      <c r="E650" s="8" t="s">
        <v>1557</v>
      </c>
      <c r="F650" s="4" t="s">
        <v>920</v>
      </c>
      <c r="G650" s="4">
        <v>2</v>
      </c>
      <c r="H650" s="4"/>
      <c r="I650" s="4">
        <f>Table4[[#This Row],[Malın miqdarı]]*Table4[[#This Row],[Vahidin qiyməti]]</f>
        <v>0</v>
      </c>
      <c r="J650" s="4" t="s">
        <v>899</v>
      </c>
      <c r="K650" s="4" t="s">
        <v>893</v>
      </c>
      <c r="L650" s="4">
        <f>_xlfn.XLOOKUP(Table4[[#This Row],[Kontragentin adı]],Table2[Kontragentin adı],Table2[Müqavilə nömrəsi],"Xəta",0)</f>
        <v>0</v>
      </c>
      <c r="M650" s="4">
        <f>_xlfn.XLOOKUP(Table4[[#This Row],[Kontragentin adı]],Table2[Kontragentin adı],Table2[Müqavilə nömrəsi],"Xəta",0)</f>
        <v>0</v>
      </c>
    </row>
    <row r="651" spans="2:13" x14ac:dyDescent="0.3">
      <c r="B651" s="4">
        <f t="shared" si="10"/>
        <v>648</v>
      </c>
      <c r="C651" s="5">
        <v>46174</v>
      </c>
      <c r="D651" s="10" t="str" cm="1">
        <f t="array" ref="D651">_xlfn.XLOOKUP(Table4[[#This Row],[Malın kodu]],Table1[[#All],[Malın kodu]],Table1[[#All],[Malın adı]],"xəta",0)</f>
        <v>Beton boru / d 1000 mm</v>
      </c>
      <c r="E651" s="8" t="s">
        <v>1558</v>
      </c>
      <c r="F651" s="4" t="s">
        <v>920</v>
      </c>
      <c r="G651" s="4">
        <v>1</v>
      </c>
      <c r="H651" s="4"/>
      <c r="I651" s="4">
        <f>Table4[[#This Row],[Malın miqdarı]]*Table4[[#This Row],[Vahidin qiyməti]]</f>
        <v>0</v>
      </c>
      <c r="J651" s="4" t="s">
        <v>899</v>
      </c>
      <c r="K651" s="4" t="s">
        <v>893</v>
      </c>
      <c r="L651" s="4">
        <f>_xlfn.XLOOKUP(Table4[[#This Row],[Kontragentin adı]],Table2[Kontragentin adı],Table2[Müqavilə nömrəsi],"Xəta",0)</f>
        <v>0</v>
      </c>
      <c r="M651" s="4">
        <f>_xlfn.XLOOKUP(Table4[[#This Row],[Kontragentin adı]],Table2[Kontragentin adı],Table2[Müqavilə nömrəsi],"Xəta",0)</f>
        <v>0</v>
      </c>
    </row>
    <row r="652" spans="2:13" x14ac:dyDescent="0.3">
      <c r="B652" s="4">
        <f t="shared" si="10"/>
        <v>649</v>
      </c>
      <c r="C652" s="5">
        <v>46174</v>
      </c>
      <c r="D652" s="10" t="str" cm="1">
        <f t="array" ref="D652">_xlfn.XLOOKUP(Table4[[#This Row],[Malın kodu]],Table1[[#All],[Malın kodu]],Table1[[#All],[Malın adı]],"xəta",0)</f>
        <v>Hasar / metal / torlu</v>
      </c>
      <c r="E652" s="8" t="s">
        <v>1559</v>
      </c>
      <c r="F652" s="4" t="s">
        <v>920</v>
      </c>
      <c r="G652" s="4">
        <v>25</v>
      </c>
      <c r="H652" s="4"/>
      <c r="I652" s="4">
        <f>Table4[[#This Row],[Malın miqdarı]]*Table4[[#This Row],[Vahidin qiyməti]]</f>
        <v>0</v>
      </c>
      <c r="J652" s="4" t="s">
        <v>899</v>
      </c>
      <c r="K652" s="4" t="s">
        <v>893</v>
      </c>
      <c r="L652" s="4">
        <f>_xlfn.XLOOKUP(Table4[[#This Row],[Kontragentin adı]],Table2[Kontragentin adı],Table2[Müqavilə nömrəsi],"Xəta",0)</f>
        <v>0</v>
      </c>
      <c r="M652" s="4">
        <f>_xlfn.XLOOKUP(Table4[[#This Row],[Kontragentin adı]],Table2[Kontragentin adı],Table2[Müqavilə nömrəsi],"Xəta",0)</f>
        <v>0</v>
      </c>
    </row>
    <row r="653" spans="2:13" x14ac:dyDescent="0.3">
      <c r="B653" s="4">
        <f t="shared" si="10"/>
        <v>650</v>
      </c>
      <c r="C653" s="5">
        <v>46174</v>
      </c>
      <c r="D653" s="10" t="str" cm="1">
        <f t="array" ref="D653">_xlfn.XLOOKUP(Table4[[#This Row],[Malın kodu]],Table1[[#All],[Malın kodu]],Table1[[#All],[Malın adı]],"xəta",0)</f>
        <v>Boru / d 40 mm / polietilen / 53 metr</v>
      </c>
      <c r="E653" s="8" t="s">
        <v>1560</v>
      </c>
      <c r="F653" s="4" t="s">
        <v>929</v>
      </c>
      <c r="G653" s="4">
        <v>1</v>
      </c>
      <c r="H653" s="4"/>
      <c r="I653" s="4">
        <f>Table4[[#This Row],[Malın miqdarı]]*Table4[[#This Row],[Vahidin qiyməti]]</f>
        <v>0</v>
      </c>
      <c r="J653" s="4" t="s">
        <v>899</v>
      </c>
      <c r="K653" s="4" t="s">
        <v>893</v>
      </c>
      <c r="L653" s="4">
        <f>_xlfn.XLOOKUP(Table4[[#This Row],[Kontragentin adı]],Table2[Kontragentin adı],Table2[Müqavilə nömrəsi],"Xəta",0)</f>
        <v>0</v>
      </c>
      <c r="M653" s="4">
        <f>_xlfn.XLOOKUP(Table4[[#This Row],[Kontragentin adı]],Table2[Kontragentin adı],Table2[Müqavilə nömrəsi],"Xəta",0)</f>
        <v>0</v>
      </c>
    </row>
    <row r="654" spans="2:13" x14ac:dyDescent="0.3">
      <c r="B654" s="4">
        <f t="shared" si="10"/>
        <v>651</v>
      </c>
      <c r="C654" s="5">
        <v>46174</v>
      </c>
      <c r="D654" s="10" t="str" cm="1">
        <f t="array" ref="D654">_xlfn.XLOOKUP(Table4[[#This Row],[Malın kodu]],Table1[[#All],[Malın kodu]],Table1[[#All],[Malın adı]],"xəta",0)</f>
        <v>Su sayğacı / d 100 mm / polad / filtr ilə</v>
      </c>
      <c r="E654" s="8" t="s">
        <v>1561</v>
      </c>
      <c r="F654" s="4" t="s">
        <v>921</v>
      </c>
      <c r="G654" s="4">
        <v>16</v>
      </c>
      <c r="H654" s="4"/>
      <c r="I654" s="4">
        <f>Table4[[#This Row],[Malın miqdarı]]*Table4[[#This Row],[Vahidin qiyməti]]</f>
        <v>0</v>
      </c>
      <c r="J654" s="4" t="s">
        <v>899</v>
      </c>
      <c r="K654" s="4" t="s">
        <v>893</v>
      </c>
      <c r="L654" s="4">
        <f>_xlfn.XLOOKUP(Table4[[#This Row],[Kontragentin adı]],Table2[Kontragentin adı],Table2[Müqavilə nömrəsi],"Xəta",0)</f>
        <v>0</v>
      </c>
      <c r="M654" s="4">
        <f>_xlfn.XLOOKUP(Table4[[#This Row],[Kontragentin adı]],Table2[Kontragentin adı],Table2[Müqavilə nömrəsi],"Xəta",0)</f>
        <v>0</v>
      </c>
    </row>
    <row r="655" spans="2:13" x14ac:dyDescent="0.3">
      <c r="B655" s="4">
        <f t="shared" si="10"/>
        <v>652</v>
      </c>
      <c r="C655" s="5">
        <v>46174</v>
      </c>
      <c r="D655" s="10" t="str" cm="1">
        <f t="array" ref="D655">_xlfn.XLOOKUP(Table4[[#This Row],[Malın kodu]],Table1[[#All],[Malın kodu]],Table1[[#All],[Malın adı]],"xəta",0)</f>
        <v>Siyirtmə / d 150 mm</v>
      </c>
      <c r="E655" s="8" t="s">
        <v>1562</v>
      </c>
      <c r="F655" s="4" t="s">
        <v>920</v>
      </c>
      <c r="G655" s="4">
        <v>2</v>
      </c>
      <c r="H655" s="4"/>
      <c r="I655" s="4">
        <f>Table4[[#This Row],[Malın miqdarı]]*Table4[[#This Row],[Vahidin qiyməti]]</f>
        <v>0</v>
      </c>
      <c r="J655" s="4" t="s">
        <v>899</v>
      </c>
      <c r="K655" s="4" t="s">
        <v>893</v>
      </c>
      <c r="L655" s="4">
        <f>_xlfn.XLOOKUP(Table4[[#This Row],[Kontragentin adı]],Table2[Kontragentin adı],Table2[Müqavilə nömrəsi],"Xəta",0)</f>
        <v>0</v>
      </c>
      <c r="M655" s="4">
        <f>_xlfn.XLOOKUP(Table4[[#This Row],[Kontragentin adı]],Table2[Kontragentin adı],Table2[Müqavilə nömrəsi],"Xəta",0)</f>
        <v>0</v>
      </c>
    </row>
    <row r="656" spans="2:13" x14ac:dyDescent="0.3">
      <c r="B656" s="4">
        <f t="shared" si="10"/>
        <v>653</v>
      </c>
      <c r="C656" s="5">
        <v>46174</v>
      </c>
      <c r="D656" s="10" t="str" cm="1">
        <f t="array" ref="D656">_xlfn.XLOOKUP(Table4[[#This Row],[Malın kodu]],Table1[[#All],[Malın kodu]],Table1[[#All],[Malın adı]],"xəta",0)</f>
        <v>Siyirtmə / d 80 mm</v>
      </c>
      <c r="E656" s="8" t="s">
        <v>1563</v>
      </c>
      <c r="F656" s="4" t="s">
        <v>920</v>
      </c>
      <c r="G656" s="4">
        <v>1</v>
      </c>
      <c r="H656" s="4"/>
      <c r="I656" s="4">
        <f>Table4[[#This Row],[Malın miqdarı]]*Table4[[#This Row],[Vahidin qiyməti]]</f>
        <v>0</v>
      </c>
      <c r="J656" s="4" t="s">
        <v>899</v>
      </c>
      <c r="K656" s="4" t="s">
        <v>893</v>
      </c>
      <c r="L656" s="4">
        <f>_xlfn.XLOOKUP(Table4[[#This Row],[Kontragentin adı]],Table2[Kontragentin adı],Table2[Müqavilə nömrəsi],"Xəta",0)</f>
        <v>0</v>
      </c>
      <c r="M656" s="4">
        <f>_xlfn.XLOOKUP(Table4[[#This Row],[Kontragentin adı]],Table2[Kontragentin adı],Table2[Müqavilə nömrəsi],"Xəta",0)</f>
        <v>0</v>
      </c>
    </row>
    <row r="657" spans="2:13" x14ac:dyDescent="0.3">
      <c r="B657" s="4">
        <f t="shared" si="10"/>
        <v>654</v>
      </c>
      <c r="C657" s="5">
        <v>46174</v>
      </c>
      <c r="D657" s="10" t="str" cm="1">
        <f t="array" ref="D657">_xlfn.XLOOKUP(Table4[[#This Row],[Malın kodu]],Table1[[#All],[Malın kodu]],Table1[[#All],[Malın adı]],"xəta",0)</f>
        <v>Flans / d 110 mm / polad</v>
      </c>
      <c r="E657" s="8" t="s">
        <v>1564</v>
      </c>
      <c r="F657" s="4" t="s">
        <v>920</v>
      </c>
      <c r="G657" s="4">
        <v>29</v>
      </c>
      <c r="H657" s="4"/>
      <c r="I657" s="4">
        <f>Table4[[#This Row],[Malın miqdarı]]*Table4[[#This Row],[Vahidin qiyməti]]</f>
        <v>0</v>
      </c>
      <c r="J657" s="4" t="s">
        <v>899</v>
      </c>
      <c r="K657" s="4" t="s">
        <v>893</v>
      </c>
      <c r="L657" s="4">
        <f>_xlfn.XLOOKUP(Table4[[#This Row],[Kontragentin adı]],Table2[Kontragentin adı],Table2[Müqavilə nömrəsi],"Xəta",0)</f>
        <v>0</v>
      </c>
      <c r="M657" s="4">
        <f>_xlfn.XLOOKUP(Table4[[#This Row],[Kontragentin adı]],Table2[Kontragentin adı],Table2[Müqavilə nömrəsi],"Xəta",0)</f>
        <v>0</v>
      </c>
    </row>
    <row r="658" spans="2:13" x14ac:dyDescent="0.3">
      <c r="B658" s="4">
        <f t="shared" si="10"/>
        <v>655</v>
      </c>
      <c r="C658" s="5">
        <v>46174</v>
      </c>
      <c r="D658" s="10" t="str" cm="1">
        <f t="array" ref="D658">_xlfn.XLOOKUP(Table4[[#This Row],[Malın kodu]],Table1[[#All],[Malın kodu]],Table1[[#All],[Malın adı]],"xəta",0)</f>
        <v>Flans / d 60 mm / polad</v>
      </c>
      <c r="E658" s="8" t="s">
        <v>1565</v>
      </c>
      <c r="F658" s="4" t="s">
        <v>920</v>
      </c>
      <c r="G658" s="4">
        <v>2</v>
      </c>
      <c r="H658" s="4"/>
      <c r="I658" s="4">
        <f>Table4[[#This Row],[Malın miqdarı]]*Table4[[#This Row],[Vahidin qiyməti]]</f>
        <v>0</v>
      </c>
      <c r="J658" s="4" t="s">
        <v>899</v>
      </c>
      <c r="K658" s="4" t="s">
        <v>893</v>
      </c>
      <c r="L658" s="4">
        <f>_xlfn.XLOOKUP(Table4[[#This Row],[Kontragentin adı]],Table2[Kontragentin adı],Table2[Müqavilə nömrəsi],"Xəta",0)</f>
        <v>0</v>
      </c>
      <c r="M658" s="4">
        <f>_xlfn.XLOOKUP(Table4[[#This Row],[Kontragentin adı]],Table2[Kontragentin adı],Table2[Müqavilə nömrəsi],"Xəta",0)</f>
        <v>0</v>
      </c>
    </row>
    <row r="659" spans="2:13" x14ac:dyDescent="0.3">
      <c r="B659" s="4">
        <f t="shared" si="10"/>
        <v>656</v>
      </c>
      <c r="C659" s="5">
        <v>46174</v>
      </c>
      <c r="D659" s="10" t="str" cm="1">
        <f t="array" ref="D659">_xlfn.XLOOKUP(Table4[[#This Row],[Malın kodu]],Table1[[#All],[Malın kodu]],Table1[[#All],[Malın adı]],"xəta",0)</f>
        <v>Kompressor / "Pighon"</v>
      </c>
      <c r="E659" s="8" t="s">
        <v>1566</v>
      </c>
      <c r="F659" s="4" t="s">
        <v>920</v>
      </c>
      <c r="G659" s="4">
        <v>1</v>
      </c>
      <c r="H659" s="4"/>
      <c r="I659" s="4">
        <f>Table4[[#This Row],[Malın miqdarı]]*Table4[[#This Row],[Vahidin qiyməti]]</f>
        <v>0</v>
      </c>
      <c r="J659" s="4" t="s">
        <v>899</v>
      </c>
      <c r="K659" s="4" t="s">
        <v>893</v>
      </c>
      <c r="L659" s="4">
        <f>_xlfn.XLOOKUP(Table4[[#This Row],[Kontragentin adı]],Table2[Kontragentin adı],Table2[Müqavilə nömrəsi],"Xəta",0)</f>
        <v>0</v>
      </c>
      <c r="M659" s="4">
        <f>_xlfn.XLOOKUP(Table4[[#This Row],[Kontragentin adı]],Table2[Kontragentin adı],Table2[Müqavilə nömrəsi],"Xəta",0)</f>
        <v>0</v>
      </c>
    </row>
    <row r="660" spans="2:13" x14ac:dyDescent="0.3">
      <c r="B660" s="4">
        <f t="shared" si="10"/>
        <v>657</v>
      </c>
      <c r="C660" s="5">
        <v>46174</v>
      </c>
      <c r="D660" s="10" t="str" cm="1">
        <f t="array" ref="D660">_xlfn.XLOOKUP(Table4[[#This Row],[Malın kodu]],Table1[[#All],[Malın kodu]],Table1[[#All],[Malın adı]],"xəta",0)</f>
        <v>Boru / polietilen / d 32 mm x 2 mm / 100 metr</v>
      </c>
      <c r="E660" s="8" t="s">
        <v>1567</v>
      </c>
      <c r="F660" s="4" t="s">
        <v>929</v>
      </c>
      <c r="G660" s="4">
        <v>1</v>
      </c>
      <c r="H660" s="4"/>
      <c r="I660" s="4">
        <f>Table4[[#This Row],[Malın miqdarı]]*Table4[[#This Row],[Vahidin qiyməti]]</f>
        <v>0</v>
      </c>
      <c r="J660" s="4" t="s">
        <v>899</v>
      </c>
      <c r="K660" s="4" t="s">
        <v>893</v>
      </c>
      <c r="L660" s="4">
        <f>_xlfn.XLOOKUP(Table4[[#This Row],[Kontragentin adı]],Table2[Kontragentin adı],Table2[Müqavilə nömrəsi],"Xəta",0)</f>
        <v>0</v>
      </c>
      <c r="M660" s="4">
        <f>_xlfn.XLOOKUP(Table4[[#This Row],[Kontragentin adı]],Table2[Kontragentin adı],Table2[Müqavilə nömrəsi],"Xəta",0)</f>
        <v>0</v>
      </c>
    </row>
    <row r="661" spans="2:13" x14ac:dyDescent="0.3">
      <c r="B661" s="4">
        <f t="shared" si="10"/>
        <v>658</v>
      </c>
      <c r="C661" s="5">
        <v>46174</v>
      </c>
      <c r="D661" s="10" t="str" cm="1">
        <f t="array" ref="D661">_xlfn.XLOOKUP(Table4[[#This Row],[Malın kodu]],Table1[[#All],[Malın kodu]],Table1[[#All],[Malın adı]],"xəta",0)</f>
        <v>Boru / polietilen / d 32 mm x 2 mm / 200 metr</v>
      </c>
      <c r="E661" s="8" t="s">
        <v>1568</v>
      </c>
      <c r="F661" s="4" t="s">
        <v>929</v>
      </c>
      <c r="G661" s="4">
        <v>1</v>
      </c>
      <c r="H661" s="4"/>
      <c r="I661" s="4">
        <f>Table4[[#This Row],[Malın miqdarı]]*Table4[[#This Row],[Vahidin qiyməti]]</f>
        <v>0</v>
      </c>
      <c r="J661" s="4" t="s">
        <v>899</v>
      </c>
      <c r="K661" s="4" t="s">
        <v>893</v>
      </c>
      <c r="L661" s="4">
        <f>_xlfn.XLOOKUP(Table4[[#This Row],[Kontragentin adı]],Table2[Kontragentin adı],Table2[Müqavilə nömrəsi],"Xəta",0)</f>
        <v>0</v>
      </c>
      <c r="M661" s="4">
        <f>_xlfn.XLOOKUP(Table4[[#This Row],[Kontragentin adı]],Table2[Kontragentin adı],Table2[Müqavilə nömrəsi],"Xəta",0)</f>
        <v>0</v>
      </c>
    </row>
    <row r="662" spans="2:13" x14ac:dyDescent="0.3">
      <c r="B662" s="4">
        <f t="shared" si="10"/>
        <v>659</v>
      </c>
      <c r="C662" s="5">
        <v>46174</v>
      </c>
      <c r="D662" s="10" t="str" cm="1">
        <f t="array" ref="D662">_xlfn.XLOOKUP(Table4[[#This Row],[Malın kodu]],Table1[[#All],[Malın kodu]],Table1[[#All],[Malın adı]],"xəta",0)</f>
        <v>Boru / polietilen / d 25 mm x 2.4 mm / 50 metr</v>
      </c>
      <c r="E662" s="8" t="s">
        <v>1569</v>
      </c>
      <c r="F662" s="4" t="s">
        <v>929</v>
      </c>
      <c r="G662" s="4">
        <v>1</v>
      </c>
      <c r="H662" s="4"/>
      <c r="I662" s="4">
        <f>Table4[[#This Row],[Malın miqdarı]]*Table4[[#This Row],[Vahidin qiyməti]]</f>
        <v>0</v>
      </c>
      <c r="J662" s="4" t="s">
        <v>899</v>
      </c>
      <c r="K662" s="4" t="s">
        <v>893</v>
      </c>
      <c r="L662" s="4">
        <f>_xlfn.XLOOKUP(Table4[[#This Row],[Kontragentin adı]],Table2[Kontragentin adı],Table2[Müqavilə nömrəsi],"Xəta",0)</f>
        <v>0</v>
      </c>
      <c r="M662" s="4">
        <f>_xlfn.XLOOKUP(Table4[[#This Row],[Kontragentin adı]],Table2[Kontragentin adı],Table2[Müqavilə nömrəsi],"Xəta",0)</f>
        <v>0</v>
      </c>
    </row>
    <row r="663" spans="2:13" x14ac:dyDescent="0.3">
      <c r="B663" s="4">
        <f t="shared" si="10"/>
        <v>660</v>
      </c>
      <c r="C663" s="5">
        <v>46174</v>
      </c>
      <c r="D663" s="10" t="str" cm="1">
        <f t="array" ref="D663">_xlfn.XLOOKUP(Table4[[#This Row],[Malın kodu]],Table1[[#All],[Malın kodu]],Table1[[#All],[Malın adı]],"xəta",0)</f>
        <v>Boru / polietilen / d 25 x 2 mm / 52 metr</v>
      </c>
      <c r="E663" s="8" t="s">
        <v>1570</v>
      </c>
      <c r="F663" s="4" t="s">
        <v>929</v>
      </c>
      <c r="G663" s="4">
        <v>1</v>
      </c>
      <c r="H663" s="4"/>
      <c r="I663" s="4">
        <f>Table4[[#This Row],[Malın miqdarı]]*Table4[[#This Row],[Vahidin qiyməti]]</f>
        <v>0</v>
      </c>
      <c r="J663" s="4" t="s">
        <v>899</v>
      </c>
      <c r="K663" s="4" t="s">
        <v>893</v>
      </c>
      <c r="L663" s="4">
        <f>_xlfn.XLOOKUP(Table4[[#This Row],[Kontragentin adı]],Table2[Kontragentin adı],Table2[Müqavilə nömrəsi],"Xəta",0)</f>
        <v>0</v>
      </c>
      <c r="M663" s="4">
        <f>_xlfn.XLOOKUP(Table4[[#This Row],[Kontragentin adı]],Table2[Kontragentin adı],Table2[Müqavilə nömrəsi],"Xəta",0)</f>
        <v>0</v>
      </c>
    </row>
    <row r="664" spans="2:13" x14ac:dyDescent="0.3">
      <c r="B664" s="4">
        <f t="shared" si="10"/>
        <v>661</v>
      </c>
      <c r="C664" s="5">
        <v>46174</v>
      </c>
      <c r="D664" s="10" t="str" cm="1">
        <f t="array" ref="D664">_xlfn.XLOOKUP(Table4[[#This Row],[Malın kodu]],Table1[[#All],[Malın kodu]],Table1[[#All],[Malın adı]],"xəta",0)</f>
        <v>Boru / polietilen / d 32 mm</v>
      </c>
      <c r="E664" s="8" t="s">
        <v>1571</v>
      </c>
      <c r="F664" s="4" t="s">
        <v>925</v>
      </c>
      <c r="G664" s="4">
        <v>10</v>
      </c>
      <c r="H664" s="4"/>
      <c r="I664" s="4">
        <f>Table4[[#This Row],[Malın miqdarı]]*Table4[[#This Row],[Vahidin qiyməti]]</f>
        <v>0</v>
      </c>
      <c r="J664" s="4" t="s">
        <v>899</v>
      </c>
      <c r="K664" s="4" t="s">
        <v>893</v>
      </c>
      <c r="L664" s="4">
        <f>_xlfn.XLOOKUP(Table4[[#This Row],[Kontragentin adı]],Table2[Kontragentin adı],Table2[Müqavilə nömrəsi],"Xəta",0)</f>
        <v>0</v>
      </c>
      <c r="M664" s="4">
        <f>_xlfn.XLOOKUP(Table4[[#This Row],[Kontragentin adı]],Table2[Kontragentin adı],Table2[Müqavilə nömrəsi],"Xəta",0)</f>
        <v>0</v>
      </c>
    </row>
    <row r="665" spans="2:13" x14ac:dyDescent="0.3">
      <c r="B665" s="4">
        <f t="shared" si="10"/>
        <v>662</v>
      </c>
      <c r="C665" s="5">
        <v>46174</v>
      </c>
      <c r="D665" s="10" t="str" cm="1">
        <f t="array" ref="D665">_xlfn.XLOOKUP(Table4[[#This Row],[Malın kodu]],Table1[[#All],[Malın kodu]],Table1[[#All],[Malın adı]],"xəta",0)</f>
        <v>Boru / koruqe / d 300 mm / 6 metr</v>
      </c>
      <c r="E665" s="8" t="s">
        <v>1572</v>
      </c>
      <c r="F665" s="4" t="s">
        <v>920</v>
      </c>
      <c r="G665" s="4">
        <v>4</v>
      </c>
      <c r="H665" s="4"/>
      <c r="I665" s="4">
        <f>Table4[[#This Row],[Malın miqdarı]]*Table4[[#This Row],[Vahidin qiyməti]]</f>
        <v>0</v>
      </c>
      <c r="J665" s="4" t="s">
        <v>899</v>
      </c>
      <c r="K665" s="4" t="s">
        <v>893</v>
      </c>
      <c r="L665" s="4">
        <f>_xlfn.XLOOKUP(Table4[[#This Row],[Kontragentin adı]],Table2[Kontragentin adı],Table2[Müqavilə nömrəsi],"Xəta",0)</f>
        <v>0</v>
      </c>
      <c r="M665" s="4">
        <f>_xlfn.XLOOKUP(Table4[[#This Row],[Kontragentin adı]],Table2[Kontragentin adı],Table2[Müqavilə nömrəsi],"Xəta",0)</f>
        <v>0</v>
      </c>
    </row>
    <row r="666" spans="2:13" x14ac:dyDescent="0.3">
      <c r="B666" s="4">
        <f t="shared" si="10"/>
        <v>663</v>
      </c>
      <c r="C666" s="5">
        <v>46174</v>
      </c>
      <c r="D666" s="10" t="str" cm="1">
        <f t="array" ref="D666">_xlfn.XLOOKUP(Table4[[#This Row],[Malın kodu]],Table1[[#All],[Malın kodu]],Table1[[#All],[Malın adı]],"xəta",0)</f>
        <v>Boru / polietilen / d 225 mm / 4,9 metr</v>
      </c>
      <c r="E666" s="8" t="s">
        <v>1573</v>
      </c>
      <c r="F666" s="4" t="s">
        <v>920</v>
      </c>
      <c r="G666" s="4">
        <v>3</v>
      </c>
      <c r="H666" s="4"/>
      <c r="I666" s="4">
        <f>Table4[[#This Row],[Malın miqdarı]]*Table4[[#This Row],[Vahidin qiyməti]]</f>
        <v>0</v>
      </c>
      <c r="J666" s="4" t="s">
        <v>899</v>
      </c>
      <c r="K666" s="4" t="s">
        <v>893</v>
      </c>
      <c r="L666" s="4">
        <f>_xlfn.XLOOKUP(Table4[[#This Row],[Kontragentin adı]],Table2[Kontragentin adı],Table2[Müqavilə nömrəsi],"Xəta",0)</f>
        <v>0</v>
      </c>
      <c r="M666" s="4">
        <f>_xlfn.XLOOKUP(Table4[[#This Row],[Kontragentin adı]],Table2[Kontragentin adı],Table2[Müqavilə nömrəsi],"Xəta",0)</f>
        <v>0</v>
      </c>
    </row>
    <row r="667" spans="2:13" x14ac:dyDescent="0.3">
      <c r="B667" s="4">
        <f t="shared" si="10"/>
        <v>664</v>
      </c>
      <c r="C667" s="5">
        <v>46174</v>
      </c>
      <c r="D667" s="10" t="str" cm="1">
        <f t="array" ref="D667">_xlfn.XLOOKUP(Table4[[#This Row],[Malın kodu]],Table1[[#All],[Malın kodu]],Table1[[#All],[Malın adı]],"xəta",0)</f>
        <v>Boru / PVC-U / d 160 mm / 6 metr</v>
      </c>
      <c r="E667" s="8" t="s">
        <v>1574</v>
      </c>
      <c r="F667" s="4" t="s">
        <v>920</v>
      </c>
      <c r="G667" s="4">
        <v>2</v>
      </c>
      <c r="H667" s="4"/>
      <c r="I667" s="4">
        <f>Table4[[#This Row],[Malın miqdarı]]*Table4[[#This Row],[Vahidin qiyməti]]</f>
        <v>0</v>
      </c>
      <c r="J667" s="4" t="s">
        <v>899</v>
      </c>
      <c r="K667" s="4" t="s">
        <v>893</v>
      </c>
      <c r="L667" s="4">
        <f>_xlfn.XLOOKUP(Table4[[#This Row],[Kontragentin adı]],Table2[Kontragentin adı],Table2[Müqavilə nömrəsi],"Xəta",0)</f>
        <v>0</v>
      </c>
      <c r="M667" s="4">
        <f>_xlfn.XLOOKUP(Table4[[#This Row],[Kontragentin adı]],Table2[Kontragentin adı],Table2[Müqavilə nömrəsi],"Xəta",0)</f>
        <v>0</v>
      </c>
    </row>
    <row r="668" spans="2:13" x14ac:dyDescent="0.3">
      <c r="B668" s="4">
        <f t="shared" si="10"/>
        <v>665</v>
      </c>
      <c r="C668" s="5">
        <v>46174</v>
      </c>
      <c r="D668" s="10" t="str" cm="1">
        <f t="array" ref="D668">_xlfn.XLOOKUP(Table4[[#This Row],[Malın kodu]],Table1[[#All],[Malın kodu]],Table1[[#All],[Malın adı]],"xəta",0)</f>
        <v>Boru / PVC-U / d 110 mm / 6 metr</v>
      </c>
      <c r="E668" s="8" t="s">
        <v>1575</v>
      </c>
      <c r="F668" s="4" t="s">
        <v>920</v>
      </c>
      <c r="G668" s="4">
        <v>1</v>
      </c>
      <c r="H668" s="4"/>
      <c r="I668" s="4">
        <f>Table4[[#This Row],[Malın miqdarı]]*Table4[[#This Row],[Vahidin qiyməti]]</f>
        <v>0</v>
      </c>
      <c r="J668" s="4" t="s">
        <v>899</v>
      </c>
      <c r="K668" s="4" t="s">
        <v>893</v>
      </c>
      <c r="L668" s="4">
        <f>_xlfn.XLOOKUP(Table4[[#This Row],[Kontragentin adı]],Table2[Kontragentin adı],Table2[Müqavilə nömrəsi],"Xəta",0)</f>
        <v>0</v>
      </c>
      <c r="M668" s="4">
        <f>_xlfn.XLOOKUP(Table4[[#This Row],[Kontragentin adı]],Table2[Kontragentin adı],Table2[Müqavilə nömrəsi],"Xəta",0)</f>
        <v>0</v>
      </c>
    </row>
    <row r="669" spans="2:13" x14ac:dyDescent="0.3">
      <c r="B669" s="4">
        <f t="shared" si="10"/>
        <v>666</v>
      </c>
      <c r="C669" s="5">
        <v>46174</v>
      </c>
      <c r="D669" s="10" t="str" cm="1">
        <f t="array" ref="D669">_xlfn.XLOOKUP(Table4[[#This Row],[Malın kodu]],Table1[[#All],[Malın kodu]],Table1[[#All],[Malın adı]],"xəta",0)</f>
        <v>Boru / polietilen / d 140 mm / 6 metr</v>
      </c>
      <c r="E669" s="8" t="s">
        <v>1576</v>
      </c>
      <c r="F669" s="4" t="s">
        <v>920</v>
      </c>
      <c r="G669" s="4">
        <v>1</v>
      </c>
      <c r="H669" s="4"/>
      <c r="I669" s="4">
        <f>Table4[[#This Row],[Malın miqdarı]]*Table4[[#This Row],[Vahidin qiyməti]]</f>
        <v>0</v>
      </c>
      <c r="J669" s="4" t="s">
        <v>899</v>
      </c>
      <c r="K669" s="4" t="s">
        <v>893</v>
      </c>
      <c r="L669" s="4">
        <f>_xlfn.XLOOKUP(Table4[[#This Row],[Kontragentin adı]],Table2[Kontragentin adı],Table2[Müqavilə nömrəsi],"Xəta",0)</f>
        <v>0</v>
      </c>
      <c r="M669" s="4">
        <f>_xlfn.XLOOKUP(Table4[[#This Row],[Kontragentin adı]],Table2[Kontragentin adı],Table2[Müqavilə nömrəsi],"Xəta",0)</f>
        <v>0</v>
      </c>
    </row>
    <row r="670" spans="2:13" x14ac:dyDescent="0.3">
      <c r="B670" s="4">
        <f t="shared" si="10"/>
        <v>667</v>
      </c>
      <c r="C670" s="5">
        <v>46174</v>
      </c>
      <c r="D670" s="10" t="str" cm="1">
        <f t="array" ref="D670">_xlfn.XLOOKUP(Table4[[#This Row],[Malın kodu]],Table1[[#All],[Malın kodu]],Table1[[#All],[Malın adı]],"xəta",0)</f>
        <v>Boru / polietilen / d 160 mm / 5,5 metr</v>
      </c>
      <c r="E670" s="8" t="s">
        <v>1577</v>
      </c>
      <c r="F670" s="4" t="s">
        <v>920</v>
      </c>
      <c r="G670" s="4">
        <v>1</v>
      </c>
      <c r="H670" s="4"/>
      <c r="I670" s="4">
        <f>Table4[[#This Row],[Malın miqdarı]]*Table4[[#This Row],[Vahidin qiyməti]]</f>
        <v>0</v>
      </c>
      <c r="J670" s="4" t="s">
        <v>899</v>
      </c>
      <c r="K670" s="4" t="s">
        <v>893</v>
      </c>
      <c r="L670" s="4">
        <f>_xlfn.XLOOKUP(Table4[[#This Row],[Kontragentin adı]],Table2[Kontragentin adı],Table2[Müqavilə nömrəsi],"Xəta",0)</f>
        <v>0</v>
      </c>
      <c r="M670" s="4">
        <f>_xlfn.XLOOKUP(Table4[[#This Row],[Kontragentin adı]],Table2[Kontragentin adı],Table2[Müqavilə nömrəsi],"Xəta",0)</f>
        <v>0</v>
      </c>
    </row>
    <row r="671" spans="2:13" x14ac:dyDescent="0.3">
      <c r="B671" s="4">
        <f t="shared" si="10"/>
        <v>668</v>
      </c>
      <c r="C671" s="5">
        <v>46174</v>
      </c>
      <c r="D671" s="10" t="str" cm="1">
        <f t="array" ref="D671">_xlfn.XLOOKUP(Table4[[#This Row],[Malın kodu]],Table1[[#All],[Malın kodu]],Table1[[#All],[Malın adı]],"xəta",0)</f>
        <v>Subasıncı / d100mm / mühərriklə / ilbiz tipli</v>
      </c>
      <c r="E671" s="8" t="s">
        <v>1578</v>
      </c>
      <c r="F671" s="4" t="s">
        <v>920</v>
      </c>
      <c r="G671" s="4">
        <v>2</v>
      </c>
      <c r="H671" s="4"/>
      <c r="I671" s="4">
        <f>Table4[[#This Row],[Malın miqdarı]]*Table4[[#This Row],[Vahidin qiyməti]]</f>
        <v>0</v>
      </c>
      <c r="J671" s="4" t="s">
        <v>899</v>
      </c>
      <c r="K671" s="4" t="s">
        <v>893</v>
      </c>
      <c r="L671" s="4">
        <f>_xlfn.XLOOKUP(Table4[[#This Row],[Kontragentin adı]],Table2[Kontragentin adı],Table2[Müqavilə nömrəsi],"Xəta",0)</f>
        <v>0</v>
      </c>
      <c r="M671" s="4">
        <f>_xlfn.XLOOKUP(Table4[[#This Row],[Kontragentin adı]],Table2[Kontragentin adı],Table2[Müqavilə nömrəsi],"Xəta",0)</f>
        <v>0</v>
      </c>
    </row>
    <row r="672" spans="2:13" x14ac:dyDescent="0.3">
      <c r="B672" s="4">
        <f t="shared" si="10"/>
        <v>669</v>
      </c>
      <c r="C672" s="5">
        <v>46174</v>
      </c>
      <c r="D672" s="10" t="str" cm="1">
        <f t="array" ref="D672">_xlfn.XLOOKUP(Table4[[#This Row],[Malın kodu]],Table1[[#All],[Malın kodu]],Table1[[#All],[Malın adı]],"xəta",0)</f>
        <v>Su çəni / 1 tonn / plastik</v>
      </c>
      <c r="E672" s="8" t="s">
        <v>1579</v>
      </c>
      <c r="F672" s="4" t="s">
        <v>920</v>
      </c>
      <c r="G672" s="4">
        <v>1</v>
      </c>
      <c r="H672" s="4"/>
      <c r="I672" s="4">
        <f>Table4[[#This Row],[Malın miqdarı]]*Table4[[#This Row],[Vahidin qiyməti]]</f>
        <v>0</v>
      </c>
      <c r="J672" s="4" t="s">
        <v>899</v>
      </c>
      <c r="K672" s="4" t="s">
        <v>893</v>
      </c>
      <c r="L672" s="4">
        <f>_xlfn.XLOOKUP(Table4[[#This Row],[Kontragentin adı]],Table2[Kontragentin adı],Table2[Müqavilə nömrəsi],"Xəta",0)</f>
        <v>0</v>
      </c>
      <c r="M672" s="4">
        <f>_xlfn.XLOOKUP(Table4[[#This Row],[Kontragentin adı]],Table2[Kontragentin adı],Table2[Müqavilə nömrəsi],"Xəta",0)</f>
        <v>0</v>
      </c>
    </row>
    <row r="673" spans="2:13" x14ac:dyDescent="0.3">
      <c r="B673" s="4">
        <f t="shared" si="10"/>
        <v>670</v>
      </c>
      <c r="C673" s="5">
        <v>46174</v>
      </c>
      <c r="D673" s="10" t="str" cm="1">
        <f t="array" ref="D673">_xlfn.XLOOKUP(Table4[[#This Row],[Malın kodu]],Table1[[#All],[Malın kodu]],Table1[[#All],[Malın adı]],"xəta",0)</f>
        <v>Vaqonet (badya) /</v>
      </c>
      <c r="E673" s="8" t="s">
        <v>1580</v>
      </c>
      <c r="F673" s="4" t="s">
        <v>920</v>
      </c>
      <c r="G673" s="4">
        <v>5</v>
      </c>
      <c r="H673" s="4"/>
      <c r="I673" s="4">
        <f>Table4[[#This Row],[Malın miqdarı]]*Table4[[#This Row],[Vahidin qiyməti]]</f>
        <v>0</v>
      </c>
      <c r="J673" s="4" t="s">
        <v>899</v>
      </c>
      <c r="K673" s="4" t="s">
        <v>893</v>
      </c>
      <c r="L673" s="4">
        <f>_xlfn.XLOOKUP(Table4[[#This Row],[Kontragentin adı]],Table2[Kontragentin adı],Table2[Müqavilə nömrəsi],"Xəta",0)</f>
        <v>0</v>
      </c>
      <c r="M673" s="4">
        <f>_xlfn.XLOOKUP(Table4[[#This Row],[Kontragentin adı]],Table2[Kontragentin adı],Table2[Müqavilə nömrəsi],"Xəta",0)</f>
        <v>0</v>
      </c>
    </row>
    <row r="674" spans="2:13" x14ac:dyDescent="0.3">
      <c r="B674" s="4">
        <f t="shared" si="10"/>
        <v>671</v>
      </c>
      <c r="C674" s="5">
        <v>46174</v>
      </c>
      <c r="D674" s="10" t="str" cm="1">
        <f t="array" ref="D674">_xlfn.XLOOKUP(Table4[[#This Row],[Malın kodu]],Table1[[#All],[Malın kodu]],Table1[[#All],[Malın adı]],"xəta",0)</f>
        <v>Bucurqad (Lebyodka) / mühərrik ilə</v>
      </c>
      <c r="E674" s="8" t="s">
        <v>1581</v>
      </c>
      <c r="F674" s="4" t="s">
        <v>920</v>
      </c>
      <c r="G674" s="4">
        <v>1</v>
      </c>
      <c r="H674" s="4"/>
      <c r="I674" s="4">
        <f>Table4[[#This Row],[Malın miqdarı]]*Table4[[#This Row],[Vahidin qiyməti]]</f>
        <v>0</v>
      </c>
      <c r="J674" s="4" t="s">
        <v>899</v>
      </c>
      <c r="K674" s="4" t="s">
        <v>893</v>
      </c>
      <c r="L674" s="4">
        <f>_xlfn.XLOOKUP(Table4[[#This Row],[Kontragentin adı]],Table2[Kontragentin adı],Table2[Müqavilə nömrəsi],"Xəta",0)</f>
        <v>0</v>
      </c>
      <c r="M674" s="4">
        <f>_xlfn.XLOOKUP(Table4[[#This Row],[Kontragentin adı]],Table2[Kontragentin adı],Table2[Müqavilə nömrəsi],"Xəta",0)</f>
        <v>0</v>
      </c>
    </row>
    <row r="675" spans="2:13" x14ac:dyDescent="0.3">
      <c r="B675" s="4">
        <f t="shared" si="10"/>
        <v>672</v>
      </c>
      <c r="C675" s="5">
        <v>46174</v>
      </c>
      <c r="D675" s="10" t="str" cm="1">
        <f t="array" ref="D675">_xlfn.XLOOKUP(Table4[[#This Row],[Malın kodu]],Table1[[#All],[Malın kodu]],Table1[[#All],[Malın adı]],"xəta",0)</f>
        <v>Şlanq / hidravlik / 3/4 inch / 350 atm</v>
      </c>
      <c r="E675" s="8" t="s">
        <v>1582</v>
      </c>
      <c r="F675" s="4" t="s">
        <v>929</v>
      </c>
      <c r="G675" s="4">
        <v>4</v>
      </c>
      <c r="H675" s="4"/>
      <c r="I675" s="4">
        <f>Table4[[#This Row],[Malın miqdarı]]*Table4[[#This Row],[Vahidin qiyməti]]</f>
        <v>0</v>
      </c>
      <c r="J675" s="4" t="s">
        <v>899</v>
      </c>
      <c r="K675" s="4" t="s">
        <v>893</v>
      </c>
      <c r="L675" s="4">
        <f>_xlfn.XLOOKUP(Table4[[#This Row],[Kontragentin adı]],Table2[Kontragentin adı],Table2[Müqavilə nömrəsi],"Xəta",0)</f>
        <v>0</v>
      </c>
      <c r="M675" s="4">
        <f>_xlfn.XLOOKUP(Table4[[#This Row],[Kontragentin adı]],Table2[Kontragentin adı],Table2[Müqavilə nömrəsi],"Xəta",0)</f>
        <v>0</v>
      </c>
    </row>
    <row r="676" spans="2:13" x14ac:dyDescent="0.3">
      <c r="B676" s="4">
        <f t="shared" si="10"/>
        <v>673</v>
      </c>
      <c r="C676" s="5">
        <v>46174</v>
      </c>
      <c r="D676" s="10" t="str" cm="1">
        <f t="array" ref="D676">_xlfn.XLOOKUP(Table4[[#This Row],[Malın kodu]],Table1[[#All],[Malın kodu]],Table1[[#All],[Malın adı]],"xəta",0)</f>
        <v>Seyf / İNV0000000245</v>
      </c>
      <c r="E676" s="8" t="s">
        <v>1583</v>
      </c>
      <c r="F676" s="4" t="s">
        <v>920</v>
      </c>
      <c r="G676" s="4">
        <v>1</v>
      </c>
      <c r="H676" s="4"/>
      <c r="I676" s="4">
        <f>Table4[[#This Row],[Malın miqdarı]]*Table4[[#This Row],[Vahidin qiyməti]]</f>
        <v>0</v>
      </c>
      <c r="J676" s="4" t="s">
        <v>899</v>
      </c>
      <c r="K676" s="4" t="s">
        <v>893</v>
      </c>
      <c r="L676" s="4">
        <f>_xlfn.XLOOKUP(Table4[[#This Row],[Kontragentin adı]],Table2[Kontragentin adı],Table2[Müqavilə nömrəsi],"Xəta",0)</f>
        <v>0</v>
      </c>
      <c r="M676" s="4">
        <f>_xlfn.XLOOKUP(Table4[[#This Row],[Kontragentin adı]],Table2[Kontragentin adı],Table2[Müqavilə nömrəsi],"Xəta",0)</f>
        <v>0</v>
      </c>
    </row>
    <row r="677" spans="2:13" x14ac:dyDescent="0.3">
      <c r="B677" s="4">
        <f t="shared" si="10"/>
        <v>674</v>
      </c>
      <c r="C677" s="5">
        <v>46174</v>
      </c>
      <c r="D677" s="10" t="str" cm="1">
        <f t="array" ref="D677">_xlfn.XLOOKUP(Table4[[#This Row],[Malın kodu]],Table1[[#All],[Malın kodu]],Table1[[#All],[Malın adı]],"xəta",0)</f>
        <v>Hidrant</v>
      </c>
      <c r="E677" s="8" t="s">
        <v>1584</v>
      </c>
      <c r="F677" s="4" t="s">
        <v>921</v>
      </c>
      <c r="G677" s="4">
        <v>1</v>
      </c>
      <c r="H677" s="4"/>
      <c r="I677" s="4">
        <f>Table4[[#This Row],[Malın miqdarı]]*Table4[[#This Row],[Vahidin qiyməti]]</f>
        <v>0</v>
      </c>
      <c r="J677" s="4" t="s">
        <v>899</v>
      </c>
      <c r="K677" s="4" t="s">
        <v>893</v>
      </c>
      <c r="L677" s="4">
        <f>_xlfn.XLOOKUP(Table4[[#This Row],[Kontragentin adı]],Table2[Kontragentin adı],Table2[Müqavilə nömrəsi],"Xəta",0)</f>
        <v>0</v>
      </c>
      <c r="M677" s="4">
        <f>_xlfn.XLOOKUP(Table4[[#This Row],[Kontragentin adı]],Table2[Kontragentin adı],Table2[Müqavilə nömrəsi],"Xəta",0)</f>
        <v>0</v>
      </c>
    </row>
    <row r="678" spans="2:13" x14ac:dyDescent="0.3">
      <c r="B678" s="4">
        <f t="shared" si="10"/>
        <v>675</v>
      </c>
      <c r="C678" s="5">
        <v>46174</v>
      </c>
      <c r="D678" s="10" t="str" cm="1">
        <f t="array" ref="D678">_xlfn.XLOOKUP(Table4[[#This Row],[Malın kodu]],Table1[[#All],[Malın kodu]],Table1[[#All],[Malın adı]],"xəta",0)</f>
        <v>Qaynaq aparatı (ütü) / d150mm / plastik boru üçün</v>
      </c>
      <c r="E678" s="8" t="s">
        <v>1585</v>
      </c>
      <c r="F678" s="4" t="s">
        <v>921</v>
      </c>
      <c r="G678" s="4">
        <v>1</v>
      </c>
      <c r="H678" s="4"/>
      <c r="I678" s="4">
        <f>Table4[[#This Row],[Malın miqdarı]]*Table4[[#This Row],[Vahidin qiyməti]]</f>
        <v>0</v>
      </c>
      <c r="J678" s="4" t="s">
        <v>899</v>
      </c>
      <c r="K678" s="4" t="s">
        <v>893</v>
      </c>
      <c r="L678" s="4">
        <f>_xlfn.XLOOKUP(Table4[[#This Row],[Kontragentin adı]],Table2[Kontragentin adı],Table2[Müqavilə nömrəsi],"Xəta",0)</f>
        <v>0</v>
      </c>
      <c r="M678" s="4">
        <f>_xlfn.XLOOKUP(Table4[[#This Row],[Kontragentin adı]],Table2[Kontragentin adı],Table2[Müqavilə nömrəsi],"Xəta",0)</f>
        <v>0</v>
      </c>
    </row>
    <row r="679" spans="2:13" x14ac:dyDescent="0.3">
      <c r="B679" s="4">
        <f t="shared" si="10"/>
        <v>676</v>
      </c>
      <c r="C679" s="5">
        <v>46174</v>
      </c>
      <c r="D679" s="10" t="str" cm="1">
        <f t="array" ref="D679">_xlfn.XLOOKUP(Table4[[#This Row],[Malın kodu]],Table1[[#All],[Malın kodu]],Table1[[#All],[Malın adı]],"xəta",0)</f>
        <v>Su pompası / mühərriksiz / "AK Misan"</v>
      </c>
      <c r="E679" s="8" t="s">
        <v>1586</v>
      </c>
      <c r="F679" s="4" t="s">
        <v>920</v>
      </c>
      <c r="G679" s="4">
        <v>1</v>
      </c>
      <c r="H679" s="4"/>
      <c r="I679" s="4">
        <f>Table4[[#This Row],[Malın miqdarı]]*Table4[[#This Row],[Vahidin qiyməti]]</f>
        <v>0</v>
      </c>
      <c r="J679" s="4" t="s">
        <v>899</v>
      </c>
      <c r="K679" s="4" t="s">
        <v>893</v>
      </c>
      <c r="L679" s="4">
        <f>_xlfn.XLOOKUP(Table4[[#This Row],[Kontragentin adı]],Table2[Kontragentin adı],Table2[Müqavilə nömrəsi],"Xəta",0)</f>
        <v>0</v>
      </c>
      <c r="M679" s="4">
        <f>_xlfn.XLOOKUP(Table4[[#This Row],[Kontragentin adı]],Table2[Kontragentin adı],Table2[Müqavilə nömrəsi],"Xəta",0)</f>
        <v>0</v>
      </c>
    </row>
    <row r="680" spans="2:13" x14ac:dyDescent="0.3">
      <c r="B680" s="4">
        <f t="shared" si="10"/>
        <v>677</v>
      </c>
      <c r="C680" s="5">
        <v>46174</v>
      </c>
      <c r="D680" s="10" t="str" cm="1">
        <f t="array" ref="D680">_xlfn.XLOOKUP(Table4[[#This Row],[Malın kodu]],Table1[[#All],[Malın kodu]],Table1[[#All],[Malın adı]],"xəta",0)</f>
        <v>Qazma başlıqı / d 750mm</v>
      </c>
      <c r="E680" s="8" t="s">
        <v>1587</v>
      </c>
      <c r="F680" s="4" t="s">
        <v>920</v>
      </c>
      <c r="G680" s="4">
        <v>1</v>
      </c>
      <c r="H680" s="4"/>
      <c r="I680" s="4">
        <f>Table4[[#This Row],[Malın miqdarı]]*Table4[[#This Row],[Vahidin qiyməti]]</f>
        <v>0</v>
      </c>
      <c r="J680" s="4" t="s">
        <v>899</v>
      </c>
      <c r="K680" s="4" t="s">
        <v>893</v>
      </c>
      <c r="L680" s="4">
        <f>_xlfn.XLOOKUP(Table4[[#This Row],[Kontragentin adı]],Table2[Kontragentin adı],Table2[Müqavilə nömrəsi],"Xəta",0)</f>
        <v>0</v>
      </c>
      <c r="M680" s="4">
        <f>_xlfn.XLOOKUP(Table4[[#This Row],[Kontragentin adı]],Table2[Kontragentin adı],Table2[Müqavilə nömrəsi],"Xəta",0)</f>
        <v>0</v>
      </c>
    </row>
    <row r="681" spans="2:13" x14ac:dyDescent="0.3">
      <c r="B681" s="4">
        <f t="shared" si="10"/>
        <v>678</v>
      </c>
      <c r="C681" s="5">
        <v>46174</v>
      </c>
      <c r="D681" s="10" t="str" cm="1">
        <f t="array" ref="D681">_xlfn.XLOOKUP(Table4[[#This Row],[Malın kodu]],Table1[[#All],[Malın kodu]],Table1[[#All],[Malın adı]],"xəta",0)</f>
        <v>Qazma başlıqı / d 560mm</v>
      </c>
      <c r="E681" s="8" t="s">
        <v>1588</v>
      </c>
      <c r="F681" s="4" t="s">
        <v>920</v>
      </c>
      <c r="G681" s="4">
        <v>1</v>
      </c>
      <c r="H681" s="4"/>
      <c r="I681" s="4">
        <f>Table4[[#This Row],[Malın miqdarı]]*Table4[[#This Row],[Vahidin qiyməti]]</f>
        <v>0</v>
      </c>
      <c r="J681" s="4" t="s">
        <v>899</v>
      </c>
      <c r="K681" s="4" t="s">
        <v>893</v>
      </c>
      <c r="L681" s="4">
        <f>_xlfn.XLOOKUP(Table4[[#This Row],[Kontragentin adı]],Table2[Kontragentin adı],Table2[Müqavilə nömrəsi],"Xəta",0)</f>
        <v>0</v>
      </c>
      <c r="M681" s="4">
        <f>_xlfn.XLOOKUP(Table4[[#This Row],[Kontragentin adı]],Table2[Kontragentin adı],Table2[Müqavilə nömrəsi],"Xəta",0)</f>
        <v>0</v>
      </c>
    </row>
    <row r="682" spans="2:13" x14ac:dyDescent="0.3">
      <c r="B682" s="4">
        <f t="shared" si="10"/>
        <v>679</v>
      </c>
      <c r="C682" s="5">
        <v>46174</v>
      </c>
      <c r="D682" s="10" t="str" cm="1">
        <f t="array" ref="D682">_xlfn.XLOOKUP(Table4[[#This Row],[Malın kodu]],Table1[[#All],[Malın kodu]],Table1[[#All],[Malın adı]],"xəta",0)</f>
        <v>Dairə / metal / 1000x25mm</v>
      </c>
      <c r="E682" s="8" t="s">
        <v>1589</v>
      </c>
      <c r="F682" s="4" t="s">
        <v>920</v>
      </c>
      <c r="G682" s="4">
        <v>1</v>
      </c>
      <c r="H682" s="4"/>
      <c r="I682" s="4">
        <f>Table4[[#This Row],[Malın miqdarı]]*Table4[[#This Row],[Vahidin qiyməti]]</f>
        <v>0</v>
      </c>
      <c r="J682" s="4" t="s">
        <v>899</v>
      </c>
      <c r="K682" s="4" t="s">
        <v>893</v>
      </c>
      <c r="L682" s="4">
        <f>_xlfn.XLOOKUP(Table4[[#This Row],[Kontragentin adı]],Table2[Kontragentin adı],Table2[Müqavilə nömrəsi],"Xəta",0)</f>
        <v>0</v>
      </c>
      <c r="M682" s="4">
        <f>_xlfn.XLOOKUP(Table4[[#This Row],[Kontragentin adı]],Table2[Kontragentin adı],Table2[Müqavilə nömrəsi],"Xəta",0)</f>
        <v>0</v>
      </c>
    </row>
    <row r="683" spans="2:13" x14ac:dyDescent="0.3">
      <c r="B683" s="4">
        <f t="shared" si="10"/>
        <v>680</v>
      </c>
      <c r="C683" s="5">
        <v>46174</v>
      </c>
      <c r="D683" s="10" t="str" cm="1">
        <f t="array" ref="D683">_xlfn.XLOOKUP(Table4[[#This Row],[Malın kodu]],Table1[[#All],[Malın kodu]],Table1[[#All],[Malın adı]],"xəta",0)</f>
        <v>Qapaq / flyanslı / metal / 500x30mm</v>
      </c>
      <c r="E683" s="8" t="s">
        <v>1590</v>
      </c>
      <c r="F683" s="4" t="s">
        <v>920</v>
      </c>
      <c r="G683" s="4">
        <v>1</v>
      </c>
      <c r="H683" s="4"/>
      <c r="I683" s="4">
        <f>Table4[[#This Row],[Malın miqdarı]]*Table4[[#This Row],[Vahidin qiyməti]]</f>
        <v>0</v>
      </c>
      <c r="J683" s="4" t="s">
        <v>899</v>
      </c>
      <c r="K683" s="4" t="s">
        <v>893</v>
      </c>
      <c r="L683" s="4">
        <f>_xlfn.XLOOKUP(Table4[[#This Row],[Kontragentin adı]],Table2[Kontragentin adı],Table2[Müqavilə nömrəsi],"Xəta",0)</f>
        <v>0</v>
      </c>
      <c r="M683" s="4">
        <f>_xlfn.XLOOKUP(Table4[[#This Row],[Kontragentin adı]],Table2[Kontragentin adı],Table2[Müqavilə nömrəsi],"Xəta",0)</f>
        <v>0</v>
      </c>
    </row>
    <row r="684" spans="2:13" x14ac:dyDescent="0.3">
      <c r="B684" s="4">
        <f t="shared" si="10"/>
        <v>681</v>
      </c>
      <c r="C684" s="5">
        <v>46174</v>
      </c>
      <c r="D684" s="10" t="str" cm="1">
        <f t="array" ref="D684">_xlfn.XLOOKUP(Table4[[#This Row],[Malın kodu]],Table1[[#All],[Malın kodu]],Table1[[#All],[Malın adı]],"xəta",0)</f>
        <v>Qapaq / flyanslı / metal / 555x34mm</v>
      </c>
      <c r="E684" s="8" t="s">
        <v>1591</v>
      </c>
      <c r="F684" s="4" t="s">
        <v>920</v>
      </c>
      <c r="G684" s="4">
        <v>2</v>
      </c>
      <c r="H684" s="4"/>
      <c r="I684" s="4">
        <f>Table4[[#This Row],[Malın miqdarı]]*Table4[[#This Row],[Vahidin qiyməti]]</f>
        <v>0</v>
      </c>
      <c r="J684" s="4" t="s">
        <v>899</v>
      </c>
      <c r="K684" s="4" t="s">
        <v>893</v>
      </c>
      <c r="L684" s="4">
        <f>_xlfn.XLOOKUP(Table4[[#This Row],[Kontragentin adı]],Table2[Kontragentin adı],Table2[Müqavilə nömrəsi],"Xəta",0)</f>
        <v>0</v>
      </c>
      <c r="M684" s="4">
        <f>_xlfn.XLOOKUP(Table4[[#This Row],[Kontragentin adı]],Table2[Kontragentin adı],Table2[Müqavilə nömrəsi],"Xəta",0)</f>
        <v>0</v>
      </c>
    </row>
    <row r="685" spans="2:13" x14ac:dyDescent="0.3">
      <c r="B685" s="4">
        <f t="shared" si="10"/>
        <v>682</v>
      </c>
      <c r="C685" s="5">
        <v>46174</v>
      </c>
      <c r="D685" s="10" t="str" cm="1">
        <f t="array" ref="D685">_xlfn.XLOOKUP(Table4[[#This Row],[Malın kodu]],Table1[[#All],[Malın kodu]],Table1[[#All],[Malın adı]],"xəta",0)</f>
        <v>Qapaq / flyanslı / metal / 605x20mm</v>
      </c>
      <c r="E685" s="8" t="s">
        <v>1592</v>
      </c>
      <c r="F685" s="4" t="s">
        <v>920</v>
      </c>
      <c r="G685" s="4">
        <v>5</v>
      </c>
      <c r="H685" s="4"/>
      <c r="I685" s="4">
        <f>Table4[[#This Row],[Malın miqdarı]]*Table4[[#This Row],[Vahidin qiyməti]]</f>
        <v>0</v>
      </c>
      <c r="J685" s="4" t="s">
        <v>899</v>
      </c>
      <c r="K685" s="4" t="s">
        <v>893</v>
      </c>
      <c r="L685" s="4">
        <f>_xlfn.XLOOKUP(Table4[[#This Row],[Kontragentin adı]],Table2[Kontragentin adı],Table2[Müqavilə nömrəsi],"Xəta",0)</f>
        <v>0</v>
      </c>
      <c r="M685" s="4">
        <f>_xlfn.XLOOKUP(Table4[[#This Row],[Kontragentin adı]],Table2[Kontragentin adı],Table2[Müqavilə nömrəsi],"Xəta",0)</f>
        <v>0</v>
      </c>
    </row>
    <row r="686" spans="2:13" x14ac:dyDescent="0.3">
      <c r="B686" s="4">
        <f t="shared" si="10"/>
        <v>683</v>
      </c>
      <c r="C686" s="5">
        <v>46174</v>
      </c>
      <c r="D686" s="10" t="str" cm="1">
        <f t="array" ref="D686">_xlfn.XLOOKUP(Table4[[#This Row],[Malın kodu]],Table1[[#All],[Malın kodu]],Table1[[#All],[Malın adı]],"xəta",0)</f>
        <v>Servis birləşməsi / elektrofizyon / d 110 x 32 mm / "Borfit" / Türkiyə istehsalı</v>
      </c>
      <c r="E686" s="8" t="s">
        <v>1594</v>
      </c>
      <c r="F686" s="4" t="s">
        <v>920</v>
      </c>
      <c r="G686" s="4">
        <v>107</v>
      </c>
      <c r="H686" s="4"/>
      <c r="I686" s="4">
        <f>Table4[[#This Row],[Malın miqdarı]]*Table4[[#This Row],[Vahidin qiyməti]]</f>
        <v>0</v>
      </c>
      <c r="J686" s="4" t="s">
        <v>899</v>
      </c>
      <c r="K686" s="4" t="s">
        <v>893</v>
      </c>
      <c r="L686" s="4">
        <f>_xlfn.XLOOKUP(Table4[[#This Row],[Kontragentin adı]],Table2[Kontragentin adı],Table2[Müqavilə nömrəsi],"Xəta",0)</f>
        <v>0</v>
      </c>
      <c r="M686" s="4">
        <f>_xlfn.XLOOKUP(Table4[[#This Row],[Kontragentin adı]],Table2[Kontragentin adı],Table2[Müqavilə nömrəsi],"Xəta",0)</f>
        <v>0</v>
      </c>
    </row>
    <row r="687" spans="2:13" x14ac:dyDescent="0.3">
      <c r="B687" s="4">
        <f t="shared" si="10"/>
        <v>684</v>
      </c>
      <c r="C687" s="5">
        <v>46174</v>
      </c>
      <c r="D687" s="10" t="str" cm="1">
        <f t="array" ref="D687">_xlfn.XLOOKUP(Table4[[#This Row],[Malın kodu]],Table1[[#All],[Malın kodu]],Table1[[#All],[Malın adı]],"xəta",0)</f>
        <v>Servis birləşməsi / elektrofizyon / d 110 x 40 mm / "Borfit" / Türkiyə istehsalı</v>
      </c>
      <c r="E687" s="8" t="s">
        <v>1595</v>
      </c>
      <c r="F687" s="4" t="s">
        <v>920</v>
      </c>
      <c r="G687" s="4">
        <v>22</v>
      </c>
      <c r="H687" s="4"/>
      <c r="I687" s="4">
        <f>Table4[[#This Row],[Malın miqdarı]]*Table4[[#This Row],[Vahidin qiyməti]]</f>
        <v>0</v>
      </c>
      <c r="J687" s="4" t="s">
        <v>899</v>
      </c>
      <c r="K687" s="4" t="s">
        <v>893</v>
      </c>
      <c r="L687" s="4">
        <f>_xlfn.XLOOKUP(Table4[[#This Row],[Kontragentin adı]],Table2[Kontragentin adı],Table2[Müqavilə nömrəsi],"Xəta",0)</f>
        <v>0</v>
      </c>
      <c r="M687" s="4">
        <f>_xlfn.XLOOKUP(Table4[[#This Row],[Kontragentin adı]],Table2[Kontragentin adı],Table2[Müqavilə nömrəsi],"Xəta",0)</f>
        <v>0</v>
      </c>
    </row>
    <row r="688" spans="2:13" x14ac:dyDescent="0.3">
      <c r="B688" s="4">
        <f t="shared" si="10"/>
        <v>685</v>
      </c>
      <c r="C688" s="5">
        <v>46174</v>
      </c>
      <c r="D688" s="10" t="str" cm="1">
        <f t="array" ref="D688">_xlfn.XLOOKUP(Table4[[#This Row],[Malın kodu]],Table1[[#All],[Malın kodu]],Table1[[#All],[Malın adı]],"xəta",0)</f>
        <v>Servis birləşməsi / elektrofizyon / d 110 x 63 mm / "Borfit" / Türkiyə istehsalı</v>
      </c>
      <c r="E688" s="8" t="s">
        <v>1596</v>
      </c>
      <c r="F688" s="4" t="s">
        <v>920</v>
      </c>
      <c r="G688" s="4">
        <v>6</v>
      </c>
      <c r="H688" s="4"/>
      <c r="I688" s="4">
        <f>Table4[[#This Row],[Malın miqdarı]]*Table4[[#This Row],[Vahidin qiyməti]]</f>
        <v>0</v>
      </c>
      <c r="J688" s="4" t="s">
        <v>899</v>
      </c>
      <c r="K688" s="4" t="s">
        <v>893</v>
      </c>
      <c r="L688" s="4">
        <f>_xlfn.XLOOKUP(Table4[[#This Row],[Kontragentin adı]],Table2[Kontragentin adı],Table2[Müqavilə nömrəsi],"Xəta",0)</f>
        <v>0</v>
      </c>
      <c r="M688" s="4">
        <f>_xlfn.XLOOKUP(Table4[[#This Row],[Kontragentin adı]],Table2[Kontragentin adı],Table2[Müqavilə nömrəsi],"Xəta",0)</f>
        <v>0</v>
      </c>
    </row>
    <row r="689" spans="2:13" x14ac:dyDescent="0.3">
      <c r="B689" s="4">
        <f t="shared" si="10"/>
        <v>686</v>
      </c>
      <c r="C689" s="5">
        <v>46174</v>
      </c>
      <c r="D689" s="10" t="str" cm="1">
        <f t="array" ref="D689">_xlfn.XLOOKUP(Table4[[#This Row],[Malın kodu]],Table1[[#All],[Malın kodu]],Table1[[#All],[Malın adı]],"xəta",0)</f>
        <v>Servis birləşməsi / elektrofizyon / d 63 x 280 mm / "Borfit" / Türkiyə istehsalı</v>
      </c>
      <c r="E689" s="8" t="s">
        <v>1597</v>
      </c>
      <c r="F689" s="4" t="s">
        <v>920</v>
      </c>
      <c r="G689" s="4">
        <v>1</v>
      </c>
      <c r="H689" s="4"/>
      <c r="I689" s="4">
        <f>Table4[[#This Row],[Malın miqdarı]]*Table4[[#This Row],[Vahidin qiyməti]]</f>
        <v>0</v>
      </c>
      <c r="J689" s="4" t="s">
        <v>899</v>
      </c>
      <c r="K689" s="4" t="s">
        <v>893</v>
      </c>
      <c r="L689" s="4">
        <f>_xlfn.XLOOKUP(Table4[[#This Row],[Kontragentin adı]],Table2[Kontragentin adı],Table2[Müqavilə nömrəsi],"Xəta",0)</f>
        <v>0</v>
      </c>
      <c r="M689" s="4">
        <f>_xlfn.XLOOKUP(Table4[[#This Row],[Kontragentin adı]],Table2[Kontragentin adı],Table2[Müqavilə nömrəsi],"Xəta",0)</f>
        <v>0</v>
      </c>
    </row>
    <row r="690" spans="2:13" x14ac:dyDescent="0.3">
      <c r="B690" s="4">
        <f t="shared" si="10"/>
        <v>687</v>
      </c>
      <c r="C690" s="5">
        <v>46174</v>
      </c>
      <c r="D690" s="10" t="str" cm="1">
        <f t="array" ref="D690">_xlfn.XLOOKUP(Table4[[#This Row],[Malın kodu]],Table1[[#All],[Malın kodu]],Table1[[#All],[Malın adı]],"xəta",0)</f>
        <v>Servis birləşməsi / elektrofizyon / d 40 x 280 mm / "Borfit" / Türkiyə istehsalı</v>
      </c>
      <c r="E690" s="8" t="s">
        <v>1598</v>
      </c>
      <c r="F690" s="4" t="s">
        <v>920</v>
      </c>
      <c r="G690" s="4">
        <v>1</v>
      </c>
      <c r="H690" s="4"/>
      <c r="I690" s="4">
        <f>Table4[[#This Row],[Malın miqdarı]]*Table4[[#This Row],[Vahidin qiyməti]]</f>
        <v>0</v>
      </c>
      <c r="J690" s="4" t="s">
        <v>899</v>
      </c>
      <c r="K690" s="4" t="s">
        <v>893</v>
      </c>
      <c r="L690" s="4">
        <f>_xlfn.XLOOKUP(Table4[[#This Row],[Kontragentin adı]],Table2[Kontragentin adı],Table2[Müqavilə nömrəsi],"Xəta",0)</f>
        <v>0</v>
      </c>
      <c r="M690" s="4">
        <f>_xlfn.XLOOKUP(Table4[[#This Row],[Kontragentin adı]],Table2[Kontragentin adı],Table2[Müqavilə nömrəsi],"Xəta",0)</f>
        <v>0</v>
      </c>
    </row>
    <row r="691" spans="2:13" x14ac:dyDescent="0.3">
      <c r="B691" s="4">
        <f t="shared" si="10"/>
        <v>688</v>
      </c>
      <c r="C691" s="5">
        <v>46174</v>
      </c>
      <c r="D691" s="10" t="str" cm="1">
        <f t="array" ref="D691">_xlfn.XLOOKUP(Table4[[#This Row],[Malın kodu]],Table1[[#All],[Malın kodu]],Table1[[#All],[Malın adı]],"xəta",0)</f>
        <v>Servis birləşməsi / elektrofizyon / d 32 x 90 mm / "Borfit" / Türkiyə istehsalı</v>
      </c>
      <c r="E691" s="8" t="s">
        <v>1599</v>
      </c>
      <c r="F691" s="4" t="s">
        <v>920</v>
      </c>
      <c r="G691" s="4">
        <v>1</v>
      </c>
      <c r="H691" s="4"/>
      <c r="I691" s="4">
        <f>Table4[[#This Row],[Malın miqdarı]]*Table4[[#This Row],[Vahidin qiyməti]]</f>
        <v>0</v>
      </c>
      <c r="J691" s="4" t="s">
        <v>899</v>
      </c>
      <c r="K691" s="4" t="s">
        <v>893</v>
      </c>
      <c r="L691" s="4">
        <f>_xlfn.XLOOKUP(Table4[[#This Row],[Kontragentin adı]],Table2[Kontragentin adı],Table2[Müqavilə nömrəsi],"Xəta",0)</f>
        <v>0</v>
      </c>
      <c r="M691" s="4">
        <f>_xlfn.XLOOKUP(Table4[[#This Row],[Kontragentin adı]],Table2[Kontragentin adı],Table2[Müqavilə nömrəsi],"Xəta",0)</f>
        <v>0</v>
      </c>
    </row>
    <row r="692" spans="2:13" x14ac:dyDescent="0.3">
      <c r="B692" s="4">
        <f t="shared" si="10"/>
        <v>689</v>
      </c>
      <c r="C692" s="5">
        <v>46174</v>
      </c>
      <c r="D692" s="10" t="str" cm="1">
        <f t="array" ref="D692">_xlfn.XLOOKUP(Table4[[#This Row],[Malın kodu]],Table1[[#All],[Malın kodu]],Table1[[#All],[Malın adı]],"xəta",0)</f>
        <v>Servis birləşməsi / elektrofizyon / d 32 x 63 mm / "Borfit" / Türkiyə istehsalı</v>
      </c>
      <c r="E692" s="8" t="s">
        <v>1600</v>
      </c>
      <c r="F692" s="4" t="s">
        <v>920</v>
      </c>
      <c r="G692" s="4">
        <v>4</v>
      </c>
      <c r="H692" s="4"/>
      <c r="I692" s="4">
        <f>Table4[[#This Row],[Malın miqdarı]]*Table4[[#This Row],[Vahidin qiyməti]]</f>
        <v>0</v>
      </c>
      <c r="J692" s="4" t="s">
        <v>899</v>
      </c>
      <c r="K692" s="4" t="s">
        <v>893</v>
      </c>
      <c r="L692" s="4">
        <f>_xlfn.XLOOKUP(Table4[[#This Row],[Kontragentin adı]],Table2[Kontragentin adı],Table2[Müqavilə nömrəsi],"Xəta",0)</f>
        <v>0</v>
      </c>
      <c r="M692" s="4">
        <f>_xlfn.XLOOKUP(Table4[[#This Row],[Kontragentin adı]],Table2[Kontragentin adı],Table2[Müqavilə nömrəsi],"Xəta",0)</f>
        <v>0</v>
      </c>
    </row>
    <row r="693" spans="2:13" x14ac:dyDescent="0.3">
      <c r="B693" s="4">
        <f t="shared" si="10"/>
        <v>690</v>
      </c>
      <c r="C693" s="5">
        <v>46174</v>
      </c>
      <c r="D693" s="10" t="str" cm="1">
        <f t="array" ref="D693">_xlfn.XLOOKUP(Table4[[#This Row],[Malın kodu]],Table1[[#All],[Malın kodu]],Table1[[#All],[Malın adı]],"xəta",0)</f>
        <v>Servis birləşməsi / elektrofizyon / d 40 x 63 mm / "Borfit" / Türkiyə istehsalı</v>
      </c>
      <c r="E693" s="8" t="s">
        <v>1601</v>
      </c>
      <c r="F693" s="4" t="s">
        <v>920</v>
      </c>
      <c r="G693" s="4">
        <v>3</v>
      </c>
      <c r="H693" s="4"/>
      <c r="I693" s="4">
        <f>Table4[[#This Row],[Malın miqdarı]]*Table4[[#This Row],[Vahidin qiyməti]]</f>
        <v>0</v>
      </c>
      <c r="J693" s="4" t="s">
        <v>899</v>
      </c>
      <c r="K693" s="4" t="s">
        <v>893</v>
      </c>
      <c r="L693" s="4">
        <f>_xlfn.XLOOKUP(Table4[[#This Row],[Kontragentin adı]],Table2[Kontragentin adı],Table2[Müqavilə nömrəsi],"Xəta",0)</f>
        <v>0</v>
      </c>
      <c r="M693" s="4">
        <f>_xlfn.XLOOKUP(Table4[[#This Row],[Kontragentin adı]],Table2[Kontragentin adı],Table2[Müqavilə nömrəsi],"Xəta",0)</f>
        <v>0</v>
      </c>
    </row>
    <row r="694" spans="2:13" x14ac:dyDescent="0.3">
      <c r="B694" s="4">
        <f t="shared" si="10"/>
        <v>691</v>
      </c>
      <c r="C694" s="5">
        <v>46174</v>
      </c>
      <c r="D694" s="10" t="str" cm="1">
        <f t="array" ref="D694">_xlfn.XLOOKUP(Table4[[#This Row],[Malın kodu]],Table1[[#All],[Malın kodu]],Table1[[#All],[Malın adı]],"xəta",0)</f>
        <v>Servis birləşməsi / elektrofizyon / d 40 x 90 mm / "Borfit" / Türkiyə istehsalı</v>
      </c>
      <c r="E694" s="8" t="s">
        <v>1602</v>
      </c>
      <c r="F694" s="4" t="s">
        <v>920</v>
      </c>
      <c r="G694" s="4">
        <v>2</v>
      </c>
      <c r="H694" s="4"/>
      <c r="I694" s="4">
        <f>Table4[[#This Row],[Malın miqdarı]]*Table4[[#This Row],[Vahidin qiyməti]]</f>
        <v>0</v>
      </c>
      <c r="J694" s="4" t="s">
        <v>899</v>
      </c>
      <c r="K694" s="4" t="s">
        <v>893</v>
      </c>
      <c r="L694" s="4">
        <f>_xlfn.XLOOKUP(Table4[[#This Row],[Kontragentin adı]],Table2[Kontragentin adı],Table2[Müqavilə nömrəsi],"Xəta",0)</f>
        <v>0</v>
      </c>
      <c r="M694" s="4">
        <f>_xlfn.XLOOKUP(Table4[[#This Row],[Kontragentin adı]],Table2[Kontragentin adı],Table2[Müqavilə nömrəsi],"Xəta",0)</f>
        <v>0</v>
      </c>
    </row>
    <row r="695" spans="2:13" x14ac:dyDescent="0.3">
      <c r="B695" s="4">
        <f t="shared" si="10"/>
        <v>692</v>
      </c>
      <c r="C695" s="5">
        <v>46174</v>
      </c>
      <c r="D695" s="10" t="str" cm="1">
        <f t="array" ref="D695">_xlfn.XLOOKUP(Table4[[#This Row],[Malın kodu]],Table1[[#All],[Malın kodu]],Table1[[#All],[Malın adı]],"xəta",0)</f>
        <v>Servis birləşməsi / elektrofizyon / d 32 x 40 mm / "TEGA" / Türkiyə istehsalı</v>
      </c>
      <c r="E695" s="8" t="s">
        <v>1603</v>
      </c>
      <c r="F695" s="4" t="s">
        <v>920</v>
      </c>
      <c r="G695" s="4">
        <v>2</v>
      </c>
      <c r="H695" s="4"/>
      <c r="I695" s="4">
        <f>Table4[[#This Row],[Malın miqdarı]]*Table4[[#This Row],[Vahidin qiyməti]]</f>
        <v>0</v>
      </c>
      <c r="J695" s="4" t="s">
        <v>899</v>
      </c>
      <c r="K695" s="4" t="s">
        <v>893</v>
      </c>
      <c r="L695" s="4">
        <f>_xlfn.XLOOKUP(Table4[[#This Row],[Kontragentin adı]],Table2[Kontragentin adı],Table2[Müqavilə nömrəsi],"Xəta",0)</f>
        <v>0</v>
      </c>
      <c r="M695" s="4">
        <f>_xlfn.XLOOKUP(Table4[[#This Row],[Kontragentin adı]],Table2[Kontragentin adı],Table2[Müqavilə nömrəsi],"Xəta",0)</f>
        <v>0</v>
      </c>
    </row>
    <row r="696" spans="2:13" x14ac:dyDescent="0.3">
      <c r="B696" s="4">
        <f t="shared" si="10"/>
        <v>693</v>
      </c>
      <c r="C696" s="5">
        <v>46174</v>
      </c>
      <c r="D696" s="10" t="str" cm="1">
        <f t="array" ref="D696">_xlfn.XLOOKUP(Table4[[#This Row],[Malın kodu]],Table1[[#All],[Malın kodu]],Table1[[#All],[Malın adı]],"xəta",0)</f>
        <v>Dirsək / d 110 mm / polietilen / 90°</v>
      </c>
      <c r="E696" s="8" t="s">
        <v>1604</v>
      </c>
      <c r="F696" s="4" t="s">
        <v>920</v>
      </c>
      <c r="G696" s="4">
        <v>17</v>
      </c>
      <c r="H696" s="4"/>
      <c r="I696" s="4">
        <f>Table4[[#This Row],[Malın miqdarı]]*Table4[[#This Row],[Vahidin qiyməti]]</f>
        <v>0</v>
      </c>
      <c r="J696" s="4" t="s">
        <v>899</v>
      </c>
      <c r="K696" s="4" t="s">
        <v>893</v>
      </c>
      <c r="L696" s="4">
        <f>_xlfn.XLOOKUP(Table4[[#This Row],[Kontragentin adı]],Table2[Kontragentin adı],Table2[Müqavilə nömrəsi],"Xəta",0)</f>
        <v>0</v>
      </c>
      <c r="M696" s="4">
        <f>_xlfn.XLOOKUP(Table4[[#This Row],[Kontragentin adı]],Table2[Kontragentin adı],Table2[Müqavilə nömrəsi],"Xəta",0)</f>
        <v>0</v>
      </c>
    </row>
    <row r="697" spans="2:13" x14ac:dyDescent="0.3">
      <c r="B697" s="4">
        <f t="shared" si="10"/>
        <v>694</v>
      </c>
      <c r="C697" s="5">
        <v>46174</v>
      </c>
      <c r="D697" s="10" t="str" cm="1">
        <f t="array" ref="D697">_xlfn.XLOOKUP(Table4[[#This Row],[Malın kodu]],Table1[[#All],[Malın kodu]],Table1[[#All],[Malın adı]],"xəta",0)</f>
        <v>Dirsək / d 180 mm / polietilen / 90°</v>
      </c>
      <c r="E697" s="8" t="s">
        <v>1605</v>
      </c>
      <c r="F697" s="4" t="s">
        <v>920</v>
      </c>
      <c r="G697" s="4">
        <v>2</v>
      </c>
      <c r="H697" s="4"/>
      <c r="I697" s="4">
        <f>Table4[[#This Row],[Malın miqdarı]]*Table4[[#This Row],[Vahidin qiyməti]]</f>
        <v>0</v>
      </c>
      <c r="J697" s="4" t="s">
        <v>899</v>
      </c>
      <c r="K697" s="4" t="s">
        <v>893</v>
      </c>
      <c r="L697" s="4">
        <f>_xlfn.XLOOKUP(Table4[[#This Row],[Kontragentin adı]],Table2[Kontragentin adı],Table2[Müqavilə nömrəsi],"Xəta",0)</f>
        <v>0</v>
      </c>
      <c r="M697" s="4">
        <f>_xlfn.XLOOKUP(Table4[[#This Row],[Kontragentin adı]],Table2[Kontragentin adı],Table2[Müqavilə nömrəsi],"Xəta",0)</f>
        <v>0</v>
      </c>
    </row>
    <row r="698" spans="2:13" x14ac:dyDescent="0.3">
      <c r="B698" s="4">
        <f t="shared" si="10"/>
        <v>695</v>
      </c>
      <c r="C698" s="5">
        <v>46174</v>
      </c>
      <c r="D698" s="10" t="str" cm="1">
        <f t="array" ref="D698">_xlfn.XLOOKUP(Table4[[#This Row],[Malın kodu]],Table1[[#All],[Malın kodu]],Table1[[#All],[Malın adı]],"xəta",0)</f>
        <v>Dirsək / d 110 mm / polietilen / 45°</v>
      </c>
      <c r="E698" s="8" t="s">
        <v>1606</v>
      </c>
      <c r="F698" s="4" t="s">
        <v>920</v>
      </c>
      <c r="G698" s="4">
        <v>8</v>
      </c>
      <c r="H698" s="4"/>
      <c r="I698" s="4">
        <f>Table4[[#This Row],[Malın miqdarı]]*Table4[[#This Row],[Vahidin qiyməti]]</f>
        <v>0</v>
      </c>
      <c r="J698" s="4" t="s">
        <v>899</v>
      </c>
      <c r="K698" s="4" t="s">
        <v>893</v>
      </c>
      <c r="L698" s="4">
        <f>_xlfn.XLOOKUP(Table4[[#This Row],[Kontragentin adı]],Table2[Kontragentin adı],Table2[Müqavilə nömrəsi],"Xəta",0)</f>
        <v>0</v>
      </c>
      <c r="M698" s="4">
        <f>_xlfn.XLOOKUP(Table4[[#This Row],[Kontragentin adı]],Table2[Kontragentin adı],Table2[Müqavilə nömrəsi],"Xəta",0)</f>
        <v>0</v>
      </c>
    </row>
    <row r="699" spans="2:13" x14ac:dyDescent="0.3">
      <c r="B699" s="4">
        <f t="shared" si="10"/>
        <v>696</v>
      </c>
      <c r="C699" s="5">
        <v>46174</v>
      </c>
      <c r="D699" s="10" t="str" cm="1">
        <f t="array" ref="D699">_xlfn.XLOOKUP(Table4[[#This Row],[Malın kodu]],Table1[[#All],[Malın kodu]],Table1[[#All],[Malın adı]],"xəta",0)</f>
        <v>Adaptor / d 110 mm / polietilen</v>
      </c>
      <c r="E699" s="8" t="s">
        <v>1607</v>
      </c>
      <c r="F699" s="4" t="s">
        <v>920</v>
      </c>
      <c r="G699" s="4">
        <v>10</v>
      </c>
      <c r="H699" s="4"/>
      <c r="I699" s="4">
        <f>Table4[[#This Row],[Malın miqdarı]]*Table4[[#This Row],[Vahidin qiyməti]]</f>
        <v>0</v>
      </c>
      <c r="J699" s="4" t="s">
        <v>899</v>
      </c>
      <c r="K699" s="4" t="s">
        <v>893</v>
      </c>
      <c r="L699" s="4">
        <f>_xlfn.XLOOKUP(Table4[[#This Row],[Kontragentin adı]],Table2[Kontragentin adı],Table2[Müqavilə nömrəsi],"Xəta",0)</f>
        <v>0</v>
      </c>
      <c r="M699" s="4">
        <f>_xlfn.XLOOKUP(Table4[[#This Row],[Kontragentin adı]],Table2[Kontragentin adı],Table2[Müqavilə nömrəsi],"Xəta",0)</f>
        <v>0</v>
      </c>
    </row>
    <row r="700" spans="2:13" x14ac:dyDescent="0.3">
      <c r="B700" s="4">
        <f t="shared" si="10"/>
        <v>697</v>
      </c>
      <c r="C700" s="5">
        <v>46174</v>
      </c>
      <c r="D700" s="10" t="str" cm="1">
        <f t="array" ref="D700">_xlfn.XLOOKUP(Table4[[#This Row],[Malın kodu]],Table1[[#All],[Malın kodu]],Table1[[#All],[Malın adı]],"xəta",0)</f>
        <v>Adaptor / d 90 mm / polietilen</v>
      </c>
      <c r="E700" s="8" t="s">
        <v>1608</v>
      </c>
      <c r="F700" s="4" t="s">
        <v>920</v>
      </c>
      <c r="G700" s="4">
        <v>6</v>
      </c>
      <c r="H700" s="4"/>
      <c r="I700" s="4">
        <f>Table4[[#This Row],[Malın miqdarı]]*Table4[[#This Row],[Vahidin qiyməti]]</f>
        <v>0</v>
      </c>
      <c r="J700" s="4" t="s">
        <v>899</v>
      </c>
      <c r="K700" s="4" t="s">
        <v>893</v>
      </c>
      <c r="L700" s="4">
        <f>_xlfn.XLOOKUP(Table4[[#This Row],[Kontragentin adı]],Table2[Kontragentin adı],Table2[Müqavilə nömrəsi],"Xəta",0)</f>
        <v>0</v>
      </c>
      <c r="M700" s="4">
        <f>_xlfn.XLOOKUP(Table4[[#This Row],[Kontragentin adı]],Table2[Kontragentin adı],Table2[Müqavilə nömrəsi],"Xəta",0)</f>
        <v>0</v>
      </c>
    </row>
    <row r="701" spans="2:13" x14ac:dyDescent="0.3">
      <c r="B701" s="4">
        <f t="shared" si="10"/>
        <v>698</v>
      </c>
      <c r="C701" s="5">
        <v>46174</v>
      </c>
      <c r="D701" s="10" t="str" cm="1">
        <f t="array" ref="D701">_xlfn.XLOOKUP(Table4[[#This Row],[Malın kodu]],Table1[[#All],[Malın kodu]],Table1[[#All],[Malın adı]],"xəta",0)</f>
        <v>Adaptor / d 160 mm / polietilen</v>
      </c>
      <c r="E701" s="8" t="s">
        <v>1609</v>
      </c>
      <c r="F701" s="4" t="s">
        <v>920</v>
      </c>
      <c r="G701" s="4">
        <v>2</v>
      </c>
      <c r="H701" s="4"/>
      <c r="I701" s="4">
        <f>Table4[[#This Row],[Malın miqdarı]]*Table4[[#This Row],[Vahidin qiyməti]]</f>
        <v>0</v>
      </c>
      <c r="J701" s="4" t="s">
        <v>899</v>
      </c>
      <c r="K701" s="4" t="s">
        <v>893</v>
      </c>
      <c r="L701" s="4">
        <f>_xlfn.XLOOKUP(Table4[[#This Row],[Kontragentin adı]],Table2[Kontragentin adı],Table2[Müqavilə nömrəsi],"Xəta",0)</f>
        <v>0</v>
      </c>
      <c r="M701" s="4">
        <f>_xlfn.XLOOKUP(Table4[[#This Row],[Kontragentin adı]],Table2[Kontragentin adı],Table2[Müqavilə nömrəsi],"Xəta",0)</f>
        <v>0</v>
      </c>
    </row>
    <row r="702" spans="2:13" x14ac:dyDescent="0.3">
      <c r="B702" s="4">
        <f t="shared" si="10"/>
        <v>699</v>
      </c>
      <c r="C702" s="5">
        <v>46174</v>
      </c>
      <c r="D702" s="10" t="str" cm="1">
        <f t="array" ref="D702">_xlfn.XLOOKUP(Table4[[#This Row],[Malın kodu]],Table1[[#All],[Malın kodu]],Table1[[#All],[Malın adı]],"xəta",0)</f>
        <v>Üçlük / d 110 mm / polietilen / 5 əd / "Borfit" / Türkiyə istehsalı</v>
      </c>
      <c r="E702" s="8" t="s">
        <v>1610</v>
      </c>
      <c r="F702" s="4" t="s">
        <v>920</v>
      </c>
      <c r="G702" s="4">
        <v>5</v>
      </c>
      <c r="H702" s="4"/>
      <c r="I702" s="4">
        <f>Table4[[#This Row],[Malın miqdarı]]*Table4[[#This Row],[Vahidin qiyməti]]</f>
        <v>0</v>
      </c>
      <c r="J702" s="4" t="s">
        <v>899</v>
      </c>
      <c r="K702" s="4" t="s">
        <v>893</v>
      </c>
      <c r="L702" s="4">
        <f>_xlfn.XLOOKUP(Table4[[#This Row],[Kontragentin adı]],Table2[Kontragentin adı],Table2[Müqavilə nömrəsi],"Xəta",0)</f>
        <v>0</v>
      </c>
      <c r="M702" s="4">
        <f>_xlfn.XLOOKUP(Table4[[#This Row],[Kontragentin adı]],Table2[Kontragentin adı],Table2[Müqavilə nömrəsi],"Xəta",0)</f>
        <v>0</v>
      </c>
    </row>
    <row r="703" spans="2:13" x14ac:dyDescent="0.3">
      <c r="B703" s="4">
        <f t="shared" si="10"/>
        <v>700</v>
      </c>
      <c r="C703" s="5">
        <v>46174</v>
      </c>
      <c r="D703" s="10" t="str" cm="1">
        <f t="array" ref="D703">_xlfn.XLOOKUP(Table4[[#This Row],[Malın kodu]],Table1[[#All],[Malın kodu]],Table1[[#All],[Malın adı]],"xəta",0)</f>
        <v>Adaptor / d 180 mm / polietilen / 1 əd / "Borfit" / Türkiyə istehsalı</v>
      </c>
      <c r="E703" s="8" t="s">
        <v>1611</v>
      </c>
      <c r="F703" s="4" t="s">
        <v>920</v>
      </c>
      <c r="G703" s="4">
        <v>1</v>
      </c>
      <c r="H703" s="4"/>
      <c r="I703" s="4">
        <f>Table4[[#This Row],[Malın miqdarı]]*Table4[[#This Row],[Vahidin qiyməti]]</f>
        <v>0</v>
      </c>
      <c r="J703" s="4" t="s">
        <v>899</v>
      </c>
      <c r="K703" s="4" t="s">
        <v>893</v>
      </c>
      <c r="L703" s="4">
        <f>_xlfn.XLOOKUP(Table4[[#This Row],[Kontragentin adı]],Table2[Kontragentin adı],Table2[Müqavilə nömrəsi],"Xəta",0)</f>
        <v>0</v>
      </c>
      <c r="M703" s="4">
        <f>_xlfn.XLOOKUP(Table4[[#This Row],[Kontragentin adı]],Table2[Kontragentin adı],Table2[Müqavilə nömrəsi],"Xəta",0)</f>
        <v>0</v>
      </c>
    </row>
    <row r="704" spans="2:13" x14ac:dyDescent="0.3">
      <c r="B704" s="4">
        <f t="shared" si="10"/>
        <v>701</v>
      </c>
      <c r="C704" s="5">
        <v>46174</v>
      </c>
      <c r="D704" s="10" t="str" cm="1">
        <f t="array" ref="D704">_xlfn.XLOOKUP(Table4[[#This Row],[Malın kodu]],Table1[[#All],[Malın kodu]],Table1[[#All],[Malın adı]],"xəta",0)</f>
        <v>Adaptor / d 50 mm / polietilen / "Borfit" / Türkiyə istehsalı</v>
      </c>
      <c r="E704" s="8" t="s">
        <v>1612</v>
      </c>
      <c r="F704" s="4" t="s">
        <v>920</v>
      </c>
      <c r="G704" s="4">
        <v>4</v>
      </c>
      <c r="H704" s="4"/>
      <c r="I704" s="4">
        <f>Table4[[#This Row],[Malın miqdarı]]*Table4[[#This Row],[Vahidin qiyməti]]</f>
        <v>0</v>
      </c>
      <c r="J704" s="4" t="s">
        <v>899</v>
      </c>
      <c r="K704" s="4" t="s">
        <v>893</v>
      </c>
      <c r="L704" s="4">
        <f>_xlfn.XLOOKUP(Table4[[#This Row],[Kontragentin adı]],Table2[Kontragentin adı],Table2[Müqavilə nömrəsi],"Xəta",0)</f>
        <v>0</v>
      </c>
      <c r="M704" s="4">
        <f>_xlfn.XLOOKUP(Table4[[#This Row],[Kontragentin adı]],Table2[Kontragentin adı],Table2[Müqavilə nömrəsi],"Xəta",0)</f>
        <v>0</v>
      </c>
    </row>
    <row r="705" spans="2:13" x14ac:dyDescent="0.3">
      <c r="B705" s="4">
        <f t="shared" si="10"/>
        <v>702</v>
      </c>
      <c r="C705" s="5">
        <v>46174</v>
      </c>
      <c r="D705" s="10" t="str" cm="1">
        <f t="array" ref="D705">_xlfn.XLOOKUP(Table4[[#This Row],[Malın kodu]],Table1[[#All],[Malın kodu]],Table1[[#All],[Malın adı]],"xəta",0)</f>
        <v>Adaptor / d 63 mm / polietilen / "Borfit" / Türkiyə istehsalı</v>
      </c>
      <c r="E705" s="8" t="s">
        <v>1613</v>
      </c>
      <c r="F705" s="4" t="s">
        <v>920</v>
      </c>
      <c r="G705" s="4">
        <v>5</v>
      </c>
      <c r="H705" s="4"/>
      <c r="I705" s="4">
        <f>Table4[[#This Row],[Malın miqdarı]]*Table4[[#This Row],[Vahidin qiyməti]]</f>
        <v>0</v>
      </c>
      <c r="J705" s="4" t="s">
        <v>899</v>
      </c>
      <c r="K705" s="4" t="s">
        <v>893</v>
      </c>
      <c r="L705" s="4">
        <f>_xlfn.XLOOKUP(Table4[[#This Row],[Kontragentin adı]],Table2[Kontragentin adı],Table2[Müqavilə nömrəsi],"Xəta",0)</f>
        <v>0</v>
      </c>
      <c r="M705" s="4">
        <f>_xlfn.XLOOKUP(Table4[[#This Row],[Kontragentin adı]],Table2[Kontragentin adı],Table2[Müqavilə nömrəsi],"Xəta",0)</f>
        <v>0</v>
      </c>
    </row>
    <row r="706" spans="2:13" x14ac:dyDescent="0.3">
      <c r="B706" s="4">
        <f t="shared" si="10"/>
        <v>703</v>
      </c>
      <c r="C706" s="5">
        <v>46174</v>
      </c>
      <c r="D706" s="10" t="str" cm="1">
        <f t="array" ref="D706">_xlfn.XLOOKUP(Table4[[#This Row],[Malın kodu]],Table1[[#All],[Malın kodu]],Table1[[#All],[Malın adı]],"xəta",0)</f>
        <v>Dirsək / d 90 mm / polietilen / 90° / "Titz"</v>
      </c>
      <c r="E706" s="8" t="s">
        <v>1614</v>
      </c>
      <c r="F706" s="4" t="s">
        <v>920</v>
      </c>
      <c r="G706" s="4">
        <v>2</v>
      </c>
      <c r="H706" s="4"/>
      <c r="I706" s="4">
        <f>Table4[[#This Row],[Malın miqdarı]]*Table4[[#This Row],[Vahidin qiyməti]]</f>
        <v>0</v>
      </c>
      <c r="J706" s="4" t="s">
        <v>899</v>
      </c>
      <c r="K706" s="4" t="s">
        <v>893</v>
      </c>
      <c r="L706" s="4">
        <f>_xlfn.XLOOKUP(Table4[[#This Row],[Kontragentin adı]],Table2[Kontragentin adı],Table2[Müqavilə nömrəsi],"Xəta",0)</f>
        <v>0</v>
      </c>
      <c r="M706" s="4">
        <f>_xlfn.XLOOKUP(Table4[[#This Row],[Kontragentin adı]],Table2[Kontragentin adı],Table2[Müqavilə nömrəsi],"Xəta",0)</f>
        <v>0</v>
      </c>
    </row>
    <row r="707" spans="2:13" x14ac:dyDescent="0.3">
      <c r="B707" s="4">
        <f t="shared" si="10"/>
        <v>704</v>
      </c>
      <c r="C707" s="5">
        <v>46174</v>
      </c>
      <c r="D707" s="10" t="str" cm="1">
        <f t="array" ref="D707">_xlfn.XLOOKUP(Table4[[#This Row],[Malın kodu]],Table1[[#All],[Malın kodu]],Table1[[#All],[Malın adı]],"xəta",0)</f>
        <v>Üçlük / d 63 x 110 mm / polietilen / "Borfit" / Türkiyə istehsalı</v>
      </c>
      <c r="E707" s="8" t="s">
        <v>1615</v>
      </c>
      <c r="F707" s="4" t="s">
        <v>920</v>
      </c>
      <c r="G707" s="4">
        <v>1</v>
      </c>
      <c r="H707" s="4"/>
      <c r="I707" s="4">
        <f>Table4[[#This Row],[Malın miqdarı]]*Table4[[#This Row],[Vahidin qiyməti]]</f>
        <v>0</v>
      </c>
      <c r="J707" s="4" t="s">
        <v>899</v>
      </c>
      <c r="K707" s="4" t="s">
        <v>893</v>
      </c>
      <c r="L707" s="4">
        <f>_xlfn.XLOOKUP(Table4[[#This Row],[Kontragentin adı]],Table2[Kontragentin adı],Table2[Müqavilə nömrəsi],"Xəta",0)</f>
        <v>0</v>
      </c>
      <c r="M707" s="4">
        <f>_xlfn.XLOOKUP(Table4[[#This Row],[Kontragentin adı]],Table2[Kontragentin adı],Table2[Müqavilə nömrəsi],"Xəta",0)</f>
        <v>0</v>
      </c>
    </row>
    <row r="708" spans="2:13" x14ac:dyDescent="0.3">
      <c r="B708" s="4">
        <f t="shared" ref="B708:B771" si="11">ROW()-3</f>
        <v>705</v>
      </c>
      <c r="C708" s="5">
        <v>46174</v>
      </c>
      <c r="D708" s="10" t="str" cm="1">
        <f t="array" ref="D708">_xlfn.XLOOKUP(Table4[[#This Row],[Malın kodu]],Table1[[#All],[Malın kodu]],Table1[[#All],[Malın adı]],"xəta",0)</f>
        <v>Üçlük / d 75 x 110 mm / polietilen / "Borfit" / Türkiyə istehsalı</v>
      </c>
      <c r="E708" s="8" t="s">
        <v>1616</v>
      </c>
      <c r="F708" s="4" t="s">
        <v>920</v>
      </c>
      <c r="G708" s="4">
        <v>1</v>
      </c>
      <c r="H708" s="4"/>
      <c r="I708" s="4">
        <f>Table4[[#This Row],[Malın miqdarı]]*Table4[[#This Row],[Vahidin qiyməti]]</f>
        <v>0</v>
      </c>
      <c r="J708" s="4" t="s">
        <v>899</v>
      </c>
      <c r="K708" s="4" t="s">
        <v>893</v>
      </c>
      <c r="L708" s="4">
        <f>_xlfn.XLOOKUP(Table4[[#This Row],[Kontragentin adı]],Table2[Kontragentin adı],Table2[Müqavilə nömrəsi],"Xəta",0)</f>
        <v>0</v>
      </c>
      <c r="M708" s="4">
        <f>_xlfn.XLOOKUP(Table4[[#This Row],[Kontragentin adı]],Table2[Kontragentin adı],Table2[Müqavilə nömrəsi],"Xəta",0)</f>
        <v>0</v>
      </c>
    </row>
    <row r="709" spans="2:13" x14ac:dyDescent="0.3">
      <c r="B709" s="4">
        <f t="shared" si="11"/>
        <v>706</v>
      </c>
      <c r="C709" s="5">
        <v>46174</v>
      </c>
      <c r="D709" s="10" t="str" cm="1">
        <f t="array" ref="D709">_xlfn.XLOOKUP(Table4[[#This Row],[Malın kodu]],Table1[[#All],[Malın kodu]],Table1[[#All],[Malın adı]],"xəta",0)</f>
        <v>Keçid / d 63 x 90 mm / polietilen / "Borfit" / Türkiyə istehsalı</v>
      </c>
      <c r="E709" s="8" t="s">
        <v>1617</v>
      </c>
      <c r="F709" s="4" t="s">
        <v>920</v>
      </c>
      <c r="G709" s="4">
        <v>2</v>
      </c>
      <c r="H709" s="4"/>
      <c r="I709" s="4">
        <f>Table4[[#This Row],[Malın miqdarı]]*Table4[[#This Row],[Vahidin qiyməti]]</f>
        <v>0</v>
      </c>
      <c r="J709" s="4" t="s">
        <v>899</v>
      </c>
      <c r="K709" s="4" t="s">
        <v>893</v>
      </c>
      <c r="L709" s="4">
        <f>_xlfn.XLOOKUP(Table4[[#This Row],[Kontragentin adı]],Table2[Kontragentin adı],Table2[Müqavilə nömrəsi],"Xəta",0)</f>
        <v>0</v>
      </c>
      <c r="M709" s="4">
        <f>_xlfn.XLOOKUP(Table4[[#This Row],[Kontragentin adı]],Table2[Kontragentin adı],Table2[Müqavilə nömrəsi],"Xəta",0)</f>
        <v>0</v>
      </c>
    </row>
    <row r="710" spans="2:13" x14ac:dyDescent="0.3">
      <c r="B710" s="4">
        <f t="shared" si="11"/>
        <v>707</v>
      </c>
      <c r="C710" s="5">
        <v>46174</v>
      </c>
      <c r="D710" s="10" t="str" cm="1">
        <f t="array" ref="D710">_xlfn.XLOOKUP(Table4[[#This Row],[Malın kodu]],Table1[[#All],[Malın kodu]],Table1[[#All],[Malın adı]],"xəta",0)</f>
        <v>Keçid / d 50 x 90 mm / polietilen / "Borfit" / Türkiyə istehsalı</v>
      </c>
      <c r="E710" s="8" t="s">
        <v>1618</v>
      </c>
      <c r="F710" s="4" t="s">
        <v>920</v>
      </c>
      <c r="G710" s="4">
        <v>1</v>
      </c>
      <c r="H710" s="4"/>
      <c r="I710" s="4">
        <f>Table4[[#This Row],[Malın miqdarı]]*Table4[[#This Row],[Vahidin qiyməti]]</f>
        <v>0</v>
      </c>
      <c r="J710" s="4" t="s">
        <v>899</v>
      </c>
      <c r="K710" s="4" t="s">
        <v>893</v>
      </c>
      <c r="L710" s="4">
        <f>_xlfn.XLOOKUP(Table4[[#This Row],[Kontragentin adı]],Table2[Kontragentin adı],Table2[Müqavilə nömrəsi],"Xəta",0)</f>
        <v>0</v>
      </c>
      <c r="M710" s="4">
        <f>_xlfn.XLOOKUP(Table4[[#This Row],[Kontragentin adı]],Table2[Kontragentin adı],Table2[Müqavilə nömrəsi],"Xəta",0)</f>
        <v>0</v>
      </c>
    </row>
    <row r="711" spans="2:13" x14ac:dyDescent="0.3">
      <c r="B711" s="4">
        <f t="shared" si="11"/>
        <v>708</v>
      </c>
      <c r="C711" s="5">
        <v>46174</v>
      </c>
      <c r="D711" s="10" t="str" cm="1">
        <f t="array" ref="D711">_xlfn.XLOOKUP(Table4[[#This Row],[Malın kodu]],Table1[[#All],[Malın kodu]],Table1[[#All],[Malın adı]],"xəta",0)</f>
        <v>Dirsək / d 63 mm / 90° / polietilen / 6 əd / "Borfit" / Türkiyə istehsalı</v>
      </c>
      <c r="E711" s="8" t="s">
        <v>1619</v>
      </c>
      <c r="F711" s="4" t="s">
        <v>920</v>
      </c>
      <c r="G711" s="4">
        <v>6</v>
      </c>
      <c r="H711" s="4"/>
      <c r="I711" s="4">
        <f>Table4[[#This Row],[Malın miqdarı]]*Table4[[#This Row],[Vahidin qiyməti]]</f>
        <v>0</v>
      </c>
      <c r="J711" s="4" t="s">
        <v>899</v>
      </c>
      <c r="K711" s="4" t="s">
        <v>893</v>
      </c>
      <c r="L711" s="4">
        <f>_xlfn.XLOOKUP(Table4[[#This Row],[Kontragentin adı]],Table2[Kontragentin adı],Table2[Müqavilə nömrəsi],"Xəta",0)</f>
        <v>0</v>
      </c>
      <c r="M711" s="4">
        <f>_xlfn.XLOOKUP(Table4[[#This Row],[Kontragentin adı]],Table2[Kontragentin adı],Table2[Müqavilə nömrəsi],"Xəta",0)</f>
        <v>0</v>
      </c>
    </row>
    <row r="712" spans="2:13" x14ac:dyDescent="0.3">
      <c r="B712" s="4">
        <f t="shared" si="11"/>
        <v>709</v>
      </c>
      <c r="C712" s="5">
        <v>46174</v>
      </c>
      <c r="D712" s="10" t="str" cm="1">
        <f t="array" ref="D712">_xlfn.XLOOKUP(Table4[[#This Row],[Malın kodu]],Table1[[#All],[Malın kodu]],Table1[[#All],[Malın adı]],"xəta",0)</f>
        <v>Dirsək / d 63 mm / 45° / polietilen / "Tega" / Türkiyə istehsalı</v>
      </c>
      <c r="E712" s="8" t="s">
        <v>1620</v>
      </c>
      <c r="F712" s="4" t="s">
        <v>920</v>
      </c>
      <c r="G712" s="4">
        <v>2</v>
      </c>
      <c r="H712" s="4"/>
      <c r="I712" s="4">
        <f>Table4[[#This Row],[Malın miqdarı]]*Table4[[#This Row],[Vahidin qiyməti]]</f>
        <v>0</v>
      </c>
      <c r="J712" s="4" t="s">
        <v>899</v>
      </c>
      <c r="K712" s="4" t="s">
        <v>893</v>
      </c>
      <c r="L712" s="4">
        <f>_xlfn.XLOOKUP(Table4[[#This Row],[Kontragentin adı]],Table2[Kontragentin adı],Table2[Müqavilə nömrəsi],"Xəta",0)</f>
        <v>0</v>
      </c>
      <c r="M712" s="4">
        <f>_xlfn.XLOOKUP(Table4[[#This Row],[Kontragentin adı]],Table2[Kontragentin adı],Table2[Müqavilə nömrəsi],"Xəta",0)</f>
        <v>0</v>
      </c>
    </row>
    <row r="713" spans="2:13" x14ac:dyDescent="0.3">
      <c r="B713" s="4">
        <f t="shared" si="11"/>
        <v>710</v>
      </c>
      <c r="C713" s="5">
        <v>46174</v>
      </c>
      <c r="D713" s="10" t="str" cm="1">
        <f t="array" ref="D713">_xlfn.XLOOKUP(Table4[[#This Row],[Malın kodu]],Table1[[#All],[Malın kodu]],Table1[[#All],[Malın adı]],"xəta",0)</f>
        <v>Qapaq / d 110 mm / polietilen / "Borfit" / Türkiyə istehsalı</v>
      </c>
      <c r="E713" s="8" t="s">
        <v>1621</v>
      </c>
      <c r="F713" s="4" t="s">
        <v>920</v>
      </c>
      <c r="G713" s="4">
        <v>6</v>
      </c>
      <c r="H713" s="4"/>
      <c r="I713" s="4">
        <f>Table4[[#This Row],[Malın miqdarı]]*Table4[[#This Row],[Vahidin qiyməti]]</f>
        <v>0</v>
      </c>
      <c r="J713" s="4" t="s">
        <v>899</v>
      </c>
      <c r="K713" s="4" t="s">
        <v>893</v>
      </c>
      <c r="L713" s="4">
        <f>_xlfn.XLOOKUP(Table4[[#This Row],[Kontragentin adı]],Table2[Kontragentin adı],Table2[Müqavilə nömrəsi],"Xəta",0)</f>
        <v>0</v>
      </c>
      <c r="M713" s="4">
        <f>_xlfn.XLOOKUP(Table4[[#This Row],[Kontragentin adı]],Table2[Kontragentin adı],Table2[Müqavilə nömrəsi],"Xəta",0)</f>
        <v>0</v>
      </c>
    </row>
    <row r="714" spans="2:13" x14ac:dyDescent="0.3">
      <c r="B714" s="4">
        <f t="shared" si="11"/>
        <v>711</v>
      </c>
      <c r="C714" s="5">
        <v>46174</v>
      </c>
      <c r="D714" s="10" t="str" cm="1">
        <f t="array" ref="D714">_xlfn.XLOOKUP(Table4[[#This Row],[Malın kodu]],Table1[[#All],[Malın kodu]],Table1[[#All],[Malın adı]],"xəta",0)</f>
        <v>Dirsək / d 50 mm / polietilen / 90° / "Borfit" / Türkiyə istehsalı</v>
      </c>
      <c r="E714" s="8" t="s">
        <v>1622</v>
      </c>
      <c r="F714" s="4" t="s">
        <v>920</v>
      </c>
      <c r="G714" s="4">
        <v>2</v>
      </c>
      <c r="H714" s="4"/>
      <c r="I714" s="4">
        <f>Table4[[#This Row],[Malın miqdarı]]*Table4[[#This Row],[Vahidin qiyməti]]</f>
        <v>0</v>
      </c>
      <c r="J714" s="4" t="s">
        <v>899</v>
      </c>
      <c r="K714" s="4" t="s">
        <v>893</v>
      </c>
      <c r="L714" s="4">
        <f>_xlfn.XLOOKUP(Table4[[#This Row],[Kontragentin adı]],Table2[Kontragentin adı],Table2[Müqavilə nömrəsi],"Xəta",0)</f>
        <v>0</v>
      </c>
      <c r="M714" s="4">
        <f>_xlfn.XLOOKUP(Table4[[#This Row],[Kontragentin adı]],Table2[Kontragentin adı],Table2[Müqavilə nömrəsi],"Xəta",0)</f>
        <v>0</v>
      </c>
    </row>
    <row r="715" spans="2:13" x14ac:dyDescent="0.3">
      <c r="B715" s="4">
        <f t="shared" si="11"/>
        <v>712</v>
      </c>
      <c r="C715" s="5">
        <v>46174</v>
      </c>
      <c r="D715" s="10" t="str" cm="1">
        <f t="array" ref="D715">_xlfn.XLOOKUP(Table4[[#This Row],[Malın kodu]],Table1[[#All],[Malın kodu]],Table1[[#All],[Malın adı]],"xəta",0)</f>
        <v>Üçlük / d 50 mm / polietilen / "Borfit" / Türkiyə istehsalı</v>
      </c>
      <c r="E715" s="8" t="s">
        <v>1623</v>
      </c>
      <c r="F715" s="4" t="s">
        <v>920</v>
      </c>
      <c r="G715" s="4">
        <v>1</v>
      </c>
      <c r="H715" s="4"/>
      <c r="I715" s="4">
        <f>Table4[[#This Row],[Malın miqdarı]]*Table4[[#This Row],[Vahidin qiyməti]]</f>
        <v>0</v>
      </c>
      <c r="J715" s="4" t="s">
        <v>899</v>
      </c>
      <c r="K715" s="4" t="s">
        <v>893</v>
      </c>
      <c r="L715" s="4">
        <f>_xlfn.XLOOKUP(Table4[[#This Row],[Kontragentin adı]],Table2[Kontragentin adı],Table2[Müqavilə nömrəsi],"Xəta",0)</f>
        <v>0</v>
      </c>
      <c r="M715" s="4">
        <f>_xlfn.XLOOKUP(Table4[[#This Row],[Kontragentin adı]],Table2[Kontragentin adı],Table2[Müqavilə nömrəsi],"Xəta",0)</f>
        <v>0</v>
      </c>
    </row>
    <row r="716" spans="2:13" x14ac:dyDescent="0.3">
      <c r="B716" s="4">
        <f t="shared" si="11"/>
        <v>713</v>
      </c>
      <c r="C716" s="5">
        <v>46174</v>
      </c>
      <c r="D716" s="10" t="str" cm="1">
        <f t="array" ref="D716">_xlfn.XLOOKUP(Table4[[#This Row],[Malın kodu]],Table1[[#All],[Malın kodu]],Table1[[#All],[Malın adı]],"xəta",0)</f>
        <v>Keçid / d 255 x 310 mm / polad</v>
      </c>
      <c r="E716" s="8" t="s">
        <v>1624</v>
      </c>
      <c r="F716" s="4" t="s">
        <v>920</v>
      </c>
      <c r="G716" s="4">
        <v>1</v>
      </c>
      <c r="H716" s="4"/>
      <c r="I716" s="4">
        <f>Table4[[#This Row],[Malın miqdarı]]*Table4[[#This Row],[Vahidin qiyməti]]</f>
        <v>0</v>
      </c>
      <c r="J716" s="4" t="s">
        <v>899</v>
      </c>
      <c r="K716" s="4" t="s">
        <v>893</v>
      </c>
      <c r="L716" s="4">
        <f>_xlfn.XLOOKUP(Table4[[#This Row],[Kontragentin adı]],Table2[Kontragentin adı],Table2[Müqavilə nömrəsi],"Xəta",0)</f>
        <v>0</v>
      </c>
      <c r="M716" s="4">
        <f>_xlfn.XLOOKUP(Table4[[#This Row],[Kontragentin adı]],Table2[Kontragentin adı],Table2[Müqavilə nömrəsi],"Xəta",0)</f>
        <v>0</v>
      </c>
    </row>
    <row r="717" spans="2:13" x14ac:dyDescent="0.3">
      <c r="B717" s="4">
        <f t="shared" si="11"/>
        <v>714</v>
      </c>
      <c r="C717" s="5">
        <v>46174</v>
      </c>
      <c r="D717" s="10" t="str" cm="1">
        <f t="array" ref="D717">_xlfn.XLOOKUP(Table4[[#This Row],[Malın kodu]],Table1[[#All],[Malın kodu]],Table1[[#All],[Malın adı]],"xəta",0)</f>
        <v>Keçid / d 125 x 155 mm / polad</v>
      </c>
      <c r="E717" s="8" t="s">
        <v>1625</v>
      </c>
      <c r="F717" s="4" t="s">
        <v>920</v>
      </c>
      <c r="G717" s="4">
        <v>1</v>
      </c>
      <c r="H717" s="4"/>
      <c r="I717" s="4">
        <f>Table4[[#This Row],[Malın miqdarı]]*Table4[[#This Row],[Vahidin qiyməti]]</f>
        <v>0</v>
      </c>
      <c r="J717" s="4" t="s">
        <v>899</v>
      </c>
      <c r="K717" s="4" t="s">
        <v>893</v>
      </c>
      <c r="L717" s="4">
        <f>_xlfn.XLOOKUP(Table4[[#This Row],[Kontragentin adı]],Table2[Kontragentin adı],Table2[Müqavilə nömrəsi],"Xəta",0)</f>
        <v>0</v>
      </c>
      <c r="M717" s="4">
        <f>_xlfn.XLOOKUP(Table4[[#This Row],[Kontragentin adı]],Table2[Kontragentin adı],Table2[Müqavilə nömrəsi],"Xəta",0)</f>
        <v>0</v>
      </c>
    </row>
    <row r="718" spans="2:13" x14ac:dyDescent="0.3">
      <c r="B718" s="4">
        <f t="shared" si="11"/>
        <v>715</v>
      </c>
      <c r="C718" s="5">
        <v>46174</v>
      </c>
      <c r="D718" s="10" t="str" cm="1">
        <f t="array" ref="D718">_xlfn.XLOOKUP(Table4[[#This Row],[Malın kodu]],Table1[[#All],[Malın kodu]],Table1[[#All],[Malın adı]],"xəta",0)</f>
        <v>Keçid / d 100 x 155 mm / polad</v>
      </c>
      <c r="E718" s="8" t="s">
        <v>1626</v>
      </c>
      <c r="F718" s="4" t="s">
        <v>920</v>
      </c>
      <c r="G718" s="4">
        <v>1</v>
      </c>
      <c r="H718" s="4"/>
      <c r="I718" s="4">
        <f>Table4[[#This Row],[Malın miqdarı]]*Table4[[#This Row],[Vahidin qiyməti]]</f>
        <v>0</v>
      </c>
      <c r="J718" s="4" t="s">
        <v>899</v>
      </c>
      <c r="K718" s="4" t="s">
        <v>893</v>
      </c>
      <c r="L718" s="4">
        <f>_xlfn.XLOOKUP(Table4[[#This Row],[Kontragentin adı]],Table2[Kontragentin adı],Table2[Müqavilə nömrəsi],"Xəta",0)</f>
        <v>0</v>
      </c>
      <c r="M718" s="4">
        <f>_xlfn.XLOOKUP(Table4[[#This Row],[Kontragentin adı]],Table2[Kontragentin adı],Table2[Müqavilə nömrəsi],"Xəta",0)</f>
        <v>0</v>
      </c>
    </row>
    <row r="719" spans="2:13" x14ac:dyDescent="0.3">
      <c r="B719" s="4">
        <f t="shared" si="11"/>
        <v>716</v>
      </c>
      <c r="C719" s="5">
        <v>46174</v>
      </c>
      <c r="D719" s="10" t="str" cm="1">
        <f t="array" ref="D719">_xlfn.XLOOKUP(Table4[[#This Row],[Malın kodu]],Table1[[#All],[Malın kodu]],Table1[[#All],[Malın adı]],"xəta",0)</f>
        <v>Keçid / d 75 x 95 mm / polad</v>
      </c>
      <c r="E719" s="8" t="s">
        <v>1627</v>
      </c>
      <c r="F719" s="4" t="s">
        <v>920</v>
      </c>
      <c r="G719" s="4">
        <v>1</v>
      </c>
      <c r="H719" s="4"/>
      <c r="I719" s="4">
        <f>Table4[[#This Row],[Malın miqdarı]]*Table4[[#This Row],[Vahidin qiyməti]]</f>
        <v>0</v>
      </c>
      <c r="J719" s="4" t="s">
        <v>899</v>
      </c>
      <c r="K719" s="4" t="s">
        <v>893</v>
      </c>
      <c r="L719" s="4">
        <f>_xlfn.XLOOKUP(Table4[[#This Row],[Kontragentin adı]],Table2[Kontragentin adı],Table2[Müqavilə nömrəsi],"Xəta",0)</f>
        <v>0</v>
      </c>
      <c r="M719" s="4">
        <f>_xlfn.XLOOKUP(Table4[[#This Row],[Kontragentin adı]],Table2[Kontragentin adı],Table2[Müqavilə nömrəsi],"Xəta",0)</f>
        <v>0</v>
      </c>
    </row>
    <row r="720" spans="2:13" x14ac:dyDescent="0.3">
      <c r="B720" s="4">
        <f t="shared" si="11"/>
        <v>717</v>
      </c>
      <c r="C720" s="5">
        <v>46174</v>
      </c>
      <c r="D720" s="10" t="str" cm="1">
        <f t="array" ref="D720">_xlfn.XLOOKUP(Table4[[#This Row],[Malın kodu]],Table1[[#All],[Malın kodu]],Table1[[#All],[Malın adı]],"xəta",0)</f>
        <v>Keçid / d 90 x 150 mm / polad</v>
      </c>
      <c r="E720" s="8" t="s">
        <v>1628</v>
      </c>
      <c r="F720" s="4" t="s">
        <v>920</v>
      </c>
      <c r="G720" s="4">
        <v>1</v>
      </c>
      <c r="H720" s="4"/>
      <c r="I720" s="4">
        <f>Table4[[#This Row],[Malın miqdarı]]*Table4[[#This Row],[Vahidin qiyməti]]</f>
        <v>0</v>
      </c>
      <c r="J720" s="4" t="s">
        <v>899</v>
      </c>
      <c r="K720" s="4" t="s">
        <v>893</v>
      </c>
      <c r="L720" s="4">
        <f>_xlfn.XLOOKUP(Table4[[#This Row],[Kontragentin adı]],Table2[Kontragentin adı],Table2[Müqavilə nömrəsi],"Xəta",0)</f>
        <v>0</v>
      </c>
      <c r="M720" s="4">
        <f>_xlfn.XLOOKUP(Table4[[#This Row],[Kontragentin adı]],Table2[Kontragentin adı],Table2[Müqavilə nömrəsi],"Xəta",0)</f>
        <v>0</v>
      </c>
    </row>
    <row r="721" spans="2:13" x14ac:dyDescent="0.3">
      <c r="B721" s="4">
        <f t="shared" si="11"/>
        <v>718</v>
      </c>
      <c r="C721" s="5">
        <v>46174</v>
      </c>
      <c r="D721" s="10" t="str" cm="1">
        <f t="array" ref="D721">_xlfn.XLOOKUP(Table4[[#This Row],[Malın kodu]],Table1[[#All],[Malın kodu]],Table1[[#All],[Malın adı]],"xəta",0)</f>
        <v>Qapaq / d 150 mm / polad</v>
      </c>
      <c r="E721" s="8" t="s">
        <v>1629</v>
      </c>
      <c r="F721" s="4" t="s">
        <v>920</v>
      </c>
      <c r="G721" s="4">
        <v>1</v>
      </c>
      <c r="H721" s="4"/>
      <c r="I721" s="4">
        <f>Table4[[#This Row],[Malın miqdarı]]*Table4[[#This Row],[Vahidin qiyməti]]</f>
        <v>0</v>
      </c>
      <c r="J721" s="4" t="s">
        <v>899</v>
      </c>
      <c r="K721" s="4" t="s">
        <v>893</v>
      </c>
      <c r="L721" s="4">
        <f>_xlfn.XLOOKUP(Table4[[#This Row],[Kontragentin adı]],Table2[Kontragentin adı],Table2[Müqavilə nömrəsi],"Xəta",0)</f>
        <v>0</v>
      </c>
      <c r="M721" s="4">
        <f>_xlfn.XLOOKUP(Table4[[#This Row],[Kontragentin adı]],Table2[Kontragentin adı],Table2[Müqavilə nömrəsi],"Xəta",0)</f>
        <v>0</v>
      </c>
    </row>
    <row r="722" spans="2:13" x14ac:dyDescent="0.3">
      <c r="B722" s="4">
        <f t="shared" si="11"/>
        <v>719</v>
      </c>
      <c r="C722" s="5">
        <v>46174</v>
      </c>
      <c r="D722" s="10" t="str" cm="1">
        <f t="array" ref="D722">_xlfn.XLOOKUP(Table4[[#This Row],[Malın kodu]],Table1[[#All],[Malın kodu]],Table1[[#All],[Malın adı]],"xəta",0)</f>
        <v>Dirsək / d 260 mm / polad</v>
      </c>
      <c r="E722" s="8" t="s">
        <v>1630</v>
      </c>
      <c r="F722" s="4" t="s">
        <v>920</v>
      </c>
      <c r="G722" s="4">
        <v>1</v>
      </c>
      <c r="H722" s="4"/>
      <c r="I722" s="4">
        <f>Table4[[#This Row],[Malın miqdarı]]*Table4[[#This Row],[Vahidin qiyməti]]</f>
        <v>0</v>
      </c>
      <c r="J722" s="4" t="s">
        <v>899</v>
      </c>
      <c r="K722" s="4" t="s">
        <v>893</v>
      </c>
      <c r="L722" s="4">
        <f>_xlfn.XLOOKUP(Table4[[#This Row],[Kontragentin adı]],Table2[Kontragentin adı],Table2[Müqavilə nömrəsi],"Xəta",0)</f>
        <v>0</v>
      </c>
      <c r="M722" s="4">
        <f>_xlfn.XLOOKUP(Table4[[#This Row],[Kontragentin adı]],Table2[Kontragentin adı],Table2[Müqavilə nömrəsi],"Xəta",0)</f>
        <v>0</v>
      </c>
    </row>
    <row r="723" spans="2:13" x14ac:dyDescent="0.3">
      <c r="B723" s="4">
        <f t="shared" si="11"/>
        <v>720</v>
      </c>
      <c r="C723" s="5">
        <v>46174</v>
      </c>
      <c r="D723" s="10" t="str" cm="1">
        <f t="array" ref="D723">_xlfn.XLOOKUP(Table4[[#This Row],[Malın kodu]],Table1[[#All],[Malın kodu]],Table1[[#All],[Malın adı]],"xəta",0)</f>
        <v>Dirsək / d 65 mm / polad / 90°</v>
      </c>
      <c r="E723" s="8" t="s">
        <v>1631</v>
      </c>
      <c r="F723" s="4" t="s">
        <v>920</v>
      </c>
      <c r="G723" s="4">
        <v>7</v>
      </c>
      <c r="H723" s="4"/>
      <c r="I723" s="4">
        <f>Table4[[#This Row],[Malın miqdarı]]*Table4[[#This Row],[Vahidin qiyməti]]</f>
        <v>0</v>
      </c>
      <c r="J723" s="4" t="s">
        <v>899</v>
      </c>
      <c r="K723" s="4" t="s">
        <v>893</v>
      </c>
      <c r="L723" s="4">
        <f>_xlfn.XLOOKUP(Table4[[#This Row],[Kontragentin adı]],Table2[Kontragentin adı],Table2[Müqavilə nömrəsi],"Xəta",0)</f>
        <v>0</v>
      </c>
      <c r="M723" s="4">
        <f>_xlfn.XLOOKUP(Table4[[#This Row],[Kontragentin adı]],Table2[Kontragentin adı],Table2[Müqavilə nömrəsi],"Xəta",0)</f>
        <v>0</v>
      </c>
    </row>
    <row r="724" spans="2:13" x14ac:dyDescent="0.3">
      <c r="B724" s="4">
        <f t="shared" si="11"/>
        <v>721</v>
      </c>
      <c r="C724" s="5">
        <v>46174</v>
      </c>
      <c r="D724" s="10" t="str" cm="1">
        <f t="array" ref="D724">_xlfn.XLOOKUP(Table4[[#This Row],[Malın kodu]],Table1[[#All],[Malın kodu]],Table1[[#All],[Malın adı]],"xəta",0)</f>
        <v>Dirsək / d 160 mm / polad / 45°</v>
      </c>
      <c r="E724" s="8" t="s">
        <v>1632</v>
      </c>
      <c r="F724" s="4" t="s">
        <v>920</v>
      </c>
      <c r="G724" s="4">
        <v>1</v>
      </c>
      <c r="H724" s="4"/>
      <c r="I724" s="4">
        <f>Table4[[#This Row],[Malın miqdarı]]*Table4[[#This Row],[Vahidin qiyməti]]</f>
        <v>0</v>
      </c>
      <c r="J724" s="4" t="s">
        <v>899</v>
      </c>
      <c r="K724" s="4" t="s">
        <v>893</v>
      </c>
      <c r="L724" s="4">
        <f>_xlfn.XLOOKUP(Table4[[#This Row],[Kontragentin adı]],Table2[Kontragentin adı],Table2[Müqavilə nömrəsi],"Xəta",0)</f>
        <v>0</v>
      </c>
      <c r="M724" s="4">
        <f>_xlfn.XLOOKUP(Table4[[#This Row],[Kontragentin adı]],Table2[Kontragentin adı],Table2[Müqavilə nömrəsi],"Xəta",0)</f>
        <v>0</v>
      </c>
    </row>
    <row r="725" spans="2:13" x14ac:dyDescent="0.3">
      <c r="B725" s="4">
        <f t="shared" si="11"/>
        <v>722</v>
      </c>
      <c r="C725" s="5">
        <v>46174</v>
      </c>
      <c r="D725" s="10" t="str" cm="1">
        <f t="array" ref="D725">_xlfn.XLOOKUP(Table4[[#This Row],[Malın kodu]],Table1[[#All],[Malın kodu]],Table1[[#All],[Malın adı]],"xəta",0)</f>
        <v>Dirsək / d 100 mm / polad / 45°</v>
      </c>
      <c r="E725" s="8" t="s">
        <v>1633</v>
      </c>
      <c r="F725" s="4" t="s">
        <v>920</v>
      </c>
      <c r="G725" s="4">
        <v>6</v>
      </c>
      <c r="H725" s="4"/>
      <c r="I725" s="4">
        <f>Table4[[#This Row],[Malın miqdarı]]*Table4[[#This Row],[Vahidin qiyməti]]</f>
        <v>0</v>
      </c>
      <c r="J725" s="4" t="s">
        <v>899</v>
      </c>
      <c r="K725" s="4" t="s">
        <v>893</v>
      </c>
      <c r="L725" s="4">
        <f>_xlfn.XLOOKUP(Table4[[#This Row],[Kontragentin adı]],Table2[Kontragentin adı],Table2[Müqavilə nömrəsi],"Xəta",0)</f>
        <v>0</v>
      </c>
      <c r="M725" s="4">
        <f>_xlfn.XLOOKUP(Table4[[#This Row],[Kontragentin adı]],Table2[Kontragentin adı],Table2[Müqavilə nömrəsi],"Xəta",0)</f>
        <v>0</v>
      </c>
    </row>
    <row r="726" spans="2:13" x14ac:dyDescent="0.3">
      <c r="B726" s="4">
        <f t="shared" si="11"/>
        <v>723</v>
      </c>
      <c r="C726" s="5">
        <v>46174</v>
      </c>
      <c r="D726" s="10" t="str" cm="1">
        <f t="array" ref="D726">_xlfn.XLOOKUP(Table4[[#This Row],[Malın kodu]],Table1[[#All],[Malın kodu]],Table1[[#All],[Malın adı]],"xəta",0)</f>
        <v>Dirsək / d 310 mm / polad / 45°</v>
      </c>
      <c r="E726" s="8" t="s">
        <v>1634</v>
      </c>
      <c r="F726" s="4" t="s">
        <v>920</v>
      </c>
      <c r="G726" s="4">
        <v>1</v>
      </c>
      <c r="H726" s="4"/>
      <c r="I726" s="4">
        <f>Table4[[#This Row],[Malın miqdarı]]*Table4[[#This Row],[Vahidin qiyməti]]</f>
        <v>0</v>
      </c>
      <c r="J726" s="4" t="s">
        <v>899</v>
      </c>
      <c r="K726" s="4" t="s">
        <v>893</v>
      </c>
      <c r="L726" s="4">
        <f>_xlfn.XLOOKUP(Table4[[#This Row],[Kontragentin adı]],Table2[Kontragentin adı],Table2[Müqavilə nömrəsi],"Xəta",0)</f>
        <v>0</v>
      </c>
      <c r="M726" s="4">
        <f>_xlfn.XLOOKUP(Table4[[#This Row],[Kontragentin adı]],Table2[Kontragentin adı],Table2[Müqavilə nömrəsi],"Xəta",0)</f>
        <v>0</v>
      </c>
    </row>
    <row r="727" spans="2:13" x14ac:dyDescent="0.3">
      <c r="B727" s="4">
        <f t="shared" si="11"/>
        <v>724</v>
      </c>
      <c r="C727" s="5">
        <v>46174</v>
      </c>
      <c r="D727" s="10" t="str" cm="1">
        <f t="array" ref="D727">_xlfn.XLOOKUP(Table4[[#This Row],[Malın kodu]],Table1[[#All],[Malın kodu]],Table1[[#All],[Malın adı]],"xəta",0)</f>
        <v>Dirsək / d 200 mm / polad / 45°</v>
      </c>
      <c r="E727" s="8" t="s">
        <v>1635</v>
      </c>
      <c r="F727" s="4" t="s">
        <v>920</v>
      </c>
      <c r="G727" s="4">
        <v>1</v>
      </c>
      <c r="H727" s="4"/>
      <c r="I727" s="4">
        <f>Table4[[#This Row],[Malın miqdarı]]*Table4[[#This Row],[Vahidin qiyməti]]</f>
        <v>0</v>
      </c>
      <c r="J727" s="4" t="s">
        <v>899</v>
      </c>
      <c r="K727" s="4" t="s">
        <v>893</v>
      </c>
      <c r="L727" s="4">
        <f>_xlfn.XLOOKUP(Table4[[#This Row],[Kontragentin adı]],Table2[Kontragentin adı],Table2[Müqavilə nömrəsi],"Xəta",0)</f>
        <v>0</v>
      </c>
      <c r="M727" s="4">
        <f>_xlfn.XLOOKUP(Table4[[#This Row],[Kontragentin adı]],Table2[Kontragentin adı],Table2[Müqavilə nömrəsi],"Xəta",0)</f>
        <v>0</v>
      </c>
    </row>
    <row r="728" spans="2:13" x14ac:dyDescent="0.3">
      <c r="B728" s="4">
        <f t="shared" si="11"/>
        <v>725</v>
      </c>
      <c r="C728" s="5">
        <v>46174</v>
      </c>
      <c r="D728" s="10" t="str" cm="1">
        <f t="array" ref="D728">_xlfn.XLOOKUP(Table4[[#This Row],[Malın kodu]],Table1[[#All],[Malın kodu]],Table1[[#All],[Malın adı]],"xəta",0)</f>
        <v>Üçlük / d 150 mm / polad</v>
      </c>
      <c r="E728" s="8" t="s">
        <v>1636</v>
      </c>
      <c r="F728" s="4" t="s">
        <v>920</v>
      </c>
      <c r="G728" s="4">
        <v>1</v>
      </c>
      <c r="H728" s="4"/>
      <c r="I728" s="4">
        <f>Table4[[#This Row],[Malın miqdarı]]*Table4[[#This Row],[Vahidin qiyməti]]</f>
        <v>0</v>
      </c>
      <c r="J728" s="4" t="s">
        <v>899</v>
      </c>
      <c r="K728" s="4" t="s">
        <v>893</v>
      </c>
      <c r="L728" s="4">
        <f>_xlfn.XLOOKUP(Table4[[#This Row],[Kontragentin adı]],Table2[Kontragentin adı],Table2[Müqavilə nömrəsi],"Xəta",0)</f>
        <v>0</v>
      </c>
      <c r="M728" s="4">
        <f>_xlfn.XLOOKUP(Table4[[#This Row],[Kontragentin adı]],Table2[Kontragentin adı],Table2[Müqavilə nömrəsi],"Xəta",0)</f>
        <v>0</v>
      </c>
    </row>
    <row r="729" spans="2:13" x14ac:dyDescent="0.3">
      <c r="B729" s="4">
        <f t="shared" si="11"/>
        <v>726</v>
      </c>
      <c r="C729" s="5">
        <v>46174</v>
      </c>
      <c r="D729" s="10" t="str" cm="1">
        <f t="array" ref="D729">_xlfn.XLOOKUP(Table4[[#This Row],[Malın kodu]],Table1[[#All],[Malın kodu]],Table1[[#All],[Malın adı]],"xəta",0)</f>
        <v>Üçlük / d 150 x 95 mm / polad</v>
      </c>
      <c r="E729" s="8" t="s">
        <v>1637</v>
      </c>
      <c r="F729" s="4" t="s">
        <v>920</v>
      </c>
      <c r="G729" s="4">
        <v>1</v>
      </c>
      <c r="H729" s="4"/>
      <c r="I729" s="4">
        <f>Table4[[#This Row],[Malın miqdarı]]*Table4[[#This Row],[Vahidin qiyməti]]</f>
        <v>0</v>
      </c>
      <c r="J729" s="4" t="s">
        <v>899</v>
      </c>
      <c r="K729" s="4" t="s">
        <v>893</v>
      </c>
      <c r="L729" s="4">
        <f>_xlfn.XLOOKUP(Table4[[#This Row],[Kontragentin adı]],Table2[Kontragentin adı],Table2[Müqavilə nömrəsi],"Xəta",0)</f>
        <v>0</v>
      </c>
      <c r="M729" s="4">
        <f>_xlfn.XLOOKUP(Table4[[#This Row],[Kontragentin adı]],Table2[Kontragentin adı],Table2[Müqavilə nömrəsi],"Xəta",0)</f>
        <v>0</v>
      </c>
    </row>
    <row r="730" spans="2:13" x14ac:dyDescent="0.3">
      <c r="B730" s="4">
        <f t="shared" si="11"/>
        <v>727</v>
      </c>
      <c r="C730" s="5">
        <v>46174</v>
      </c>
      <c r="D730" s="10" t="str" cm="1">
        <f t="array" ref="D730">_xlfn.XLOOKUP(Table4[[#This Row],[Malın kodu]],Table1[[#All],[Malın kodu]],Table1[[#All],[Malın adı]],"xəta",0)</f>
        <v>Dirsək / d 205 mm / 90° / polad</v>
      </c>
      <c r="E730" s="8" t="s">
        <v>1638</v>
      </c>
      <c r="F730" s="4" t="s">
        <v>920</v>
      </c>
      <c r="G730" s="4">
        <v>1</v>
      </c>
      <c r="H730" s="4"/>
      <c r="I730" s="4">
        <f>Table4[[#This Row],[Malın miqdarı]]*Table4[[#This Row],[Vahidin qiyməti]]</f>
        <v>0</v>
      </c>
      <c r="J730" s="4" t="s">
        <v>899</v>
      </c>
      <c r="K730" s="4" t="s">
        <v>893</v>
      </c>
      <c r="L730" s="4">
        <f>_xlfn.XLOOKUP(Table4[[#This Row],[Kontragentin adı]],Table2[Kontragentin adı],Table2[Müqavilə nömrəsi],"Xəta",0)</f>
        <v>0</v>
      </c>
      <c r="M730" s="4">
        <f>_xlfn.XLOOKUP(Table4[[#This Row],[Kontragentin adı]],Table2[Kontragentin adı],Table2[Müqavilə nömrəsi],"Xəta",0)</f>
        <v>0</v>
      </c>
    </row>
    <row r="731" spans="2:13" x14ac:dyDescent="0.3">
      <c r="B731" s="4">
        <f t="shared" si="11"/>
        <v>728</v>
      </c>
      <c r="C731" s="5">
        <v>46174</v>
      </c>
      <c r="D731" s="10" t="str" cm="1">
        <f t="array" ref="D731">_xlfn.XLOOKUP(Table4[[#This Row],[Malın kodu]],Table1[[#All],[Malın kodu]],Table1[[#All],[Malın adı]],"xəta",0)</f>
        <v>Dirsək / d 93 mm / 90° / polad</v>
      </c>
      <c r="E731" s="8" t="s">
        <v>1639</v>
      </c>
      <c r="F731" s="4" t="s">
        <v>920</v>
      </c>
      <c r="G731" s="4">
        <v>2</v>
      </c>
      <c r="H731" s="4"/>
      <c r="I731" s="4">
        <f>Table4[[#This Row],[Malın miqdarı]]*Table4[[#This Row],[Vahidin qiyməti]]</f>
        <v>0</v>
      </c>
      <c r="J731" s="4" t="s">
        <v>899</v>
      </c>
      <c r="K731" s="4" t="s">
        <v>893</v>
      </c>
      <c r="L731" s="4">
        <f>_xlfn.XLOOKUP(Table4[[#This Row],[Kontragentin adı]],Table2[Kontragentin adı],Table2[Müqavilə nömrəsi],"Xəta",0)</f>
        <v>0</v>
      </c>
      <c r="M731" s="4">
        <f>_xlfn.XLOOKUP(Table4[[#This Row],[Kontragentin adı]],Table2[Kontragentin adı],Table2[Müqavilə nömrəsi],"Xəta",0)</f>
        <v>0</v>
      </c>
    </row>
    <row r="732" spans="2:13" x14ac:dyDescent="0.3">
      <c r="B732" s="4">
        <f t="shared" si="11"/>
        <v>729</v>
      </c>
      <c r="C732" s="5">
        <v>46174</v>
      </c>
      <c r="D732" s="10" t="str" cm="1">
        <f t="array" ref="D732">_xlfn.XLOOKUP(Table4[[#This Row],[Malın kodu]],Table1[[#All],[Malın kodu]],Table1[[#All],[Malın adı]],"xəta",0)</f>
        <v>Flyans / d 65 mm / polad</v>
      </c>
      <c r="E732" s="8" t="s">
        <v>1640</v>
      </c>
      <c r="F732" s="4" t="s">
        <v>920</v>
      </c>
      <c r="G732" s="4">
        <v>2</v>
      </c>
      <c r="H732" s="4"/>
      <c r="I732" s="4">
        <f>Table4[[#This Row],[Malın miqdarı]]*Table4[[#This Row],[Vahidin qiyməti]]</f>
        <v>0</v>
      </c>
      <c r="J732" s="4" t="s">
        <v>899</v>
      </c>
      <c r="K732" s="4" t="s">
        <v>893</v>
      </c>
      <c r="L732" s="4">
        <f>_xlfn.XLOOKUP(Table4[[#This Row],[Kontragentin adı]],Table2[Kontragentin adı],Table2[Müqavilə nömrəsi],"Xəta",0)</f>
        <v>0</v>
      </c>
      <c r="M732" s="4">
        <f>_xlfn.XLOOKUP(Table4[[#This Row],[Kontragentin adı]],Table2[Kontragentin adı],Table2[Müqavilə nömrəsi],"Xəta",0)</f>
        <v>0</v>
      </c>
    </row>
    <row r="733" spans="2:13" x14ac:dyDescent="0.3">
      <c r="B733" s="4">
        <f t="shared" si="11"/>
        <v>730</v>
      </c>
      <c r="C733" s="5">
        <v>46174</v>
      </c>
      <c r="D733" s="10" t="str" cm="1">
        <f t="array" ref="D733">_xlfn.XLOOKUP(Table4[[#This Row],[Malın kodu]],Table1[[#All],[Malın kodu]],Table1[[#All],[Malın adı]],"xəta",0)</f>
        <v>Dirsək / d 90 mm / polad / 90° / flyanslı</v>
      </c>
      <c r="E733" s="8" t="s">
        <v>1641</v>
      </c>
      <c r="F733" s="4" t="s">
        <v>920</v>
      </c>
      <c r="G733" s="4">
        <v>1</v>
      </c>
      <c r="H733" s="4"/>
      <c r="I733" s="4">
        <f>Table4[[#This Row],[Malın miqdarı]]*Table4[[#This Row],[Vahidin qiyməti]]</f>
        <v>0</v>
      </c>
      <c r="J733" s="4" t="s">
        <v>899</v>
      </c>
      <c r="K733" s="4" t="s">
        <v>893</v>
      </c>
      <c r="L733" s="4">
        <f>_xlfn.XLOOKUP(Table4[[#This Row],[Kontragentin adı]],Table2[Kontragentin adı],Table2[Müqavilə nömrəsi],"Xəta",0)</f>
        <v>0</v>
      </c>
      <c r="M733" s="4">
        <f>_xlfn.XLOOKUP(Table4[[#This Row],[Kontragentin adı]],Table2[Kontragentin adı],Table2[Müqavilə nömrəsi],"Xəta",0)</f>
        <v>0</v>
      </c>
    </row>
    <row r="734" spans="2:13" x14ac:dyDescent="0.3">
      <c r="B734" s="4">
        <f t="shared" si="11"/>
        <v>731</v>
      </c>
      <c r="C734" s="5">
        <v>46174</v>
      </c>
      <c r="D734" s="10" t="str" cm="1">
        <f t="array" ref="D734">_xlfn.XLOOKUP(Table4[[#This Row],[Malın kodu]],Table1[[#All],[Malın kodu]],Table1[[#All],[Malın adı]],"xəta",0)</f>
        <v>Dirsək / d 60 mm / polad / 90° / flyanslı</v>
      </c>
      <c r="E734" s="8" t="s">
        <v>1642</v>
      </c>
      <c r="F734" s="4" t="s">
        <v>920</v>
      </c>
      <c r="G734" s="4">
        <v>1</v>
      </c>
      <c r="H734" s="4"/>
      <c r="I734" s="4">
        <f>Table4[[#This Row],[Malın miqdarı]]*Table4[[#This Row],[Vahidin qiyməti]]</f>
        <v>0</v>
      </c>
      <c r="J734" s="4" t="s">
        <v>899</v>
      </c>
      <c r="K734" s="4" t="s">
        <v>893</v>
      </c>
      <c r="L734" s="4">
        <f>_xlfn.XLOOKUP(Table4[[#This Row],[Kontragentin adı]],Table2[Kontragentin adı],Table2[Müqavilə nömrəsi],"Xəta",0)</f>
        <v>0</v>
      </c>
      <c r="M734" s="4">
        <f>_xlfn.XLOOKUP(Table4[[#This Row],[Kontragentin adı]],Table2[Kontragentin adı],Table2[Müqavilə nömrəsi],"Xəta",0)</f>
        <v>0</v>
      </c>
    </row>
    <row r="735" spans="2:13" x14ac:dyDescent="0.3">
      <c r="B735" s="4">
        <f t="shared" si="11"/>
        <v>732</v>
      </c>
      <c r="C735" s="5">
        <v>46174</v>
      </c>
      <c r="D735" s="10" t="str" cm="1">
        <f t="array" ref="D735">_xlfn.XLOOKUP(Table4[[#This Row],[Malın kodu]],Table1[[#All],[Malın kodu]],Table1[[#All],[Malın adı]],"xəta",0)</f>
        <v>Karot ucu / d 102 mm / L 420 mm</v>
      </c>
      <c r="E735" s="8" t="s">
        <v>1643</v>
      </c>
      <c r="F735" s="4" t="s">
        <v>920</v>
      </c>
      <c r="G735" s="4">
        <v>1</v>
      </c>
      <c r="H735" s="4"/>
      <c r="I735" s="4">
        <f>Table4[[#This Row],[Malın miqdarı]]*Table4[[#This Row],[Vahidin qiyməti]]</f>
        <v>0</v>
      </c>
      <c r="J735" s="4" t="s">
        <v>899</v>
      </c>
      <c r="K735" s="4" t="s">
        <v>893</v>
      </c>
      <c r="L735" s="4">
        <f>_xlfn.XLOOKUP(Table4[[#This Row],[Kontragentin adı]],Table2[Kontragentin adı],Table2[Müqavilə nömrəsi],"Xəta",0)</f>
        <v>0</v>
      </c>
      <c r="M735" s="4">
        <f>_xlfn.XLOOKUP(Table4[[#This Row],[Kontragentin adı]],Table2[Kontragentin adı],Table2[Müqavilə nömrəsi],"Xəta",0)</f>
        <v>0</v>
      </c>
    </row>
    <row r="736" spans="2:13" x14ac:dyDescent="0.3">
      <c r="B736" s="4">
        <f t="shared" si="11"/>
        <v>733</v>
      </c>
      <c r="C736" s="5">
        <v>46174</v>
      </c>
      <c r="D736" s="10" t="str" cm="1">
        <f t="array" ref="D736">_xlfn.XLOOKUP(Table4[[#This Row],[Malın kodu]],Table1[[#All],[Malın kodu]],Table1[[#All],[Malın adı]],"xəta",0)</f>
        <v>Karot ucu / d 40 mm / L 420 mm</v>
      </c>
      <c r="E736" s="8" t="s">
        <v>1644</v>
      </c>
      <c r="F736" s="4" t="s">
        <v>920</v>
      </c>
      <c r="G736" s="4">
        <v>1</v>
      </c>
      <c r="H736" s="4"/>
      <c r="I736" s="4">
        <f>Table4[[#This Row],[Malın miqdarı]]*Table4[[#This Row],[Vahidin qiyməti]]</f>
        <v>0</v>
      </c>
      <c r="J736" s="4" t="s">
        <v>899</v>
      </c>
      <c r="K736" s="4" t="s">
        <v>893</v>
      </c>
      <c r="L736" s="4">
        <f>_xlfn.XLOOKUP(Table4[[#This Row],[Kontragentin adı]],Table2[Kontragentin adı],Table2[Müqavilə nömrəsi],"Xəta",0)</f>
        <v>0</v>
      </c>
      <c r="M736" s="4">
        <f>_xlfn.XLOOKUP(Table4[[#This Row],[Kontragentin adı]],Table2[Kontragentin adı],Table2[Müqavilə nömrəsi],"Xəta",0)</f>
        <v>0</v>
      </c>
    </row>
    <row r="737" spans="2:13" x14ac:dyDescent="0.3">
      <c r="B737" s="4">
        <f t="shared" si="11"/>
        <v>734</v>
      </c>
      <c r="C737" s="5">
        <v>46174</v>
      </c>
      <c r="D737" s="10" t="str" cm="1">
        <f t="array" ref="D737">_xlfn.XLOOKUP(Table4[[#This Row],[Malın kodu]],Table1[[#All],[Malın kodu]],Table1[[#All],[Malın adı]],"xəta",0)</f>
        <v>Karot ucu / d 165 mm / L 400 mm</v>
      </c>
      <c r="E737" s="8" t="s">
        <v>1645</v>
      </c>
      <c r="F737" s="4" t="s">
        <v>920</v>
      </c>
      <c r="G737" s="4">
        <v>1</v>
      </c>
      <c r="H737" s="4"/>
      <c r="I737" s="4">
        <f>Table4[[#This Row],[Malın miqdarı]]*Table4[[#This Row],[Vahidin qiyməti]]</f>
        <v>0</v>
      </c>
      <c r="J737" s="4" t="s">
        <v>899</v>
      </c>
      <c r="K737" s="4" t="s">
        <v>893</v>
      </c>
      <c r="L737" s="4">
        <f>_xlfn.XLOOKUP(Table4[[#This Row],[Kontragentin adı]],Table2[Kontragentin adı],Table2[Müqavilə nömrəsi],"Xəta",0)</f>
        <v>0</v>
      </c>
      <c r="M737" s="4">
        <f>_xlfn.XLOOKUP(Table4[[#This Row],[Kontragentin adı]],Table2[Kontragentin adı],Table2[Müqavilə nömrəsi],"Xəta",0)</f>
        <v>0</v>
      </c>
    </row>
    <row r="738" spans="2:13" x14ac:dyDescent="0.3">
      <c r="B738" s="4">
        <f t="shared" si="11"/>
        <v>735</v>
      </c>
      <c r="C738" s="5">
        <v>46174</v>
      </c>
      <c r="D738" s="10" t="str" cm="1">
        <f t="array" ref="D738">_xlfn.XLOOKUP(Table4[[#This Row],[Malın kodu]],Table1[[#All],[Malın kodu]],Table1[[#All],[Malın adı]],"xəta",0)</f>
        <v>Karot ucu / d 220 mm / L 400 mm</v>
      </c>
      <c r="E738" s="8" t="s">
        <v>1646</v>
      </c>
      <c r="F738" s="4" t="s">
        <v>920</v>
      </c>
      <c r="G738" s="4">
        <v>1</v>
      </c>
      <c r="H738" s="4"/>
      <c r="I738" s="4">
        <f>Table4[[#This Row],[Malın miqdarı]]*Table4[[#This Row],[Vahidin qiyməti]]</f>
        <v>0</v>
      </c>
      <c r="J738" s="4" t="s">
        <v>899</v>
      </c>
      <c r="K738" s="4" t="s">
        <v>893</v>
      </c>
      <c r="L738" s="4">
        <f>_xlfn.XLOOKUP(Table4[[#This Row],[Kontragentin adı]],Table2[Kontragentin adı],Table2[Müqavilə nömrəsi],"Xəta",0)</f>
        <v>0</v>
      </c>
      <c r="M738" s="4">
        <f>_xlfn.XLOOKUP(Table4[[#This Row],[Kontragentin adı]],Table2[Kontragentin adı],Table2[Müqavilə nömrəsi],"Xəta",0)</f>
        <v>0</v>
      </c>
    </row>
    <row r="739" spans="2:13" x14ac:dyDescent="0.3">
      <c r="B739" s="4">
        <f t="shared" si="11"/>
        <v>736</v>
      </c>
      <c r="C739" s="5">
        <v>46174</v>
      </c>
      <c r="D739" s="10" t="str" cm="1">
        <f t="array" ref="D739">_xlfn.XLOOKUP(Table4[[#This Row],[Malın kodu]],Table1[[#All],[Malın kodu]],Table1[[#All],[Malın adı]],"xəta",0)</f>
        <v>Giloz açarı</v>
      </c>
      <c r="E739" s="8" t="s">
        <v>1647</v>
      </c>
      <c r="F739" s="4" t="s">
        <v>920</v>
      </c>
      <c r="G739" s="4">
        <v>1</v>
      </c>
      <c r="H739" s="4"/>
      <c r="I739" s="4">
        <f>Table4[[#This Row],[Malın miqdarı]]*Table4[[#This Row],[Vahidin qiyməti]]</f>
        <v>0</v>
      </c>
      <c r="J739" s="4" t="s">
        <v>899</v>
      </c>
      <c r="K739" s="4" t="s">
        <v>893</v>
      </c>
      <c r="L739" s="4">
        <f>_xlfn.XLOOKUP(Table4[[#This Row],[Kontragentin adı]],Table2[Kontragentin adı],Table2[Müqavilə nömrəsi],"Xəta",0)</f>
        <v>0</v>
      </c>
      <c r="M739" s="4">
        <f>_xlfn.XLOOKUP(Table4[[#This Row],[Kontragentin adı]],Table2[Kontragentin adı],Table2[Müqavilə nömrəsi],"Xəta",0)</f>
        <v>0</v>
      </c>
    </row>
    <row r="740" spans="2:13" x14ac:dyDescent="0.3">
      <c r="B740" s="4">
        <f t="shared" si="11"/>
        <v>737</v>
      </c>
      <c r="C740" s="5">
        <v>46174</v>
      </c>
      <c r="D740" s="10" t="str" cm="1">
        <f t="array" ref="D740">_xlfn.XLOOKUP(Table4[[#This Row],[Malın kodu]],Table1[[#All],[Malın kodu]],Table1[[#All],[Malın adı]],"xəta",0)</f>
        <v>Kəsici / d 100 mm / almaz / perforator üçün</v>
      </c>
      <c r="E740" s="8" t="s">
        <v>1648</v>
      </c>
      <c r="F740" s="4" t="s">
        <v>920</v>
      </c>
      <c r="G740" s="4">
        <v>1</v>
      </c>
      <c r="H740" s="4"/>
      <c r="I740" s="4">
        <f>Table4[[#This Row],[Malın miqdarı]]*Table4[[#This Row],[Vahidin qiyməti]]</f>
        <v>0</v>
      </c>
      <c r="J740" s="4" t="s">
        <v>899</v>
      </c>
      <c r="K740" s="4" t="s">
        <v>893</v>
      </c>
      <c r="L740" s="4">
        <f>_xlfn.XLOOKUP(Table4[[#This Row],[Kontragentin adı]],Table2[Kontragentin adı],Table2[Müqavilə nömrəsi],"Xəta",0)</f>
        <v>0</v>
      </c>
      <c r="M740" s="4">
        <f>_xlfn.XLOOKUP(Table4[[#This Row],[Kontragentin adı]],Table2[Kontragentin adı],Table2[Müqavilə nömrəsi],"Xəta",0)</f>
        <v>0</v>
      </c>
    </row>
    <row r="741" spans="2:13" x14ac:dyDescent="0.3">
      <c r="B741" s="4">
        <f t="shared" si="11"/>
        <v>738</v>
      </c>
      <c r="C741" s="5">
        <v>46174</v>
      </c>
      <c r="D741" s="10" t="str" cm="1">
        <f t="array" ref="D741">_xlfn.XLOOKUP(Table4[[#This Row],[Malın kodu]],Table1[[#All],[Malın kodu]],Table1[[#All],[Malın adı]],"xəta",0)</f>
        <v>Kəsici / d 120 mm / almaz / perforator üçün</v>
      </c>
      <c r="E741" s="8" t="s">
        <v>1649</v>
      </c>
      <c r="F741" s="4" t="s">
        <v>920</v>
      </c>
      <c r="G741" s="4">
        <v>1</v>
      </c>
      <c r="H741" s="4"/>
      <c r="I741" s="4">
        <f>Table4[[#This Row],[Malın miqdarı]]*Table4[[#This Row],[Vahidin qiyməti]]</f>
        <v>0</v>
      </c>
      <c r="J741" s="4" t="s">
        <v>899</v>
      </c>
      <c r="K741" s="4" t="s">
        <v>893</v>
      </c>
      <c r="L741" s="4">
        <f>_xlfn.XLOOKUP(Table4[[#This Row],[Kontragentin adı]],Table2[Kontragentin adı],Table2[Müqavilə nömrəsi],"Xəta",0)</f>
        <v>0</v>
      </c>
      <c r="M741" s="4">
        <f>_xlfn.XLOOKUP(Table4[[#This Row],[Kontragentin adı]],Table2[Kontragentin adı],Table2[Müqavilə nömrəsi],"Xəta",0)</f>
        <v>0</v>
      </c>
    </row>
    <row r="742" spans="2:13" x14ac:dyDescent="0.3">
      <c r="B742" s="4">
        <f t="shared" si="11"/>
        <v>739</v>
      </c>
      <c r="C742" s="5">
        <v>46174</v>
      </c>
      <c r="D742" s="10" t="str" cm="1">
        <f t="array" ref="D742">_xlfn.XLOOKUP(Table4[[#This Row],[Malın kodu]],Table1[[#All],[Malın kodu]],Table1[[#All],[Malın adı]],"xəta",0)</f>
        <v>Kəsici / d 50 mm / almaz / perforator üçün</v>
      </c>
      <c r="E742" s="8" t="s">
        <v>1650</v>
      </c>
      <c r="F742" s="4" t="s">
        <v>920</v>
      </c>
      <c r="G742" s="4">
        <v>1</v>
      </c>
      <c r="H742" s="4"/>
      <c r="I742" s="4">
        <f>Table4[[#This Row],[Malın miqdarı]]*Table4[[#This Row],[Vahidin qiyməti]]</f>
        <v>0</v>
      </c>
      <c r="J742" s="4" t="s">
        <v>899</v>
      </c>
      <c r="K742" s="4" t="s">
        <v>893</v>
      </c>
      <c r="L742" s="4">
        <f>_xlfn.XLOOKUP(Table4[[#This Row],[Kontragentin adı]],Table2[Kontragentin adı],Table2[Müqavilə nömrəsi],"Xəta",0)</f>
        <v>0</v>
      </c>
      <c r="M742" s="4">
        <f>_xlfn.XLOOKUP(Table4[[#This Row],[Kontragentin adı]],Table2[Kontragentin adı],Table2[Müqavilə nömrəsi],"Xəta",0)</f>
        <v>0</v>
      </c>
    </row>
    <row r="743" spans="2:13" x14ac:dyDescent="0.3">
      <c r="B743" s="4">
        <f t="shared" si="11"/>
        <v>740</v>
      </c>
      <c r="C743" s="5">
        <v>46174</v>
      </c>
      <c r="D743" s="10" t="str" cm="1">
        <f t="array" ref="D743">_xlfn.XLOOKUP(Table4[[#This Row],[Malın kodu]],Table1[[#All],[Malın kodu]],Table1[[#All],[Malın adı]],"xəta",0)</f>
        <v>Burğu / taxta üçün / d 25 mm</v>
      </c>
      <c r="E743" s="8" t="s">
        <v>1651</v>
      </c>
      <c r="F743" s="4" t="s">
        <v>920</v>
      </c>
      <c r="G743" s="4">
        <v>2</v>
      </c>
      <c r="H743" s="4"/>
      <c r="I743" s="4">
        <f>Table4[[#This Row],[Malın miqdarı]]*Table4[[#This Row],[Vahidin qiyməti]]</f>
        <v>0</v>
      </c>
      <c r="J743" s="4" t="s">
        <v>899</v>
      </c>
      <c r="K743" s="4" t="s">
        <v>893</v>
      </c>
      <c r="L743" s="4">
        <f>_xlfn.XLOOKUP(Table4[[#This Row],[Kontragentin adı]],Table2[Kontragentin adı],Table2[Müqavilə nömrəsi],"Xəta",0)</f>
        <v>0</v>
      </c>
      <c r="M743" s="4">
        <f>_xlfn.XLOOKUP(Table4[[#This Row],[Kontragentin adı]],Table2[Kontragentin adı],Table2[Müqavilə nömrəsi],"Xəta",0)</f>
        <v>0</v>
      </c>
    </row>
    <row r="744" spans="2:13" x14ac:dyDescent="0.3">
      <c r="B744" s="4">
        <f t="shared" si="11"/>
        <v>741</v>
      </c>
      <c r="C744" s="5">
        <v>46174</v>
      </c>
      <c r="D744" s="10" t="str" cm="1">
        <f t="array" ref="D744">_xlfn.XLOOKUP(Table4[[#This Row],[Malın kodu]],Table1[[#All],[Malın kodu]],Table1[[#All],[Malın adı]],"xəta",0)</f>
        <v>Qaz balonu / farsunka ilə</v>
      </c>
      <c r="E744" s="8" t="s">
        <v>1652</v>
      </c>
      <c r="F744" s="4" t="s">
        <v>920</v>
      </c>
      <c r="G744" s="4">
        <v>1</v>
      </c>
      <c r="H744" s="4"/>
      <c r="I744" s="4">
        <f>Table4[[#This Row],[Malın miqdarı]]*Table4[[#This Row],[Vahidin qiyməti]]</f>
        <v>0</v>
      </c>
      <c r="J744" s="4" t="s">
        <v>899</v>
      </c>
      <c r="K744" s="4" t="s">
        <v>893</v>
      </c>
      <c r="L744" s="4">
        <f>_xlfn.XLOOKUP(Table4[[#This Row],[Kontragentin adı]],Table2[Kontragentin adı],Table2[Müqavilə nömrəsi],"Xəta",0)</f>
        <v>0</v>
      </c>
      <c r="M744" s="4">
        <f>_xlfn.XLOOKUP(Table4[[#This Row],[Kontragentin adı]],Table2[Kontragentin adı],Table2[Müqavilə nömrəsi],"Xəta",0)</f>
        <v>0</v>
      </c>
    </row>
    <row r="745" spans="2:13" x14ac:dyDescent="0.3">
      <c r="B745" s="4">
        <f t="shared" si="11"/>
        <v>742</v>
      </c>
      <c r="C745" s="5">
        <v>46174</v>
      </c>
      <c r="D745" s="10" t="str" cm="1">
        <f t="array" ref="D745">_xlfn.XLOOKUP(Table4[[#This Row],[Malın kodu]],Table1[[#All],[Malın kodu]],Table1[[#All],[Malın adı]],"xəta",0)</f>
        <v>Valik / 10-luq</v>
      </c>
      <c r="E745" s="8" t="s">
        <v>1653</v>
      </c>
      <c r="F745" s="4" t="s">
        <v>920</v>
      </c>
      <c r="G745" s="4">
        <v>1</v>
      </c>
      <c r="H745" s="4"/>
      <c r="I745" s="4">
        <f>Table4[[#This Row],[Malın miqdarı]]*Table4[[#This Row],[Vahidin qiyməti]]</f>
        <v>0</v>
      </c>
      <c r="J745" s="4" t="s">
        <v>899</v>
      </c>
      <c r="K745" s="4" t="s">
        <v>893</v>
      </c>
      <c r="L745" s="4">
        <f>_xlfn.XLOOKUP(Table4[[#This Row],[Kontragentin adı]],Table2[Kontragentin adı],Table2[Müqavilə nömrəsi],"Xəta",0)</f>
        <v>0</v>
      </c>
      <c r="M745" s="4">
        <f>_xlfn.XLOOKUP(Table4[[#This Row],[Kontragentin adı]],Table2[Kontragentin adı],Table2[Müqavilə nömrəsi],"Xəta",0)</f>
        <v>0</v>
      </c>
    </row>
    <row r="746" spans="2:13" x14ac:dyDescent="0.3">
      <c r="B746" s="4">
        <f t="shared" si="11"/>
        <v>743</v>
      </c>
      <c r="C746" s="5">
        <v>46174</v>
      </c>
      <c r="D746" s="10" t="str" cm="1">
        <f t="array" ref="D746">_xlfn.XLOOKUP(Table4[[#This Row],[Malın kodu]],Table1[[#All],[Malın kodu]],Table1[[#All],[Malın adı]],"xəta",0)</f>
        <v>Mufta / d 32 mm / polietilen / elektrofizyon / B</v>
      </c>
      <c r="E746" s="8" t="s">
        <v>1654</v>
      </c>
      <c r="F746" s="4" t="s">
        <v>920</v>
      </c>
      <c r="G746" s="4">
        <v>80</v>
      </c>
      <c r="H746" s="4"/>
      <c r="I746" s="4">
        <f>Table4[[#This Row],[Malın miqdarı]]*Table4[[#This Row],[Vahidin qiyməti]]</f>
        <v>0</v>
      </c>
      <c r="J746" s="4" t="s">
        <v>899</v>
      </c>
      <c r="K746" s="4" t="s">
        <v>893</v>
      </c>
      <c r="L746" s="4">
        <f>_xlfn.XLOOKUP(Table4[[#This Row],[Kontragentin adı]],Table2[Kontragentin adı],Table2[Müqavilə nömrəsi],"Xəta",0)</f>
        <v>0</v>
      </c>
      <c r="M746" s="4">
        <f>_xlfn.XLOOKUP(Table4[[#This Row],[Kontragentin adı]],Table2[Kontragentin adı],Table2[Müqavilə nömrəsi],"Xəta",0)</f>
        <v>0</v>
      </c>
    </row>
    <row r="747" spans="2:13" x14ac:dyDescent="0.3">
      <c r="B747" s="4">
        <f t="shared" si="11"/>
        <v>744</v>
      </c>
      <c r="C747" s="5">
        <v>46174</v>
      </c>
      <c r="D747" s="10" t="str" cm="1">
        <f t="array" ref="D747">_xlfn.XLOOKUP(Table4[[#This Row],[Malın kodu]],Table1[[#All],[Malın kodu]],Table1[[#All],[Malın adı]],"xəta",0)</f>
        <v>Yol nişanı "Hərəkət qadağandır"</v>
      </c>
      <c r="E747" s="8" t="s">
        <v>1655</v>
      </c>
      <c r="F747" s="4" t="s">
        <v>920</v>
      </c>
      <c r="G747" s="4">
        <v>1</v>
      </c>
      <c r="H747" s="4"/>
      <c r="I747" s="4">
        <f>Table4[[#This Row],[Malın miqdarı]]*Table4[[#This Row],[Vahidin qiyməti]]</f>
        <v>0</v>
      </c>
      <c r="J747" s="4" t="s">
        <v>899</v>
      </c>
      <c r="K747" s="4" t="s">
        <v>893</v>
      </c>
      <c r="L747" s="4">
        <f>_xlfn.XLOOKUP(Table4[[#This Row],[Kontragentin adı]],Table2[Kontragentin adı],Table2[Müqavilə nömrəsi],"Xəta",0)</f>
        <v>0</v>
      </c>
      <c r="M747" s="4">
        <f>_xlfn.XLOOKUP(Table4[[#This Row],[Kontragentin adı]],Table2[Kontragentin adı],Table2[Müqavilə nömrəsi],"Xəta",0)</f>
        <v>0</v>
      </c>
    </row>
    <row r="748" spans="2:13" x14ac:dyDescent="0.3">
      <c r="B748" s="4">
        <f t="shared" si="11"/>
        <v>745</v>
      </c>
      <c r="C748" s="5">
        <v>46174</v>
      </c>
      <c r="D748" s="10" t="str" cm="1">
        <f t="array" ref="D748">_xlfn.XLOOKUP(Table4[[#This Row],[Malın kodu]],Table1[[#All],[Malın kodu]],Table1[[#All],[Malın adı]],"xəta",0)</f>
        <v>Yol nişanı "Yol ver"</v>
      </c>
      <c r="E748" s="8" t="s">
        <v>1656</v>
      </c>
      <c r="F748" s="4" t="s">
        <v>920</v>
      </c>
      <c r="G748" s="4">
        <v>9</v>
      </c>
      <c r="H748" s="4"/>
      <c r="I748" s="4">
        <f>Table4[[#This Row],[Malın miqdarı]]*Table4[[#This Row],[Vahidin qiyməti]]</f>
        <v>0</v>
      </c>
      <c r="J748" s="4" t="s">
        <v>899</v>
      </c>
      <c r="K748" s="4" t="s">
        <v>893</v>
      </c>
      <c r="L748" s="4">
        <f>_xlfn.XLOOKUP(Table4[[#This Row],[Kontragentin adı]],Table2[Kontragentin adı],Table2[Müqavilə nömrəsi],"Xəta",0)</f>
        <v>0</v>
      </c>
      <c r="M748" s="4">
        <f>_xlfn.XLOOKUP(Table4[[#This Row],[Kontragentin adı]],Table2[Kontragentin adı],Table2[Müqavilə nömrəsi],"Xəta",0)</f>
        <v>0</v>
      </c>
    </row>
    <row r="749" spans="2:13" x14ac:dyDescent="0.3">
      <c r="B749" s="4">
        <f t="shared" si="11"/>
        <v>746</v>
      </c>
      <c r="C749" s="5">
        <v>46174</v>
      </c>
      <c r="D749" s="10" t="str" cm="1">
        <f t="array" ref="D749">_xlfn.XLOOKUP(Table4[[#This Row],[Malın kodu]],Table1[[#All],[Malın kodu]],Table1[[#All],[Malın adı]],"xəta",0)</f>
        <v>Yol nişanı "Sürət 40 km/s"</v>
      </c>
      <c r="E749" s="8" t="s">
        <v>1657</v>
      </c>
      <c r="F749" s="4" t="s">
        <v>920</v>
      </c>
      <c r="G749" s="4">
        <v>1</v>
      </c>
      <c r="H749" s="4"/>
      <c r="I749" s="4">
        <f>Table4[[#This Row],[Malın miqdarı]]*Table4[[#This Row],[Vahidin qiyməti]]</f>
        <v>0</v>
      </c>
      <c r="J749" s="4" t="s">
        <v>899</v>
      </c>
      <c r="K749" s="4" t="s">
        <v>893</v>
      </c>
      <c r="L749" s="4">
        <f>_xlfn.XLOOKUP(Table4[[#This Row],[Kontragentin adı]],Table2[Kontragentin adı],Table2[Müqavilə nömrəsi],"Xəta",0)</f>
        <v>0</v>
      </c>
      <c r="M749" s="4">
        <f>_xlfn.XLOOKUP(Table4[[#This Row],[Kontragentin adı]],Table2[Kontragentin adı],Table2[Müqavilə nömrəsi],"Xəta",0)</f>
        <v>0</v>
      </c>
    </row>
    <row r="750" spans="2:13" x14ac:dyDescent="0.3">
      <c r="B750" s="4">
        <f t="shared" si="11"/>
        <v>747</v>
      </c>
      <c r="C750" s="5">
        <v>46174</v>
      </c>
      <c r="D750" s="10" t="str" cm="1">
        <f t="array" ref="D750">_xlfn.XLOOKUP(Table4[[#This Row],[Malın kodu]],Table1[[#All],[Malın kodu]],Table1[[#All],[Malın adı]],"xəta",0)</f>
        <v>Printer / A3 / color / "EPSON" / L15160  / İndoneziya istehsalı</v>
      </c>
      <c r="E750" s="8" t="s">
        <v>1658</v>
      </c>
      <c r="F750" s="4" t="s">
        <v>920</v>
      </c>
      <c r="G750" s="4">
        <v>1</v>
      </c>
      <c r="H750" s="4"/>
      <c r="I750" s="4">
        <f>Table4[[#This Row],[Malın miqdarı]]*Table4[[#This Row],[Vahidin qiyməti]]</f>
        <v>0</v>
      </c>
      <c r="J750" s="4" t="s">
        <v>899</v>
      </c>
      <c r="K750" s="4" t="s">
        <v>893</v>
      </c>
      <c r="L750" s="4">
        <f>_xlfn.XLOOKUP(Table4[[#This Row],[Kontragentin adı]],Table2[Kontragentin adı],Table2[Müqavilə nömrəsi],"Xəta",0)</f>
        <v>0</v>
      </c>
      <c r="M750" s="4">
        <f>_xlfn.XLOOKUP(Table4[[#This Row],[Kontragentin adı]],Table2[Kontragentin adı],Table2[Müqavilə nömrəsi],"Xəta",0)</f>
        <v>0</v>
      </c>
    </row>
    <row r="751" spans="2:13" x14ac:dyDescent="0.3">
      <c r="B751" s="4">
        <f t="shared" si="11"/>
        <v>748</v>
      </c>
      <c r="C751" s="5">
        <v>46174</v>
      </c>
      <c r="D751" s="10" t="str" cm="1">
        <f t="array" ref="D751">_xlfn.XLOOKUP(Table4[[#This Row],[Malın kodu]],Table1[[#All],[Malın kodu]],Table1[[#All],[Malın adı]],"xəta",0)</f>
        <v>Xətkeş / nivelyator üçün / B</v>
      </c>
      <c r="E751" s="8" t="s">
        <v>1659</v>
      </c>
      <c r="F751" s="4" t="s">
        <v>920</v>
      </c>
      <c r="G751" s="4">
        <v>12</v>
      </c>
      <c r="H751" s="4"/>
      <c r="I751" s="4">
        <f>Table4[[#This Row],[Malın miqdarı]]*Table4[[#This Row],[Vahidin qiyməti]]</f>
        <v>0</v>
      </c>
      <c r="J751" s="4" t="s">
        <v>899</v>
      </c>
      <c r="K751" s="4" t="s">
        <v>893</v>
      </c>
      <c r="L751" s="4">
        <f>_xlfn.XLOOKUP(Table4[[#This Row],[Kontragentin adı]],Table2[Kontragentin adı],Table2[Müqavilə nömrəsi],"Xəta",0)</f>
        <v>0</v>
      </c>
      <c r="M751" s="4">
        <f>_xlfn.XLOOKUP(Table4[[#This Row],[Kontragentin adı]],Table2[Kontragentin adı],Table2[Müqavilə nömrəsi],"Xəta",0)</f>
        <v>0</v>
      </c>
    </row>
    <row r="752" spans="2:13" x14ac:dyDescent="0.3">
      <c r="B752" s="4">
        <f t="shared" si="11"/>
        <v>749</v>
      </c>
      <c r="C752" s="5">
        <v>46174</v>
      </c>
      <c r="D752" s="10" t="str" cm="1">
        <f t="array" ref="D752">_xlfn.XLOOKUP(Table4[[#This Row],[Malın kodu]],Table1[[#All],[Malın kodu]],Table1[[#All],[Malın adı]],"xəta",0)</f>
        <v>İzolyasiya materialı / boru üçün / 28/5/100</v>
      </c>
      <c r="E752" s="8" t="s">
        <v>1660</v>
      </c>
      <c r="F752" s="4" t="s">
        <v>929</v>
      </c>
      <c r="G752" s="4">
        <v>1</v>
      </c>
      <c r="H752" s="4"/>
      <c r="I752" s="4">
        <f>Table4[[#This Row],[Malın miqdarı]]*Table4[[#This Row],[Vahidin qiyməti]]</f>
        <v>0</v>
      </c>
      <c r="J752" s="4" t="s">
        <v>899</v>
      </c>
      <c r="K752" s="4" t="s">
        <v>893</v>
      </c>
      <c r="L752" s="4">
        <f>_xlfn.XLOOKUP(Table4[[#This Row],[Kontragentin adı]],Table2[Kontragentin adı],Table2[Müqavilə nömrəsi],"Xəta",0)</f>
        <v>0</v>
      </c>
      <c r="M752" s="4">
        <f>_xlfn.XLOOKUP(Table4[[#This Row],[Kontragentin adı]],Table2[Kontragentin adı],Table2[Müqavilə nömrəsi],"Xəta",0)</f>
        <v>0</v>
      </c>
    </row>
    <row r="753" spans="2:13" x14ac:dyDescent="0.3">
      <c r="B753" s="4">
        <f t="shared" si="11"/>
        <v>750</v>
      </c>
      <c r="C753" s="5">
        <v>46174</v>
      </c>
      <c r="D753" s="10" t="str" cm="1">
        <f t="array" ref="D753">_xlfn.XLOOKUP(Table4[[#This Row],[Malın kodu]],Table1[[#All],[Malın kodu]],Table1[[#All],[Malın adı]],"xəta",0)</f>
        <v>Kanistr / plastik / 20 litr</v>
      </c>
      <c r="E753" s="8" t="s">
        <v>1661</v>
      </c>
      <c r="F753" s="4" t="s">
        <v>920</v>
      </c>
      <c r="G753" s="4">
        <v>7</v>
      </c>
      <c r="H753" s="4"/>
      <c r="I753" s="4">
        <f>Table4[[#This Row],[Malın miqdarı]]*Table4[[#This Row],[Vahidin qiyməti]]</f>
        <v>0</v>
      </c>
      <c r="J753" s="4" t="s">
        <v>899</v>
      </c>
      <c r="K753" s="4" t="s">
        <v>893</v>
      </c>
      <c r="L753" s="4">
        <f>_xlfn.XLOOKUP(Table4[[#This Row],[Kontragentin adı]],Table2[Kontragentin adı],Table2[Müqavilə nömrəsi],"Xəta",0)</f>
        <v>0</v>
      </c>
      <c r="M753" s="4">
        <f>_xlfn.XLOOKUP(Table4[[#This Row],[Kontragentin adı]],Table2[Kontragentin adı],Table2[Müqavilə nömrəsi],"Xəta",0)</f>
        <v>0</v>
      </c>
    </row>
    <row r="754" spans="2:13" x14ac:dyDescent="0.3">
      <c r="B754" s="4">
        <f t="shared" si="11"/>
        <v>751</v>
      </c>
      <c r="C754" s="5">
        <v>46174</v>
      </c>
      <c r="D754" s="10" t="str" cm="1">
        <f t="array" ref="D754">_xlfn.XLOOKUP(Table4[[#This Row],[Malın kodu]],Table1[[#All],[Malın kodu]],Table1[[#All],[Malın adı]],"xəta",0)</f>
        <v>Profil / "U" / 50mm x 4metr / alçıpan üçün</v>
      </c>
      <c r="E754" s="8" t="s">
        <v>1662</v>
      </c>
      <c r="F754" s="4" t="s">
        <v>920</v>
      </c>
      <c r="G754" s="4">
        <v>17</v>
      </c>
      <c r="H754" s="4"/>
      <c r="I754" s="4">
        <f>Table4[[#This Row],[Malın miqdarı]]*Table4[[#This Row],[Vahidin qiyməti]]</f>
        <v>0</v>
      </c>
      <c r="J754" s="4" t="s">
        <v>899</v>
      </c>
      <c r="K754" s="4" t="s">
        <v>893</v>
      </c>
      <c r="L754" s="4">
        <f>_xlfn.XLOOKUP(Table4[[#This Row],[Kontragentin adı]],Table2[Kontragentin adı],Table2[Müqavilə nömrəsi],"Xəta",0)</f>
        <v>0</v>
      </c>
      <c r="M754" s="4">
        <f>_xlfn.XLOOKUP(Table4[[#This Row],[Kontragentin adı]],Table2[Kontragentin adı],Table2[Müqavilə nömrəsi],"Xəta",0)</f>
        <v>0</v>
      </c>
    </row>
    <row r="755" spans="2:13" x14ac:dyDescent="0.3">
      <c r="B755" s="4">
        <f t="shared" si="11"/>
        <v>752</v>
      </c>
      <c r="C755" s="5">
        <v>46174</v>
      </c>
      <c r="D755" s="10" t="str" cm="1">
        <f t="array" ref="D755">_xlfn.XLOOKUP(Table4[[#This Row],[Malın kodu]],Table1[[#All],[Malın kodu]],Table1[[#All],[Malın adı]],"xəta",0)</f>
        <v>Su dispenseri / "Beko"</v>
      </c>
      <c r="E755" s="8" t="s">
        <v>1663</v>
      </c>
      <c r="F755" s="4" t="s">
        <v>920</v>
      </c>
      <c r="G755" s="4">
        <v>1</v>
      </c>
      <c r="H755" s="4"/>
      <c r="I755" s="4">
        <f>Table4[[#This Row],[Malın miqdarı]]*Table4[[#This Row],[Vahidin qiyməti]]</f>
        <v>0</v>
      </c>
      <c r="J755" s="4" t="s">
        <v>899</v>
      </c>
      <c r="K755" s="4" t="s">
        <v>893</v>
      </c>
      <c r="L755" s="4">
        <f>_xlfn.XLOOKUP(Table4[[#This Row],[Kontragentin adı]],Table2[Kontragentin adı],Table2[Müqavilə nömrəsi],"Xəta",0)</f>
        <v>0</v>
      </c>
      <c r="M755" s="4">
        <f>_xlfn.XLOOKUP(Table4[[#This Row],[Kontragentin adı]],Table2[Kontragentin adı],Table2[Müqavilə nömrəsi],"Xəta",0)</f>
        <v>0</v>
      </c>
    </row>
    <row r="756" spans="2:13" x14ac:dyDescent="0.3">
      <c r="B756" s="4">
        <f t="shared" si="11"/>
        <v>753</v>
      </c>
      <c r="C756" s="5">
        <v>46174</v>
      </c>
      <c r="D756" s="10" t="str" cm="1">
        <f t="array" ref="D756">_xlfn.XLOOKUP(Table4[[#This Row],[Malın kodu]],Table1[[#All],[Malın kodu]],Table1[[#All],[Malın adı]],"xəta",0)</f>
        <v>Su dispenseri / "Silver"</v>
      </c>
      <c r="E756" s="8" t="s">
        <v>1664</v>
      </c>
      <c r="F756" s="4" t="s">
        <v>920</v>
      </c>
      <c r="G756" s="4">
        <v>1</v>
      </c>
      <c r="H756" s="4"/>
      <c r="I756" s="4">
        <f>Table4[[#This Row],[Malın miqdarı]]*Table4[[#This Row],[Vahidin qiyməti]]</f>
        <v>0</v>
      </c>
      <c r="J756" s="4" t="s">
        <v>899</v>
      </c>
      <c r="K756" s="4" t="s">
        <v>893</v>
      </c>
      <c r="L756" s="4">
        <f>_xlfn.XLOOKUP(Table4[[#This Row],[Kontragentin adı]],Table2[Kontragentin adı],Table2[Müqavilə nömrəsi],"Xəta",0)</f>
        <v>0</v>
      </c>
      <c r="M756" s="4">
        <f>_xlfn.XLOOKUP(Table4[[#This Row],[Kontragentin adı]],Table2[Kontragentin adı],Table2[Müqavilə nömrəsi],"Xəta",0)</f>
        <v>0</v>
      </c>
    </row>
    <row r="757" spans="2:13" x14ac:dyDescent="0.3">
      <c r="B757" s="4">
        <f t="shared" si="11"/>
        <v>754</v>
      </c>
      <c r="C757" s="5">
        <v>46174</v>
      </c>
      <c r="D757" s="10" t="str" cm="1">
        <f t="array" ref="D757">_xlfn.XLOOKUP(Table4[[#This Row],[Malın kodu]],Table1[[#All],[Malın kodu]],Table1[[#All],[Malın adı]],"xəta",0)</f>
        <v>Soyuducu / 2 kameralı / "STINOL"</v>
      </c>
      <c r="E757" s="8" t="s">
        <v>1665</v>
      </c>
      <c r="F757" s="4" t="s">
        <v>920</v>
      </c>
      <c r="G757" s="4">
        <v>1</v>
      </c>
      <c r="H757" s="4"/>
      <c r="I757" s="4">
        <f>Table4[[#This Row],[Malın miqdarı]]*Table4[[#This Row],[Vahidin qiyməti]]</f>
        <v>0</v>
      </c>
      <c r="J757" s="4" t="s">
        <v>899</v>
      </c>
      <c r="K757" s="4" t="s">
        <v>893</v>
      </c>
      <c r="L757" s="4">
        <f>_xlfn.XLOOKUP(Table4[[#This Row],[Kontragentin adı]],Table2[Kontragentin adı],Table2[Müqavilə nömrəsi],"Xəta",0)</f>
        <v>0</v>
      </c>
      <c r="M757" s="4">
        <f>_xlfn.XLOOKUP(Table4[[#This Row],[Kontragentin adı]],Table2[Kontragentin adı],Table2[Müqavilə nömrəsi],"Xəta",0)</f>
        <v>0</v>
      </c>
    </row>
    <row r="758" spans="2:13" x14ac:dyDescent="0.3">
      <c r="B758" s="4">
        <f t="shared" si="11"/>
        <v>755</v>
      </c>
      <c r="C758" s="5">
        <v>46174</v>
      </c>
      <c r="D758" s="10" t="str" cm="1">
        <f t="array" ref="D758">_xlfn.XLOOKUP(Table4[[#This Row],[Malın kodu]],Table1[[#All],[Malın kodu]],Table1[[#All],[Malın adı]],"xəta",0)</f>
        <v>Kondisioner mühərriki / "AUX"</v>
      </c>
      <c r="E758" s="8" t="s">
        <v>1666</v>
      </c>
      <c r="F758" s="4" t="s">
        <v>920</v>
      </c>
      <c r="G758" s="4">
        <v>2</v>
      </c>
      <c r="H758" s="4"/>
      <c r="I758" s="4">
        <f>Table4[[#This Row],[Malın miqdarı]]*Table4[[#This Row],[Vahidin qiyməti]]</f>
        <v>0</v>
      </c>
      <c r="J758" s="4" t="s">
        <v>899</v>
      </c>
      <c r="K758" s="4" t="s">
        <v>893</v>
      </c>
      <c r="L758" s="4">
        <f>_xlfn.XLOOKUP(Table4[[#This Row],[Kontragentin adı]],Table2[Kontragentin adı],Table2[Müqavilə nömrəsi],"Xəta",0)</f>
        <v>0</v>
      </c>
      <c r="M758" s="4">
        <f>_xlfn.XLOOKUP(Table4[[#This Row],[Kontragentin adı]],Table2[Kontragentin adı],Table2[Müqavilə nömrəsi],"Xəta",0)</f>
        <v>0</v>
      </c>
    </row>
    <row r="759" spans="2:13" x14ac:dyDescent="0.3">
      <c r="B759" s="4">
        <f t="shared" si="11"/>
        <v>756</v>
      </c>
      <c r="C759" s="5">
        <v>46174</v>
      </c>
      <c r="D759" s="10" t="str" cm="1">
        <f t="array" ref="D759">_xlfn.XLOOKUP(Table4[[#This Row],[Malın kodu]],Table1[[#All],[Malın kodu]],Table1[[#All],[Malın adı]],"xəta",0)</f>
        <v>Su qızdırıcı "SHIVAKI"</v>
      </c>
      <c r="E759" s="8" t="s">
        <v>1667</v>
      </c>
      <c r="F759" s="4" t="s">
        <v>920</v>
      </c>
      <c r="G759" s="4">
        <v>1</v>
      </c>
      <c r="H759" s="4"/>
      <c r="I759" s="4">
        <f>Table4[[#This Row],[Malın miqdarı]]*Table4[[#This Row],[Vahidin qiyməti]]</f>
        <v>0</v>
      </c>
      <c r="J759" s="4" t="s">
        <v>899</v>
      </c>
      <c r="K759" s="4" t="s">
        <v>893</v>
      </c>
      <c r="L759" s="4">
        <f>_xlfn.XLOOKUP(Table4[[#This Row],[Kontragentin adı]],Table2[Kontragentin adı],Table2[Müqavilə nömrəsi],"Xəta",0)</f>
        <v>0</v>
      </c>
      <c r="M759" s="4">
        <f>_xlfn.XLOOKUP(Table4[[#This Row],[Kontragentin adı]],Table2[Kontragentin adı],Table2[Müqavilə nömrəsi],"Xəta",0)</f>
        <v>0</v>
      </c>
    </row>
    <row r="760" spans="2:13" x14ac:dyDescent="0.3">
      <c r="B760" s="4">
        <f t="shared" si="11"/>
        <v>757</v>
      </c>
      <c r="C760" s="5">
        <v>46174</v>
      </c>
      <c r="D760" s="10" t="str" cm="1">
        <f t="array" ref="D760">_xlfn.XLOOKUP(Table4[[#This Row],[Malın kodu]],Table1[[#All],[Malın kodu]],Table1[[#All],[Malın adı]],"xəta",0)</f>
        <v>Vedrə plastik</v>
      </c>
      <c r="E760" s="8" t="s">
        <v>1668</v>
      </c>
      <c r="F760" s="4" t="s">
        <v>920</v>
      </c>
      <c r="G760" s="4">
        <v>1</v>
      </c>
      <c r="H760" s="4"/>
      <c r="I760" s="4">
        <f>Table4[[#This Row],[Malın miqdarı]]*Table4[[#This Row],[Vahidin qiyməti]]</f>
        <v>0</v>
      </c>
      <c r="J760" s="4" t="s">
        <v>899</v>
      </c>
      <c r="K760" s="4" t="s">
        <v>893</v>
      </c>
      <c r="L760" s="4">
        <f>_xlfn.XLOOKUP(Table4[[#This Row],[Kontragentin adı]],Table2[Kontragentin adı],Table2[Müqavilə nömrəsi],"Xəta",0)</f>
        <v>0</v>
      </c>
      <c r="M760" s="4">
        <f>_xlfn.XLOOKUP(Table4[[#This Row],[Kontragentin adı]],Table2[Kontragentin adı],Table2[Müqavilə nömrəsi],"Xəta",0)</f>
        <v>0</v>
      </c>
    </row>
    <row r="761" spans="2:13" x14ac:dyDescent="0.3">
      <c r="B761" s="4">
        <f t="shared" si="11"/>
        <v>758</v>
      </c>
      <c r="C761" s="5">
        <v>46174</v>
      </c>
      <c r="D761" s="10" t="str" cm="1">
        <f t="array" ref="D761">_xlfn.XLOOKUP(Table4[[#This Row],[Malın kodu]],Table1[[#All],[Malın kodu]],Table1[[#All],[Malın adı]],"xəta",0)</f>
        <v>Təkər / lesə üçün</v>
      </c>
      <c r="E761" s="8" t="s">
        <v>1669</v>
      </c>
      <c r="F761" s="4" t="s">
        <v>920</v>
      </c>
      <c r="G761" s="4">
        <v>2</v>
      </c>
      <c r="H761" s="4"/>
      <c r="I761" s="4">
        <f>Table4[[#This Row],[Malın miqdarı]]*Table4[[#This Row],[Vahidin qiyməti]]</f>
        <v>0</v>
      </c>
      <c r="J761" s="4" t="s">
        <v>899</v>
      </c>
      <c r="K761" s="4" t="s">
        <v>893</v>
      </c>
      <c r="L761" s="4">
        <f>_xlfn.XLOOKUP(Table4[[#This Row],[Kontragentin adı]],Table2[Kontragentin adı],Table2[Müqavilə nömrəsi],"Xəta",0)</f>
        <v>0</v>
      </c>
      <c r="M761" s="4">
        <f>_xlfn.XLOOKUP(Table4[[#This Row],[Kontragentin adı]],Table2[Kontragentin adı],Table2[Müqavilə nömrəsi],"Xəta",0)</f>
        <v>0</v>
      </c>
    </row>
    <row r="762" spans="2:13" x14ac:dyDescent="0.3">
      <c r="B762" s="4">
        <f t="shared" si="11"/>
        <v>759</v>
      </c>
      <c r="C762" s="5">
        <v>46174</v>
      </c>
      <c r="D762" s="10" t="str" cm="1">
        <f t="array" ref="D762">_xlfn.XLOOKUP(Table4[[#This Row],[Malın kodu]],Table1[[#All],[Malın kodu]],Table1[[#All],[Malın adı]],"xəta",0)</f>
        <v>Sıxıcı plastik</v>
      </c>
      <c r="E762" s="8" t="s">
        <v>1670</v>
      </c>
      <c r="F762" s="4" t="s">
        <v>926</v>
      </c>
      <c r="G762" s="4">
        <v>3</v>
      </c>
      <c r="H762" s="4"/>
      <c r="I762" s="4">
        <f>Table4[[#This Row],[Malın miqdarı]]*Table4[[#This Row],[Vahidin qiyməti]]</f>
        <v>0</v>
      </c>
      <c r="J762" s="4" t="s">
        <v>899</v>
      </c>
      <c r="K762" s="4" t="s">
        <v>893</v>
      </c>
      <c r="L762" s="4">
        <f>_xlfn.XLOOKUP(Table4[[#This Row],[Kontragentin adı]],Table2[Kontragentin adı],Table2[Müqavilə nömrəsi],"Xəta",0)</f>
        <v>0</v>
      </c>
      <c r="M762" s="4">
        <f>_xlfn.XLOOKUP(Table4[[#This Row],[Kontragentin adı]],Table2[Kontragentin adı],Table2[Müqavilə nömrəsi],"Xəta",0)</f>
        <v>0</v>
      </c>
    </row>
    <row r="763" spans="2:13" x14ac:dyDescent="0.3">
      <c r="B763" s="4">
        <f t="shared" si="11"/>
        <v>760</v>
      </c>
      <c r="C763" s="5">
        <v>46174</v>
      </c>
      <c r="D763" s="10" t="str" cm="1">
        <f t="array" ref="D763">_xlfn.XLOOKUP(Table4[[#This Row],[Malın kodu]],Table1[[#All],[Malın kodu]],Table1[[#All],[Malın adı]],"xəta",0)</f>
        <v>Xomut d 180 x 315 mm / elektrofiziyon servis birləşməsi üçün</v>
      </c>
      <c r="E763" s="8" t="s">
        <v>1671</v>
      </c>
      <c r="F763" s="4" t="s">
        <v>920</v>
      </c>
      <c r="G763" s="4">
        <v>2</v>
      </c>
      <c r="H763" s="4"/>
      <c r="I763" s="4">
        <f>Table4[[#This Row],[Malın miqdarı]]*Table4[[#This Row],[Vahidin qiyməti]]</f>
        <v>0</v>
      </c>
      <c r="J763" s="4" t="s">
        <v>899</v>
      </c>
      <c r="K763" s="4" t="s">
        <v>893</v>
      </c>
      <c r="L763" s="4">
        <f>_xlfn.XLOOKUP(Table4[[#This Row],[Kontragentin adı]],Table2[Kontragentin adı],Table2[Müqavilə nömrəsi],"Xəta",0)</f>
        <v>0</v>
      </c>
      <c r="M763" s="4">
        <f>_xlfn.XLOOKUP(Table4[[#This Row],[Kontragentin adı]],Table2[Kontragentin adı],Table2[Müqavilə nömrəsi],"Xəta",0)</f>
        <v>0</v>
      </c>
    </row>
    <row r="764" spans="2:13" x14ac:dyDescent="0.3">
      <c r="B764" s="4">
        <f t="shared" si="11"/>
        <v>761</v>
      </c>
      <c r="C764" s="5">
        <v>46174</v>
      </c>
      <c r="D764" s="10" t="str" cm="1">
        <f t="array" ref="D764">_xlfn.XLOOKUP(Table4[[#This Row],[Malın kodu]],Table1[[#All],[Malın kodu]],Table1[[#All],[Malın adı]],"xəta",0)</f>
        <v>Sututucu bant / 20sm x 2.5 metr</v>
      </c>
      <c r="E764" s="8" t="s">
        <v>1672</v>
      </c>
      <c r="F764" s="4" t="s">
        <v>920</v>
      </c>
      <c r="G764" s="4">
        <v>1</v>
      </c>
      <c r="H764" s="4"/>
      <c r="I764" s="4">
        <f>Table4[[#This Row],[Malın miqdarı]]*Table4[[#This Row],[Vahidin qiyməti]]</f>
        <v>0</v>
      </c>
      <c r="J764" s="4" t="s">
        <v>899</v>
      </c>
      <c r="K764" s="4" t="s">
        <v>893</v>
      </c>
      <c r="L764" s="4">
        <f>_xlfn.XLOOKUP(Table4[[#This Row],[Kontragentin adı]],Table2[Kontragentin adı],Table2[Müqavilə nömrəsi],"Xəta",0)</f>
        <v>0</v>
      </c>
      <c r="M764" s="4">
        <f>_xlfn.XLOOKUP(Table4[[#This Row],[Kontragentin adı]],Table2[Kontragentin adı],Table2[Müqavilə nömrəsi],"Xəta",0)</f>
        <v>0</v>
      </c>
    </row>
    <row r="765" spans="2:13" x14ac:dyDescent="0.3">
      <c r="B765" s="4">
        <f t="shared" si="11"/>
        <v>762</v>
      </c>
      <c r="C765" s="5">
        <v>46174</v>
      </c>
      <c r="D765" s="10" t="str" cm="1">
        <f t="array" ref="D765">_xlfn.XLOOKUP(Table4[[#This Row],[Malın kodu]],Table1[[#All],[Malın kodu]],Table1[[#All],[Malın adı]],"xəta",0)</f>
        <v>Sututucu bant / 17sm x 5 met</v>
      </c>
      <c r="E765" s="8" t="s">
        <v>1673</v>
      </c>
      <c r="F765" s="4" t="s">
        <v>920</v>
      </c>
      <c r="G765" s="4">
        <v>1</v>
      </c>
      <c r="H765" s="4"/>
      <c r="I765" s="4">
        <f>Table4[[#This Row],[Malın miqdarı]]*Table4[[#This Row],[Vahidin qiyməti]]</f>
        <v>0</v>
      </c>
      <c r="J765" s="4" t="s">
        <v>899</v>
      </c>
      <c r="K765" s="4" t="s">
        <v>893</v>
      </c>
      <c r="L765" s="4">
        <f>_xlfn.XLOOKUP(Table4[[#This Row],[Kontragentin adı]],Table2[Kontragentin adı],Table2[Müqavilə nömrəsi],"Xəta",0)</f>
        <v>0</v>
      </c>
      <c r="M765" s="4">
        <f>_xlfn.XLOOKUP(Table4[[#This Row],[Kontragentin adı]],Table2[Kontragentin adı],Table2[Müqavilə nömrəsi],"Xəta",0)</f>
        <v>0</v>
      </c>
    </row>
    <row r="766" spans="2:13" x14ac:dyDescent="0.3">
      <c r="B766" s="4">
        <f t="shared" si="11"/>
        <v>763</v>
      </c>
      <c r="C766" s="5">
        <v>46174</v>
      </c>
      <c r="D766" s="10" t="str" cm="1">
        <f t="array" ref="D766">_xlfn.XLOOKUP(Table4[[#This Row],[Malın kodu]],Table1[[#All],[Malın kodu]],Table1[[#All],[Malın adı]],"xəta",0)</f>
        <v>Araqatı / d 200 mm / boru üçün / qara</v>
      </c>
      <c r="E766" s="8" t="s">
        <v>1674</v>
      </c>
      <c r="F766" s="4" t="s">
        <v>920</v>
      </c>
      <c r="G766" s="4">
        <v>420</v>
      </c>
      <c r="H766" s="4"/>
      <c r="I766" s="4">
        <f>Table4[[#This Row],[Malın miqdarı]]*Table4[[#This Row],[Vahidin qiyməti]]</f>
        <v>0</v>
      </c>
      <c r="J766" s="4" t="s">
        <v>899</v>
      </c>
      <c r="K766" s="4" t="s">
        <v>893</v>
      </c>
      <c r="L766" s="4">
        <f>_xlfn.XLOOKUP(Table4[[#This Row],[Kontragentin adı]],Table2[Kontragentin adı],Table2[Müqavilə nömrəsi],"Xəta",0)</f>
        <v>0</v>
      </c>
      <c r="M766" s="4">
        <f>_xlfn.XLOOKUP(Table4[[#This Row],[Kontragentin adı]],Table2[Kontragentin adı],Table2[Müqavilə nömrəsi],"Xəta",0)</f>
        <v>0</v>
      </c>
    </row>
    <row r="767" spans="2:13" x14ac:dyDescent="0.3">
      <c r="B767" s="4">
        <f t="shared" si="11"/>
        <v>764</v>
      </c>
      <c r="C767" s="5">
        <v>46174</v>
      </c>
      <c r="D767" s="10" t="str" cm="1">
        <f t="array" ref="D767">_xlfn.XLOOKUP(Table4[[#This Row],[Malın kodu]],Table1[[#All],[Malın kodu]],Table1[[#All],[Malın adı]],"xəta",0)</f>
        <v>Araqatı / d 1500 mm / boru üçün / qara</v>
      </c>
      <c r="E767" s="8" t="s">
        <v>1675</v>
      </c>
      <c r="F767" s="4" t="s">
        <v>920</v>
      </c>
      <c r="G767" s="4">
        <v>553</v>
      </c>
      <c r="H767" s="4"/>
      <c r="I767" s="4">
        <f>Table4[[#This Row],[Malın miqdarı]]*Table4[[#This Row],[Vahidin qiyməti]]</f>
        <v>0</v>
      </c>
      <c r="J767" s="4" t="s">
        <v>899</v>
      </c>
      <c r="K767" s="4" t="s">
        <v>893</v>
      </c>
      <c r="L767" s="4">
        <f>_xlfn.XLOOKUP(Table4[[#This Row],[Kontragentin adı]],Table2[Kontragentin adı],Table2[Müqavilə nömrəsi],"Xəta",0)</f>
        <v>0</v>
      </c>
      <c r="M767" s="4">
        <f>_xlfn.XLOOKUP(Table4[[#This Row],[Kontragentin adı]],Table2[Kontragentin adı],Table2[Müqavilə nömrəsi],"Xəta",0)</f>
        <v>0</v>
      </c>
    </row>
    <row r="768" spans="2:13" x14ac:dyDescent="0.3">
      <c r="B768" s="4">
        <f t="shared" si="11"/>
        <v>765</v>
      </c>
      <c r="C768" s="5">
        <v>46174</v>
      </c>
      <c r="D768" s="10" t="str" cm="1">
        <f t="array" ref="D768">_xlfn.XLOOKUP(Table4[[#This Row],[Malın kodu]],Table1[[#All],[Malın kodu]],Table1[[#All],[Malın adı]],"xəta",0)</f>
        <v>Araqatı / d 300 mm / boru üçün / qara</v>
      </c>
      <c r="E768" s="8" t="s">
        <v>1676</v>
      </c>
      <c r="F768" s="4" t="s">
        <v>920</v>
      </c>
      <c r="G768" s="4">
        <v>127</v>
      </c>
      <c r="H768" s="4"/>
      <c r="I768" s="4">
        <f>Table4[[#This Row],[Malın miqdarı]]*Table4[[#This Row],[Vahidin qiyməti]]</f>
        <v>0</v>
      </c>
      <c r="J768" s="4" t="s">
        <v>899</v>
      </c>
      <c r="K768" s="4" t="s">
        <v>893</v>
      </c>
      <c r="L768" s="4">
        <f>_xlfn.XLOOKUP(Table4[[#This Row],[Kontragentin adı]],Table2[Kontragentin adı],Table2[Müqavilə nömrəsi],"Xəta",0)</f>
        <v>0</v>
      </c>
      <c r="M768" s="4">
        <f>_xlfn.XLOOKUP(Table4[[#This Row],[Kontragentin adı]],Table2[Kontragentin adı],Table2[Müqavilə nömrəsi],"Xəta",0)</f>
        <v>0</v>
      </c>
    </row>
    <row r="769" spans="2:13" x14ac:dyDescent="0.3">
      <c r="B769" s="4">
        <f t="shared" si="11"/>
        <v>766</v>
      </c>
      <c r="C769" s="5">
        <v>46174</v>
      </c>
      <c r="D769" s="10" t="str" cm="1">
        <f t="array" ref="D769">_xlfn.XLOOKUP(Table4[[#This Row],[Malın kodu]],Table1[[#All],[Malın kodu]],Table1[[#All],[Malın adı]],"xəta",0)</f>
        <v>Araqatı / d 400 mm / boru üçün / qara</v>
      </c>
      <c r="E769" s="8" t="s">
        <v>1677</v>
      </c>
      <c r="F769" s="4" t="s">
        <v>920</v>
      </c>
      <c r="G769" s="4">
        <v>8</v>
      </c>
      <c r="H769" s="4"/>
      <c r="I769" s="4">
        <f>Table4[[#This Row],[Malın miqdarı]]*Table4[[#This Row],[Vahidin qiyməti]]</f>
        <v>0</v>
      </c>
      <c r="J769" s="4" t="s">
        <v>899</v>
      </c>
      <c r="K769" s="4" t="s">
        <v>893</v>
      </c>
      <c r="L769" s="4">
        <f>_xlfn.XLOOKUP(Table4[[#This Row],[Kontragentin adı]],Table2[Kontragentin adı],Table2[Müqavilə nömrəsi],"Xəta",0)</f>
        <v>0</v>
      </c>
      <c r="M769" s="4">
        <f>_xlfn.XLOOKUP(Table4[[#This Row],[Kontragentin adı]],Table2[Kontragentin adı],Table2[Müqavilə nömrəsi],"Xəta",0)</f>
        <v>0</v>
      </c>
    </row>
    <row r="770" spans="2:13" x14ac:dyDescent="0.3">
      <c r="B770" s="4">
        <f t="shared" si="11"/>
        <v>767</v>
      </c>
      <c r="C770" s="5">
        <v>46174</v>
      </c>
      <c r="D770" s="10" t="str" cm="1">
        <f t="array" ref="D770">_xlfn.XLOOKUP(Table4[[#This Row],[Malın kodu]],Table1[[#All],[Malın kodu]],Table1[[#All],[Malın adı]],"xəta",0)</f>
        <v>Araqatı / d 250 mm / boru üçün / qara</v>
      </c>
      <c r="E770" s="8" t="s">
        <v>1678</v>
      </c>
      <c r="F770" s="4" t="s">
        <v>920</v>
      </c>
      <c r="G770" s="4">
        <v>45</v>
      </c>
      <c r="H770" s="4"/>
      <c r="I770" s="4">
        <f>Table4[[#This Row],[Malın miqdarı]]*Table4[[#This Row],[Vahidin qiyməti]]</f>
        <v>0</v>
      </c>
      <c r="J770" s="4" t="s">
        <v>899</v>
      </c>
      <c r="K770" s="4" t="s">
        <v>893</v>
      </c>
      <c r="L770" s="4">
        <f>_xlfn.XLOOKUP(Table4[[#This Row],[Kontragentin adı]],Table2[Kontragentin adı],Table2[Müqavilə nömrəsi],"Xəta",0)</f>
        <v>0</v>
      </c>
      <c r="M770" s="4">
        <f>_xlfn.XLOOKUP(Table4[[#This Row],[Kontragentin adı]],Table2[Kontragentin adı],Table2[Müqavilə nömrəsi],"Xəta",0)</f>
        <v>0</v>
      </c>
    </row>
    <row r="771" spans="2:13" x14ac:dyDescent="0.3">
      <c r="B771" s="4">
        <f t="shared" si="11"/>
        <v>768</v>
      </c>
      <c r="C771" s="5">
        <v>46174</v>
      </c>
      <c r="D771" s="10" t="str" cm="1">
        <f t="array" ref="D771">_xlfn.XLOOKUP(Table4[[#This Row],[Malın kodu]],Table1[[#All],[Malın kodu]],Table1[[#All],[Malın adı]],"xəta",0)</f>
        <v>Araqatı / d 200 mm / boru üçün / ağ</v>
      </c>
      <c r="E771" s="8" t="s">
        <v>1679</v>
      </c>
      <c r="F771" s="4" t="s">
        <v>920</v>
      </c>
      <c r="G771" s="4">
        <v>464</v>
      </c>
      <c r="H771" s="4"/>
      <c r="I771" s="4">
        <f>Table4[[#This Row],[Malın miqdarı]]*Table4[[#This Row],[Vahidin qiyməti]]</f>
        <v>0</v>
      </c>
      <c r="J771" s="4" t="s">
        <v>899</v>
      </c>
      <c r="K771" s="4" t="s">
        <v>893</v>
      </c>
      <c r="L771" s="4">
        <f>_xlfn.XLOOKUP(Table4[[#This Row],[Kontragentin adı]],Table2[Kontragentin adı],Table2[Müqavilə nömrəsi],"Xəta",0)</f>
        <v>0</v>
      </c>
      <c r="M771" s="4">
        <f>_xlfn.XLOOKUP(Table4[[#This Row],[Kontragentin adı]],Table2[Kontragentin adı],Table2[Müqavilə nömrəsi],"Xəta",0)</f>
        <v>0</v>
      </c>
    </row>
    <row r="772" spans="2:13" x14ac:dyDescent="0.3">
      <c r="B772" s="4">
        <f t="shared" ref="B772:B835" si="12">ROW()-3</f>
        <v>769</v>
      </c>
      <c r="C772" s="5">
        <v>46174</v>
      </c>
      <c r="D772" s="10" t="str" cm="1">
        <f t="array" ref="D772">_xlfn.XLOOKUP(Table4[[#This Row],[Malın kodu]],Table1[[#All],[Malın kodu]],Table1[[#All],[Malın adı]],"xəta",0)</f>
        <v>Araqatı / d 150 mm / boru üçün / qara</v>
      </c>
      <c r="E772" s="8" t="s">
        <v>1680</v>
      </c>
      <c r="F772" s="4" t="s">
        <v>920</v>
      </c>
      <c r="G772" s="4">
        <v>104</v>
      </c>
      <c r="H772" s="4"/>
      <c r="I772" s="4">
        <f>Table4[[#This Row],[Malın miqdarı]]*Table4[[#This Row],[Vahidin qiyməti]]</f>
        <v>0</v>
      </c>
      <c r="J772" s="4" t="s">
        <v>899</v>
      </c>
      <c r="K772" s="4" t="s">
        <v>893</v>
      </c>
      <c r="L772" s="4">
        <f>_xlfn.XLOOKUP(Table4[[#This Row],[Kontragentin adı]],Table2[Kontragentin adı],Table2[Müqavilə nömrəsi],"Xəta",0)</f>
        <v>0</v>
      </c>
      <c r="M772" s="4">
        <f>_xlfn.XLOOKUP(Table4[[#This Row],[Kontragentin adı]],Table2[Kontragentin adı],Table2[Müqavilə nömrəsi],"Xəta",0)</f>
        <v>0</v>
      </c>
    </row>
    <row r="773" spans="2:13" x14ac:dyDescent="0.3">
      <c r="B773" s="4">
        <f t="shared" si="12"/>
        <v>770</v>
      </c>
      <c r="C773" s="5">
        <v>46174</v>
      </c>
      <c r="D773" s="10" t="str" cm="1">
        <f t="array" ref="D773">_xlfn.XLOOKUP(Table4[[#This Row],[Malın kodu]],Table1[[#All],[Malın kodu]],Table1[[#All],[Malın adı]],"xəta",0)</f>
        <v>Podnos / paslanmayan metal / 5 seksiyalı / mətbəx üçün</v>
      </c>
      <c r="E773" s="8" t="s">
        <v>1681</v>
      </c>
      <c r="F773" s="4" t="s">
        <v>920</v>
      </c>
      <c r="G773" s="4">
        <v>94</v>
      </c>
      <c r="H773" s="4"/>
      <c r="I773" s="4">
        <f>Table4[[#This Row],[Malın miqdarı]]*Table4[[#This Row],[Vahidin qiyməti]]</f>
        <v>0</v>
      </c>
      <c r="J773" s="4" t="s">
        <v>899</v>
      </c>
      <c r="K773" s="4" t="s">
        <v>893</v>
      </c>
      <c r="L773" s="4">
        <f>_xlfn.XLOOKUP(Table4[[#This Row],[Kontragentin adı]],Table2[Kontragentin adı],Table2[Müqavilə nömrəsi],"Xəta",0)</f>
        <v>0</v>
      </c>
      <c r="M773" s="4">
        <f>_xlfn.XLOOKUP(Table4[[#This Row],[Kontragentin adı]],Table2[Kontragentin adı],Table2[Müqavilə nömrəsi],"Xəta",0)</f>
        <v>0</v>
      </c>
    </row>
    <row r="774" spans="2:13" x14ac:dyDescent="0.3">
      <c r="B774" s="4">
        <f t="shared" si="12"/>
        <v>771</v>
      </c>
      <c r="C774" s="5">
        <v>46174</v>
      </c>
      <c r="D774" s="10" t="str" cm="1">
        <f t="array" ref="D774">_xlfn.XLOOKUP(Table4[[#This Row],[Malın kodu]],Table1[[#All],[Malın kodu]],Table1[[#All],[Malın adı]],"xəta",0)</f>
        <v>Vanna / paslanmayan metal / mətbəx üçün</v>
      </c>
      <c r="E774" s="8" t="s">
        <v>1682</v>
      </c>
      <c r="F774" s="4" t="s">
        <v>920</v>
      </c>
      <c r="G774" s="4">
        <v>2</v>
      </c>
      <c r="H774" s="4"/>
      <c r="I774" s="4">
        <f>Table4[[#This Row],[Malın miqdarı]]*Table4[[#This Row],[Vahidin qiyməti]]</f>
        <v>0</v>
      </c>
      <c r="J774" s="4" t="s">
        <v>899</v>
      </c>
      <c r="K774" s="4" t="s">
        <v>893</v>
      </c>
      <c r="L774" s="4">
        <f>_xlfn.XLOOKUP(Table4[[#This Row],[Kontragentin adı]],Table2[Kontragentin adı],Table2[Müqavilə nömrəsi],"Xəta",0)</f>
        <v>0</v>
      </c>
      <c r="M774" s="4">
        <f>_xlfn.XLOOKUP(Table4[[#This Row],[Kontragentin adı]],Table2[Kontragentin adı],Table2[Müqavilə nömrəsi],"Xəta",0)</f>
        <v>0</v>
      </c>
    </row>
    <row r="775" spans="2:13" x14ac:dyDescent="0.3">
      <c r="B775" s="4">
        <f t="shared" si="12"/>
        <v>772</v>
      </c>
      <c r="C775" s="5">
        <v>46174</v>
      </c>
      <c r="D775" s="10" t="str" cm="1">
        <f t="array" ref="D775">_xlfn.XLOOKUP(Table4[[#This Row],[Malın kodu]],Table1[[#All],[Malın kodu]],Table1[[#All],[Malın adı]],"xəta",0)</f>
        <v>Kabel / alüminium / 4 damarlı / 44metr</v>
      </c>
      <c r="E775" s="8" t="s">
        <v>1683</v>
      </c>
      <c r="F775" s="4" t="s">
        <v>929</v>
      </c>
      <c r="G775" s="4">
        <v>1</v>
      </c>
      <c r="H775" s="4"/>
      <c r="I775" s="4">
        <f>Table4[[#This Row],[Malın miqdarı]]*Table4[[#This Row],[Vahidin qiyməti]]</f>
        <v>0</v>
      </c>
      <c r="J775" s="4" t="s">
        <v>899</v>
      </c>
      <c r="K775" s="4" t="s">
        <v>893</v>
      </c>
      <c r="L775" s="4">
        <f>_xlfn.XLOOKUP(Table4[[#This Row],[Kontragentin adı]],Table2[Kontragentin adı],Table2[Müqavilə nömrəsi],"Xəta",0)</f>
        <v>0</v>
      </c>
      <c r="M775" s="4">
        <f>_xlfn.XLOOKUP(Table4[[#This Row],[Kontragentin adı]],Table2[Kontragentin adı],Table2[Müqavilə nömrəsi],"Xəta",0)</f>
        <v>0</v>
      </c>
    </row>
    <row r="776" spans="2:13" x14ac:dyDescent="0.3">
      <c r="B776" s="4">
        <f t="shared" si="12"/>
        <v>773</v>
      </c>
      <c r="C776" s="5">
        <v>46174</v>
      </c>
      <c r="D776" s="10" t="str" cm="1">
        <f t="array" ref="D776">_xlfn.XLOOKUP(Table4[[#This Row],[Malın kodu]],Table1[[#All],[Malın kodu]],Table1[[#All],[Malın adı]],"xəta",0)</f>
        <v>Kabel / alüminium / 4 damarlı / 50metr</v>
      </c>
      <c r="E776" s="8" t="s">
        <v>1684</v>
      </c>
      <c r="F776" s="4" t="s">
        <v>929</v>
      </c>
      <c r="G776" s="4">
        <v>1</v>
      </c>
      <c r="H776" s="4"/>
      <c r="I776" s="4">
        <f>Table4[[#This Row],[Malın miqdarı]]*Table4[[#This Row],[Vahidin qiyməti]]</f>
        <v>0</v>
      </c>
      <c r="J776" s="4" t="s">
        <v>899</v>
      </c>
      <c r="K776" s="4" t="s">
        <v>893</v>
      </c>
      <c r="L776" s="4">
        <f>_xlfn.XLOOKUP(Table4[[#This Row],[Kontragentin adı]],Table2[Kontragentin adı],Table2[Müqavilə nömrəsi],"Xəta",0)</f>
        <v>0</v>
      </c>
      <c r="M776" s="4">
        <f>_xlfn.XLOOKUP(Table4[[#This Row],[Kontragentin adı]],Table2[Kontragentin adı],Table2[Müqavilə nömrəsi],"Xəta",0)</f>
        <v>0</v>
      </c>
    </row>
    <row r="777" spans="2:13" x14ac:dyDescent="0.3">
      <c r="B777" s="4">
        <f t="shared" si="12"/>
        <v>774</v>
      </c>
      <c r="C777" s="5">
        <v>46174</v>
      </c>
      <c r="D777" s="10" t="str" cm="1">
        <f t="array" ref="D777">_xlfn.XLOOKUP(Table4[[#This Row],[Malın kodu]],Table1[[#All],[Malın kodu]],Table1[[#All],[Malın adı]],"xəta",0)</f>
        <v>Kabel / alüminium / 4 damarlı / 30metr</v>
      </c>
      <c r="E777" s="8" t="s">
        <v>1685</v>
      </c>
      <c r="F777" s="4" t="s">
        <v>929</v>
      </c>
      <c r="G777" s="4">
        <v>1</v>
      </c>
      <c r="H777" s="4"/>
      <c r="I777" s="4">
        <f>Table4[[#This Row],[Malın miqdarı]]*Table4[[#This Row],[Vahidin qiyməti]]</f>
        <v>0</v>
      </c>
      <c r="J777" s="4" t="s">
        <v>899</v>
      </c>
      <c r="K777" s="4" t="s">
        <v>893</v>
      </c>
      <c r="L777" s="4">
        <f>_xlfn.XLOOKUP(Table4[[#This Row],[Kontragentin adı]],Table2[Kontragentin adı],Table2[Müqavilə nömrəsi],"Xəta",0)</f>
        <v>0</v>
      </c>
      <c r="M777" s="4">
        <f>_xlfn.XLOOKUP(Table4[[#This Row],[Kontragentin adı]],Table2[Kontragentin adı],Table2[Müqavilə nömrəsi],"Xəta",0)</f>
        <v>0</v>
      </c>
    </row>
    <row r="778" spans="2:13" x14ac:dyDescent="0.3">
      <c r="B778" s="4">
        <f t="shared" si="12"/>
        <v>775</v>
      </c>
      <c r="C778" s="5">
        <v>46174</v>
      </c>
      <c r="D778" s="10" t="str" cm="1">
        <f t="array" ref="D778">_xlfn.XLOOKUP(Table4[[#This Row],[Malın kodu]],Table1[[#All],[Malın kodu]],Table1[[#All],[Malın adı]],"xəta",0)</f>
        <v>Kabel / alüminium / 4 damarlı / 77metr</v>
      </c>
      <c r="E778" s="8" t="s">
        <v>1686</v>
      </c>
      <c r="F778" s="4" t="s">
        <v>929</v>
      </c>
      <c r="G778" s="4">
        <v>1</v>
      </c>
      <c r="H778" s="4"/>
      <c r="I778" s="4">
        <f>Table4[[#This Row],[Malın miqdarı]]*Table4[[#This Row],[Vahidin qiyməti]]</f>
        <v>0</v>
      </c>
      <c r="J778" s="4" t="s">
        <v>899</v>
      </c>
      <c r="K778" s="4" t="s">
        <v>893</v>
      </c>
      <c r="L778" s="4">
        <f>_xlfn.XLOOKUP(Table4[[#This Row],[Kontragentin adı]],Table2[Kontragentin adı],Table2[Müqavilə nömrəsi],"Xəta",0)</f>
        <v>0</v>
      </c>
      <c r="M778" s="4">
        <f>_xlfn.XLOOKUP(Table4[[#This Row],[Kontragentin adı]],Table2[Kontragentin adı],Table2[Müqavilə nömrəsi],"Xəta",0)</f>
        <v>0</v>
      </c>
    </row>
    <row r="779" spans="2:13" x14ac:dyDescent="0.3">
      <c r="B779" s="4">
        <f t="shared" si="12"/>
        <v>776</v>
      </c>
      <c r="C779" s="5">
        <v>46174</v>
      </c>
      <c r="D779" s="10" t="str" cm="1">
        <f t="array" ref="D779">_xlfn.XLOOKUP(Table4[[#This Row],[Malın kodu]],Table1[[#All],[Malın kodu]],Table1[[#All],[Malın adı]],"xəta",0)</f>
        <v>Kabel / alüminium / 4 damarlı / 72metr</v>
      </c>
      <c r="E779" s="8" t="s">
        <v>1687</v>
      </c>
      <c r="F779" s="4" t="s">
        <v>929</v>
      </c>
      <c r="G779" s="4">
        <v>1</v>
      </c>
      <c r="H779" s="4"/>
      <c r="I779" s="4">
        <f>Table4[[#This Row],[Malın miqdarı]]*Table4[[#This Row],[Vahidin qiyməti]]</f>
        <v>0</v>
      </c>
      <c r="J779" s="4" t="s">
        <v>899</v>
      </c>
      <c r="K779" s="4" t="s">
        <v>893</v>
      </c>
      <c r="L779" s="4">
        <f>_xlfn.XLOOKUP(Table4[[#This Row],[Kontragentin adı]],Table2[Kontragentin adı],Table2[Müqavilə nömrəsi],"Xəta",0)</f>
        <v>0</v>
      </c>
      <c r="M779" s="4">
        <f>_xlfn.XLOOKUP(Table4[[#This Row],[Kontragentin adı]],Table2[Kontragentin adı],Table2[Müqavilə nömrəsi],"Xəta",0)</f>
        <v>0</v>
      </c>
    </row>
    <row r="780" spans="2:13" x14ac:dyDescent="0.3">
      <c r="B780" s="4">
        <f t="shared" si="12"/>
        <v>777</v>
      </c>
      <c r="C780" s="5">
        <v>46174</v>
      </c>
      <c r="D780" s="10" t="str" cm="1">
        <f t="array" ref="D780">_xlfn.XLOOKUP(Table4[[#This Row],[Malın kodu]],Table1[[#All],[Malın kodu]],Table1[[#All],[Malın adı]],"xəta",0)</f>
        <v>Kabel / alüminium / 4 damarlı / 24metr</v>
      </c>
      <c r="E780" s="8" t="s">
        <v>1688</v>
      </c>
      <c r="F780" s="4" t="s">
        <v>929</v>
      </c>
      <c r="G780" s="4">
        <v>1</v>
      </c>
      <c r="H780" s="4"/>
      <c r="I780" s="4">
        <f>Table4[[#This Row],[Malın miqdarı]]*Table4[[#This Row],[Vahidin qiyməti]]</f>
        <v>0</v>
      </c>
      <c r="J780" s="4" t="s">
        <v>899</v>
      </c>
      <c r="K780" s="4" t="s">
        <v>893</v>
      </c>
      <c r="L780" s="4">
        <f>_xlfn.XLOOKUP(Table4[[#This Row],[Kontragentin adı]],Table2[Kontragentin adı],Table2[Müqavilə nömrəsi],"Xəta",0)</f>
        <v>0</v>
      </c>
      <c r="M780" s="4">
        <f>_xlfn.XLOOKUP(Table4[[#This Row],[Kontragentin adı]],Table2[Kontragentin adı],Table2[Müqavilə nömrəsi],"Xəta",0)</f>
        <v>0</v>
      </c>
    </row>
    <row r="781" spans="2:13" x14ac:dyDescent="0.3">
      <c r="B781" s="4">
        <f t="shared" si="12"/>
        <v>778</v>
      </c>
      <c r="C781" s="5">
        <v>46174</v>
      </c>
      <c r="D781" s="10" t="str" cm="1">
        <f t="array" ref="D781">_xlfn.XLOOKUP(Table4[[#This Row],[Malın kodu]],Table1[[#All],[Malın kodu]],Table1[[#All],[Malın adı]],"xəta",0)</f>
        <v>Boru / d 32 mm / polietilen / 47.5 metr</v>
      </c>
      <c r="E781" s="8" t="s">
        <v>1689</v>
      </c>
      <c r="F781" s="4" t="s">
        <v>929</v>
      </c>
      <c r="G781" s="4">
        <v>1</v>
      </c>
      <c r="H781" s="4"/>
      <c r="I781" s="4">
        <f>Table4[[#This Row],[Malın miqdarı]]*Table4[[#This Row],[Vahidin qiyməti]]</f>
        <v>0</v>
      </c>
      <c r="J781" s="4" t="s">
        <v>899</v>
      </c>
      <c r="K781" s="4" t="s">
        <v>893</v>
      </c>
      <c r="L781" s="4">
        <f>_xlfn.XLOOKUP(Table4[[#This Row],[Kontragentin adı]],Table2[Kontragentin adı],Table2[Müqavilə nömrəsi],"Xəta",0)</f>
        <v>0</v>
      </c>
      <c r="M781" s="4">
        <f>_xlfn.XLOOKUP(Table4[[#This Row],[Kontragentin adı]],Table2[Kontragentin adı],Table2[Müqavilə nömrəsi],"Xəta",0)</f>
        <v>0</v>
      </c>
    </row>
    <row r="782" spans="2:13" x14ac:dyDescent="0.3">
      <c r="B782" s="4">
        <f t="shared" si="12"/>
        <v>779</v>
      </c>
      <c r="C782" s="5">
        <v>46174</v>
      </c>
      <c r="D782" s="10" t="str" cm="1">
        <f t="array" ref="D782">_xlfn.XLOOKUP(Table4[[#This Row],[Malın kodu]],Table1[[#All],[Malın kodu]],Table1[[#All],[Malın adı]],"xəta",0)</f>
        <v>Şlanq / beton vibratoru üçün / metal başlıqlı</v>
      </c>
      <c r="E782" s="8" t="s">
        <v>1690</v>
      </c>
      <c r="F782" s="4" t="s">
        <v>920</v>
      </c>
      <c r="G782" s="4">
        <v>10</v>
      </c>
      <c r="H782" s="4"/>
      <c r="I782" s="4">
        <f>Table4[[#This Row],[Malın miqdarı]]*Table4[[#This Row],[Vahidin qiyməti]]</f>
        <v>0</v>
      </c>
      <c r="J782" s="4" t="s">
        <v>899</v>
      </c>
      <c r="K782" s="4" t="s">
        <v>893</v>
      </c>
      <c r="L782" s="4">
        <f>_xlfn.XLOOKUP(Table4[[#This Row],[Kontragentin adı]],Table2[Kontragentin adı],Table2[Müqavilə nömrəsi],"Xəta",0)</f>
        <v>0</v>
      </c>
      <c r="M782" s="4">
        <f>_xlfn.XLOOKUP(Table4[[#This Row],[Kontragentin adı]],Table2[Kontragentin adı],Table2[Müqavilə nömrəsi],"Xəta",0)</f>
        <v>0</v>
      </c>
    </row>
    <row r="783" spans="2:13" x14ac:dyDescent="0.3">
      <c r="B783" s="4">
        <f t="shared" si="12"/>
        <v>780</v>
      </c>
      <c r="C783" s="5">
        <v>46174</v>
      </c>
      <c r="D783" s="10" t="str" cm="1">
        <f t="array" ref="D783">_xlfn.XLOOKUP(Table4[[#This Row],[Malın kodu]],Table1[[#All],[Malın kodu]],Table1[[#All],[Malın adı]],"xəta",0)</f>
        <v>Təkər / 315/80/22.5 R / "Pirelli" / FR25</v>
      </c>
      <c r="E783" s="8" t="s">
        <v>1692</v>
      </c>
      <c r="F783" s="4" t="s">
        <v>920</v>
      </c>
      <c r="G783" s="4">
        <v>1</v>
      </c>
      <c r="H783" s="4"/>
      <c r="I783" s="4">
        <f>Table4[[#This Row],[Malın miqdarı]]*Table4[[#This Row],[Vahidin qiyməti]]</f>
        <v>0</v>
      </c>
      <c r="J783" s="4" t="s">
        <v>899</v>
      </c>
      <c r="K783" s="4" t="s">
        <v>893</v>
      </c>
      <c r="L783" s="4">
        <f>_xlfn.XLOOKUP(Table4[[#This Row],[Kontragentin adı]],Table2[Kontragentin adı],Table2[Müqavilə nömrəsi],"Xəta",0)</f>
        <v>0</v>
      </c>
      <c r="M783" s="4">
        <f>_xlfn.XLOOKUP(Table4[[#This Row],[Kontragentin adı]],Table2[Kontragentin adı],Table2[Müqavilə nömrəsi],"Xəta",0)</f>
        <v>0</v>
      </c>
    </row>
    <row r="784" spans="2:13" x14ac:dyDescent="0.3">
      <c r="B784" s="4">
        <f t="shared" si="12"/>
        <v>781</v>
      </c>
      <c r="C784" s="5">
        <v>46174</v>
      </c>
      <c r="D784" s="10" t="str" cm="1">
        <f t="array" ref="D784">_xlfn.XLOOKUP(Table4[[#This Row],[Malın kodu]],Table1[[#All],[Malın kodu]],Table1[[#All],[Malın adı]],"xəta",0)</f>
        <v>Kabel / 4x2.5 mm² / 300/500 / H05VV-F / "Astel" / Türkiyə istehsalı</v>
      </c>
      <c r="E784" s="8" t="s">
        <v>1693</v>
      </c>
      <c r="F784" s="4" t="s">
        <v>920</v>
      </c>
      <c r="G784" s="4">
        <v>1</v>
      </c>
      <c r="H784" s="4"/>
      <c r="I784" s="4">
        <f>Table4[[#This Row],[Malın miqdarı]]*Table4[[#This Row],[Vahidin qiyməti]]</f>
        <v>0</v>
      </c>
      <c r="J784" s="4" t="s">
        <v>899</v>
      </c>
      <c r="K784" s="4" t="s">
        <v>893</v>
      </c>
      <c r="L784" s="4">
        <f>_xlfn.XLOOKUP(Table4[[#This Row],[Kontragentin adı]],Table2[Kontragentin adı],Table2[Müqavilə nömrəsi],"Xəta",0)</f>
        <v>0</v>
      </c>
      <c r="M784" s="4">
        <f>_xlfn.XLOOKUP(Table4[[#This Row],[Kontragentin adı]],Table2[Kontragentin adı],Table2[Müqavilə nömrəsi],"Xəta",0)</f>
        <v>0</v>
      </c>
    </row>
    <row r="785" spans="2:13" x14ac:dyDescent="0.3">
      <c r="B785" s="4">
        <f t="shared" si="12"/>
        <v>782</v>
      </c>
      <c r="C785" s="5">
        <v>46174</v>
      </c>
      <c r="D785" s="10" t="str" cm="1">
        <f t="array" ref="D785">_xlfn.XLOOKUP(Table4[[#This Row],[Malın kodu]],Table1[[#All],[Malın kodu]],Table1[[#All],[Malın adı]],"xəta",0)</f>
        <v>Elektrik mühərrik</v>
      </c>
      <c r="E785" s="8" t="s">
        <v>1694</v>
      </c>
      <c r="F785" s="4" t="s">
        <v>920</v>
      </c>
      <c r="G785" s="4">
        <v>1</v>
      </c>
      <c r="H785" s="4"/>
      <c r="I785" s="4">
        <f>Table4[[#This Row],[Malın miqdarı]]*Table4[[#This Row],[Vahidin qiyməti]]</f>
        <v>0</v>
      </c>
      <c r="J785" s="4" t="s">
        <v>899</v>
      </c>
      <c r="K785" s="4" t="s">
        <v>893</v>
      </c>
      <c r="L785" s="4">
        <f>_xlfn.XLOOKUP(Table4[[#This Row],[Kontragentin adı]],Table2[Kontragentin adı],Table2[Müqavilə nömrəsi],"Xəta",0)</f>
        <v>0</v>
      </c>
      <c r="M785" s="4">
        <f>_xlfn.XLOOKUP(Table4[[#This Row],[Kontragentin adı]],Table2[Kontragentin adı],Table2[Müqavilə nömrəsi],"Xəta",0)</f>
        <v>0</v>
      </c>
    </row>
    <row r="786" spans="2:13" x14ac:dyDescent="0.3">
      <c r="B786" s="4">
        <f t="shared" si="12"/>
        <v>783</v>
      </c>
      <c r="C786" s="5">
        <v>46174</v>
      </c>
      <c r="D786" s="10" t="str" cm="1">
        <f t="array" ref="D786">_xlfn.XLOOKUP(Table4[[#This Row],[Malın kodu]],Table1[[#All],[Malın kodu]],Table1[[#All],[Malın adı]],"xəta",0)</f>
        <v>Qaynaq elektrodu / 4.0 x 350 mm / 5 kq / 578</v>
      </c>
      <c r="E786" s="8" t="s">
        <v>1695</v>
      </c>
      <c r="F786" s="4" t="s">
        <v>922</v>
      </c>
      <c r="G786" s="4">
        <v>1</v>
      </c>
      <c r="H786" s="4"/>
      <c r="I786" s="4">
        <f>Table4[[#This Row],[Malın miqdarı]]*Table4[[#This Row],[Vahidin qiyməti]]</f>
        <v>0</v>
      </c>
      <c r="J786" s="4" t="s">
        <v>899</v>
      </c>
      <c r="K786" s="4" t="s">
        <v>893</v>
      </c>
      <c r="L786" s="4">
        <f>_xlfn.XLOOKUP(Table4[[#This Row],[Kontragentin adı]],Table2[Kontragentin adı],Table2[Müqavilə nömrəsi],"Xəta",0)</f>
        <v>0</v>
      </c>
      <c r="M786" s="4">
        <f>_xlfn.XLOOKUP(Table4[[#This Row],[Kontragentin adı]],Table2[Kontragentin adı],Table2[Müqavilə nömrəsi],"Xəta",0)</f>
        <v>0</v>
      </c>
    </row>
    <row r="787" spans="2:13" x14ac:dyDescent="0.3">
      <c r="B787" s="4">
        <f t="shared" si="12"/>
        <v>784</v>
      </c>
      <c r="C787" s="5">
        <v>46174</v>
      </c>
      <c r="D787" s="10" t="str" cm="1">
        <f t="array" ref="D787">_xlfn.XLOOKUP(Table4[[#This Row],[Malın kodu]],Table1[[#All],[Malın kodu]],Table1[[#All],[Malın adı]],"xəta",0)</f>
        <v>Perforator / "Bosch"</v>
      </c>
      <c r="E787" s="8" t="s">
        <v>1696</v>
      </c>
      <c r="F787" s="4" t="s">
        <v>920</v>
      </c>
      <c r="G787" s="4">
        <v>1</v>
      </c>
      <c r="H787" s="4"/>
      <c r="I787" s="4">
        <f>Table4[[#This Row],[Malın miqdarı]]*Table4[[#This Row],[Vahidin qiyməti]]</f>
        <v>0</v>
      </c>
      <c r="J787" s="4" t="s">
        <v>899</v>
      </c>
      <c r="K787" s="4" t="s">
        <v>893</v>
      </c>
      <c r="L787" s="4">
        <f>_xlfn.XLOOKUP(Table4[[#This Row],[Kontragentin adı]],Table2[Kontragentin adı],Table2[Müqavilə nömrəsi],"Xəta",0)</f>
        <v>0</v>
      </c>
      <c r="M787" s="4">
        <f>_xlfn.XLOOKUP(Table4[[#This Row],[Kontragentin adı]],Table2[Kontragentin adı],Table2[Müqavilə nömrəsi],"Xəta",0)</f>
        <v>0</v>
      </c>
    </row>
    <row r="788" spans="2:13" x14ac:dyDescent="0.3">
      <c r="B788" s="4">
        <f t="shared" si="12"/>
        <v>785</v>
      </c>
      <c r="C788" s="5">
        <v>46174</v>
      </c>
      <c r="D788" s="10" t="str" cm="1">
        <f t="array" ref="D788">_xlfn.XLOOKUP(Table4[[#This Row],[Malın kodu]],Table1[[#All],[Malın kodu]],Table1[[#All],[Malın adı]],"xəta",0)</f>
        <v>Metal hissələr / ağır texnika üçün</v>
      </c>
      <c r="E788" s="8" t="s">
        <v>1697</v>
      </c>
      <c r="F788" s="4" t="s">
        <v>920</v>
      </c>
      <c r="G788" s="4">
        <v>4</v>
      </c>
      <c r="H788" s="4"/>
      <c r="I788" s="4">
        <f>Table4[[#This Row],[Malın miqdarı]]*Table4[[#This Row],[Vahidin qiyməti]]</f>
        <v>0</v>
      </c>
      <c r="J788" s="4" t="s">
        <v>899</v>
      </c>
      <c r="K788" s="4" t="s">
        <v>893</v>
      </c>
      <c r="L788" s="4">
        <f>_xlfn.XLOOKUP(Table4[[#This Row],[Kontragentin adı]],Table2[Kontragentin adı],Table2[Müqavilə nömrəsi],"Xəta",0)</f>
        <v>0</v>
      </c>
      <c r="M788" s="4">
        <f>_xlfn.XLOOKUP(Table4[[#This Row],[Kontragentin adı]],Table2[Kontragentin adı],Table2[Müqavilə nömrəsi],"Xəta",0)</f>
        <v>0</v>
      </c>
    </row>
    <row r="789" spans="2:13" x14ac:dyDescent="0.3">
      <c r="B789" s="4">
        <f t="shared" si="12"/>
        <v>786</v>
      </c>
      <c r="C789" s="5">
        <v>46174</v>
      </c>
      <c r="D789" s="10" t="str" cm="1">
        <f t="array" ref="D789">_xlfn.XLOOKUP(Table4[[#This Row],[Malın kodu]],Table1[[#All],[Malın kodu]],Table1[[#All],[Malın adı]],"xəta",0)</f>
        <v>Boya / parlaq emal / 2.5 litr</v>
      </c>
      <c r="E789" s="8" t="s">
        <v>1698</v>
      </c>
      <c r="F789" s="4" t="s">
        <v>920</v>
      </c>
      <c r="G789" s="4">
        <v>1</v>
      </c>
      <c r="H789" s="4"/>
      <c r="I789" s="4">
        <f>Table4[[#This Row],[Malın miqdarı]]*Table4[[#This Row],[Vahidin qiyməti]]</f>
        <v>0</v>
      </c>
      <c r="J789" s="4" t="s">
        <v>899</v>
      </c>
      <c r="K789" s="4" t="s">
        <v>893</v>
      </c>
      <c r="L789" s="4">
        <f>_xlfn.XLOOKUP(Table4[[#This Row],[Kontragentin adı]],Table2[Kontragentin adı],Table2[Müqavilə nömrəsi],"Xəta",0)</f>
        <v>0</v>
      </c>
      <c r="M789" s="4">
        <f>_xlfn.XLOOKUP(Table4[[#This Row],[Kontragentin adı]],Table2[Kontragentin adı],Table2[Müqavilə nömrəsi],"Xəta",0)</f>
        <v>0</v>
      </c>
    </row>
    <row r="790" spans="2:13" x14ac:dyDescent="0.3">
      <c r="B790" s="4">
        <f t="shared" si="12"/>
        <v>787</v>
      </c>
      <c r="C790" s="5">
        <v>46174</v>
      </c>
      <c r="D790" s="10" t="str" cm="1">
        <f t="array" ref="D790">_xlfn.XLOOKUP(Table4[[#This Row],[Malın kodu]],Table1[[#All],[Malın kodu]],Table1[[#All],[Malın adı]],"xəta",0)</f>
        <v>Kürək / saplı</v>
      </c>
      <c r="E790" s="8" t="s">
        <v>1699</v>
      </c>
      <c r="F790" s="4" t="s">
        <v>920</v>
      </c>
      <c r="G790" s="4">
        <v>1</v>
      </c>
      <c r="H790" s="4"/>
      <c r="I790" s="4">
        <f>Table4[[#This Row],[Malın miqdarı]]*Table4[[#This Row],[Vahidin qiyməti]]</f>
        <v>0</v>
      </c>
      <c r="J790" s="4" t="s">
        <v>899</v>
      </c>
      <c r="K790" s="4" t="s">
        <v>893</v>
      </c>
      <c r="L790" s="4">
        <f>_xlfn.XLOOKUP(Table4[[#This Row],[Kontragentin adı]],Table2[Kontragentin adı],Table2[Müqavilə nömrəsi],"Xəta",0)</f>
        <v>0</v>
      </c>
      <c r="M790" s="4">
        <f>_xlfn.XLOOKUP(Table4[[#This Row],[Kontragentin adı]],Table2[Kontragentin adı],Table2[Müqavilə nömrəsi],"Xəta",0)</f>
        <v>0</v>
      </c>
    </row>
    <row r="791" spans="2:13" x14ac:dyDescent="0.3">
      <c r="B791" s="4">
        <f t="shared" si="12"/>
        <v>788</v>
      </c>
      <c r="C791" s="5">
        <v>46174</v>
      </c>
      <c r="D791" s="10" t="str" cm="1">
        <f t="array" ref="D791">_xlfn.XLOOKUP(Table4[[#This Row],[Malın kodu]],Table1[[#All],[Malın kodu]],Table1[[#All],[Malın adı]],"xəta",0)</f>
        <v>Ankerbolt / L şəkilli</v>
      </c>
      <c r="E791" s="8" t="s">
        <v>1700</v>
      </c>
      <c r="F791" s="4" t="s">
        <v>920</v>
      </c>
      <c r="G791" s="4">
        <v>1</v>
      </c>
      <c r="H791" s="4"/>
      <c r="I791" s="4">
        <f>Table4[[#This Row],[Malın miqdarı]]*Table4[[#This Row],[Vahidin qiyməti]]</f>
        <v>0</v>
      </c>
      <c r="J791" s="4" t="s">
        <v>899</v>
      </c>
      <c r="K791" s="4" t="s">
        <v>893</v>
      </c>
      <c r="L791" s="4">
        <f>_xlfn.XLOOKUP(Table4[[#This Row],[Kontragentin adı]],Table2[Kontragentin adı],Table2[Müqavilə nömrəsi],"Xəta",0)</f>
        <v>0</v>
      </c>
      <c r="M791" s="4">
        <f>_xlfn.XLOOKUP(Table4[[#This Row],[Kontragentin adı]],Table2[Kontragentin adı],Table2[Müqavilə nömrəsi],"Xəta",0)</f>
        <v>0</v>
      </c>
    </row>
    <row r="792" spans="2:13" x14ac:dyDescent="0.3">
      <c r="B792" s="4">
        <f t="shared" si="12"/>
        <v>789</v>
      </c>
      <c r="C792" s="5">
        <v>46174</v>
      </c>
      <c r="D792" s="10" t="str" cm="1">
        <f t="array" ref="D792">_xlfn.XLOOKUP(Table4[[#This Row],[Malın kodu]],Table1[[#All],[Malın kodu]],Table1[[#All],[Malın adı]],"xəta",0)</f>
        <v>Tıxaç / şurup üçün / plastik</v>
      </c>
      <c r="E792" s="8" t="s">
        <v>1701</v>
      </c>
      <c r="F792" s="4" t="s">
        <v>926</v>
      </c>
      <c r="G792" s="4">
        <v>1</v>
      </c>
      <c r="H792" s="4"/>
      <c r="I792" s="4">
        <f>Table4[[#This Row],[Malın miqdarı]]*Table4[[#This Row],[Vahidin qiyməti]]</f>
        <v>0</v>
      </c>
      <c r="J792" s="4" t="s">
        <v>899</v>
      </c>
      <c r="K792" s="4" t="s">
        <v>893</v>
      </c>
      <c r="L792" s="4">
        <f>_xlfn.XLOOKUP(Table4[[#This Row],[Kontragentin adı]],Table2[Kontragentin adı],Table2[Müqavilə nömrəsi],"Xəta",0)</f>
        <v>0</v>
      </c>
      <c r="M792" s="4">
        <f>_xlfn.XLOOKUP(Table4[[#This Row],[Kontragentin adı]],Table2[Kontragentin adı],Table2[Müqavilə nömrəsi],"Xəta",0)</f>
        <v>0</v>
      </c>
    </row>
    <row r="793" spans="2:13" x14ac:dyDescent="0.3">
      <c r="B793" s="4">
        <f t="shared" si="12"/>
        <v>790</v>
      </c>
      <c r="C793" s="5">
        <v>46174</v>
      </c>
      <c r="D793" s="10" t="str" cm="1">
        <f t="array" ref="D793">_xlfn.XLOOKUP(Table4[[#This Row],[Malın kodu]],Table1[[#All],[Malın kodu]],Table1[[#All],[Malın adı]],"xəta",0)</f>
        <v>Mufta / elektrofuzion / d 90 mm / polietilen / "Borfit" / Türkiyə istehsalı</v>
      </c>
      <c r="E793" s="8" t="s">
        <v>1702</v>
      </c>
      <c r="F793" s="4" t="s">
        <v>920</v>
      </c>
      <c r="G793" s="4">
        <v>10</v>
      </c>
      <c r="H793" s="4"/>
      <c r="I793" s="4">
        <f>Table4[[#This Row],[Malın miqdarı]]*Table4[[#This Row],[Vahidin qiyməti]]</f>
        <v>0</v>
      </c>
      <c r="J793" s="4" t="s">
        <v>899</v>
      </c>
      <c r="K793" s="4" t="s">
        <v>893</v>
      </c>
      <c r="L793" s="4">
        <f>_xlfn.XLOOKUP(Table4[[#This Row],[Kontragentin adı]],Table2[Kontragentin adı],Table2[Müqavilə nömrəsi],"Xəta",0)</f>
        <v>0</v>
      </c>
      <c r="M793" s="4">
        <f>_xlfn.XLOOKUP(Table4[[#This Row],[Kontragentin adı]],Table2[Kontragentin adı],Table2[Müqavilə nömrəsi],"Xəta",0)</f>
        <v>0</v>
      </c>
    </row>
    <row r="794" spans="2:13" x14ac:dyDescent="0.3">
      <c r="B794" s="4">
        <f t="shared" si="12"/>
        <v>791</v>
      </c>
      <c r="C794" s="5">
        <v>46174</v>
      </c>
      <c r="D794" s="10" t="str" cm="1">
        <f t="array" ref="D794">_xlfn.XLOOKUP(Table4[[#This Row],[Malın kodu]],Table1[[#All],[Malın kodu]],Table1[[#All],[Malın adı]],"xəta",0)</f>
        <v>Mufta / elektrofuzion / d 40 mm / polietilen / "Borfit" / Türkiyə istehsalı</v>
      </c>
      <c r="E794" s="8" t="s">
        <v>1703</v>
      </c>
      <c r="F794" s="4" t="s">
        <v>920</v>
      </c>
      <c r="G794" s="4">
        <v>94</v>
      </c>
      <c r="H794" s="4"/>
      <c r="I794" s="4">
        <f>Table4[[#This Row],[Malın miqdarı]]*Table4[[#This Row],[Vahidin qiyməti]]</f>
        <v>0</v>
      </c>
      <c r="J794" s="4" t="s">
        <v>899</v>
      </c>
      <c r="K794" s="4" t="s">
        <v>893</v>
      </c>
      <c r="L794" s="4">
        <f>_xlfn.XLOOKUP(Table4[[#This Row],[Kontragentin adı]],Table2[Kontragentin adı],Table2[Müqavilə nömrəsi],"Xəta",0)</f>
        <v>0</v>
      </c>
      <c r="M794" s="4">
        <f>_xlfn.XLOOKUP(Table4[[#This Row],[Kontragentin adı]],Table2[Kontragentin adı],Table2[Müqavilə nömrəsi],"Xəta",0)</f>
        <v>0</v>
      </c>
    </row>
    <row r="795" spans="2:13" x14ac:dyDescent="0.3">
      <c r="B795" s="4">
        <f t="shared" si="12"/>
        <v>792</v>
      </c>
      <c r="C795" s="5">
        <v>46174</v>
      </c>
      <c r="D795" s="10" t="str" cm="1">
        <f t="array" ref="D795">_xlfn.XLOOKUP(Table4[[#This Row],[Malın kodu]],Table1[[#All],[Malın kodu]],Table1[[#All],[Malın adı]],"xəta",0)</f>
        <v>Mufta / elektrofuzion / d 32 mm / polietilen / "Borfit" / Türkiyə istehsalı</v>
      </c>
      <c r="E795" s="8" t="s">
        <v>1704</v>
      </c>
      <c r="F795" s="4" t="s">
        <v>920</v>
      </c>
      <c r="G795" s="4">
        <v>50</v>
      </c>
      <c r="H795" s="4"/>
      <c r="I795" s="4">
        <f>Table4[[#This Row],[Malın miqdarı]]*Table4[[#This Row],[Vahidin qiyməti]]</f>
        <v>0</v>
      </c>
      <c r="J795" s="4" t="s">
        <v>899</v>
      </c>
      <c r="K795" s="4" t="s">
        <v>893</v>
      </c>
      <c r="L795" s="4">
        <f>_xlfn.XLOOKUP(Table4[[#This Row],[Kontragentin adı]],Table2[Kontragentin adı],Table2[Müqavilə nömrəsi],"Xəta",0)</f>
        <v>0</v>
      </c>
      <c r="M795" s="4">
        <f>_xlfn.XLOOKUP(Table4[[#This Row],[Kontragentin adı]],Table2[Kontragentin adı],Table2[Müqavilə nömrəsi],"Xəta",0)</f>
        <v>0</v>
      </c>
    </row>
    <row r="796" spans="2:13" x14ac:dyDescent="0.3">
      <c r="B796" s="4">
        <f t="shared" si="12"/>
        <v>793</v>
      </c>
      <c r="C796" s="5">
        <v>46174</v>
      </c>
      <c r="D796" s="10" t="str" cm="1">
        <f t="array" ref="D796">_xlfn.XLOOKUP(Table4[[#This Row],[Malın kodu]],Table1[[#All],[Malın kodu]],Table1[[#All],[Malın adı]],"xəta",0)</f>
        <v>Nərdivan / metal / 7 pilləli</v>
      </c>
      <c r="E796" s="8" t="s">
        <v>1705</v>
      </c>
      <c r="F796" s="4" t="s">
        <v>920</v>
      </c>
      <c r="G796" s="4">
        <v>1</v>
      </c>
      <c r="H796" s="4"/>
      <c r="I796" s="4">
        <f>Table4[[#This Row],[Malın miqdarı]]*Table4[[#This Row],[Vahidin qiyməti]]</f>
        <v>0</v>
      </c>
      <c r="J796" s="4" t="s">
        <v>899</v>
      </c>
      <c r="K796" s="4" t="s">
        <v>893</v>
      </c>
      <c r="L796" s="4">
        <f>_xlfn.XLOOKUP(Table4[[#This Row],[Kontragentin adı]],Table2[Kontragentin adı],Table2[Müqavilə nömrəsi],"Xəta",0)</f>
        <v>0</v>
      </c>
      <c r="M796" s="4">
        <f>_xlfn.XLOOKUP(Table4[[#This Row],[Kontragentin adı]],Table2[Kontragentin adı],Table2[Müqavilə nömrəsi],"Xəta",0)</f>
        <v>0</v>
      </c>
    </row>
    <row r="797" spans="2:13" x14ac:dyDescent="0.3">
      <c r="B797" s="4">
        <f t="shared" si="12"/>
        <v>794</v>
      </c>
      <c r="C797" s="5">
        <v>46174</v>
      </c>
      <c r="D797" s="10" t="str" cm="1">
        <f t="array" ref="D797">_xlfn.XLOOKUP(Table4[[#This Row],[Malın kodu]],Table1[[#All],[Malın kodu]],Table1[[#All],[Malın adı]],"xəta",0)</f>
        <v>Akkumulyator / 12V / 100AH / Ca-Ca / "Energy" / Türkiyə istehsalı</v>
      </c>
      <c r="E797" s="8" t="s">
        <v>1706</v>
      </c>
      <c r="F797" s="4" t="s">
        <v>920</v>
      </c>
      <c r="G797" s="4">
        <v>1</v>
      </c>
      <c r="H797" s="4"/>
      <c r="I797" s="4">
        <f>Table4[[#This Row],[Malın miqdarı]]*Table4[[#This Row],[Vahidin qiyməti]]</f>
        <v>0</v>
      </c>
      <c r="J797" s="4" t="s">
        <v>899</v>
      </c>
      <c r="K797" s="4" t="s">
        <v>893</v>
      </c>
      <c r="L797" s="4">
        <f>_xlfn.XLOOKUP(Table4[[#This Row],[Kontragentin adı]],Table2[Kontragentin adı],Table2[Müqavilə nömrəsi],"Xəta",0)</f>
        <v>0</v>
      </c>
      <c r="M797" s="4">
        <f>_xlfn.XLOOKUP(Table4[[#This Row],[Kontragentin adı]],Table2[Kontragentin adı],Table2[Müqavilə nömrəsi],"Xəta",0)</f>
        <v>0</v>
      </c>
    </row>
    <row r="798" spans="2:13" x14ac:dyDescent="0.3">
      <c r="B798" s="4">
        <f t="shared" si="12"/>
        <v>795</v>
      </c>
      <c r="C798" s="5">
        <v>46174</v>
      </c>
      <c r="D798" s="10" t="str" cm="1">
        <f t="array" ref="D798">_xlfn.XLOOKUP(Table4[[#This Row],[Malın kodu]],Table1[[#All],[Malın kodu]],Table1[[#All],[Malın adı]],"xəta",0)</f>
        <v>Ankerbolt / M10 / L 130 mm</v>
      </c>
      <c r="E798" s="8" t="s">
        <v>1707</v>
      </c>
      <c r="F798" s="4" t="s">
        <v>920</v>
      </c>
      <c r="G798" s="4">
        <v>1</v>
      </c>
      <c r="H798" s="4"/>
      <c r="I798" s="4">
        <f>Table4[[#This Row],[Malın miqdarı]]*Table4[[#This Row],[Vahidin qiyməti]]</f>
        <v>0</v>
      </c>
      <c r="J798" s="4" t="s">
        <v>899</v>
      </c>
      <c r="K798" s="4" t="s">
        <v>893</v>
      </c>
      <c r="L798" s="4">
        <f>_xlfn.XLOOKUP(Table4[[#This Row],[Kontragentin adı]],Table2[Kontragentin adı],Table2[Müqavilə nömrəsi],"Xəta",0)</f>
        <v>0</v>
      </c>
      <c r="M798" s="4">
        <f>_xlfn.XLOOKUP(Table4[[#This Row],[Kontragentin adı]],Table2[Kontragentin adı],Table2[Müqavilə nömrəsi],"Xəta",0)</f>
        <v>0</v>
      </c>
    </row>
    <row r="799" spans="2:13" x14ac:dyDescent="0.3">
      <c r="B799" s="4">
        <f t="shared" si="12"/>
        <v>796</v>
      </c>
      <c r="C799" s="5">
        <v>46174</v>
      </c>
      <c r="D799" s="10" t="str" cm="1">
        <f t="array" ref="D799">_xlfn.XLOOKUP(Table4[[#This Row],[Malın kodu]],Table1[[#All],[Malın kodu]],Table1[[#All],[Malın adı]],"xəta",0)</f>
        <v>Ankerbolt / M12 / L 130 mm</v>
      </c>
      <c r="E799" s="8" t="s">
        <v>1708</v>
      </c>
      <c r="F799" s="4" t="s">
        <v>920</v>
      </c>
      <c r="G799" s="4">
        <v>1</v>
      </c>
      <c r="H799" s="4"/>
      <c r="I799" s="4">
        <f>Table4[[#This Row],[Malın miqdarı]]*Table4[[#This Row],[Vahidin qiyməti]]</f>
        <v>0</v>
      </c>
      <c r="J799" s="4" t="s">
        <v>899</v>
      </c>
      <c r="K799" s="4" t="s">
        <v>893</v>
      </c>
      <c r="L799" s="4">
        <f>_xlfn.XLOOKUP(Table4[[#This Row],[Kontragentin adı]],Table2[Kontragentin adı],Table2[Müqavilə nömrəsi],"Xəta",0)</f>
        <v>0</v>
      </c>
      <c r="M799" s="4">
        <f>_xlfn.XLOOKUP(Table4[[#This Row],[Kontragentin adı]],Table2[Kontragentin adı],Table2[Müqavilə nömrəsi],"Xəta",0)</f>
        <v>0</v>
      </c>
    </row>
    <row r="800" spans="2:13" x14ac:dyDescent="0.3">
      <c r="B800" s="4">
        <f t="shared" si="12"/>
        <v>797</v>
      </c>
      <c r="C800" s="5">
        <v>46174</v>
      </c>
      <c r="D800" s="10" t="str" cm="1">
        <f t="array" ref="D800">_xlfn.XLOOKUP(Table4[[#This Row],[Malın kodu]],Table1[[#All],[Malın kodu]],Table1[[#All],[Malın adı]],"xəta",0)</f>
        <v>Qayka / M14</v>
      </c>
      <c r="E800" s="8" t="s">
        <v>1709</v>
      </c>
      <c r="F800" s="4" t="s">
        <v>920</v>
      </c>
      <c r="G800" s="4">
        <v>12</v>
      </c>
      <c r="H800" s="4"/>
      <c r="I800" s="4">
        <f>Table4[[#This Row],[Malın miqdarı]]*Table4[[#This Row],[Vahidin qiyməti]]</f>
        <v>0</v>
      </c>
      <c r="J800" s="4" t="s">
        <v>899</v>
      </c>
      <c r="K800" s="4" t="s">
        <v>893</v>
      </c>
      <c r="L800" s="4">
        <f>_xlfn.XLOOKUP(Table4[[#This Row],[Kontragentin adı]],Table2[Kontragentin adı],Table2[Müqavilə nömrəsi],"Xəta",0)</f>
        <v>0</v>
      </c>
      <c r="M800" s="4">
        <f>_xlfn.XLOOKUP(Table4[[#This Row],[Kontragentin adı]],Table2[Kontragentin adı],Table2[Müqavilə nömrəsi],"Xəta",0)</f>
        <v>0</v>
      </c>
    </row>
    <row r="801" spans="2:13" x14ac:dyDescent="0.3">
      <c r="B801" s="4">
        <f t="shared" si="12"/>
        <v>798</v>
      </c>
      <c r="C801" s="5">
        <v>46174</v>
      </c>
      <c r="D801" s="10" t="str" cm="1">
        <f t="array" ref="D801">_xlfn.XLOOKUP(Table4[[#This Row],[Malın kodu]],Table1[[#All],[Malın kodu]],Table1[[#All],[Malın adı]],"xəta",0)</f>
        <v>Qayka / M18</v>
      </c>
      <c r="E801" s="8" t="s">
        <v>1710</v>
      </c>
      <c r="F801" s="4" t="s">
        <v>920</v>
      </c>
      <c r="G801" s="4">
        <v>142</v>
      </c>
      <c r="H801" s="4"/>
      <c r="I801" s="4">
        <f>Table4[[#This Row],[Malın miqdarı]]*Table4[[#This Row],[Vahidin qiyməti]]</f>
        <v>0</v>
      </c>
      <c r="J801" s="4" t="s">
        <v>899</v>
      </c>
      <c r="K801" s="4" t="s">
        <v>893</v>
      </c>
      <c r="L801" s="4">
        <f>_xlfn.XLOOKUP(Table4[[#This Row],[Kontragentin adı]],Table2[Kontragentin adı],Table2[Müqavilə nömrəsi],"Xəta",0)</f>
        <v>0</v>
      </c>
      <c r="M801" s="4">
        <f>_xlfn.XLOOKUP(Table4[[#This Row],[Kontragentin adı]],Table2[Kontragentin adı],Table2[Müqavilə nömrəsi],"Xəta",0)</f>
        <v>0</v>
      </c>
    </row>
    <row r="802" spans="2:13" x14ac:dyDescent="0.3">
      <c r="B802" s="4">
        <f t="shared" si="12"/>
        <v>799</v>
      </c>
      <c r="C802" s="5">
        <v>46174</v>
      </c>
      <c r="D802" s="10" t="str" cm="1">
        <f t="array" ref="D802">_xlfn.XLOOKUP(Table4[[#This Row],[Malın kodu]],Table1[[#All],[Malın kodu]],Table1[[#All],[Malın adı]],"xəta",0)</f>
        <v>Beton vibratorun mühərriki</v>
      </c>
      <c r="E802" s="8" t="s">
        <v>1711</v>
      </c>
      <c r="F802" s="4" t="s">
        <v>920</v>
      </c>
      <c r="G802" s="4">
        <v>4</v>
      </c>
      <c r="H802" s="4"/>
      <c r="I802" s="4">
        <f>Table4[[#This Row],[Malın miqdarı]]*Table4[[#This Row],[Vahidin qiyməti]]</f>
        <v>0</v>
      </c>
      <c r="J802" s="4" t="s">
        <v>899</v>
      </c>
      <c r="K802" s="4" t="s">
        <v>893</v>
      </c>
      <c r="L802" s="4">
        <f>_xlfn.XLOOKUP(Table4[[#This Row],[Kontragentin adı]],Table2[Kontragentin adı],Table2[Müqavilə nömrəsi],"Xəta",0)</f>
        <v>0</v>
      </c>
      <c r="M802" s="4">
        <f>_xlfn.XLOOKUP(Table4[[#This Row],[Kontragentin adı]],Table2[Kontragentin adı],Table2[Müqavilə nömrəsi],"Xəta",0)</f>
        <v>0</v>
      </c>
    </row>
    <row r="803" spans="2:13" x14ac:dyDescent="0.3">
      <c r="B803" s="4">
        <f t="shared" si="12"/>
        <v>800</v>
      </c>
      <c r="C803" s="5">
        <v>46174</v>
      </c>
      <c r="D803" s="10" t="str" cm="1">
        <f t="array" ref="D803">_xlfn.XLOOKUP(Table4[[#This Row],[Malın kodu]],Table1[[#All],[Malın kodu]],Table1[[#All],[Malın adı]],"xəta",0)</f>
        <v>Bolt / M38 / L 750 mm</v>
      </c>
      <c r="E803" s="8" t="s">
        <v>1712</v>
      </c>
      <c r="F803" s="4" t="s">
        <v>920</v>
      </c>
      <c r="G803" s="4">
        <v>4</v>
      </c>
      <c r="H803" s="4"/>
      <c r="I803" s="4">
        <f>Table4[[#This Row],[Malın miqdarı]]*Table4[[#This Row],[Vahidin qiyməti]]</f>
        <v>0</v>
      </c>
      <c r="J803" s="4" t="s">
        <v>899</v>
      </c>
      <c r="K803" s="4" t="s">
        <v>893</v>
      </c>
      <c r="L803" s="4">
        <f>_xlfn.XLOOKUP(Table4[[#This Row],[Kontragentin adı]],Table2[Kontragentin adı],Table2[Müqavilə nömrəsi],"Xəta",0)</f>
        <v>0</v>
      </c>
      <c r="M803" s="4">
        <f>_xlfn.XLOOKUP(Table4[[#This Row],[Kontragentin adı]],Table2[Kontragentin adı],Table2[Müqavilə nömrəsi],"Xəta",0)</f>
        <v>0</v>
      </c>
    </row>
    <row r="804" spans="2:13" x14ac:dyDescent="0.3">
      <c r="B804" s="4">
        <f t="shared" si="12"/>
        <v>801</v>
      </c>
      <c r="C804" s="5">
        <v>46174</v>
      </c>
      <c r="D804" s="10" t="str" cm="1">
        <f t="array" ref="D804">_xlfn.XLOOKUP(Table4[[#This Row],[Malın kodu]],Table1[[#All],[Malın kodu]],Table1[[#All],[Malın adı]],"xəta",0)</f>
        <v>Beton vibratoru / portativ</v>
      </c>
      <c r="E804" s="8" t="s">
        <v>1713</v>
      </c>
      <c r="F804" s="4" t="s">
        <v>920</v>
      </c>
      <c r="G804" s="4">
        <v>2</v>
      </c>
      <c r="H804" s="4"/>
      <c r="I804" s="4">
        <f>Table4[[#This Row],[Malın miqdarı]]*Table4[[#This Row],[Vahidin qiyməti]]</f>
        <v>0</v>
      </c>
      <c r="J804" s="4" t="s">
        <v>899</v>
      </c>
      <c r="K804" s="4" t="s">
        <v>893</v>
      </c>
      <c r="L804" s="4">
        <f>_xlfn.XLOOKUP(Table4[[#This Row],[Kontragentin adı]],Table2[Kontragentin adı],Table2[Müqavilə nömrəsi],"Xəta",0)</f>
        <v>0</v>
      </c>
      <c r="M804" s="4">
        <f>_xlfn.XLOOKUP(Table4[[#This Row],[Kontragentin adı]],Table2[Kontragentin adı],Table2[Müqavilə nömrəsi],"Xəta",0)</f>
        <v>0</v>
      </c>
    </row>
    <row r="805" spans="2:13" x14ac:dyDescent="0.3">
      <c r="B805" s="4">
        <f t="shared" si="12"/>
        <v>802</v>
      </c>
      <c r="C805" s="5">
        <v>46174</v>
      </c>
      <c r="D805" s="10" t="str" cm="1">
        <f t="array" ref="D805">_xlfn.XLOOKUP(Table4[[#This Row],[Malın kodu]],Table1[[#All],[Malın kodu]],Table1[[#All],[Malın adı]],"xəta",0)</f>
        <v>Sınaq pompası / hidravlik / "Ekeryil"</v>
      </c>
      <c r="E805" s="8" t="s">
        <v>1714</v>
      </c>
      <c r="F805" s="4" t="s">
        <v>920</v>
      </c>
      <c r="G805" s="4">
        <v>1</v>
      </c>
      <c r="H805" s="4"/>
      <c r="I805" s="4">
        <f>Table4[[#This Row],[Malın miqdarı]]*Table4[[#This Row],[Vahidin qiyməti]]</f>
        <v>0</v>
      </c>
      <c r="J805" s="4" t="s">
        <v>899</v>
      </c>
      <c r="K805" s="4" t="s">
        <v>893</v>
      </c>
      <c r="L805" s="4">
        <f>_xlfn.XLOOKUP(Table4[[#This Row],[Kontragentin adı]],Table2[Kontragentin adı],Table2[Müqavilə nömrəsi],"Xəta",0)</f>
        <v>0</v>
      </c>
      <c r="M805" s="4">
        <f>_xlfn.XLOOKUP(Table4[[#This Row],[Kontragentin adı]],Table2[Kontragentin adı],Table2[Müqavilə nömrəsi],"Xəta",0)</f>
        <v>0</v>
      </c>
    </row>
    <row r="806" spans="2:13" x14ac:dyDescent="0.3">
      <c r="B806" s="4">
        <f t="shared" si="12"/>
        <v>803</v>
      </c>
      <c r="C806" s="5">
        <v>46174</v>
      </c>
      <c r="D806" s="10" t="str" cm="1">
        <f t="array" ref="D806">_xlfn.XLOOKUP(Table4[[#This Row],[Malın kodu]],Table1[[#All],[Malın kodu]],Table1[[#All],[Malın adı]],"xəta",0)</f>
        <v>Elektrik qızdırıcı / spirallı / kərpicli</v>
      </c>
      <c r="E806" s="8" t="s">
        <v>1715</v>
      </c>
      <c r="F806" s="4" t="s">
        <v>920</v>
      </c>
      <c r="G806" s="4">
        <v>1</v>
      </c>
      <c r="H806" s="4"/>
      <c r="I806" s="4">
        <f>Table4[[#This Row],[Malın miqdarı]]*Table4[[#This Row],[Vahidin qiyməti]]</f>
        <v>0</v>
      </c>
      <c r="J806" s="4" t="s">
        <v>899</v>
      </c>
      <c r="K806" s="4" t="s">
        <v>893</v>
      </c>
      <c r="L806" s="4">
        <f>_xlfn.XLOOKUP(Table4[[#This Row],[Kontragentin adı]],Table2[Kontragentin adı],Table2[Müqavilə nömrəsi],"Xəta",0)</f>
        <v>0</v>
      </c>
      <c r="M806" s="4">
        <f>_xlfn.XLOOKUP(Table4[[#This Row],[Kontragentin adı]],Table2[Kontragentin adı],Table2[Müqavilə nömrəsi],"Xəta",0)</f>
        <v>0</v>
      </c>
    </row>
    <row r="807" spans="2:13" x14ac:dyDescent="0.3">
      <c r="B807" s="4">
        <f t="shared" si="12"/>
        <v>804</v>
      </c>
      <c r="C807" s="5">
        <v>46174</v>
      </c>
      <c r="D807" s="10" t="str" cm="1">
        <f t="array" ref="D807">_xlfn.XLOOKUP(Table4[[#This Row],[Malın kodu]],Table1[[#All],[Malın kodu]],Table1[[#All],[Malın adı]],"xəta",0)</f>
        <v>Su qızdırıcısı / qazla işləyən / 20 litr</v>
      </c>
      <c r="E807" s="8" t="s">
        <v>1716</v>
      </c>
      <c r="F807" s="4" t="s">
        <v>920</v>
      </c>
      <c r="G807" s="4">
        <v>1</v>
      </c>
      <c r="H807" s="4"/>
      <c r="I807" s="4">
        <f>Table4[[#This Row],[Malın miqdarı]]*Table4[[#This Row],[Vahidin qiyməti]]</f>
        <v>0</v>
      </c>
      <c r="J807" s="4" t="s">
        <v>899</v>
      </c>
      <c r="K807" s="4" t="s">
        <v>893</v>
      </c>
      <c r="L807" s="4">
        <f>_xlfn.XLOOKUP(Table4[[#This Row],[Kontragentin adı]],Table2[Kontragentin adı],Table2[Müqavilə nömrəsi],"Xəta",0)</f>
        <v>0</v>
      </c>
      <c r="M807" s="4">
        <f>_xlfn.XLOOKUP(Table4[[#This Row],[Kontragentin adı]],Table2[Kontragentin adı],Table2[Müqavilə nömrəsi],"Xəta",0)</f>
        <v>0</v>
      </c>
    </row>
    <row r="808" spans="2:13" x14ac:dyDescent="0.3">
      <c r="B808" s="4">
        <f t="shared" si="12"/>
        <v>805</v>
      </c>
      <c r="C808" s="5">
        <v>46174</v>
      </c>
      <c r="D808" s="10" t="str" cm="1">
        <f t="array" ref="D808">_xlfn.XLOOKUP(Table4[[#This Row],[Malın kodu]],Table1[[#All],[Malın kodu]],Table1[[#All],[Malın adı]],"xəta",0)</f>
        <v>Əqrəb / metal / alçıpan profili üçün</v>
      </c>
      <c r="E808" s="8" t="s">
        <v>1717</v>
      </c>
      <c r="F808" s="4" t="s">
        <v>920</v>
      </c>
      <c r="G808" s="4">
        <v>40</v>
      </c>
      <c r="H808" s="4"/>
      <c r="I808" s="4">
        <f>Table4[[#This Row],[Malın miqdarı]]*Table4[[#This Row],[Vahidin qiyməti]]</f>
        <v>0</v>
      </c>
      <c r="J808" s="4" t="s">
        <v>899</v>
      </c>
      <c r="K808" s="4" t="s">
        <v>893</v>
      </c>
      <c r="L808" s="4">
        <f>_xlfn.XLOOKUP(Table4[[#This Row],[Kontragentin adı]],Table2[Kontragentin adı],Table2[Müqavilə nömrəsi],"Xəta",0)</f>
        <v>0</v>
      </c>
      <c r="M808" s="4">
        <f>_xlfn.XLOOKUP(Table4[[#This Row],[Kontragentin adı]],Table2[Kontragentin adı],Table2[Müqavilə nömrəsi],"Xəta",0)</f>
        <v>0</v>
      </c>
    </row>
    <row r="809" spans="2:13" x14ac:dyDescent="0.3">
      <c r="B809" s="4">
        <f t="shared" si="12"/>
        <v>806</v>
      </c>
      <c r="C809" s="5">
        <v>46174</v>
      </c>
      <c r="D809" s="10" t="str" cm="1">
        <f t="array" ref="D809">_xlfn.XLOOKUP(Table4[[#This Row],[Malın kodu]],Table1[[#All],[Malın kodu]],Table1[[#All],[Malın adı]],"xəta",0)</f>
        <v>Şlanq / kapron / 12 mm</v>
      </c>
      <c r="E809" s="8" t="s">
        <v>1718</v>
      </c>
      <c r="F809" s="4" t="s">
        <v>925</v>
      </c>
      <c r="G809" s="4">
        <v>6</v>
      </c>
      <c r="H809" s="4"/>
      <c r="I809" s="4">
        <f>Table4[[#This Row],[Malın miqdarı]]*Table4[[#This Row],[Vahidin qiyməti]]</f>
        <v>0</v>
      </c>
      <c r="J809" s="4" t="s">
        <v>899</v>
      </c>
      <c r="K809" s="4" t="s">
        <v>893</v>
      </c>
      <c r="L809" s="4">
        <f>_xlfn.XLOOKUP(Table4[[#This Row],[Kontragentin adı]],Table2[Kontragentin adı],Table2[Müqavilə nömrəsi],"Xəta",0)</f>
        <v>0</v>
      </c>
      <c r="M809" s="4">
        <f>_xlfn.XLOOKUP(Table4[[#This Row],[Kontragentin adı]],Table2[Kontragentin adı],Table2[Müqavilə nömrəsi],"Xəta",0)</f>
        <v>0</v>
      </c>
    </row>
    <row r="810" spans="2:13" x14ac:dyDescent="0.3">
      <c r="B810" s="4">
        <f t="shared" si="12"/>
        <v>807</v>
      </c>
      <c r="C810" s="5">
        <v>46174</v>
      </c>
      <c r="D810" s="10" t="str" cm="1">
        <f t="array" ref="D810">_xlfn.XLOOKUP(Table4[[#This Row],[Malın kodu]],Table1[[#All],[Malın kodu]],Table1[[#All],[Malın adı]],"xəta",0)</f>
        <v>Xomut / flyanslı / metal / d 250 mm</v>
      </c>
      <c r="E810" s="8" t="s">
        <v>1719</v>
      </c>
      <c r="F810" s="4" t="s">
        <v>920</v>
      </c>
      <c r="G810" s="4">
        <v>1</v>
      </c>
      <c r="H810" s="4"/>
      <c r="I810" s="4">
        <f>Table4[[#This Row],[Malın miqdarı]]*Table4[[#This Row],[Vahidin qiyməti]]</f>
        <v>0</v>
      </c>
      <c r="J810" s="4" t="s">
        <v>899</v>
      </c>
      <c r="K810" s="4" t="s">
        <v>893</v>
      </c>
      <c r="L810" s="4">
        <f>_xlfn.XLOOKUP(Table4[[#This Row],[Kontragentin adı]],Table2[Kontragentin adı],Table2[Müqavilə nömrəsi],"Xəta",0)</f>
        <v>0</v>
      </c>
      <c r="M810" s="4">
        <f>_xlfn.XLOOKUP(Table4[[#This Row],[Kontragentin adı]],Table2[Kontragentin adı],Table2[Müqavilə nömrəsi],"Xəta",0)</f>
        <v>0</v>
      </c>
    </row>
    <row r="811" spans="2:13" x14ac:dyDescent="0.3">
      <c r="B811" s="4">
        <f t="shared" si="12"/>
        <v>808</v>
      </c>
      <c r="C811" s="5">
        <v>46174</v>
      </c>
      <c r="D811" s="10" t="str" cm="1">
        <f t="array" ref="D811">_xlfn.XLOOKUP(Table4[[#This Row],[Malın kodu]],Table1[[#All],[Malın kodu]],Table1[[#All],[Malın adı]],"xəta",0)</f>
        <v>Pika / pnevmatik çəkic üçün</v>
      </c>
      <c r="E811" s="8" t="s">
        <v>1720</v>
      </c>
      <c r="F811" s="4" t="s">
        <v>920</v>
      </c>
      <c r="G811" s="4">
        <v>10</v>
      </c>
      <c r="H811" s="4"/>
      <c r="I811" s="4">
        <f>Table4[[#This Row],[Malın miqdarı]]*Table4[[#This Row],[Vahidin qiyməti]]</f>
        <v>0</v>
      </c>
      <c r="J811" s="4" t="s">
        <v>899</v>
      </c>
      <c r="K811" s="4" t="s">
        <v>893</v>
      </c>
      <c r="L811" s="4">
        <f>_xlfn.XLOOKUP(Table4[[#This Row],[Kontragentin adı]],Table2[Kontragentin adı],Table2[Müqavilə nömrəsi],"Xəta",0)</f>
        <v>0</v>
      </c>
      <c r="M811" s="4">
        <f>_xlfn.XLOOKUP(Table4[[#This Row],[Kontragentin adı]],Table2[Kontragentin adı],Table2[Müqavilə nömrəsi],"Xəta",0)</f>
        <v>0</v>
      </c>
    </row>
    <row r="812" spans="2:13" x14ac:dyDescent="0.3">
      <c r="B812" s="4">
        <f t="shared" si="12"/>
        <v>809</v>
      </c>
      <c r="C812" s="5">
        <v>46174</v>
      </c>
      <c r="D812" s="10" t="str" cm="1">
        <f t="array" ref="D812">_xlfn.XLOOKUP(Table4[[#This Row],[Malın kodu]],Table1[[#All],[Malın kodu]],Table1[[#All],[Malın adı]],"xəta",0)</f>
        <v>Pika / Perforator üçün</v>
      </c>
      <c r="E812" s="8" t="s">
        <v>1721</v>
      </c>
      <c r="F812" s="4" t="s">
        <v>920</v>
      </c>
      <c r="G812" s="4">
        <v>8</v>
      </c>
      <c r="H812" s="4"/>
      <c r="I812" s="4">
        <f>Table4[[#This Row],[Malın miqdarı]]*Table4[[#This Row],[Vahidin qiyməti]]</f>
        <v>0</v>
      </c>
      <c r="J812" s="4" t="s">
        <v>899</v>
      </c>
      <c r="K812" s="4" t="s">
        <v>893</v>
      </c>
      <c r="L812" s="4">
        <f>_xlfn.XLOOKUP(Table4[[#This Row],[Kontragentin adı]],Table2[Kontragentin adı],Table2[Müqavilə nömrəsi],"Xəta",0)</f>
        <v>0</v>
      </c>
      <c r="M812" s="4">
        <f>_xlfn.XLOOKUP(Table4[[#This Row],[Kontragentin adı]],Table2[Kontragentin adı],Table2[Müqavilə nömrəsi],"Xəta",0)</f>
        <v>0</v>
      </c>
    </row>
    <row r="813" spans="2:13" x14ac:dyDescent="0.3">
      <c r="B813" s="4">
        <f t="shared" si="12"/>
        <v>810</v>
      </c>
      <c r="C813" s="5">
        <v>46174</v>
      </c>
      <c r="D813" s="10" t="str" cm="1">
        <f t="array" ref="D813">_xlfn.XLOOKUP(Table4[[#This Row],[Malın kodu]],Table1[[#All],[Malın kodu]],Table1[[#All],[Malın adı]],"xəta",0)</f>
        <v>Burğu / 14-lük</v>
      </c>
      <c r="E813" s="8" t="s">
        <v>1722</v>
      </c>
      <c r="F813" s="4" t="s">
        <v>920</v>
      </c>
      <c r="G813" s="4">
        <v>2</v>
      </c>
      <c r="H813" s="4"/>
      <c r="I813" s="4">
        <f>Table4[[#This Row],[Malın miqdarı]]*Table4[[#This Row],[Vahidin qiyməti]]</f>
        <v>0</v>
      </c>
      <c r="J813" s="4" t="s">
        <v>899</v>
      </c>
      <c r="K813" s="4" t="s">
        <v>893</v>
      </c>
      <c r="L813" s="4">
        <f>_xlfn.XLOOKUP(Table4[[#This Row],[Kontragentin adı]],Table2[Kontragentin adı],Table2[Müqavilə nömrəsi],"Xəta",0)</f>
        <v>0</v>
      </c>
      <c r="M813" s="4">
        <f>_xlfn.XLOOKUP(Table4[[#This Row],[Kontragentin adı]],Table2[Kontragentin adı],Table2[Müqavilə nömrəsi],"Xəta",0)</f>
        <v>0</v>
      </c>
    </row>
    <row r="814" spans="2:13" x14ac:dyDescent="0.3">
      <c r="B814" s="4">
        <f t="shared" si="12"/>
        <v>811</v>
      </c>
      <c r="C814" s="5">
        <v>46174</v>
      </c>
      <c r="D814" s="10" t="str" cm="1">
        <f t="array" ref="D814">_xlfn.XLOOKUP(Table4[[#This Row],[Malın kodu]],Table1[[#All],[Malın kodu]],Table1[[#All],[Malın adı]],"xəta",0)</f>
        <v>Flyans / d 235 mm / polad</v>
      </c>
      <c r="E814" s="8" t="s">
        <v>1723</v>
      </c>
      <c r="F814" s="4" t="s">
        <v>920</v>
      </c>
      <c r="G814" s="4">
        <v>6</v>
      </c>
      <c r="H814" s="4"/>
      <c r="I814" s="4">
        <f>Table4[[#This Row],[Malın miqdarı]]*Table4[[#This Row],[Vahidin qiyməti]]</f>
        <v>0</v>
      </c>
      <c r="J814" s="4" t="s">
        <v>899</v>
      </c>
      <c r="K814" s="4" t="s">
        <v>893</v>
      </c>
      <c r="L814" s="4">
        <f>_xlfn.XLOOKUP(Table4[[#This Row],[Kontragentin adı]],Table2[Kontragentin adı],Table2[Müqavilə nömrəsi],"Xəta",0)</f>
        <v>0</v>
      </c>
      <c r="M814" s="4">
        <f>_xlfn.XLOOKUP(Table4[[#This Row],[Kontragentin adı]],Table2[Kontragentin adı],Table2[Müqavilə nömrəsi],"Xəta",0)</f>
        <v>0</v>
      </c>
    </row>
    <row r="815" spans="2:13" x14ac:dyDescent="0.3">
      <c r="B815" s="4">
        <f t="shared" si="12"/>
        <v>812</v>
      </c>
      <c r="C815" s="5">
        <v>46174</v>
      </c>
      <c r="D815" s="10" t="str" cm="1">
        <f t="array" ref="D815">_xlfn.XLOOKUP(Table4[[#This Row],[Malın kodu]],Table1[[#All],[Malın kodu]],Table1[[#All],[Malın adı]],"xəta",0)</f>
        <v>Flyans / d 220 mm / polad</v>
      </c>
      <c r="E815" s="8" t="s">
        <v>1724</v>
      </c>
      <c r="F815" s="4" t="s">
        <v>920</v>
      </c>
      <c r="G815" s="4">
        <v>3</v>
      </c>
      <c r="H815" s="4"/>
      <c r="I815" s="4">
        <f>Table4[[#This Row],[Malın miqdarı]]*Table4[[#This Row],[Vahidin qiyməti]]</f>
        <v>0</v>
      </c>
      <c r="J815" s="4" t="s">
        <v>899</v>
      </c>
      <c r="K815" s="4" t="s">
        <v>893</v>
      </c>
      <c r="L815" s="4">
        <f>_xlfn.XLOOKUP(Table4[[#This Row],[Kontragentin adı]],Table2[Kontragentin adı],Table2[Müqavilə nömrəsi],"Xəta",0)</f>
        <v>0</v>
      </c>
      <c r="M815" s="4">
        <f>_xlfn.XLOOKUP(Table4[[#This Row],[Kontragentin adı]],Table2[Kontragentin adı],Table2[Müqavilə nömrəsi],"Xəta",0)</f>
        <v>0</v>
      </c>
    </row>
    <row r="816" spans="2:13" x14ac:dyDescent="0.3">
      <c r="B816" s="4">
        <f t="shared" si="12"/>
        <v>813</v>
      </c>
      <c r="C816" s="5">
        <v>46174</v>
      </c>
      <c r="D816" s="10" t="str" cm="1">
        <f t="array" ref="D816">_xlfn.XLOOKUP(Table4[[#This Row],[Malın kodu]],Table1[[#All],[Malın kodu]],Table1[[#All],[Malın adı]],"xəta",0)</f>
        <v>Flyans / d 130 mm / polad</v>
      </c>
      <c r="E816" s="8" t="s">
        <v>1725</v>
      </c>
      <c r="F816" s="4" t="s">
        <v>920</v>
      </c>
      <c r="G816" s="4">
        <v>3</v>
      </c>
      <c r="H816" s="4"/>
      <c r="I816" s="4">
        <f>Table4[[#This Row],[Malın miqdarı]]*Table4[[#This Row],[Vahidin qiyməti]]</f>
        <v>0</v>
      </c>
      <c r="J816" s="4" t="s">
        <v>899</v>
      </c>
      <c r="K816" s="4" t="s">
        <v>893</v>
      </c>
      <c r="L816" s="4">
        <f>_xlfn.XLOOKUP(Table4[[#This Row],[Kontragentin adı]],Table2[Kontragentin adı],Table2[Müqavilə nömrəsi],"Xəta",0)</f>
        <v>0</v>
      </c>
      <c r="M816" s="4">
        <f>_xlfn.XLOOKUP(Table4[[#This Row],[Kontragentin adı]],Table2[Kontragentin adı],Table2[Müqavilə nömrəsi],"Xəta",0)</f>
        <v>0</v>
      </c>
    </row>
    <row r="817" spans="2:13" x14ac:dyDescent="0.3">
      <c r="B817" s="4">
        <f t="shared" si="12"/>
        <v>814</v>
      </c>
      <c r="C817" s="5">
        <v>46174</v>
      </c>
      <c r="D817" s="10" t="str" cm="1">
        <f t="array" ref="D817">_xlfn.XLOOKUP(Table4[[#This Row],[Malın kodu]],Table1[[#All],[Malın kodu]],Table1[[#All],[Malın adı]],"xəta",0)</f>
        <v>Flyans / d 125 mm / polad</v>
      </c>
      <c r="E817" s="8" t="s">
        <v>1726</v>
      </c>
      <c r="F817" s="4" t="s">
        <v>920</v>
      </c>
      <c r="G817" s="4">
        <v>1</v>
      </c>
      <c r="H817" s="4"/>
      <c r="I817" s="4">
        <f>Table4[[#This Row],[Malın miqdarı]]*Table4[[#This Row],[Vahidin qiyməti]]</f>
        <v>0</v>
      </c>
      <c r="J817" s="4" t="s">
        <v>899</v>
      </c>
      <c r="K817" s="4" t="s">
        <v>893</v>
      </c>
      <c r="L817" s="4">
        <f>_xlfn.XLOOKUP(Table4[[#This Row],[Kontragentin adı]],Table2[Kontragentin adı],Table2[Müqavilə nömrəsi],"Xəta",0)</f>
        <v>0</v>
      </c>
      <c r="M817" s="4">
        <f>_xlfn.XLOOKUP(Table4[[#This Row],[Kontragentin adı]],Table2[Kontragentin adı],Table2[Müqavilə nömrəsi],"Xəta",0)</f>
        <v>0</v>
      </c>
    </row>
    <row r="818" spans="2:13" x14ac:dyDescent="0.3">
      <c r="B818" s="4">
        <f t="shared" si="12"/>
        <v>815</v>
      </c>
      <c r="C818" s="5">
        <v>46174</v>
      </c>
      <c r="D818" s="10" t="str" cm="1">
        <f t="array" ref="D818">_xlfn.XLOOKUP(Table4[[#This Row],[Malın kodu]],Table1[[#All],[Malın kodu]],Table1[[#All],[Malın adı]],"xəta",0)</f>
        <v>Flyans / d 110 / polad</v>
      </c>
      <c r="E818" s="8" t="s">
        <v>1727</v>
      </c>
      <c r="F818" s="4" t="s">
        <v>920</v>
      </c>
      <c r="G818" s="4">
        <v>1</v>
      </c>
      <c r="H818" s="4"/>
      <c r="I818" s="4">
        <f>Table4[[#This Row],[Malın miqdarı]]*Table4[[#This Row],[Vahidin qiyməti]]</f>
        <v>0</v>
      </c>
      <c r="J818" s="4" t="s">
        <v>899</v>
      </c>
      <c r="K818" s="4" t="s">
        <v>893</v>
      </c>
      <c r="L818" s="4">
        <f>_xlfn.XLOOKUP(Table4[[#This Row],[Kontragentin adı]],Table2[Kontragentin adı],Table2[Müqavilə nömrəsi],"Xəta",0)</f>
        <v>0</v>
      </c>
      <c r="M818" s="4">
        <f>_xlfn.XLOOKUP(Table4[[#This Row],[Kontragentin adı]],Table2[Kontragentin adı],Table2[Müqavilə nömrəsi],"Xəta",0)</f>
        <v>0</v>
      </c>
    </row>
    <row r="819" spans="2:13" x14ac:dyDescent="0.3">
      <c r="B819" s="4">
        <f t="shared" si="12"/>
        <v>816</v>
      </c>
      <c r="C819" s="5">
        <v>46174</v>
      </c>
      <c r="D819" s="10" t="str" cm="1">
        <f t="array" ref="D819">_xlfn.XLOOKUP(Table4[[#This Row],[Malın kodu]],Table1[[#All],[Malın kodu]],Table1[[#All],[Malın adı]],"xəta",0)</f>
        <v>Elektrik qızdırıcı / yağ radiatoru / 2400 vt / "Saachi"</v>
      </c>
      <c r="E819" s="8" t="s">
        <v>1728</v>
      </c>
      <c r="F819" s="4" t="s">
        <v>920</v>
      </c>
      <c r="G819" s="4">
        <v>1</v>
      </c>
      <c r="H819" s="4"/>
      <c r="I819" s="4">
        <f>Table4[[#This Row],[Malın miqdarı]]*Table4[[#This Row],[Vahidin qiyməti]]</f>
        <v>0</v>
      </c>
      <c r="J819" s="4" t="s">
        <v>899</v>
      </c>
      <c r="K819" s="4" t="s">
        <v>893</v>
      </c>
      <c r="L819" s="4">
        <f>_xlfn.XLOOKUP(Table4[[#This Row],[Kontragentin adı]],Table2[Kontragentin adı],Table2[Müqavilə nömrəsi],"Xəta",0)</f>
        <v>0</v>
      </c>
      <c r="M819" s="4">
        <f>_xlfn.XLOOKUP(Table4[[#This Row],[Kontragentin adı]],Table2[Kontragentin adı],Table2[Müqavilə nömrəsi],"Xəta",0)</f>
        <v>0</v>
      </c>
    </row>
    <row r="820" spans="2:13" x14ac:dyDescent="0.3">
      <c r="B820" s="4">
        <f t="shared" si="12"/>
        <v>817</v>
      </c>
      <c r="C820" s="5">
        <v>46174</v>
      </c>
      <c r="D820" s="10" t="str" cm="1">
        <f t="array" ref="D820">_xlfn.XLOOKUP(Table4[[#This Row],[Malın kodu]],Table1[[#All],[Malın kodu]],Table1[[#All],[Malın adı]],"xəta",0)</f>
        <v>Qaz plitəsi / 1 gözlü</v>
      </c>
      <c r="E820" s="8" t="s">
        <v>1729</v>
      </c>
      <c r="F820" s="4" t="s">
        <v>920</v>
      </c>
      <c r="G820" s="4">
        <v>1</v>
      </c>
      <c r="H820" s="4"/>
      <c r="I820" s="4">
        <f>Table4[[#This Row],[Malın miqdarı]]*Table4[[#This Row],[Vahidin qiyməti]]</f>
        <v>0</v>
      </c>
      <c r="J820" s="4" t="s">
        <v>899</v>
      </c>
      <c r="K820" s="4" t="s">
        <v>893</v>
      </c>
      <c r="L820" s="4">
        <f>_xlfn.XLOOKUP(Table4[[#This Row],[Kontragentin adı]],Table2[Kontragentin adı],Table2[Müqavilə nömrəsi],"Xəta",0)</f>
        <v>0</v>
      </c>
      <c r="M820" s="4">
        <f>_xlfn.XLOOKUP(Table4[[#This Row],[Kontragentin adı]],Table2[Kontragentin adı],Table2[Müqavilə nömrəsi],"Xəta",0)</f>
        <v>0</v>
      </c>
    </row>
    <row r="821" spans="2:13" x14ac:dyDescent="0.3">
      <c r="B821" s="4">
        <f t="shared" si="12"/>
        <v>818</v>
      </c>
      <c r="C821" s="5">
        <v>46174</v>
      </c>
      <c r="D821" s="10" t="str" cm="1">
        <f t="array" ref="D821">_xlfn.XLOOKUP(Table4[[#This Row],[Malın kodu]],Table1[[#All],[Malın kodu]],Table1[[#All],[Malın adı]],"xəta",0)</f>
        <v>Klapan / d 125 mm / kəpənək tipli / "Duyar" / Türkiyə istehsalı</v>
      </c>
      <c r="E821" s="8" t="s">
        <v>1730</v>
      </c>
      <c r="F821" s="4" t="s">
        <v>920</v>
      </c>
      <c r="G821" s="4">
        <v>1</v>
      </c>
      <c r="H821" s="4"/>
      <c r="I821" s="4">
        <f>Table4[[#This Row],[Malın miqdarı]]*Table4[[#This Row],[Vahidin qiyməti]]</f>
        <v>0</v>
      </c>
      <c r="J821" s="4" t="s">
        <v>899</v>
      </c>
      <c r="K821" s="4" t="s">
        <v>893</v>
      </c>
      <c r="L821" s="4">
        <f>_xlfn.XLOOKUP(Table4[[#This Row],[Kontragentin adı]],Table2[Kontragentin adı],Table2[Müqavilə nömrəsi],"Xəta",0)</f>
        <v>0</v>
      </c>
      <c r="M821" s="4">
        <f>_xlfn.XLOOKUP(Table4[[#This Row],[Kontragentin adı]],Table2[Kontragentin adı],Table2[Müqavilə nömrəsi],"Xəta",0)</f>
        <v>0</v>
      </c>
    </row>
    <row r="822" spans="2:13" x14ac:dyDescent="0.3">
      <c r="B822" s="4">
        <f t="shared" si="12"/>
        <v>819</v>
      </c>
      <c r="C822" s="5">
        <v>46174</v>
      </c>
      <c r="D822" s="10" t="str" cm="1">
        <f t="array" ref="D822">_xlfn.XLOOKUP(Table4[[#This Row],[Malın kodu]],Table1[[#All],[Malın kodu]],Table1[[#All],[Malın adı]],"xəta",0)</f>
        <v>Otbiçən / elektrik / "Denzel"</v>
      </c>
      <c r="E822" s="8" t="s">
        <v>1731</v>
      </c>
      <c r="F822" s="4" t="s">
        <v>920</v>
      </c>
      <c r="G822" s="4">
        <v>1</v>
      </c>
      <c r="H822" s="4"/>
      <c r="I822" s="4">
        <f>Table4[[#This Row],[Malın miqdarı]]*Table4[[#This Row],[Vahidin qiyməti]]</f>
        <v>0</v>
      </c>
      <c r="J822" s="4" t="s">
        <v>899</v>
      </c>
      <c r="K822" s="4" t="s">
        <v>893</v>
      </c>
      <c r="L822" s="4">
        <f>_xlfn.XLOOKUP(Table4[[#This Row],[Kontragentin adı]],Table2[Kontragentin adı],Table2[Müqavilə nömrəsi],"Xəta",0)</f>
        <v>0</v>
      </c>
      <c r="M822" s="4">
        <f>_xlfn.XLOOKUP(Table4[[#This Row],[Kontragentin adı]],Table2[Kontragentin adı],Table2[Müqavilə nömrəsi],"Xəta",0)</f>
        <v>0</v>
      </c>
    </row>
    <row r="823" spans="2:13" x14ac:dyDescent="0.3">
      <c r="B823" s="4">
        <f t="shared" si="12"/>
        <v>820</v>
      </c>
      <c r="C823" s="5">
        <v>46174</v>
      </c>
      <c r="D823" s="10" t="str" cm="1">
        <f t="array" ref="D823">_xlfn.XLOOKUP(Table4[[#This Row],[Malın kodu]],Table1[[#All],[Malın kodu]],Table1[[#All],[Malın adı]],"xəta",0)</f>
        <v>Rels / elektrik lövhəsi üçün / 1 metr</v>
      </c>
      <c r="E823" s="8" t="s">
        <v>1732</v>
      </c>
      <c r="F823" s="4" t="s">
        <v>920</v>
      </c>
      <c r="G823" s="4">
        <v>3</v>
      </c>
      <c r="H823" s="4"/>
      <c r="I823" s="4">
        <f>Table4[[#This Row],[Malın miqdarı]]*Table4[[#This Row],[Vahidin qiyməti]]</f>
        <v>0</v>
      </c>
      <c r="J823" s="4" t="s">
        <v>899</v>
      </c>
      <c r="K823" s="4" t="s">
        <v>893</v>
      </c>
      <c r="L823" s="4">
        <f>_xlfn.XLOOKUP(Table4[[#This Row],[Kontragentin adı]],Table2[Kontragentin adı],Table2[Müqavilə nömrəsi],"Xəta",0)</f>
        <v>0</v>
      </c>
      <c r="M823" s="4">
        <f>_xlfn.XLOOKUP(Table4[[#This Row],[Kontragentin adı]],Table2[Kontragentin adı],Table2[Müqavilə nömrəsi],"Xəta",0)</f>
        <v>0</v>
      </c>
    </row>
    <row r="824" spans="2:13" x14ac:dyDescent="0.3">
      <c r="B824" s="4">
        <f t="shared" si="12"/>
        <v>821</v>
      </c>
      <c r="C824" s="5">
        <v>46174</v>
      </c>
      <c r="D824" s="10" t="str" cm="1">
        <f t="array" ref="D824">_xlfn.XLOOKUP(Table4[[#This Row],[Malın kodu]],Table1[[#All],[Malın kodu]],Table1[[#All],[Malın adı]],"xəta",0)</f>
        <v>Boru / polad / d 20 mm / 2 metr</v>
      </c>
      <c r="E824" s="8" t="s">
        <v>1733</v>
      </c>
      <c r="F824" s="4" t="s">
        <v>920</v>
      </c>
      <c r="G824" s="4">
        <v>6</v>
      </c>
      <c r="H824" s="4"/>
      <c r="I824" s="4">
        <f>Table4[[#This Row],[Malın miqdarı]]*Table4[[#This Row],[Vahidin qiyməti]]</f>
        <v>0</v>
      </c>
      <c r="J824" s="4" t="s">
        <v>899</v>
      </c>
      <c r="K824" s="4" t="s">
        <v>893</v>
      </c>
      <c r="L824" s="4">
        <f>_xlfn.XLOOKUP(Table4[[#This Row],[Kontragentin adı]],Table2[Kontragentin adı],Table2[Müqavilə nömrəsi],"Xəta",0)</f>
        <v>0</v>
      </c>
      <c r="M824" s="4">
        <f>_xlfn.XLOOKUP(Table4[[#This Row],[Kontragentin adı]],Table2[Kontragentin adı],Table2[Müqavilə nömrəsi],"Xəta",0)</f>
        <v>0</v>
      </c>
    </row>
    <row r="825" spans="2:13" x14ac:dyDescent="0.3">
      <c r="B825" s="4">
        <f t="shared" si="12"/>
        <v>822</v>
      </c>
      <c r="C825" s="5">
        <v>46174</v>
      </c>
      <c r="D825" s="10" t="str" cm="1">
        <f t="array" ref="D825">_xlfn.XLOOKUP(Table4[[#This Row],[Malın kodu]],Table1[[#All],[Malın kodu]],Table1[[#All],[Malın adı]],"xəta",0)</f>
        <v>Su pompası / dalğıc / 0.75 kvt / 250 L/d / 10 metr / "SNçlIMGE"</v>
      </c>
      <c r="E825" s="8" t="s">
        <v>1734</v>
      </c>
      <c r="F825" s="4" t="s">
        <v>920</v>
      </c>
      <c r="G825" s="4">
        <v>1</v>
      </c>
      <c r="H825" s="4"/>
      <c r="I825" s="4">
        <f>Table4[[#This Row],[Malın miqdarı]]*Table4[[#This Row],[Vahidin qiyməti]]</f>
        <v>0</v>
      </c>
      <c r="J825" s="4" t="s">
        <v>899</v>
      </c>
      <c r="K825" s="4" t="s">
        <v>893</v>
      </c>
      <c r="L825" s="4">
        <f>_xlfn.XLOOKUP(Table4[[#This Row],[Kontragentin adı]],Table2[Kontragentin adı],Table2[Müqavilə nömrəsi],"Xəta",0)</f>
        <v>0</v>
      </c>
      <c r="M825" s="4">
        <f>_xlfn.XLOOKUP(Table4[[#This Row],[Kontragentin adı]],Table2[Kontragentin adı],Table2[Müqavilə nömrəsi],"Xəta",0)</f>
        <v>0</v>
      </c>
    </row>
    <row r="826" spans="2:13" x14ac:dyDescent="0.3">
      <c r="B826" s="4">
        <f t="shared" si="12"/>
        <v>823</v>
      </c>
      <c r="C826" s="5">
        <v>46174</v>
      </c>
      <c r="D826" s="10" t="str" cm="1">
        <f t="array" ref="D826">_xlfn.XLOOKUP(Table4[[#This Row],[Malın kodu]],Table1[[#All],[Malın kodu]],Table1[[#All],[Malın adı]],"xəta",0)</f>
        <v>Su pompası / "Seakoo"</v>
      </c>
      <c r="E826" s="8" t="s">
        <v>1735</v>
      </c>
      <c r="F826" s="4" t="s">
        <v>920</v>
      </c>
      <c r="G826" s="4">
        <v>1</v>
      </c>
      <c r="H826" s="4"/>
      <c r="I826" s="4">
        <f>Table4[[#This Row],[Malın miqdarı]]*Table4[[#This Row],[Vahidin qiyməti]]</f>
        <v>0</v>
      </c>
      <c r="J826" s="4" t="s">
        <v>899</v>
      </c>
      <c r="K826" s="4" t="s">
        <v>893</v>
      </c>
      <c r="L826" s="4">
        <f>_xlfn.XLOOKUP(Table4[[#This Row],[Kontragentin adı]],Table2[Kontragentin adı],Table2[Müqavilə nömrəsi],"Xəta",0)</f>
        <v>0</v>
      </c>
      <c r="M826" s="4">
        <f>_xlfn.XLOOKUP(Table4[[#This Row],[Kontragentin adı]],Table2[Kontragentin adı],Table2[Müqavilə nömrəsi],"Xəta",0)</f>
        <v>0</v>
      </c>
    </row>
    <row r="827" spans="2:13" x14ac:dyDescent="0.3">
      <c r="B827" s="4">
        <f t="shared" si="12"/>
        <v>824</v>
      </c>
      <c r="C827" s="5">
        <v>46174</v>
      </c>
      <c r="D827" s="10" t="str" cm="1">
        <f t="array" ref="D827">_xlfn.XLOOKUP(Table4[[#This Row],[Malın kodu]],Table1[[#All],[Malın kodu]],Table1[[#All],[Malın adı]],"xəta",0)</f>
        <v>Su pompası / dalğıc / 1100 vt / "Shimge"</v>
      </c>
      <c r="E827" s="8" t="s">
        <v>1736</v>
      </c>
      <c r="F827" s="4" t="s">
        <v>920</v>
      </c>
      <c r="G827" s="4">
        <v>1</v>
      </c>
      <c r="H827" s="4"/>
      <c r="I827" s="4">
        <f>Table4[[#This Row],[Malın miqdarı]]*Table4[[#This Row],[Vahidin qiyməti]]</f>
        <v>0</v>
      </c>
      <c r="J827" s="4" t="s">
        <v>899</v>
      </c>
      <c r="K827" s="4" t="s">
        <v>893</v>
      </c>
      <c r="L827" s="4">
        <f>_xlfn.XLOOKUP(Table4[[#This Row],[Kontragentin adı]],Table2[Kontragentin adı],Table2[Müqavilə nömrəsi],"Xəta",0)</f>
        <v>0</v>
      </c>
      <c r="M827" s="4">
        <f>_xlfn.XLOOKUP(Table4[[#This Row],[Kontragentin adı]],Table2[Kontragentin adı],Table2[Müqavilə nömrəsi],"Xəta",0)</f>
        <v>0</v>
      </c>
    </row>
    <row r="828" spans="2:13" x14ac:dyDescent="0.3">
      <c r="B828" s="4">
        <f t="shared" si="12"/>
        <v>825</v>
      </c>
      <c r="C828" s="5">
        <v>46174</v>
      </c>
      <c r="D828" s="10" t="str" cm="1">
        <f t="array" ref="D828">_xlfn.XLOOKUP(Table4[[#This Row],[Malın kodu]],Table1[[#All],[Malın kodu]],Table1[[#All],[Malın adı]],"xəta",0)</f>
        <v>Bolt / M12 / L 80 mm</v>
      </c>
      <c r="E828" s="8" t="s">
        <v>1737</v>
      </c>
      <c r="F828" s="4" t="s">
        <v>920</v>
      </c>
      <c r="G828" s="4">
        <v>44</v>
      </c>
      <c r="H828" s="4"/>
      <c r="I828" s="4">
        <f>Table4[[#This Row],[Malın miqdarı]]*Table4[[#This Row],[Vahidin qiyməti]]</f>
        <v>0</v>
      </c>
      <c r="J828" s="4" t="s">
        <v>899</v>
      </c>
      <c r="K828" s="4" t="s">
        <v>893</v>
      </c>
      <c r="L828" s="4">
        <f>_xlfn.XLOOKUP(Table4[[#This Row],[Kontragentin adı]],Table2[Kontragentin adı],Table2[Müqavilə nömrəsi],"Xəta",0)</f>
        <v>0</v>
      </c>
      <c r="M828" s="4">
        <f>_xlfn.XLOOKUP(Table4[[#This Row],[Kontragentin adı]],Table2[Kontragentin adı],Table2[Müqavilə nömrəsi],"Xəta",0)</f>
        <v>0</v>
      </c>
    </row>
    <row r="829" spans="2:13" x14ac:dyDescent="0.3">
      <c r="B829" s="4">
        <f t="shared" si="12"/>
        <v>826</v>
      </c>
      <c r="C829" s="5">
        <v>46174</v>
      </c>
      <c r="D829" s="10" t="str" cm="1">
        <f t="array" ref="D829">_xlfn.XLOOKUP(Table4[[#This Row],[Malın kodu]],Table1[[#All],[Malın kodu]],Table1[[#All],[Malın adı]],"xəta",0)</f>
        <v>Bolt / M16 / L 80 mm</v>
      </c>
      <c r="E829" s="8" t="s">
        <v>1738</v>
      </c>
      <c r="F829" s="4" t="s">
        <v>920</v>
      </c>
      <c r="G829" s="4">
        <v>3</v>
      </c>
      <c r="H829" s="4"/>
      <c r="I829" s="4">
        <f>Table4[[#This Row],[Malın miqdarı]]*Table4[[#This Row],[Vahidin qiyməti]]</f>
        <v>0</v>
      </c>
      <c r="J829" s="4" t="s">
        <v>899</v>
      </c>
      <c r="K829" s="4" t="s">
        <v>893</v>
      </c>
      <c r="L829" s="4">
        <f>_xlfn.XLOOKUP(Table4[[#This Row],[Kontragentin adı]],Table2[Kontragentin adı],Table2[Müqavilə nömrəsi],"Xəta",0)</f>
        <v>0</v>
      </c>
      <c r="M829" s="4">
        <f>_xlfn.XLOOKUP(Table4[[#This Row],[Kontragentin adı]],Table2[Kontragentin adı],Table2[Müqavilə nömrəsi],"Xəta",0)</f>
        <v>0</v>
      </c>
    </row>
    <row r="830" spans="2:13" x14ac:dyDescent="0.3">
      <c r="B830" s="4">
        <f t="shared" si="12"/>
        <v>827</v>
      </c>
      <c r="C830" s="5">
        <v>46174</v>
      </c>
      <c r="D830" s="10" t="str" cm="1">
        <f t="array" ref="D830">_xlfn.XLOOKUP(Table4[[#This Row],[Malın kodu]],Table1[[#All],[Malın kodu]],Table1[[#All],[Malın adı]],"xəta",0)</f>
        <v>Bolt / M10 / L 100 mm</v>
      </c>
      <c r="E830" s="8" t="s">
        <v>1739</v>
      </c>
      <c r="F830" s="4" t="s">
        <v>920</v>
      </c>
      <c r="G830" s="4">
        <v>54</v>
      </c>
      <c r="H830" s="4"/>
      <c r="I830" s="4">
        <f>Table4[[#This Row],[Malın miqdarı]]*Table4[[#This Row],[Vahidin qiyməti]]</f>
        <v>0</v>
      </c>
      <c r="J830" s="4" t="s">
        <v>899</v>
      </c>
      <c r="K830" s="4" t="s">
        <v>893</v>
      </c>
      <c r="L830" s="4">
        <f>_xlfn.XLOOKUP(Table4[[#This Row],[Kontragentin adı]],Table2[Kontragentin adı],Table2[Müqavilə nömrəsi],"Xəta",0)</f>
        <v>0</v>
      </c>
      <c r="M830" s="4">
        <f>_xlfn.XLOOKUP(Table4[[#This Row],[Kontragentin adı]],Table2[Kontragentin adı],Table2[Müqavilə nömrəsi],"Xəta",0)</f>
        <v>0</v>
      </c>
    </row>
    <row r="831" spans="2:13" x14ac:dyDescent="0.3">
      <c r="B831" s="4">
        <f t="shared" si="12"/>
        <v>828</v>
      </c>
      <c r="C831" s="5">
        <v>46174</v>
      </c>
      <c r="D831" s="10" t="str" cm="1">
        <f t="array" ref="D831">_xlfn.XLOOKUP(Table4[[#This Row],[Malın kodu]],Table1[[#All],[Malın kodu]],Table1[[#All],[Malın adı]],"xəta",0)</f>
        <v>Bolt / M20 / L 80 mm</v>
      </c>
      <c r="E831" s="8" t="s">
        <v>1740</v>
      </c>
      <c r="F831" s="4" t="s">
        <v>920</v>
      </c>
      <c r="G831" s="4">
        <v>54</v>
      </c>
      <c r="H831" s="4"/>
      <c r="I831" s="4">
        <f>Table4[[#This Row],[Malın miqdarı]]*Table4[[#This Row],[Vahidin qiyməti]]</f>
        <v>0</v>
      </c>
      <c r="J831" s="4" t="s">
        <v>899</v>
      </c>
      <c r="K831" s="4" t="s">
        <v>893</v>
      </c>
      <c r="L831" s="4">
        <f>_xlfn.XLOOKUP(Table4[[#This Row],[Kontragentin adı]],Table2[Kontragentin adı],Table2[Müqavilə nömrəsi],"Xəta",0)</f>
        <v>0</v>
      </c>
      <c r="M831" s="4">
        <f>_xlfn.XLOOKUP(Table4[[#This Row],[Kontragentin adı]],Table2[Kontragentin adı],Table2[Müqavilə nömrəsi],"Xəta",0)</f>
        <v>0</v>
      </c>
    </row>
    <row r="832" spans="2:13" x14ac:dyDescent="0.3">
      <c r="B832" s="4">
        <f t="shared" si="12"/>
        <v>829</v>
      </c>
      <c r="C832" s="5">
        <v>46174</v>
      </c>
      <c r="D832" s="10" t="str" cm="1">
        <f t="array" ref="D832">_xlfn.XLOOKUP(Table4[[#This Row],[Malın kodu]],Table1[[#All],[Malın kodu]],Table1[[#All],[Malın adı]],"xəta",0)</f>
        <v>Ankerbolt / M16 / L 250 mm</v>
      </c>
      <c r="E832" s="8" t="s">
        <v>1741</v>
      </c>
      <c r="F832" s="4" t="s">
        <v>920</v>
      </c>
      <c r="G832" s="4">
        <v>11</v>
      </c>
      <c r="H832" s="4"/>
      <c r="I832" s="4">
        <f>Table4[[#This Row],[Malın miqdarı]]*Table4[[#This Row],[Vahidin qiyməti]]</f>
        <v>0</v>
      </c>
      <c r="J832" s="4" t="s">
        <v>899</v>
      </c>
      <c r="K832" s="4" t="s">
        <v>893</v>
      </c>
      <c r="L832" s="4">
        <f>_xlfn.XLOOKUP(Table4[[#This Row],[Kontragentin adı]],Table2[Kontragentin adı],Table2[Müqavilə nömrəsi],"Xəta",0)</f>
        <v>0</v>
      </c>
      <c r="M832" s="4">
        <f>_xlfn.XLOOKUP(Table4[[#This Row],[Kontragentin adı]],Table2[Kontragentin adı],Table2[Müqavilə nömrəsi],"Xəta",0)</f>
        <v>0</v>
      </c>
    </row>
    <row r="833" spans="2:13" x14ac:dyDescent="0.3">
      <c r="B833" s="4">
        <f t="shared" si="12"/>
        <v>830</v>
      </c>
      <c r="C833" s="5">
        <v>46174</v>
      </c>
      <c r="D833" s="10" t="str" cm="1">
        <f t="array" ref="D833">_xlfn.XLOOKUP(Table4[[#This Row],[Malın kodu]],Table1[[#All],[Malın kodu]],Table1[[#All],[Malın adı]],"xəta",0)</f>
        <v>Ankerbolt / M16 / L 100 mm</v>
      </c>
      <c r="E833" s="8" t="s">
        <v>1742</v>
      </c>
      <c r="F833" s="4" t="s">
        <v>920</v>
      </c>
      <c r="G833" s="4">
        <v>2</v>
      </c>
      <c r="H833" s="4"/>
      <c r="I833" s="4">
        <f>Table4[[#This Row],[Malın miqdarı]]*Table4[[#This Row],[Vahidin qiyməti]]</f>
        <v>0</v>
      </c>
      <c r="J833" s="4" t="s">
        <v>899</v>
      </c>
      <c r="K833" s="4" t="s">
        <v>893</v>
      </c>
      <c r="L833" s="4">
        <f>_xlfn.XLOOKUP(Table4[[#This Row],[Kontragentin adı]],Table2[Kontragentin adı],Table2[Müqavilə nömrəsi],"Xəta",0)</f>
        <v>0</v>
      </c>
      <c r="M833" s="4">
        <f>_xlfn.XLOOKUP(Table4[[#This Row],[Kontragentin adı]],Table2[Kontragentin adı],Table2[Müqavilə nömrəsi],"Xəta",0)</f>
        <v>0</v>
      </c>
    </row>
    <row r="834" spans="2:13" x14ac:dyDescent="0.3">
      <c r="B834" s="4">
        <f t="shared" si="12"/>
        <v>831</v>
      </c>
      <c r="C834" s="5">
        <v>46174</v>
      </c>
      <c r="D834" s="10" t="str" cm="1">
        <f t="array" ref="D834">_xlfn.XLOOKUP(Table4[[#This Row],[Malın kodu]],Table1[[#All],[Malın kodu]],Table1[[#All],[Malın adı]],"xəta",0)</f>
        <v>Ankerbolt / M16 / L 200 mm</v>
      </c>
      <c r="E834" s="8" t="s">
        <v>1743</v>
      </c>
      <c r="F834" s="4" t="s">
        <v>920</v>
      </c>
      <c r="G834" s="4">
        <v>3</v>
      </c>
      <c r="H834" s="4"/>
      <c r="I834" s="4">
        <f>Table4[[#This Row],[Malın miqdarı]]*Table4[[#This Row],[Vahidin qiyməti]]</f>
        <v>0</v>
      </c>
      <c r="J834" s="4" t="s">
        <v>899</v>
      </c>
      <c r="K834" s="4" t="s">
        <v>893</v>
      </c>
      <c r="L834" s="4">
        <f>_xlfn.XLOOKUP(Table4[[#This Row],[Kontragentin adı]],Table2[Kontragentin adı],Table2[Müqavilə nömrəsi],"Xəta",0)</f>
        <v>0</v>
      </c>
      <c r="M834" s="4">
        <f>_xlfn.XLOOKUP(Table4[[#This Row],[Kontragentin adı]],Table2[Kontragentin adı],Table2[Müqavilə nömrəsi],"Xəta",0)</f>
        <v>0</v>
      </c>
    </row>
    <row r="835" spans="2:13" x14ac:dyDescent="0.3">
      <c r="B835" s="4">
        <f t="shared" si="12"/>
        <v>832</v>
      </c>
      <c r="C835" s="5">
        <v>46174</v>
      </c>
      <c r="D835" s="10" t="str" cm="1">
        <f t="array" ref="D835">_xlfn.XLOOKUP(Table4[[#This Row],[Malın kodu]],Table1[[#All],[Malın kodu]],Table1[[#All],[Malın adı]],"xəta",0)</f>
        <v>Mufta / d 32 mm / polietilen / elektrofizyon / C</v>
      </c>
      <c r="E835" s="8" t="s">
        <v>1744</v>
      </c>
      <c r="F835" s="4" t="s">
        <v>920</v>
      </c>
      <c r="G835" s="4">
        <v>93</v>
      </c>
      <c r="H835" s="4"/>
      <c r="I835" s="4">
        <f>Table4[[#This Row],[Malın miqdarı]]*Table4[[#This Row],[Vahidin qiyməti]]</f>
        <v>0</v>
      </c>
      <c r="J835" s="4" t="s">
        <v>899</v>
      </c>
      <c r="K835" s="4" t="s">
        <v>893</v>
      </c>
      <c r="L835" s="4">
        <f>_xlfn.XLOOKUP(Table4[[#This Row],[Kontragentin adı]],Table2[Kontragentin adı],Table2[Müqavilə nömrəsi],"Xəta",0)</f>
        <v>0</v>
      </c>
      <c r="M835" s="4">
        <f>_xlfn.XLOOKUP(Table4[[#This Row],[Kontragentin adı]],Table2[Kontragentin adı],Table2[Müqavilə nömrəsi],"Xəta",0)</f>
        <v>0</v>
      </c>
    </row>
    <row r="836" spans="2:13" x14ac:dyDescent="0.3">
      <c r="B836" s="4">
        <f t="shared" ref="B836:B899" si="13">ROW()-3</f>
        <v>833</v>
      </c>
      <c r="C836" s="5">
        <v>46174</v>
      </c>
      <c r="D836" s="10" t="str" cm="1">
        <f t="array" ref="D836">_xlfn.XLOOKUP(Table4[[#This Row],[Malın kodu]],Table1[[#All],[Malın kodu]],Table1[[#All],[Malın adı]],"xəta",0)</f>
        <v>Mufta / elektrofizyon / d 40 mm / polietilen</v>
      </c>
      <c r="E836" s="8" t="s">
        <v>1745</v>
      </c>
      <c r="F836" s="4" t="s">
        <v>920</v>
      </c>
      <c r="G836" s="4">
        <v>94</v>
      </c>
      <c r="H836" s="4"/>
      <c r="I836" s="4">
        <f>Table4[[#This Row],[Malın miqdarı]]*Table4[[#This Row],[Vahidin qiyməti]]</f>
        <v>0</v>
      </c>
      <c r="J836" s="4" t="s">
        <v>899</v>
      </c>
      <c r="K836" s="4" t="s">
        <v>893</v>
      </c>
      <c r="L836" s="4">
        <f>_xlfn.XLOOKUP(Table4[[#This Row],[Kontragentin adı]],Table2[Kontragentin adı],Table2[Müqavilə nömrəsi],"Xəta",0)</f>
        <v>0</v>
      </c>
      <c r="M836" s="4">
        <f>_xlfn.XLOOKUP(Table4[[#This Row],[Kontragentin adı]],Table2[Kontragentin adı],Table2[Müqavilə nömrəsi],"Xəta",0)</f>
        <v>0</v>
      </c>
    </row>
    <row r="837" spans="2:13" x14ac:dyDescent="0.3">
      <c r="B837" s="4">
        <f t="shared" si="13"/>
        <v>834</v>
      </c>
      <c r="C837" s="5">
        <v>46174</v>
      </c>
      <c r="D837" s="10" t="str" cm="1">
        <f t="array" ref="D837">_xlfn.XLOOKUP(Table4[[#This Row],[Malın kodu]],Table1[[#All],[Malın kodu]],Table1[[#All],[Malın adı]],"xəta",0)</f>
        <v>Mufta / elektrofizyon / d 90 mm / polietilen</v>
      </c>
      <c r="E837" s="8" t="s">
        <v>1746</v>
      </c>
      <c r="F837" s="4" t="s">
        <v>920</v>
      </c>
      <c r="G837" s="4">
        <v>10</v>
      </c>
      <c r="H837" s="4"/>
      <c r="I837" s="4">
        <f>Table4[[#This Row],[Malın miqdarı]]*Table4[[#This Row],[Vahidin qiyməti]]</f>
        <v>0</v>
      </c>
      <c r="J837" s="4" t="s">
        <v>899</v>
      </c>
      <c r="K837" s="4" t="s">
        <v>893</v>
      </c>
      <c r="L837" s="4">
        <f>_xlfn.XLOOKUP(Table4[[#This Row],[Kontragentin adı]],Table2[Kontragentin adı],Table2[Müqavilə nömrəsi],"Xəta",0)</f>
        <v>0</v>
      </c>
      <c r="M837" s="4">
        <f>_xlfn.XLOOKUP(Table4[[#This Row],[Kontragentin adı]],Table2[Kontragentin adı],Table2[Müqavilə nömrəsi],"Xəta",0)</f>
        <v>0</v>
      </c>
    </row>
    <row r="838" spans="2:13" x14ac:dyDescent="0.3">
      <c r="B838" s="4">
        <f t="shared" si="13"/>
        <v>835</v>
      </c>
      <c r="C838" s="5">
        <v>46174</v>
      </c>
      <c r="D838" s="10" t="str" cm="1">
        <f t="array" ref="D838">_xlfn.XLOOKUP(Table4[[#This Row],[Malın kodu]],Table1[[#All],[Malın kodu]],Table1[[#All],[Malın adı]],"xəta",0)</f>
        <v>Mufta / PVC / d 110</v>
      </c>
      <c r="E838" s="8" t="s">
        <v>1747</v>
      </c>
      <c r="F838" s="4" t="s">
        <v>920</v>
      </c>
      <c r="G838" s="4">
        <v>14</v>
      </c>
      <c r="H838" s="4"/>
      <c r="I838" s="4">
        <f>Table4[[#This Row],[Malın miqdarı]]*Table4[[#This Row],[Vahidin qiyməti]]</f>
        <v>0</v>
      </c>
      <c r="J838" s="4" t="s">
        <v>899</v>
      </c>
      <c r="K838" s="4" t="s">
        <v>893</v>
      </c>
      <c r="L838" s="4">
        <f>_xlfn.XLOOKUP(Table4[[#This Row],[Kontragentin adı]],Table2[Kontragentin adı],Table2[Müqavilə nömrəsi],"Xəta",0)</f>
        <v>0</v>
      </c>
      <c r="M838" s="4">
        <f>_xlfn.XLOOKUP(Table4[[#This Row],[Kontragentin adı]],Table2[Kontragentin adı],Table2[Müqavilə nömrəsi],"Xəta",0)</f>
        <v>0</v>
      </c>
    </row>
    <row r="839" spans="2:13" x14ac:dyDescent="0.3">
      <c r="B839" s="4">
        <f t="shared" si="13"/>
        <v>836</v>
      </c>
      <c r="C839" s="5">
        <v>46174</v>
      </c>
      <c r="D839" s="10" t="str" cm="1">
        <f t="array" ref="D839">_xlfn.XLOOKUP(Table4[[#This Row],[Malın kodu]],Table1[[#All],[Malın kodu]],Table1[[#All],[Malın adı]],"xəta",0)</f>
        <v>Dirsək / PVC / d 110 / 90°</v>
      </c>
      <c r="E839" s="8" t="s">
        <v>1748</v>
      </c>
      <c r="F839" s="4" t="s">
        <v>920</v>
      </c>
      <c r="G839" s="4">
        <v>6</v>
      </c>
      <c r="H839" s="4"/>
      <c r="I839" s="4">
        <f>Table4[[#This Row],[Malın miqdarı]]*Table4[[#This Row],[Vahidin qiyməti]]</f>
        <v>0</v>
      </c>
      <c r="J839" s="4" t="s">
        <v>899</v>
      </c>
      <c r="K839" s="4" t="s">
        <v>893</v>
      </c>
      <c r="L839" s="4">
        <f>_xlfn.XLOOKUP(Table4[[#This Row],[Kontragentin adı]],Table2[Kontragentin adı],Table2[Müqavilə nömrəsi],"Xəta",0)</f>
        <v>0</v>
      </c>
      <c r="M839" s="4">
        <f>_xlfn.XLOOKUP(Table4[[#This Row],[Kontragentin adı]],Table2[Kontragentin adı],Table2[Müqavilə nömrəsi],"Xəta",0)</f>
        <v>0</v>
      </c>
    </row>
    <row r="840" spans="2:13" x14ac:dyDescent="0.3">
      <c r="B840" s="4">
        <f t="shared" si="13"/>
        <v>837</v>
      </c>
      <c r="C840" s="5">
        <v>46174</v>
      </c>
      <c r="D840" s="10" t="str" cm="1">
        <f t="array" ref="D840">_xlfn.XLOOKUP(Table4[[#This Row],[Malın kodu]],Table1[[#All],[Malın kodu]],Table1[[#All],[Malın adı]],"xəta",0)</f>
        <v>Keçid / PVC / d 50 x 75 mm</v>
      </c>
      <c r="E840" s="8" t="s">
        <v>1749</v>
      </c>
      <c r="F840" s="4" t="s">
        <v>920</v>
      </c>
      <c r="G840" s="4">
        <v>2</v>
      </c>
      <c r="H840" s="4"/>
      <c r="I840" s="4">
        <f>Table4[[#This Row],[Malın miqdarı]]*Table4[[#This Row],[Vahidin qiyməti]]</f>
        <v>0</v>
      </c>
      <c r="J840" s="4" t="s">
        <v>899</v>
      </c>
      <c r="K840" s="4" t="s">
        <v>893</v>
      </c>
      <c r="L840" s="4">
        <f>_xlfn.XLOOKUP(Table4[[#This Row],[Kontragentin adı]],Table2[Kontragentin adı],Table2[Müqavilə nömrəsi],"Xəta",0)</f>
        <v>0</v>
      </c>
      <c r="M840" s="4">
        <f>_xlfn.XLOOKUP(Table4[[#This Row],[Kontragentin adı]],Table2[Kontragentin adı],Table2[Müqavilə nömrəsi],"Xəta",0)</f>
        <v>0</v>
      </c>
    </row>
    <row r="841" spans="2:13" x14ac:dyDescent="0.3">
      <c r="B841" s="4">
        <f t="shared" si="13"/>
        <v>838</v>
      </c>
      <c r="C841" s="5">
        <v>46174</v>
      </c>
      <c r="D841" s="10" t="str" cm="1">
        <f t="array" ref="D841">_xlfn.XLOOKUP(Table4[[#This Row],[Malın kodu]],Table1[[#All],[Malın kodu]],Table1[[#All],[Malın adı]],"xəta",0)</f>
        <v>Üçlük / PVC / d 50 mm</v>
      </c>
      <c r="E841" s="8" t="s">
        <v>1750</v>
      </c>
      <c r="F841" s="4" t="s">
        <v>920</v>
      </c>
      <c r="G841" s="4">
        <v>3</v>
      </c>
      <c r="H841" s="4"/>
      <c r="I841" s="4">
        <f>Table4[[#This Row],[Malın miqdarı]]*Table4[[#This Row],[Vahidin qiyməti]]</f>
        <v>0</v>
      </c>
      <c r="J841" s="4" t="s">
        <v>899</v>
      </c>
      <c r="K841" s="4" t="s">
        <v>893</v>
      </c>
      <c r="L841" s="4">
        <f>_xlfn.XLOOKUP(Table4[[#This Row],[Kontragentin adı]],Table2[Kontragentin adı],Table2[Müqavilə nömrəsi],"Xəta",0)</f>
        <v>0</v>
      </c>
      <c r="M841" s="4">
        <f>_xlfn.XLOOKUP(Table4[[#This Row],[Kontragentin adı]],Table2[Kontragentin adı],Table2[Müqavilə nömrəsi],"Xəta",0)</f>
        <v>0</v>
      </c>
    </row>
    <row r="842" spans="2:13" x14ac:dyDescent="0.3">
      <c r="B842" s="4">
        <f t="shared" si="13"/>
        <v>839</v>
      </c>
      <c r="C842" s="5">
        <v>46174</v>
      </c>
      <c r="D842" s="10" t="str" cm="1">
        <f t="array" ref="D842">_xlfn.XLOOKUP(Table4[[#This Row],[Malın kodu]],Table1[[#All],[Malın kodu]],Table1[[#All],[Malın adı]],"xəta",0)</f>
        <v>Qapaq / PVC / d 110 mm</v>
      </c>
      <c r="E842" s="8" t="s">
        <v>1751</v>
      </c>
      <c r="F842" s="4" t="s">
        <v>920</v>
      </c>
      <c r="G842" s="4">
        <v>1</v>
      </c>
      <c r="H842" s="4"/>
      <c r="I842" s="4">
        <f>Table4[[#This Row],[Malın miqdarı]]*Table4[[#This Row],[Vahidin qiyməti]]</f>
        <v>0</v>
      </c>
      <c r="J842" s="4" t="s">
        <v>899</v>
      </c>
      <c r="K842" s="4" t="s">
        <v>893</v>
      </c>
      <c r="L842" s="4">
        <f>_xlfn.XLOOKUP(Table4[[#This Row],[Kontragentin adı]],Table2[Kontragentin adı],Table2[Müqavilə nömrəsi],"Xəta",0)</f>
        <v>0</v>
      </c>
      <c r="M842" s="4">
        <f>_xlfn.XLOOKUP(Table4[[#This Row],[Kontragentin adı]],Table2[Kontragentin adı],Table2[Müqavilə nömrəsi],"Xəta",0)</f>
        <v>0</v>
      </c>
    </row>
    <row r="843" spans="2:13" x14ac:dyDescent="0.3">
      <c r="B843" s="4">
        <f t="shared" si="13"/>
        <v>840</v>
      </c>
      <c r="C843" s="5">
        <v>46174</v>
      </c>
      <c r="D843" s="10" t="str" cm="1">
        <f t="array" ref="D843">_xlfn.XLOOKUP(Table4[[#This Row],[Malın kodu]],Table1[[#All],[Malın kodu]],Table1[[#All],[Malın adı]],"xəta",0)</f>
        <v>Dirsək / PVC / d 50 mm</v>
      </c>
      <c r="E843" s="8" t="s">
        <v>1752</v>
      </c>
      <c r="F843" s="4" t="s">
        <v>920</v>
      </c>
      <c r="G843" s="4">
        <v>2</v>
      </c>
      <c r="H843" s="4"/>
      <c r="I843" s="4">
        <f>Table4[[#This Row],[Malın miqdarı]]*Table4[[#This Row],[Vahidin qiyməti]]</f>
        <v>0</v>
      </c>
      <c r="J843" s="4" t="s">
        <v>899</v>
      </c>
      <c r="K843" s="4" t="s">
        <v>893</v>
      </c>
      <c r="L843" s="4">
        <f>_xlfn.XLOOKUP(Table4[[#This Row],[Kontragentin adı]],Table2[Kontragentin adı],Table2[Müqavilə nömrəsi],"Xəta",0)</f>
        <v>0</v>
      </c>
      <c r="M843" s="4">
        <f>_xlfn.XLOOKUP(Table4[[#This Row],[Kontragentin adı]],Table2[Kontragentin adı],Table2[Müqavilə nömrəsi],"Xəta",0)</f>
        <v>0</v>
      </c>
    </row>
    <row r="844" spans="2:13" x14ac:dyDescent="0.3">
      <c r="B844" s="4">
        <f t="shared" si="13"/>
        <v>841</v>
      </c>
      <c r="C844" s="5">
        <v>46174</v>
      </c>
      <c r="D844" s="10" t="str" cm="1">
        <f t="array" ref="D844">_xlfn.XLOOKUP(Table4[[#This Row],[Malın kodu]],Table1[[#All],[Malın kodu]],Table1[[#All],[Malın adı]],"xəta",0)</f>
        <v>Üçlük / PVC / d 50 x d 110 mm</v>
      </c>
      <c r="E844" s="8" t="s">
        <v>1753</v>
      </c>
      <c r="F844" s="4" t="s">
        <v>920</v>
      </c>
      <c r="G844" s="4">
        <v>1</v>
      </c>
      <c r="H844" s="4"/>
      <c r="I844" s="4">
        <f>Table4[[#This Row],[Malın miqdarı]]*Table4[[#This Row],[Vahidin qiyməti]]</f>
        <v>0</v>
      </c>
      <c r="J844" s="4" t="s">
        <v>899</v>
      </c>
      <c r="K844" s="4" t="s">
        <v>893</v>
      </c>
      <c r="L844" s="4">
        <f>_xlfn.XLOOKUP(Table4[[#This Row],[Kontragentin adı]],Table2[Kontragentin adı],Table2[Müqavilə nömrəsi],"Xəta",0)</f>
        <v>0</v>
      </c>
      <c r="M844" s="4">
        <f>_xlfn.XLOOKUP(Table4[[#This Row],[Kontragentin adı]],Table2[Kontragentin adı],Table2[Müqavilə nömrəsi],"Xəta",0)</f>
        <v>0</v>
      </c>
    </row>
    <row r="845" spans="2:13" x14ac:dyDescent="0.3">
      <c r="B845" s="4">
        <f t="shared" si="13"/>
        <v>842</v>
      </c>
      <c r="C845" s="5">
        <v>46174</v>
      </c>
      <c r="D845" s="10" t="str" cm="1">
        <f t="array" ref="D845">_xlfn.XLOOKUP(Table4[[#This Row],[Malın kodu]],Table1[[#All],[Malın kodu]],Table1[[#All],[Malın adı]],"xəta",0)</f>
        <v>Üçlük / PVC / d 50 mm / 45°</v>
      </c>
      <c r="E845" s="8" t="s">
        <v>1754</v>
      </c>
      <c r="F845" s="4" t="s">
        <v>920</v>
      </c>
      <c r="G845" s="4">
        <v>2</v>
      </c>
      <c r="H845" s="4"/>
      <c r="I845" s="4">
        <f>Table4[[#This Row],[Malın miqdarı]]*Table4[[#This Row],[Vahidin qiyməti]]</f>
        <v>0</v>
      </c>
      <c r="J845" s="4" t="s">
        <v>899</v>
      </c>
      <c r="K845" s="4" t="s">
        <v>893</v>
      </c>
      <c r="L845" s="4">
        <f>_xlfn.XLOOKUP(Table4[[#This Row],[Kontragentin adı]],Table2[Kontragentin adı],Table2[Müqavilə nömrəsi],"Xəta",0)</f>
        <v>0</v>
      </c>
      <c r="M845" s="4">
        <f>_xlfn.XLOOKUP(Table4[[#This Row],[Kontragentin adı]],Table2[Kontragentin adı],Table2[Müqavilə nömrəsi],"Xəta",0)</f>
        <v>0</v>
      </c>
    </row>
    <row r="846" spans="2:13" x14ac:dyDescent="0.3">
      <c r="B846" s="4">
        <f t="shared" si="13"/>
        <v>843</v>
      </c>
      <c r="C846" s="5">
        <v>46174</v>
      </c>
      <c r="D846" s="10" t="str" cm="1">
        <f t="array" ref="D846">_xlfn.XLOOKUP(Table4[[#This Row],[Malın kodu]],Table1[[#All],[Malın kodu]],Table1[[#All],[Malın adı]],"xəta",0)</f>
        <v>Dirsək / PVC / d 110 mm / 45° / unitaz üçün</v>
      </c>
      <c r="E846" s="8" t="s">
        <v>1755</v>
      </c>
      <c r="F846" s="4" t="s">
        <v>920</v>
      </c>
      <c r="G846" s="4">
        <v>3</v>
      </c>
      <c r="H846" s="4"/>
      <c r="I846" s="4">
        <f>Table4[[#This Row],[Malın miqdarı]]*Table4[[#This Row],[Vahidin qiyməti]]</f>
        <v>0</v>
      </c>
      <c r="J846" s="4" t="s">
        <v>899</v>
      </c>
      <c r="K846" s="4" t="s">
        <v>893</v>
      </c>
      <c r="L846" s="4">
        <f>_xlfn.XLOOKUP(Table4[[#This Row],[Kontragentin adı]],Table2[Kontragentin adı],Table2[Müqavilə nömrəsi],"Xəta",0)</f>
        <v>0</v>
      </c>
      <c r="M846" s="4">
        <f>_xlfn.XLOOKUP(Table4[[#This Row],[Kontragentin adı]],Table2[Kontragentin adı],Table2[Müqavilə nömrəsi],"Xəta",0)</f>
        <v>0</v>
      </c>
    </row>
    <row r="847" spans="2:13" x14ac:dyDescent="0.3">
      <c r="B847" s="4">
        <f t="shared" si="13"/>
        <v>844</v>
      </c>
      <c r="C847" s="5">
        <v>46174</v>
      </c>
      <c r="D847" s="10" t="str" cm="1">
        <f t="array" ref="D847">_xlfn.XLOOKUP(Table4[[#This Row],[Malın kodu]],Table1[[#All],[Malın kodu]],Table1[[#All],[Malın adı]],"xəta",0)</f>
        <v>Üçlük / PVC / d 110 mm</v>
      </c>
      <c r="E847" s="8" t="s">
        <v>1756</v>
      </c>
      <c r="F847" s="4" t="s">
        <v>920</v>
      </c>
      <c r="G847" s="4">
        <v>1</v>
      </c>
      <c r="H847" s="4"/>
      <c r="I847" s="4">
        <f>Table4[[#This Row],[Malın miqdarı]]*Table4[[#This Row],[Vahidin qiyməti]]</f>
        <v>0</v>
      </c>
      <c r="J847" s="4" t="s">
        <v>899</v>
      </c>
      <c r="K847" s="4" t="s">
        <v>893</v>
      </c>
      <c r="L847" s="4">
        <f>_xlfn.XLOOKUP(Table4[[#This Row],[Kontragentin adı]],Table2[Kontragentin adı],Table2[Müqavilə nömrəsi],"Xəta",0)</f>
        <v>0</v>
      </c>
      <c r="M847" s="4">
        <f>_xlfn.XLOOKUP(Table4[[#This Row],[Kontragentin adı]],Table2[Kontragentin adı],Table2[Müqavilə nömrəsi],"Xəta",0)</f>
        <v>0</v>
      </c>
    </row>
    <row r="848" spans="2:13" x14ac:dyDescent="0.3">
      <c r="B848" s="4">
        <f t="shared" si="13"/>
        <v>845</v>
      </c>
      <c r="C848" s="5">
        <v>46174</v>
      </c>
      <c r="D848" s="10" t="str" cm="1">
        <f t="array" ref="D848">_xlfn.XLOOKUP(Table4[[#This Row],[Malın kodu]],Table1[[#All],[Malın kodu]],Table1[[#All],[Malın adı]],"xəta",0)</f>
        <v>Xomut / metal / d 25 x 28 mm / 3/4 inch</v>
      </c>
      <c r="E848" s="8" t="s">
        <v>1757</v>
      </c>
      <c r="F848" s="4" t="s">
        <v>920</v>
      </c>
      <c r="G848" s="4">
        <v>140</v>
      </c>
      <c r="H848" s="4"/>
      <c r="I848" s="4">
        <f>Table4[[#This Row],[Malın miqdarı]]*Table4[[#This Row],[Vahidin qiyməti]]</f>
        <v>0</v>
      </c>
      <c r="J848" s="4" t="s">
        <v>899</v>
      </c>
      <c r="K848" s="4" t="s">
        <v>893</v>
      </c>
      <c r="L848" s="4">
        <f>_xlfn.XLOOKUP(Table4[[#This Row],[Kontragentin adı]],Table2[Kontragentin adı],Table2[Müqavilə nömrəsi],"Xəta",0)</f>
        <v>0</v>
      </c>
      <c r="M848" s="4">
        <f>_xlfn.XLOOKUP(Table4[[#This Row],[Kontragentin adı]],Table2[Kontragentin adı],Table2[Müqavilə nömrəsi],"Xəta",0)</f>
        <v>0</v>
      </c>
    </row>
    <row r="849" spans="2:13" x14ac:dyDescent="0.3">
      <c r="B849" s="4">
        <f t="shared" si="13"/>
        <v>846</v>
      </c>
      <c r="C849" s="5">
        <v>46174</v>
      </c>
      <c r="D849" s="10" t="str" cm="1">
        <f t="array" ref="D849">_xlfn.XLOOKUP(Table4[[#This Row],[Malın kodu]],Table1[[#All],[Malın kodu]],Table1[[#All],[Malın adı]],"xəta",0)</f>
        <v>Hidrant açarı</v>
      </c>
      <c r="E849" s="8" t="s">
        <v>1758</v>
      </c>
      <c r="F849" s="4" t="s">
        <v>920</v>
      </c>
      <c r="G849" s="4">
        <v>85</v>
      </c>
      <c r="H849" s="4"/>
      <c r="I849" s="4">
        <f>Table4[[#This Row],[Malın miqdarı]]*Table4[[#This Row],[Vahidin qiyməti]]</f>
        <v>0</v>
      </c>
      <c r="J849" s="4" t="s">
        <v>899</v>
      </c>
      <c r="K849" s="4" t="s">
        <v>893</v>
      </c>
      <c r="L849" s="4">
        <f>_xlfn.XLOOKUP(Table4[[#This Row],[Kontragentin adı]],Table2[Kontragentin adı],Table2[Müqavilə nömrəsi],"Xəta",0)</f>
        <v>0</v>
      </c>
      <c r="M849" s="4">
        <f>_xlfn.XLOOKUP(Table4[[#This Row],[Kontragentin adı]],Table2[Kontragentin adı],Table2[Müqavilə nömrəsi],"Xəta",0)</f>
        <v>0</v>
      </c>
    </row>
    <row r="850" spans="2:13" x14ac:dyDescent="0.3">
      <c r="B850" s="4">
        <f t="shared" si="13"/>
        <v>847</v>
      </c>
      <c r="C850" s="5">
        <v>46174</v>
      </c>
      <c r="D850" s="10" t="str" cm="1">
        <f t="array" ref="D850">_xlfn.XLOOKUP(Table4[[#This Row],[Malın kodu]],Table1[[#All],[Malın kodu]],Table1[[#All],[Malın adı]],"xəta",0)</f>
        <v>Flyans / d 175 mm / polad</v>
      </c>
      <c r="E850" s="8" t="s">
        <v>1759</v>
      </c>
      <c r="F850" s="4" t="s">
        <v>920</v>
      </c>
      <c r="G850" s="4">
        <v>4</v>
      </c>
      <c r="H850" s="4"/>
      <c r="I850" s="4">
        <f>Table4[[#This Row],[Malın miqdarı]]*Table4[[#This Row],[Vahidin qiyməti]]</f>
        <v>0</v>
      </c>
      <c r="J850" s="4" t="s">
        <v>899</v>
      </c>
      <c r="K850" s="4" t="s">
        <v>893</v>
      </c>
      <c r="L850" s="4">
        <f>_xlfn.XLOOKUP(Table4[[#This Row],[Kontragentin adı]],Table2[Kontragentin adı],Table2[Müqavilə nömrəsi],"Xəta",0)</f>
        <v>0</v>
      </c>
      <c r="M850" s="4">
        <f>_xlfn.XLOOKUP(Table4[[#This Row],[Kontragentin adı]],Table2[Kontragentin adı],Table2[Müqavilə nömrəsi],"Xəta",0)</f>
        <v>0</v>
      </c>
    </row>
    <row r="851" spans="2:13" x14ac:dyDescent="0.3">
      <c r="B851" s="4">
        <f t="shared" si="13"/>
        <v>848</v>
      </c>
      <c r="C851" s="5">
        <v>46174</v>
      </c>
      <c r="D851" s="10" t="str" cm="1">
        <f t="array" ref="D851">_xlfn.XLOOKUP(Table4[[#This Row],[Malın kodu]],Table1[[#All],[Malın kodu]],Table1[[#All],[Malın adı]],"xəta",0)</f>
        <v>Flyans / d 100 mm / polad</v>
      </c>
      <c r="E851" s="8" t="s">
        <v>1760</v>
      </c>
      <c r="F851" s="4" t="s">
        <v>920</v>
      </c>
      <c r="G851" s="4">
        <v>7</v>
      </c>
      <c r="H851" s="4"/>
      <c r="I851" s="4">
        <f>Table4[[#This Row],[Malın miqdarı]]*Table4[[#This Row],[Vahidin qiyməti]]</f>
        <v>0</v>
      </c>
      <c r="J851" s="4" t="s">
        <v>899</v>
      </c>
      <c r="K851" s="4" t="s">
        <v>893</v>
      </c>
      <c r="L851" s="4">
        <f>_xlfn.XLOOKUP(Table4[[#This Row],[Kontragentin adı]],Table2[Kontragentin adı],Table2[Müqavilə nömrəsi],"Xəta",0)</f>
        <v>0</v>
      </c>
      <c r="M851" s="4">
        <f>_xlfn.XLOOKUP(Table4[[#This Row],[Kontragentin adı]],Table2[Kontragentin adı],Table2[Müqavilə nömrəsi],"Xəta",0)</f>
        <v>0</v>
      </c>
    </row>
    <row r="852" spans="2:13" x14ac:dyDescent="0.3">
      <c r="B852" s="4">
        <f t="shared" si="13"/>
        <v>849</v>
      </c>
      <c r="C852" s="5">
        <v>46174</v>
      </c>
      <c r="D852" s="10" t="str" cm="1">
        <f t="array" ref="D852">_xlfn.XLOOKUP(Table4[[#This Row],[Malın kodu]],Table1[[#All],[Malın kodu]],Table1[[#All],[Malın adı]],"xəta",0)</f>
        <v>Flyans / d 160 mm / polad</v>
      </c>
      <c r="E852" s="8" t="s">
        <v>1761</v>
      </c>
      <c r="F852" s="4" t="s">
        <v>920</v>
      </c>
      <c r="G852" s="4">
        <v>2</v>
      </c>
      <c r="H852" s="4"/>
      <c r="I852" s="4">
        <f>Table4[[#This Row],[Malın miqdarı]]*Table4[[#This Row],[Vahidin qiyməti]]</f>
        <v>0</v>
      </c>
      <c r="J852" s="4" t="s">
        <v>899</v>
      </c>
      <c r="K852" s="4" t="s">
        <v>893</v>
      </c>
      <c r="L852" s="4">
        <f>_xlfn.XLOOKUP(Table4[[#This Row],[Kontragentin adı]],Table2[Kontragentin adı],Table2[Müqavilə nömrəsi],"Xəta",0)</f>
        <v>0</v>
      </c>
      <c r="M852" s="4">
        <f>_xlfn.XLOOKUP(Table4[[#This Row],[Kontragentin adı]],Table2[Kontragentin adı],Table2[Müqavilə nömrəsi],"Xəta",0)</f>
        <v>0</v>
      </c>
    </row>
    <row r="853" spans="2:13" x14ac:dyDescent="0.3">
      <c r="B853" s="4">
        <f t="shared" si="13"/>
        <v>850</v>
      </c>
      <c r="C853" s="5">
        <v>46174</v>
      </c>
      <c r="D853" s="10" t="str" cm="1">
        <f t="array" ref="D853">_xlfn.XLOOKUP(Table4[[#This Row],[Malın kodu]],Table1[[#All],[Malın kodu]],Table1[[#All],[Malın adı]],"xəta",0)</f>
        <v>Su pompası / 250 Vt / 75 L/d / H 10m / "Shimge"</v>
      </c>
      <c r="E853" s="8" t="s">
        <v>1762</v>
      </c>
      <c r="F853" s="4" t="s">
        <v>920</v>
      </c>
      <c r="G853" s="4">
        <v>1</v>
      </c>
      <c r="H853" s="4"/>
      <c r="I853" s="4">
        <f>Table4[[#This Row],[Malın miqdarı]]*Table4[[#This Row],[Vahidin qiyməti]]</f>
        <v>0</v>
      </c>
      <c r="J853" s="4" t="s">
        <v>899</v>
      </c>
      <c r="K853" s="4" t="s">
        <v>893</v>
      </c>
      <c r="L853" s="4">
        <f>_xlfn.XLOOKUP(Table4[[#This Row],[Kontragentin adı]],Table2[Kontragentin adı],Table2[Müqavilə nömrəsi],"Xəta",0)</f>
        <v>0</v>
      </c>
      <c r="M853" s="4">
        <f>_xlfn.XLOOKUP(Table4[[#This Row],[Kontragentin adı]],Table2[Kontragentin adı],Table2[Müqavilə nömrəsi],"Xəta",0)</f>
        <v>0</v>
      </c>
    </row>
    <row r="854" spans="2:13" x14ac:dyDescent="0.3">
      <c r="B854" s="4">
        <f t="shared" si="13"/>
        <v>851</v>
      </c>
      <c r="C854" s="5">
        <v>46174</v>
      </c>
      <c r="D854" s="10" t="str" cm="1">
        <f t="array" ref="D854">_xlfn.XLOOKUP(Table4[[#This Row],[Malın kodu]],Table1[[#All],[Malın kodu]],Table1[[#All],[Malın adı]],"xəta",0)</f>
        <v>Elektrik soket / 32A / İP 67 / "TP Elektric" / Türkiyə istehsalı"</v>
      </c>
      <c r="E854" s="8" t="s">
        <v>1763</v>
      </c>
      <c r="F854" s="4" t="s">
        <v>920</v>
      </c>
      <c r="G854" s="4">
        <v>1</v>
      </c>
      <c r="H854" s="4"/>
      <c r="I854" s="4">
        <f>Table4[[#This Row],[Malın miqdarı]]*Table4[[#This Row],[Vahidin qiyməti]]</f>
        <v>0</v>
      </c>
      <c r="J854" s="4" t="s">
        <v>899</v>
      </c>
      <c r="K854" s="4" t="s">
        <v>893</v>
      </c>
      <c r="L854" s="4">
        <f>_xlfn.XLOOKUP(Table4[[#This Row],[Kontragentin adı]],Table2[Kontragentin adı],Table2[Müqavilə nömrəsi],"Xəta",0)</f>
        <v>0</v>
      </c>
      <c r="M854" s="4">
        <f>_xlfn.XLOOKUP(Table4[[#This Row],[Kontragentin adı]],Table2[Kontragentin adı],Table2[Müqavilə nömrəsi],"Xəta",0)</f>
        <v>0</v>
      </c>
    </row>
    <row r="855" spans="2:13" x14ac:dyDescent="0.3">
      <c r="B855" s="4">
        <f t="shared" si="13"/>
        <v>852</v>
      </c>
      <c r="C855" s="5">
        <v>46174</v>
      </c>
      <c r="D855" s="10" t="str" cm="1">
        <f t="array" ref="D855">_xlfn.XLOOKUP(Table4[[#This Row],[Malın kodu]],Table1[[#All],[Malın kodu]],Table1[[#All],[Malın adı]],"xəta",0)</f>
        <v>Elektrik soket / 63A / İP 44 / "Bemis" / Türkiyə istehsalı"</v>
      </c>
      <c r="E855" s="8" t="s">
        <v>1764</v>
      </c>
      <c r="F855" s="4" t="s">
        <v>920</v>
      </c>
      <c r="G855" s="4">
        <v>1</v>
      </c>
      <c r="H855" s="4"/>
      <c r="I855" s="4">
        <f>Table4[[#This Row],[Malın miqdarı]]*Table4[[#This Row],[Vahidin qiyməti]]</f>
        <v>0</v>
      </c>
      <c r="J855" s="4" t="s">
        <v>899</v>
      </c>
      <c r="K855" s="4" t="s">
        <v>893</v>
      </c>
      <c r="L855" s="4">
        <f>_xlfn.XLOOKUP(Table4[[#This Row],[Kontragentin adı]],Table2[Kontragentin adı],Table2[Müqavilə nömrəsi],"Xəta",0)</f>
        <v>0</v>
      </c>
      <c r="M855" s="4">
        <f>_xlfn.XLOOKUP(Table4[[#This Row],[Kontragentin adı]],Table2[Kontragentin adı],Table2[Müqavilə nömrəsi],"Xəta",0)</f>
        <v>0</v>
      </c>
    </row>
    <row r="856" spans="2:13" x14ac:dyDescent="0.3">
      <c r="B856" s="4">
        <f t="shared" si="13"/>
        <v>853</v>
      </c>
      <c r="C856" s="5">
        <v>46174</v>
      </c>
      <c r="D856" s="10" t="str" cm="1">
        <f t="array" ref="D856">_xlfn.XLOOKUP(Table4[[#This Row],[Malın kodu]],Table1[[#All],[Malın kodu]],Table1[[#All],[Malın adı]],"xəta",0)</f>
        <v>Elektrik soket / 63A / İP 67 / "Bemis" / Türkiyə istehsalı"</v>
      </c>
      <c r="E856" s="8" t="s">
        <v>1765</v>
      </c>
      <c r="F856" s="4" t="s">
        <v>920</v>
      </c>
      <c r="G856" s="4">
        <v>1</v>
      </c>
      <c r="H856" s="4"/>
      <c r="I856" s="4">
        <f>Table4[[#This Row],[Malın miqdarı]]*Table4[[#This Row],[Vahidin qiyməti]]</f>
        <v>0</v>
      </c>
      <c r="J856" s="4" t="s">
        <v>899</v>
      </c>
      <c r="K856" s="4" t="s">
        <v>893</v>
      </c>
      <c r="L856" s="4">
        <f>_xlfn.XLOOKUP(Table4[[#This Row],[Kontragentin adı]],Table2[Kontragentin adı],Table2[Müqavilə nömrəsi],"Xəta",0)</f>
        <v>0</v>
      </c>
      <c r="M856" s="4">
        <f>_xlfn.XLOOKUP(Table4[[#This Row],[Kontragentin adı]],Table2[Kontragentin adı],Table2[Müqavilə nömrəsi],"Xəta",0)</f>
        <v>0</v>
      </c>
    </row>
    <row r="857" spans="2:13" x14ac:dyDescent="0.3">
      <c r="B857" s="4">
        <f t="shared" si="13"/>
        <v>854</v>
      </c>
      <c r="C857" s="5">
        <v>46174</v>
      </c>
      <c r="D857" s="10" t="str" cm="1">
        <f t="array" ref="D857">_xlfn.XLOOKUP(Table4[[#This Row],[Malın kodu]],Table1[[#All],[Malın kodu]],Table1[[#All],[Malın adı]],"xəta",0)</f>
        <v>Elektrik soket / 32A / İP 44 / "Bemis" / Türkiyə istehsalı"</v>
      </c>
      <c r="E857" s="8" t="s">
        <v>1766</v>
      </c>
      <c r="F857" s="4" t="s">
        <v>920</v>
      </c>
      <c r="G857" s="4">
        <v>1</v>
      </c>
      <c r="H857" s="4"/>
      <c r="I857" s="4">
        <f>Table4[[#This Row],[Malın miqdarı]]*Table4[[#This Row],[Vahidin qiyməti]]</f>
        <v>0</v>
      </c>
      <c r="J857" s="4" t="s">
        <v>899</v>
      </c>
      <c r="K857" s="4" t="s">
        <v>893</v>
      </c>
      <c r="L857" s="4">
        <f>_xlfn.XLOOKUP(Table4[[#This Row],[Kontragentin adı]],Table2[Kontragentin adı],Table2[Müqavilə nömrəsi],"Xəta",0)</f>
        <v>0</v>
      </c>
      <c r="M857" s="4">
        <f>_xlfn.XLOOKUP(Table4[[#This Row],[Kontragentin adı]],Table2[Kontragentin adı],Table2[Müqavilə nömrəsi],"Xəta",0)</f>
        <v>0</v>
      </c>
    </row>
    <row r="858" spans="2:13" x14ac:dyDescent="0.3">
      <c r="B858" s="4">
        <f t="shared" si="13"/>
        <v>855</v>
      </c>
      <c r="C858" s="5">
        <v>46174</v>
      </c>
      <c r="D858" s="10" t="str" cm="1">
        <f t="array" ref="D858">_xlfn.XLOOKUP(Table4[[#This Row],[Malın kodu]],Table1[[#All],[Malın kodu]],Table1[[#All],[Malın adı]],"xəta",0)</f>
        <v>Kəsici alət / elektrik / beton üçün / "Hoteche" / P805111</v>
      </c>
      <c r="E858" s="8" t="s">
        <v>1767</v>
      </c>
      <c r="F858" s="4" t="s">
        <v>920</v>
      </c>
      <c r="G858" s="4">
        <v>2</v>
      </c>
      <c r="H858" s="4"/>
      <c r="I858" s="4">
        <f>Table4[[#This Row],[Malın miqdarı]]*Table4[[#This Row],[Vahidin qiyməti]]</f>
        <v>0</v>
      </c>
      <c r="J858" s="4" t="s">
        <v>899</v>
      </c>
      <c r="K858" s="4" t="s">
        <v>893</v>
      </c>
      <c r="L858" s="4">
        <f>_xlfn.XLOOKUP(Table4[[#This Row],[Kontragentin adı]],Table2[Kontragentin adı],Table2[Müqavilə nömrəsi],"Xəta",0)</f>
        <v>0</v>
      </c>
      <c r="M858" s="4">
        <f>_xlfn.XLOOKUP(Table4[[#This Row],[Kontragentin adı]],Table2[Kontragentin adı],Table2[Müqavilə nömrəsi],"Xəta",0)</f>
        <v>0</v>
      </c>
    </row>
    <row r="859" spans="2:13" x14ac:dyDescent="0.3">
      <c r="B859" s="4">
        <f t="shared" si="13"/>
        <v>856</v>
      </c>
      <c r="C859" s="5">
        <v>46174</v>
      </c>
      <c r="D859" s="10" t="str" cm="1">
        <f t="array" ref="D859">_xlfn.XLOOKUP(Table4[[#This Row],[Malın kodu]],Table1[[#All],[Malın kodu]],Table1[[#All],[Malın adı]],"xəta",0)</f>
        <v>Elektrik uzadıcı / 3 faza / 32A soket ilə</v>
      </c>
      <c r="E859" s="8" t="s">
        <v>1768</v>
      </c>
      <c r="F859" s="4" t="s">
        <v>920</v>
      </c>
      <c r="G859" s="4">
        <v>1</v>
      </c>
      <c r="H859" s="4"/>
      <c r="I859" s="4">
        <f>Table4[[#This Row],[Malın miqdarı]]*Table4[[#This Row],[Vahidin qiyməti]]</f>
        <v>0</v>
      </c>
      <c r="J859" s="4" t="s">
        <v>899</v>
      </c>
      <c r="K859" s="4" t="s">
        <v>893</v>
      </c>
      <c r="L859" s="4">
        <f>_xlfn.XLOOKUP(Table4[[#This Row],[Kontragentin adı]],Table2[Kontragentin adı],Table2[Müqavilə nömrəsi],"Xəta",0)</f>
        <v>0</v>
      </c>
      <c r="M859" s="4">
        <f>_xlfn.XLOOKUP(Table4[[#This Row],[Kontragentin adı]],Table2[Kontragentin adı],Table2[Müqavilə nömrəsi],"Xəta",0)</f>
        <v>0</v>
      </c>
    </row>
    <row r="860" spans="2:13" x14ac:dyDescent="0.3">
      <c r="B860" s="4">
        <f t="shared" si="13"/>
        <v>857</v>
      </c>
      <c r="C860" s="5">
        <v>46174</v>
      </c>
      <c r="D860" s="10" t="str" cm="1">
        <f t="array" ref="D860">_xlfn.XLOOKUP(Table4[[#This Row],[Malın kodu]],Table1[[#All],[Malın kodu]],Table1[[#All],[Malın adı]],"xəta",0)</f>
        <v>Qayçı / armatur üçün / 42 inch</v>
      </c>
      <c r="E860" s="8" t="s">
        <v>1769</v>
      </c>
      <c r="F860" s="4" t="s">
        <v>920</v>
      </c>
      <c r="G860" s="4">
        <v>2</v>
      </c>
      <c r="H860" s="4"/>
      <c r="I860" s="4">
        <f>Table4[[#This Row],[Malın miqdarı]]*Table4[[#This Row],[Vahidin qiyməti]]</f>
        <v>0</v>
      </c>
      <c r="J860" s="4" t="s">
        <v>899</v>
      </c>
      <c r="K860" s="4" t="s">
        <v>893</v>
      </c>
      <c r="L860" s="4">
        <f>_xlfn.XLOOKUP(Table4[[#This Row],[Kontragentin adı]],Table2[Kontragentin adı],Table2[Müqavilə nömrəsi],"Xəta",0)</f>
        <v>0</v>
      </c>
      <c r="M860" s="4">
        <f>_xlfn.XLOOKUP(Table4[[#This Row],[Kontragentin adı]],Table2[Kontragentin adı],Table2[Müqavilə nömrəsi],"Xəta",0)</f>
        <v>0</v>
      </c>
    </row>
    <row r="861" spans="2:13" x14ac:dyDescent="0.3">
      <c r="B861" s="4">
        <f t="shared" si="13"/>
        <v>858</v>
      </c>
      <c r="C861" s="5">
        <v>46174</v>
      </c>
      <c r="D861" s="10" t="str" cm="1">
        <f t="array" ref="D861">_xlfn.XLOOKUP(Table4[[#This Row],[Malın kodu]],Table1[[#All],[Malın kodu]],Table1[[#All],[Malın adı]],"xəta",0)</f>
        <v>Qayçı / armatur üçün</v>
      </c>
      <c r="E861" s="8" t="s">
        <v>1770</v>
      </c>
      <c r="F861" s="4" t="s">
        <v>920</v>
      </c>
      <c r="G861" s="4">
        <v>1</v>
      </c>
      <c r="H861" s="4"/>
      <c r="I861" s="4">
        <f>Table4[[#This Row],[Malın miqdarı]]*Table4[[#This Row],[Vahidin qiyməti]]</f>
        <v>0</v>
      </c>
      <c r="J861" s="4" t="s">
        <v>899</v>
      </c>
      <c r="K861" s="4" t="s">
        <v>893</v>
      </c>
      <c r="L861" s="4">
        <f>_xlfn.XLOOKUP(Table4[[#This Row],[Kontragentin adı]],Table2[Kontragentin adı],Table2[Müqavilə nömrəsi],"Xəta",0)</f>
        <v>0</v>
      </c>
      <c r="M861" s="4">
        <f>_xlfn.XLOOKUP(Table4[[#This Row],[Kontragentin adı]],Table2[Kontragentin adı],Table2[Müqavilə nömrəsi],"Xəta",0)</f>
        <v>0</v>
      </c>
    </row>
    <row r="862" spans="2:13" x14ac:dyDescent="0.3">
      <c r="B862" s="4">
        <f t="shared" si="13"/>
        <v>859</v>
      </c>
      <c r="C862" s="5">
        <v>46174</v>
      </c>
      <c r="D862" s="10" t="str" cm="1">
        <f t="array" ref="D862">_xlfn.XLOOKUP(Table4[[#This Row],[Malın kodu]],Table1[[#All],[Malın kodu]],Table1[[#All],[Malın adı]],"xəta",0)</f>
        <v>Armatur əyən alət</v>
      </c>
      <c r="E862" s="8" t="s">
        <v>1771</v>
      </c>
      <c r="F862" s="4" t="s">
        <v>920</v>
      </c>
      <c r="G862" s="4">
        <v>7</v>
      </c>
      <c r="H862" s="4"/>
      <c r="I862" s="4">
        <f>Table4[[#This Row],[Malın miqdarı]]*Table4[[#This Row],[Vahidin qiyməti]]</f>
        <v>0</v>
      </c>
      <c r="J862" s="4" t="s">
        <v>899</v>
      </c>
      <c r="K862" s="4" t="s">
        <v>893</v>
      </c>
      <c r="L862" s="4">
        <f>_xlfn.XLOOKUP(Table4[[#This Row],[Kontragentin adı]],Table2[Kontragentin adı],Table2[Müqavilə nömrəsi],"Xəta",0)</f>
        <v>0</v>
      </c>
      <c r="M862" s="4">
        <f>_xlfn.XLOOKUP(Table4[[#This Row],[Kontragentin adı]],Table2[Kontragentin adı],Table2[Müqavilə nömrəsi],"Xəta",0)</f>
        <v>0</v>
      </c>
    </row>
    <row r="863" spans="2:13" x14ac:dyDescent="0.3">
      <c r="B863" s="4">
        <f t="shared" si="13"/>
        <v>860</v>
      </c>
      <c r="C863" s="5">
        <v>46174</v>
      </c>
      <c r="D863" s="10" t="str" cm="1">
        <f t="array" ref="D863">_xlfn.XLOOKUP(Table4[[#This Row],[Malın kodu]],Table1[[#All],[Malın kodu]],Table1[[#All],[Malın adı]],"xəta",0)</f>
        <v>Dirsək / polietilen / d 63mm / 90°</v>
      </c>
      <c r="E863" s="8" t="s">
        <v>1772</v>
      </c>
      <c r="F863" s="4" t="s">
        <v>920</v>
      </c>
      <c r="G863" s="4">
        <v>2</v>
      </c>
      <c r="H863" s="4"/>
      <c r="I863" s="4">
        <f>Table4[[#This Row],[Malın miqdarı]]*Table4[[#This Row],[Vahidin qiyməti]]</f>
        <v>0</v>
      </c>
      <c r="J863" s="4" t="s">
        <v>899</v>
      </c>
      <c r="K863" s="4" t="s">
        <v>893</v>
      </c>
      <c r="L863" s="4">
        <f>_xlfn.XLOOKUP(Table4[[#This Row],[Kontragentin adı]],Table2[Kontragentin adı],Table2[Müqavilə nömrəsi],"Xəta",0)</f>
        <v>0</v>
      </c>
      <c r="M863" s="4">
        <f>_xlfn.XLOOKUP(Table4[[#This Row],[Kontragentin adı]],Table2[Kontragentin adı],Table2[Müqavilə nömrəsi],"Xəta",0)</f>
        <v>0</v>
      </c>
    </row>
    <row r="864" spans="2:13" x14ac:dyDescent="0.3">
      <c r="B864" s="4">
        <f t="shared" si="13"/>
        <v>861</v>
      </c>
      <c r="C864" s="5">
        <v>46174</v>
      </c>
      <c r="D864" s="10" t="str" cm="1">
        <f t="array" ref="D864">_xlfn.XLOOKUP(Table4[[#This Row],[Malın kodu]],Table1[[#All],[Malın kodu]],Table1[[#All],[Malın adı]],"xəta",0)</f>
        <v>Bolt / M30 / L 150 mm</v>
      </c>
      <c r="E864" s="8" t="s">
        <v>1773</v>
      </c>
      <c r="F864" s="4" t="s">
        <v>920</v>
      </c>
      <c r="G864" s="4">
        <v>44</v>
      </c>
      <c r="H864" s="4"/>
      <c r="I864" s="4">
        <f>Table4[[#This Row],[Malın miqdarı]]*Table4[[#This Row],[Vahidin qiyməti]]</f>
        <v>0</v>
      </c>
      <c r="J864" s="4" t="s">
        <v>899</v>
      </c>
      <c r="K864" s="4" t="s">
        <v>893</v>
      </c>
      <c r="L864" s="4">
        <f>_xlfn.XLOOKUP(Table4[[#This Row],[Kontragentin adı]],Table2[Kontragentin adı],Table2[Müqavilə nömrəsi],"Xəta",0)</f>
        <v>0</v>
      </c>
      <c r="M864" s="4">
        <f>_xlfn.XLOOKUP(Table4[[#This Row],[Kontragentin adı]],Table2[Kontragentin adı],Table2[Müqavilə nömrəsi],"Xəta",0)</f>
        <v>0</v>
      </c>
    </row>
    <row r="865" spans="2:13" x14ac:dyDescent="0.3">
      <c r="B865" s="4">
        <f t="shared" si="13"/>
        <v>862</v>
      </c>
      <c r="C865" s="5">
        <v>46174</v>
      </c>
      <c r="D865" s="10" t="str" cm="1">
        <f t="array" ref="D865">_xlfn.XLOOKUP(Table4[[#This Row],[Malın kodu]],Table1[[#All],[Malın kodu]],Table1[[#All],[Malın adı]],"xəta",0)</f>
        <v>Bolt / ikitərəfli qaykalı / M28 / L 150 mm</v>
      </c>
      <c r="E865" s="8" t="s">
        <v>1774</v>
      </c>
      <c r="F865" s="4" t="s">
        <v>920</v>
      </c>
      <c r="G865" s="4">
        <v>18</v>
      </c>
      <c r="H865" s="4"/>
      <c r="I865" s="4">
        <f>Table4[[#This Row],[Malın miqdarı]]*Table4[[#This Row],[Vahidin qiyməti]]</f>
        <v>0</v>
      </c>
      <c r="J865" s="4" t="s">
        <v>899</v>
      </c>
      <c r="K865" s="4" t="s">
        <v>893</v>
      </c>
      <c r="L865" s="4">
        <f>_xlfn.XLOOKUP(Table4[[#This Row],[Kontragentin adı]],Table2[Kontragentin adı],Table2[Müqavilə nömrəsi],"Xəta",0)</f>
        <v>0</v>
      </c>
      <c r="M865" s="4">
        <f>_xlfn.XLOOKUP(Table4[[#This Row],[Kontragentin adı]],Table2[Kontragentin adı],Table2[Müqavilə nömrəsi],"Xəta",0)</f>
        <v>0</v>
      </c>
    </row>
    <row r="866" spans="2:13" x14ac:dyDescent="0.3">
      <c r="B866" s="4">
        <f t="shared" si="13"/>
        <v>863</v>
      </c>
      <c r="C866" s="5">
        <v>46174</v>
      </c>
      <c r="D866" s="10" t="str" cm="1">
        <f t="array" ref="D866">_xlfn.XLOOKUP(Table4[[#This Row],[Malın kodu]],Table1[[#All],[Malın kodu]],Table1[[#All],[Malın adı]],"xəta",0)</f>
        <v>Qayka / M30</v>
      </c>
      <c r="E866" s="8" t="s">
        <v>1775</v>
      </c>
      <c r="F866" s="4" t="s">
        <v>920</v>
      </c>
      <c r="G866" s="4">
        <v>44</v>
      </c>
      <c r="H866" s="4"/>
      <c r="I866" s="4">
        <f>Table4[[#This Row],[Malın miqdarı]]*Table4[[#This Row],[Vahidin qiyməti]]</f>
        <v>0</v>
      </c>
      <c r="J866" s="4" t="s">
        <v>899</v>
      </c>
      <c r="K866" s="4" t="s">
        <v>893</v>
      </c>
      <c r="L866" s="4">
        <f>_xlfn.XLOOKUP(Table4[[#This Row],[Kontragentin adı]],Table2[Kontragentin adı],Table2[Müqavilə nömrəsi],"Xəta",0)</f>
        <v>0</v>
      </c>
      <c r="M866" s="4">
        <f>_xlfn.XLOOKUP(Table4[[#This Row],[Kontragentin adı]],Table2[Kontragentin adı],Table2[Müqavilə nömrəsi],"Xəta",0)</f>
        <v>0</v>
      </c>
    </row>
    <row r="867" spans="2:13" x14ac:dyDescent="0.3">
      <c r="B867" s="4">
        <f t="shared" si="13"/>
        <v>864</v>
      </c>
      <c r="C867" s="5">
        <v>46174</v>
      </c>
      <c r="D867" s="10" t="str" cm="1">
        <f t="array" ref="D867">_xlfn.XLOOKUP(Table4[[#This Row],[Malın kodu]],Table1[[#All],[Malın kodu]],Table1[[#All],[Malın adı]],"xəta",0)</f>
        <v>Bolt-qayka / M18 / L 70 mm</v>
      </c>
      <c r="E867" s="8" t="s">
        <v>1776</v>
      </c>
      <c r="F867" s="4" t="s">
        <v>920</v>
      </c>
      <c r="G867" s="4">
        <v>12</v>
      </c>
      <c r="H867" s="4"/>
      <c r="I867" s="4">
        <f>Table4[[#This Row],[Malın miqdarı]]*Table4[[#This Row],[Vahidin qiyməti]]</f>
        <v>0</v>
      </c>
      <c r="J867" s="4" t="s">
        <v>899</v>
      </c>
      <c r="K867" s="4" t="s">
        <v>893</v>
      </c>
      <c r="L867" s="4">
        <f>_xlfn.XLOOKUP(Table4[[#This Row],[Kontragentin adı]],Table2[Kontragentin adı],Table2[Müqavilə nömrəsi],"Xəta",0)</f>
        <v>0</v>
      </c>
      <c r="M867" s="4">
        <f>_xlfn.XLOOKUP(Table4[[#This Row],[Kontragentin adı]],Table2[Kontragentin adı],Table2[Müqavilə nömrəsi],"Xəta",0)</f>
        <v>0</v>
      </c>
    </row>
    <row r="868" spans="2:13" x14ac:dyDescent="0.3">
      <c r="B868" s="4">
        <f t="shared" si="13"/>
        <v>865</v>
      </c>
      <c r="C868" s="5">
        <v>46174</v>
      </c>
      <c r="D868" s="10" t="str" cm="1">
        <f t="array" ref="D868">_xlfn.XLOOKUP(Table4[[#This Row],[Malın kodu]],Table1[[#All],[Malın kodu]],Table1[[#All],[Malın adı]],"xəta",0)</f>
        <v>Bolt-qayka / M18 / L 100 mm</v>
      </c>
      <c r="E868" s="8" t="s">
        <v>1777</v>
      </c>
      <c r="F868" s="4" t="s">
        <v>920</v>
      </c>
      <c r="G868" s="4">
        <v>4</v>
      </c>
      <c r="H868" s="4"/>
      <c r="I868" s="4">
        <f>Table4[[#This Row],[Malın miqdarı]]*Table4[[#This Row],[Vahidin qiyməti]]</f>
        <v>0</v>
      </c>
      <c r="J868" s="4" t="s">
        <v>899</v>
      </c>
      <c r="K868" s="4" t="s">
        <v>893</v>
      </c>
      <c r="L868" s="4">
        <f>_xlfn.XLOOKUP(Table4[[#This Row],[Kontragentin adı]],Table2[Kontragentin adı],Table2[Müqavilə nömrəsi],"Xəta",0)</f>
        <v>0</v>
      </c>
      <c r="M868" s="4">
        <f>_xlfn.XLOOKUP(Table4[[#This Row],[Kontragentin adı]],Table2[Kontragentin adı],Table2[Müqavilə nömrəsi],"Xəta",0)</f>
        <v>0</v>
      </c>
    </row>
    <row r="869" spans="2:13" x14ac:dyDescent="0.3">
      <c r="B869" s="4">
        <f t="shared" si="13"/>
        <v>866</v>
      </c>
      <c r="C869" s="5">
        <v>46174</v>
      </c>
      <c r="D869" s="10" t="str" cm="1">
        <f t="array" ref="D869">_xlfn.XLOOKUP(Table4[[#This Row],[Malın kodu]],Table1[[#All],[Malın kodu]],Table1[[#All],[Malın adı]],"xəta",0)</f>
        <v>Bolt-qayka / M16 / L 100 mm</v>
      </c>
      <c r="E869" s="8" t="s">
        <v>1778</v>
      </c>
      <c r="F869" s="4" t="s">
        <v>920</v>
      </c>
      <c r="G869" s="4">
        <v>9</v>
      </c>
      <c r="H869" s="4"/>
      <c r="I869" s="4">
        <f>Table4[[#This Row],[Malın miqdarı]]*Table4[[#This Row],[Vahidin qiyməti]]</f>
        <v>0</v>
      </c>
      <c r="J869" s="4" t="s">
        <v>899</v>
      </c>
      <c r="K869" s="4" t="s">
        <v>893</v>
      </c>
      <c r="L869" s="4">
        <f>_xlfn.XLOOKUP(Table4[[#This Row],[Kontragentin adı]],Table2[Kontragentin adı],Table2[Müqavilə nömrəsi],"Xəta",0)</f>
        <v>0</v>
      </c>
      <c r="M869" s="4">
        <f>_xlfn.XLOOKUP(Table4[[#This Row],[Kontragentin adı]],Table2[Kontragentin adı],Table2[Müqavilə nömrəsi],"Xəta",0)</f>
        <v>0</v>
      </c>
    </row>
    <row r="870" spans="2:13" x14ac:dyDescent="0.3">
      <c r="B870" s="4">
        <f t="shared" si="13"/>
        <v>867</v>
      </c>
      <c r="C870" s="5">
        <v>46174</v>
      </c>
      <c r="D870" s="10" t="str" cm="1">
        <f t="array" ref="D870">_xlfn.XLOOKUP(Table4[[#This Row],[Malın kodu]],Table1[[#All],[Malın kodu]],Table1[[#All],[Malın adı]],"xəta",0)</f>
        <v>Şayba / M16</v>
      </c>
      <c r="E870" s="8" t="s">
        <v>1779</v>
      </c>
      <c r="F870" s="4" t="s">
        <v>920</v>
      </c>
      <c r="G870" s="4">
        <v>100</v>
      </c>
      <c r="H870" s="4"/>
      <c r="I870" s="4">
        <f>Table4[[#This Row],[Malın miqdarı]]*Table4[[#This Row],[Vahidin qiyməti]]</f>
        <v>0</v>
      </c>
      <c r="J870" s="4" t="s">
        <v>899</v>
      </c>
      <c r="K870" s="4" t="s">
        <v>893</v>
      </c>
      <c r="L870" s="4">
        <f>_xlfn.XLOOKUP(Table4[[#This Row],[Kontragentin adı]],Table2[Kontragentin adı],Table2[Müqavilə nömrəsi],"Xəta",0)</f>
        <v>0</v>
      </c>
      <c r="M870" s="4">
        <f>_xlfn.XLOOKUP(Table4[[#This Row],[Kontragentin adı]],Table2[Kontragentin adı],Table2[Müqavilə nömrəsi],"Xəta",0)</f>
        <v>0</v>
      </c>
    </row>
    <row r="871" spans="2:13" x14ac:dyDescent="0.3">
      <c r="B871" s="4">
        <f t="shared" si="13"/>
        <v>868</v>
      </c>
      <c r="C871" s="5">
        <v>46174</v>
      </c>
      <c r="D871" s="10" t="str" cm="1">
        <f t="array" ref="D871">_xlfn.XLOOKUP(Table4[[#This Row],[Malın kodu]],Table1[[#All],[Malın kodu]],Table1[[#All],[Malın adı]],"xəta",0)</f>
        <v>Bolt / M18 / L90 mm</v>
      </c>
      <c r="E871" s="8" t="s">
        <v>1780</v>
      </c>
      <c r="F871" s="4" t="s">
        <v>920</v>
      </c>
      <c r="G871" s="4">
        <v>8</v>
      </c>
      <c r="H871" s="4"/>
      <c r="I871" s="4">
        <f>Table4[[#This Row],[Malın miqdarı]]*Table4[[#This Row],[Vahidin qiyməti]]</f>
        <v>0</v>
      </c>
      <c r="J871" s="4" t="s">
        <v>899</v>
      </c>
      <c r="K871" s="4" t="s">
        <v>893</v>
      </c>
      <c r="L871" s="4">
        <f>_xlfn.XLOOKUP(Table4[[#This Row],[Kontragentin adı]],Table2[Kontragentin adı],Table2[Müqavilə nömrəsi],"Xəta",0)</f>
        <v>0</v>
      </c>
      <c r="M871" s="4">
        <f>_xlfn.XLOOKUP(Table4[[#This Row],[Kontragentin adı]],Table2[Kontragentin adı],Table2[Müqavilə nömrəsi],"Xəta",0)</f>
        <v>0</v>
      </c>
    </row>
    <row r="872" spans="2:13" x14ac:dyDescent="0.3">
      <c r="B872" s="4">
        <f t="shared" si="13"/>
        <v>869</v>
      </c>
      <c r="C872" s="5">
        <v>46174</v>
      </c>
      <c r="D872" s="10" t="str" cm="1">
        <f t="array" ref="D872">_xlfn.XLOOKUP(Table4[[#This Row],[Malın kodu]],Table1[[#All],[Malın kodu]],Table1[[#All],[Malın adı]],"xəta",0)</f>
        <v>Bolt / M26 / L150 mm</v>
      </c>
      <c r="E872" s="8" t="s">
        <v>1781</v>
      </c>
      <c r="F872" s="4" t="s">
        <v>920</v>
      </c>
      <c r="G872" s="4">
        <v>14</v>
      </c>
      <c r="H872" s="4"/>
      <c r="I872" s="4">
        <f>Table4[[#This Row],[Malın miqdarı]]*Table4[[#This Row],[Vahidin qiyməti]]</f>
        <v>0</v>
      </c>
      <c r="J872" s="4" t="s">
        <v>899</v>
      </c>
      <c r="K872" s="4" t="s">
        <v>893</v>
      </c>
      <c r="L872" s="4">
        <f>_xlfn.XLOOKUP(Table4[[#This Row],[Kontragentin adı]],Table2[Kontragentin adı],Table2[Müqavilə nömrəsi],"Xəta",0)</f>
        <v>0</v>
      </c>
      <c r="M872" s="4">
        <f>_xlfn.XLOOKUP(Table4[[#This Row],[Kontragentin adı]],Table2[Kontragentin adı],Table2[Müqavilə nömrəsi],"Xəta",0)</f>
        <v>0</v>
      </c>
    </row>
    <row r="873" spans="2:13" x14ac:dyDescent="0.3">
      <c r="B873" s="4">
        <f t="shared" si="13"/>
        <v>870</v>
      </c>
      <c r="C873" s="5">
        <v>46174</v>
      </c>
      <c r="D873" s="10" t="str" cm="1">
        <f t="array" ref="D873">_xlfn.XLOOKUP(Table4[[#This Row],[Malın kodu]],Table1[[#All],[Malın kodu]],Table1[[#All],[Malın adı]],"xəta",0)</f>
        <v>Qayış / 17x2000 La</v>
      </c>
      <c r="E873" s="8" t="s">
        <v>1782</v>
      </c>
      <c r="F873" s="4" t="s">
        <v>920</v>
      </c>
      <c r="G873" s="4">
        <v>7</v>
      </c>
      <c r="H873" s="4"/>
      <c r="I873" s="4">
        <f>Table4[[#This Row],[Malın miqdarı]]*Table4[[#This Row],[Vahidin qiyməti]]</f>
        <v>0</v>
      </c>
      <c r="J873" s="4" t="s">
        <v>899</v>
      </c>
      <c r="K873" s="4" t="s">
        <v>893</v>
      </c>
      <c r="L873" s="4">
        <f>_xlfn.XLOOKUP(Table4[[#This Row],[Kontragentin adı]],Table2[Kontragentin adı],Table2[Müqavilə nömrəsi],"Xəta",0)</f>
        <v>0</v>
      </c>
      <c r="M873" s="4">
        <f>_xlfn.XLOOKUP(Table4[[#This Row],[Kontragentin adı]],Table2[Kontragentin adı],Table2[Müqavilə nömrəsi],"Xəta",0)</f>
        <v>0</v>
      </c>
    </row>
    <row r="874" spans="2:13" x14ac:dyDescent="0.3">
      <c r="B874" s="4">
        <f t="shared" si="13"/>
        <v>871</v>
      </c>
      <c r="C874" s="5">
        <v>46174</v>
      </c>
      <c r="D874" s="10" t="str" cm="1">
        <f t="array" ref="D874">_xlfn.XLOOKUP(Table4[[#This Row],[Malın kodu]],Table1[[#All],[Malın kodu]],Table1[[#All],[Malın adı]],"xəta",0)</f>
        <v>Rezin kant / qırmızı / İsveçrə istehsalı</v>
      </c>
      <c r="E874" s="8" t="s">
        <v>1783</v>
      </c>
      <c r="F874" s="4" t="s">
        <v>922</v>
      </c>
      <c r="G874" s="4">
        <v>1</v>
      </c>
      <c r="H874" s="4"/>
      <c r="I874" s="4">
        <f>Table4[[#This Row],[Malın miqdarı]]*Table4[[#This Row],[Vahidin qiyməti]]</f>
        <v>0</v>
      </c>
      <c r="J874" s="4" t="s">
        <v>899</v>
      </c>
      <c r="K874" s="4" t="s">
        <v>893</v>
      </c>
      <c r="L874" s="4">
        <f>_xlfn.XLOOKUP(Table4[[#This Row],[Kontragentin adı]],Table2[Kontragentin adı],Table2[Müqavilə nömrəsi],"Xəta",0)</f>
        <v>0</v>
      </c>
      <c r="M874" s="4">
        <f>_xlfn.XLOOKUP(Table4[[#This Row],[Kontragentin adı]],Table2[Kontragentin adı],Table2[Müqavilə nömrəsi],"Xəta",0)</f>
        <v>0</v>
      </c>
    </row>
    <row r="875" spans="2:13" x14ac:dyDescent="0.3">
      <c r="B875" s="4">
        <f t="shared" si="13"/>
        <v>872</v>
      </c>
      <c r="C875" s="5">
        <v>46174</v>
      </c>
      <c r="D875" s="10" t="str" cm="1">
        <f t="array" ref="D875">_xlfn.XLOOKUP(Table4[[#This Row],[Malın kodu]],Table1[[#All],[Malın kodu]],Table1[[#All],[Malın adı]],"xəta",0)</f>
        <v>Transportyor lenti / eni 300 mm</v>
      </c>
      <c r="E875" s="8" t="s">
        <v>1784</v>
      </c>
      <c r="F875" s="4" t="s">
        <v>929</v>
      </c>
      <c r="G875" s="4">
        <v>1</v>
      </c>
      <c r="H875" s="4"/>
      <c r="I875" s="4">
        <f>Table4[[#This Row],[Malın miqdarı]]*Table4[[#This Row],[Vahidin qiyməti]]</f>
        <v>0</v>
      </c>
      <c r="J875" s="4" t="s">
        <v>899</v>
      </c>
      <c r="K875" s="4" t="s">
        <v>893</v>
      </c>
      <c r="L875" s="4">
        <f>_xlfn.XLOOKUP(Table4[[#This Row],[Kontragentin adı]],Table2[Kontragentin adı],Table2[Müqavilə nömrəsi],"Xəta",0)</f>
        <v>0</v>
      </c>
      <c r="M875" s="4">
        <f>_xlfn.XLOOKUP(Table4[[#This Row],[Kontragentin adı]],Table2[Kontragentin adı],Table2[Müqavilə nömrəsi],"Xəta",0)</f>
        <v>0</v>
      </c>
    </row>
    <row r="876" spans="2:13" x14ac:dyDescent="0.3">
      <c r="B876" s="4">
        <f t="shared" si="13"/>
        <v>873</v>
      </c>
      <c r="C876" s="5">
        <v>46174</v>
      </c>
      <c r="D876" s="10" t="str" cm="1">
        <f t="array" ref="D876">_xlfn.XLOOKUP(Table4[[#This Row],[Malın kodu]],Table1[[#All],[Malın kodu]],Table1[[#All],[Malın adı]],"xəta",0)</f>
        <v>Ştuser / hava / d=10 mm</v>
      </c>
      <c r="E876" s="8" t="s">
        <v>1785</v>
      </c>
      <c r="F876" s="4" t="s">
        <v>920</v>
      </c>
      <c r="G876" s="4">
        <v>9</v>
      </c>
      <c r="H876" s="4"/>
      <c r="I876" s="4">
        <f>Table4[[#This Row],[Malın miqdarı]]*Table4[[#This Row],[Vahidin qiyməti]]</f>
        <v>0</v>
      </c>
      <c r="J876" s="4" t="s">
        <v>899</v>
      </c>
      <c r="K876" s="4" t="s">
        <v>893</v>
      </c>
      <c r="L876" s="4">
        <f>_xlfn.XLOOKUP(Table4[[#This Row],[Kontragentin adı]],Table2[Kontragentin adı],Table2[Müqavilə nömrəsi],"Xəta",0)</f>
        <v>0</v>
      </c>
      <c r="M876" s="4">
        <f>_xlfn.XLOOKUP(Table4[[#This Row],[Kontragentin adı]],Table2[Kontragentin adı],Table2[Müqavilə nömrəsi],"Xəta",0)</f>
        <v>0</v>
      </c>
    </row>
    <row r="877" spans="2:13" x14ac:dyDescent="0.3">
      <c r="B877" s="4">
        <f t="shared" si="13"/>
        <v>874</v>
      </c>
      <c r="C877" s="5">
        <v>46174</v>
      </c>
      <c r="D877" s="10" t="str" cm="1">
        <f t="array" ref="D877">_xlfn.XLOOKUP(Table4[[#This Row],[Malın kodu]],Table1[[#All],[Malın kodu]],Table1[[#All],[Malın adı]],"xəta",0)</f>
        <v>Üçlük / d 32 mm / polietilen / B</v>
      </c>
      <c r="E877" s="8" t="s">
        <v>1786</v>
      </c>
      <c r="F877" s="4" t="s">
        <v>920</v>
      </c>
      <c r="G877" s="4">
        <v>1</v>
      </c>
      <c r="H877" s="4"/>
      <c r="I877" s="4">
        <f>Table4[[#This Row],[Malın miqdarı]]*Table4[[#This Row],[Vahidin qiyməti]]</f>
        <v>0</v>
      </c>
      <c r="J877" s="4" t="s">
        <v>899</v>
      </c>
      <c r="K877" s="4" t="s">
        <v>893</v>
      </c>
      <c r="L877" s="4">
        <f>_xlfn.XLOOKUP(Table4[[#This Row],[Kontragentin adı]],Table2[Kontragentin adı],Table2[Müqavilə nömrəsi],"Xəta",0)</f>
        <v>0</v>
      </c>
      <c r="M877" s="4">
        <f>_xlfn.XLOOKUP(Table4[[#This Row],[Kontragentin adı]],Table2[Kontragentin adı],Table2[Müqavilə nömrəsi],"Xəta",0)</f>
        <v>0</v>
      </c>
    </row>
    <row r="878" spans="2:13" x14ac:dyDescent="0.3">
      <c r="B878" s="4">
        <f t="shared" si="13"/>
        <v>875</v>
      </c>
      <c r="C878" s="5">
        <v>46174</v>
      </c>
      <c r="D878" s="10" t="str" cm="1">
        <f t="array" ref="D878">_xlfn.XLOOKUP(Table4[[#This Row],[Malın kodu]],Table1[[#All],[Malın kodu]],Table1[[#All],[Malın adı]],"xəta",0)</f>
        <v>Fırça / metal / 4 inch / laqonda üçün</v>
      </c>
      <c r="E878" s="8" t="s">
        <v>1787</v>
      </c>
      <c r="F878" s="4" t="s">
        <v>920</v>
      </c>
      <c r="G878" s="4">
        <v>1</v>
      </c>
      <c r="H878" s="4"/>
      <c r="I878" s="4">
        <f>Table4[[#This Row],[Malın miqdarı]]*Table4[[#This Row],[Vahidin qiyməti]]</f>
        <v>0</v>
      </c>
      <c r="J878" s="4" t="s">
        <v>899</v>
      </c>
      <c r="K878" s="4" t="s">
        <v>893</v>
      </c>
      <c r="L878" s="4">
        <f>_xlfn.XLOOKUP(Table4[[#This Row],[Kontragentin adı]],Table2[Kontragentin adı],Table2[Müqavilə nömrəsi],"Xəta",0)</f>
        <v>0</v>
      </c>
      <c r="M878" s="4">
        <f>_xlfn.XLOOKUP(Table4[[#This Row],[Kontragentin adı]],Table2[Kontragentin adı],Table2[Müqavilə nömrəsi],"Xəta",0)</f>
        <v>0</v>
      </c>
    </row>
    <row r="879" spans="2:13" x14ac:dyDescent="0.3">
      <c r="B879" s="4">
        <f t="shared" si="13"/>
        <v>876</v>
      </c>
      <c r="C879" s="5">
        <v>46174</v>
      </c>
      <c r="D879" s="10" t="str" cm="1">
        <f t="array" ref="D879">_xlfn.XLOOKUP(Table4[[#This Row],[Malın kodu]],Table1[[#All],[Malın kodu]],Table1[[#All],[Malın adı]],"xəta",0)</f>
        <v>Ventil / metal / 2 inch</v>
      </c>
      <c r="E879" s="8" t="s">
        <v>1788</v>
      </c>
      <c r="F879" s="4" t="s">
        <v>922</v>
      </c>
      <c r="G879" s="4">
        <v>1</v>
      </c>
      <c r="H879" s="4"/>
      <c r="I879" s="4">
        <f>Table4[[#This Row],[Malın miqdarı]]*Table4[[#This Row],[Vahidin qiyməti]]</f>
        <v>0</v>
      </c>
      <c r="J879" s="4" t="s">
        <v>899</v>
      </c>
      <c r="K879" s="4" t="s">
        <v>893</v>
      </c>
      <c r="L879" s="4">
        <f>_xlfn.XLOOKUP(Table4[[#This Row],[Kontragentin adı]],Table2[Kontragentin adı],Table2[Müqavilə nömrəsi],"Xəta",0)</f>
        <v>0</v>
      </c>
      <c r="M879" s="4">
        <f>_xlfn.XLOOKUP(Table4[[#This Row],[Kontragentin adı]],Table2[Kontragentin adı],Table2[Müqavilə nömrəsi],"Xəta",0)</f>
        <v>0</v>
      </c>
    </row>
    <row r="880" spans="2:13" x14ac:dyDescent="0.3">
      <c r="B880" s="4">
        <f t="shared" si="13"/>
        <v>877</v>
      </c>
      <c r="C880" s="5">
        <v>46174</v>
      </c>
      <c r="D880" s="10" t="str" cm="1">
        <f t="array" ref="D880">_xlfn.XLOOKUP(Table4[[#This Row],[Malın kodu]],Table1[[#All],[Malın kodu]],Table1[[#All],[Malın adı]],"xəta",0)</f>
        <v>Tıxac / şurup üçün</v>
      </c>
      <c r="E880" s="8" t="s">
        <v>1789</v>
      </c>
      <c r="F880" s="4" t="s">
        <v>922</v>
      </c>
      <c r="G880" s="4">
        <v>3</v>
      </c>
      <c r="H880" s="4"/>
      <c r="I880" s="4">
        <f>Table4[[#This Row],[Malın miqdarı]]*Table4[[#This Row],[Vahidin qiyməti]]</f>
        <v>0</v>
      </c>
      <c r="J880" s="4" t="s">
        <v>899</v>
      </c>
      <c r="K880" s="4" t="s">
        <v>893</v>
      </c>
      <c r="L880" s="4">
        <f>_xlfn.XLOOKUP(Table4[[#This Row],[Kontragentin adı]],Table2[Kontragentin adı],Table2[Müqavilə nömrəsi],"Xəta",0)</f>
        <v>0</v>
      </c>
      <c r="M880" s="4">
        <f>_xlfn.XLOOKUP(Table4[[#This Row],[Kontragentin adı]],Table2[Kontragentin adı],Table2[Müqavilə nömrəsi],"Xəta",0)</f>
        <v>0</v>
      </c>
    </row>
    <row r="881" spans="2:13" x14ac:dyDescent="0.3">
      <c r="B881" s="4">
        <f t="shared" si="13"/>
        <v>878</v>
      </c>
      <c r="C881" s="5">
        <v>46174</v>
      </c>
      <c r="D881" s="10" t="str" cm="1">
        <f t="array" ref="D881">_xlfn.XLOOKUP(Table4[[#This Row],[Malın kodu]],Table1[[#All],[Malın kodu]],Table1[[#All],[Malın adı]],"xəta",0)</f>
        <v>Üçlük / metal / ştuser tipli / d10mm / hava</v>
      </c>
      <c r="E881" s="8" t="s">
        <v>1790</v>
      </c>
      <c r="F881" s="4" t="s">
        <v>920</v>
      </c>
      <c r="G881" s="4">
        <v>3</v>
      </c>
      <c r="H881" s="4"/>
      <c r="I881" s="4">
        <f>Table4[[#This Row],[Malın miqdarı]]*Table4[[#This Row],[Vahidin qiyməti]]</f>
        <v>0</v>
      </c>
      <c r="J881" s="4" t="s">
        <v>899</v>
      </c>
      <c r="K881" s="4" t="s">
        <v>893</v>
      </c>
      <c r="L881" s="4">
        <f>_xlfn.XLOOKUP(Table4[[#This Row],[Kontragentin adı]],Table2[Kontragentin adı],Table2[Müqavilə nömrəsi],"Xəta",0)</f>
        <v>0</v>
      </c>
      <c r="M881" s="4">
        <f>_xlfn.XLOOKUP(Table4[[#This Row],[Kontragentin adı]],Table2[Kontragentin adı],Table2[Müqavilə nömrəsi],"Xəta",0)</f>
        <v>0</v>
      </c>
    </row>
    <row r="882" spans="2:13" x14ac:dyDescent="0.3">
      <c r="B882" s="4">
        <f t="shared" si="13"/>
        <v>879</v>
      </c>
      <c r="C882" s="5">
        <v>46174</v>
      </c>
      <c r="D882" s="10" t="str" cm="1">
        <f t="array" ref="D882">_xlfn.XLOOKUP(Table4[[#This Row],[Malın kodu]],Table1[[#All],[Malın kodu]],Table1[[#All],[Malın adı]],"xəta",0)</f>
        <v>Mufta / d 20 mm / polipropilen / B</v>
      </c>
      <c r="E882" s="8" t="s">
        <v>1791</v>
      </c>
      <c r="F882" s="4" t="s">
        <v>920</v>
      </c>
      <c r="G882" s="4">
        <v>59</v>
      </c>
      <c r="H882" s="4"/>
      <c r="I882" s="4">
        <f>Table4[[#This Row],[Malın miqdarı]]*Table4[[#This Row],[Vahidin qiyməti]]</f>
        <v>0</v>
      </c>
      <c r="J882" s="4" t="s">
        <v>899</v>
      </c>
      <c r="K882" s="4" t="s">
        <v>893</v>
      </c>
      <c r="L882" s="4">
        <f>_xlfn.XLOOKUP(Table4[[#This Row],[Kontragentin adı]],Table2[Kontragentin adı],Table2[Müqavilə nömrəsi],"Xəta",0)</f>
        <v>0</v>
      </c>
      <c r="M882" s="4">
        <f>_xlfn.XLOOKUP(Table4[[#This Row],[Kontragentin adı]],Table2[Kontragentin adı],Table2[Müqavilə nömrəsi],"Xəta",0)</f>
        <v>0</v>
      </c>
    </row>
    <row r="883" spans="2:13" x14ac:dyDescent="0.3">
      <c r="B883" s="4">
        <f t="shared" si="13"/>
        <v>880</v>
      </c>
      <c r="C883" s="5">
        <v>46174</v>
      </c>
      <c r="D883" s="10" t="str" cm="1">
        <f t="array" ref="D883">_xlfn.XLOOKUP(Table4[[#This Row],[Malın kodu]],Table1[[#All],[Malın kodu]],Table1[[#All],[Malın adı]],"xəta",0)</f>
        <v>Şayba / d 22mm</v>
      </c>
      <c r="E883" s="8" t="s">
        <v>1792</v>
      </c>
      <c r="F883" s="4" t="s">
        <v>920</v>
      </c>
      <c r="G883" s="4">
        <v>40</v>
      </c>
      <c r="H883" s="4"/>
      <c r="I883" s="4">
        <f>Table4[[#This Row],[Malın miqdarı]]*Table4[[#This Row],[Vahidin qiyməti]]</f>
        <v>0</v>
      </c>
      <c r="J883" s="4" t="s">
        <v>899</v>
      </c>
      <c r="K883" s="4" t="s">
        <v>893</v>
      </c>
      <c r="L883" s="4">
        <f>_xlfn.XLOOKUP(Table4[[#This Row],[Kontragentin adı]],Table2[Kontragentin adı],Table2[Müqavilə nömrəsi],"Xəta",0)</f>
        <v>0</v>
      </c>
      <c r="M883" s="4">
        <f>_xlfn.XLOOKUP(Table4[[#This Row],[Kontragentin adı]],Table2[Kontragentin adı],Table2[Müqavilə nömrəsi],"Xəta",0)</f>
        <v>0</v>
      </c>
    </row>
    <row r="884" spans="2:13" x14ac:dyDescent="0.3">
      <c r="B884" s="4">
        <f t="shared" si="13"/>
        <v>881</v>
      </c>
      <c r="C884" s="5">
        <v>46174</v>
      </c>
      <c r="D884" s="10" t="str" cm="1">
        <f t="array" ref="D884">_xlfn.XLOOKUP(Table4[[#This Row],[Malın kodu]],Table1[[#All],[Malın kodu]],Table1[[#All],[Malın adı]],"xəta",0)</f>
        <v>Su pompası / 0.37 kW / 5-33 L/d / H35 m / hidroforla / "SKOM"</v>
      </c>
      <c r="E884" s="8" t="s">
        <v>1793</v>
      </c>
      <c r="F884" s="4" t="s">
        <v>920</v>
      </c>
      <c r="G884" s="4">
        <v>1</v>
      </c>
      <c r="H884" s="4"/>
      <c r="I884" s="4">
        <f>Table4[[#This Row],[Malın miqdarı]]*Table4[[#This Row],[Vahidin qiyməti]]</f>
        <v>0</v>
      </c>
      <c r="J884" s="4" t="s">
        <v>899</v>
      </c>
      <c r="K884" s="4" t="s">
        <v>893</v>
      </c>
      <c r="L884" s="4">
        <f>_xlfn.XLOOKUP(Table4[[#This Row],[Kontragentin adı]],Table2[Kontragentin adı],Table2[Müqavilə nömrəsi],"Xəta",0)</f>
        <v>0</v>
      </c>
      <c r="M884" s="4">
        <f>_xlfn.XLOOKUP(Table4[[#This Row],[Kontragentin adı]],Table2[Kontragentin adı],Table2[Müqavilə nömrəsi],"Xəta",0)</f>
        <v>0</v>
      </c>
    </row>
    <row r="885" spans="2:13" x14ac:dyDescent="0.3">
      <c r="B885" s="4">
        <f t="shared" si="13"/>
        <v>882</v>
      </c>
      <c r="C885" s="5">
        <v>46174</v>
      </c>
      <c r="D885" s="10" t="str" cm="1">
        <f t="array" ref="D885">_xlfn.XLOOKUP(Table4[[#This Row],[Malın kodu]],Table1[[#All],[Malın kodu]],Table1[[#All],[Malın adı]],"xəta",0)</f>
        <v>Dirsək / d 20 mm / polipropilen / 90°</v>
      </c>
      <c r="E885" s="8" t="s">
        <v>1794</v>
      </c>
      <c r="F885" s="4" t="s">
        <v>920</v>
      </c>
      <c r="G885" s="4">
        <v>7</v>
      </c>
      <c r="H885" s="4"/>
      <c r="I885" s="4">
        <f>Table4[[#This Row],[Malın miqdarı]]*Table4[[#This Row],[Vahidin qiyməti]]</f>
        <v>0</v>
      </c>
      <c r="J885" s="4" t="s">
        <v>899</v>
      </c>
      <c r="K885" s="4" t="s">
        <v>893</v>
      </c>
      <c r="L885" s="4">
        <f>_xlfn.XLOOKUP(Table4[[#This Row],[Kontragentin adı]],Table2[Kontragentin adı],Table2[Müqavilə nömrəsi],"Xəta",0)</f>
        <v>0</v>
      </c>
      <c r="M885" s="4">
        <f>_xlfn.XLOOKUP(Table4[[#This Row],[Kontragentin adı]],Table2[Kontragentin adı],Table2[Müqavilə nömrəsi],"Xəta",0)</f>
        <v>0</v>
      </c>
    </row>
    <row r="886" spans="2:13" x14ac:dyDescent="0.3">
      <c r="B886" s="4">
        <f t="shared" si="13"/>
        <v>883</v>
      </c>
      <c r="C886" s="5">
        <v>46174</v>
      </c>
      <c r="D886" s="10" t="str" cm="1">
        <f t="array" ref="D886">_xlfn.XLOOKUP(Table4[[#This Row],[Malın kodu]],Table1[[#All],[Malın kodu]],Table1[[#All],[Malın adı]],"xəta",0)</f>
        <v>Keçid / d 20mm x 1/2 inch / polipropilen / iç yiv</v>
      </c>
      <c r="E886" s="8" t="s">
        <v>1795</v>
      </c>
      <c r="F886" s="4" t="s">
        <v>920</v>
      </c>
      <c r="G886" s="4">
        <v>2</v>
      </c>
      <c r="H886" s="4"/>
      <c r="I886" s="4">
        <f>Table4[[#This Row],[Malın miqdarı]]*Table4[[#This Row],[Vahidin qiyməti]]</f>
        <v>0</v>
      </c>
      <c r="J886" s="4" t="s">
        <v>899</v>
      </c>
      <c r="K886" s="4" t="s">
        <v>893</v>
      </c>
      <c r="L886" s="4">
        <f>_xlfn.XLOOKUP(Table4[[#This Row],[Kontragentin adı]],Table2[Kontragentin adı],Table2[Müqavilə nömrəsi],"Xəta",0)</f>
        <v>0</v>
      </c>
      <c r="M886" s="4">
        <f>_xlfn.XLOOKUP(Table4[[#This Row],[Kontragentin adı]],Table2[Kontragentin adı],Table2[Müqavilə nömrəsi],"Xəta",0)</f>
        <v>0</v>
      </c>
    </row>
    <row r="887" spans="2:13" x14ac:dyDescent="0.3">
      <c r="B887" s="4">
        <f t="shared" si="13"/>
        <v>884</v>
      </c>
      <c r="C887" s="5">
        <v>46174</v>
      </c>
      <c r="D887" s="10" t="str" cm="1">
        <f t="array" ref="D887">_xlfn.XLOOKUP(Table4[[#This Row],[Malın kodu]],Table1[[#All],[Malın kodu]],Table1[[#All],[Malın adı]],"xəta",0)</f>
        <v>Keçid / d 20 mm / polipropilen / çöl yiv</v>
      </c>
      <c r="E887" s="8" t="s">
        <v>1796</v>
      </c>
      <c r="F887" s="4" t="s">
        <v>920</v>
      </c>
      <c r="G887" s="4">
        <v>2</v>
      </c>
      <c r="H887" s="4"/>
      <c r="I887" s="4">
        <f>Table4[[#This Row],[Malın miqdarı]]*Table4[[#This Row],[Vahidin qiyməti]]</f>
        <v>0</v>
      </c>
      <c r="J887" s="4" t="s">
        <v>899</v>
      </c>
      <c r="K887" s="4" t="s">
        <v>893</v>
      </c>
      <c r="L887" s="4">
        <f>_xlfn.XLOOKUP(Table4[[#This Row],[Kontragentin adı]],Table2[Kontragentin adı],Table2[Müqavilə nömrəsi],"Xəta",0)</f>
        <v>0</v>
      </c>
      <c r="M887" s="4">
        <f>_xlfn.XLOOKUP(Table4[[#This Row],[Kontragentin adı]],Table2[Kontragentin adı],Table2[Müqavilə nömrəsi],"Xəta",0)</f>
        <v>0</v>
      </c>
    </row>
    <row r="888" spans="2:13" x14ac:dyDescent="0.3">
      <c r="B888" s="4">
        <f t="shared" si="13"/>
        <v>885</v>
      </c>
      <c r="C888" s="5">
        <v>46174</v>
      </c>
      <c r="D888" s="10" t="str" cm="1">
        <f t="array" ref="D888">_xlfn.XLOOKUP(Table4[[#This Row],[Malın kodu]],Table1[[#All],[Malın kodu]],Table1[[#All],[Malın adı]],"xəta",0)</f>
        <v>Başlıq / cilalayıcı kağız üçün / d 180 mm</v>
      </c>
      <c r="E888" s="8" t="s">
        <v>1797</v>
      </c>
      <c r="F888" s="4" t="s">
        <v>920</v>
      </c>
      <c r="G888" s="4">
        <v>2</v>
      </c>
      <c r="H888" s="4"/>
      <c r="I888" s="4">
        <f>Table4[[#This Row],[Malın miqdarı]]*Table4[[#This Row],[Vahidin qiyməti]]</f>
        <v>0</v>
      </c>
      <c r="J888" s="4" t="s">
        <v>899</v>
      </c>
      <c r="K888" s="4" t="s">
        <v>893</v>
      </c>
      <c r="L888" s="4">
        <f>_xlfn.XLOOKUP(Table4[[#This Row],[Kontragentin adı]],Table2[Kontragentin adı],Table2[Müqavilə nömrəsi],"Xəta",0)</f>
        <v>0</v>
      </c>
      <c r="M888" s="4">
        <f>_xlfn.XLOOKUP(Table4[[#This Row],[Kontragentin adı]],Table2[Kontragentin adı],Table2[Müqavilə nömrəsi],"Xəta",0)</f>
        <v>0</v>
      </c>
    </row>
    <row r="889" spans="2:13" x14ac:dyDescent="0.3">
      <c r="B889" s="4">
        <f t="shared" si="13"/>
        <v>886</v>
      </c>
      <c r="C889" s="5">
        <v>46174</v>
      </c>
      <c r="D889" s="10" t="str" cm="1">
        <f t="array" ref="D889">_xlfn.XLOOKUP(Table4[[#This Row],[Malın kodu]],Table1[[#All],[Malın kodu]],Table1[[#All],[Malın adı]],"xəta",0)</f>
        <v>Pər / mühərrikli / havalandırma sistemi üçün</v>
      </c>
      <c r="E889" s="8" t="s">
        <v>1798</v>
      </c>
      <c r="F889" s="4" t="s">
        <v>920</v>
      </c>
      <c r="G889" s="4">
        <v>1</v>
      </c>
      <c r="H889" s="4"/>
      <c r="I889" s="4">
        <f>Table4[[#This Row],[Malın miqdarı]]*Table4[[#This Row],[Vahidin qiyməti]]</f>
        <v>0</v>
      </c>
      <c r="J889" s="4" t="s">
        <v>899</v>
      </c>
      <c r="K889" s="4" t="s">
        <v>893</v>
      </c>
      <c r="L889" s="4">
        <f>_xlfn.XLOOKUP(Table4[[#This Row],[Kontragentin adı]],Table2[Kontragentin adı],Table2[Müqavilə nömrəsi],"Xəta",0)</f>
        <v>0</v>
      </c>
      <c r="M889" s="4">
        <f>_xlfn.XLOOKUP(Table4[[#This Row],[Kontragentin adı]],Table2[Kontragentin adı],Table2[Müqavilə nömrəsi],"Xəta",0)</f>
        <v>0</v>
      </c>
    </row>
    <row r="890" spans="2:13" x14ac:dyDescent="0.3">
      <c r="B890" s="4">
        <f t="shared" si="13"/>
        <v>887</v>
      </c>
      <c r="C890" s="5">
        <v>46174</v>
      </c>
      <c r="D890" s="10" t="str" cm="1">
        <f t="array" ref="D890">_xlfn.XLOOKUP(Table4[[#This Row],[Malın kodu]],Table1[[#All],[Malın kodu]],Table1[[#All],[Malın adı]],"xəta",0)</f>
        <v>Pnevmatik çəkic</v>
      </c>
      <c r="E890" s="8" t="s">
        <v>1799</v>
      </c>
      <c r="F890" s="4" t="s">
        <v>920</v>
      </c>
      <c r="G890" s="4">
        <v>1</v>
      </c>
      <c r="H890" s="4"/>
      <c r="I890" s="4">
        <f>Table4[[#This Row],[Malın miqdarı]]*Table4[[#This Row],[Vahidin qiyməti]]</f>
        <v>0</v>
      </c>
      <c r="J890" s="4" t="s">
        <v>899</v>
      </c>
      <c r="K890" s="4" t="s">
        <v>893</v>
      </c>
      <c r="L890" s="4">
        <f>_xlfn.XLOOKUP(Table4[[#This Row],[Kontragentin adı]],Table2[Kontragentin adı],Table2[Müqavilə nömrəsi],"Xəta",0)</f>
        <v>0</v>
      </c>
      <c r="M890" s="4">
        <f>_xlfn.XLOOKUP(Table4[[#This Row],[Kontragentin adı]],Table2[Kontragentin adı],Table2[Müqavilə nömrəsi],"Xəta",0)</f>
        <v>0</v>
      </c>
    </row>
    <row r="891" spans="2:13" x14ac:dyDescent="0.3">
      <c r="B891" s="4">
        <f t="shared" si="13"/>
        <v>888</v>
      </c>
      <c r="C891" s="5">
        <v>46174</v>
      </c>
      <c r="D891" s="10" t="str" cm="1">
        <f t="array" ref="D891">_xlfn.XLOOKUP(Table4[[#This Row],[Malın kodu]],Table1[[#All],[Malın kodu]],Table1[[#All],[Malın adı]],"xəta",0)</f>
        <v>Xomut / PVC / d 75 mm</v>
      </c>
      <c r="E891" s="8" t="s">
        <v>1800</v>
      </c>
      <c r="F891" s="4" t="s">
        <v>920</v>
      </c>
      <c r="G891" s="4">
        <v>5</v>
      </c>
      <c r="H891" s="4"/>
      <c r="I891" s="4">
        <f>Table4[[#This Row],[Malın miqdarı]]*Table4[[#This Row],[Vahidin qiyməti]]</f>
        <v>0</v>
      </c>
      <c r="J891" s="4" t="s">
        <v>899</v>
      </c>
      <c r="K891" s="4" t="s">
        <v>893</v>
      </c>
      <c r="L891" s="4">
        <f>_xlfn.XLOOKUP(Table4[[#This Row],[Kontragentin adı]],Table2[Kontragentin adı],Table2[Müqavilə nömrəsi],"Xəta",0)</f>
        <v>0</v>
      </c>
      <c r="M891" s="4">
        <f>_xlfn.XLOOKUP(Table4[[#This Row],[Kontragentin adı]],Table2[Kontragentin adı],Table2[Müqavilə nömrəsi],"Xəta",0)</f>
        <v>0</v>
      </c>
    </row>
    <row r="892" spans="2:13" x14ac:dyDescent="0.3">
      <c r="B892" s="4">
        <f t="shared" si="13"/>
        <v>889</v>
      </c>
      <c r="C892" s="5">
        <v>46174</v>
      </c>
      <c r="D892" s="10" t="str" cm="1">
        <f t="array" ref="D892">_xlfn.XLOOKUP(Table4[[#This Row],[Malın kodu]],Table1[[#All],[Malın kodu]],Table1[[#All],[Malın adı]],"xəta",0)</f>
        <v>Xomut / PVC / d 100 mm</v>
      </c>
      <c r="E892" s="8" t="s">
        <v>1801</v>
      </c>
      <c r="F892" s="4" t="s">
        <v>920</v>
      </c>
      <c r="G892" s="4">
        <v>10</v>
      </c>
      <c r="H892" s="4"/>
      <c r="I892" s="4">
        <f>Table4[[#This Row],[Malın miqdarı]]*Table4[[#This Row],[Vahidin qiyməti]]</f>
        <v>0</v>
      </c>
      <c r="J892" s="4" t="s">
        <v>899</v>
      </c>
      <c r="K892" s="4" t="s">
        <v>893</v>
      </c>
      <c r="L892" s="4">
        <f>_xlfn.XLOOKUP(Table4[[#This Row],[Kontragentin adı]],Table2[Kontragentin adı],Table2[Müqavilə nömrəsi],"Xəta",0)</f>
        <v>0</v>
      </c>
      <c r="M892" s="4">
        <f>_xlfn.XLOOKUP(Table4[[#This Row],[Kontragentin adı]],Table2[Kontragentin adı],Table2[Müqavilə nömrəsi],"Xəta",0)</f>
        <v>0</v>
      </c>
    </row>
    <row r="893" spans="2:13" x14ac:dyDescent="0.3">
      <c r="B893" s="4">
        <f t="shared" si="13"/>
        <v>890</v>
      </c>
      <c r="C893" s="5">
        <v>46174</v>
      </c>
      <c r="D893" s="10" t="str" cm="1">
        <f t="array" ref="D893">_xlfn.XLOOKUP(Table4[[#This Row],[Malın kodu]],Table1[[#All],[Malın kodu]],Table1[[#All],[Malın adı]],"xəta",0)</f>
        <v>Keçid / elektrik kabel üçün / PG29 / IP68</v>
      </c>
      <c r="E893" s="8" t="s">
        <v>1802</v>
      </c>
      <c r="F893" s="4" t="s">
        <v>920</v>
      </c>
      <c r="G893" s="4">
        <v>3</v>
      </c>
      <c r="H893" s="4"/>
      <c r="I893" s="4">
        <f>Table4[[#This Row],[Malın miqdarı]]*Table4[[#This Row],[Vahidin qiyməti]]</f>
        <v>0</v>
      </c>
      <c r="J893" s="4" t="s">
        <v>899</v>
      </c>
      <c r="K893" s="4" t="s">
        <v>893</v>
      </c>
      <c r="L893" s="4">
        <f>_xlfn.XLOOKUP(Table4[[#This Row],[Kontragentin adı]],Table2[Kontragentin adı],Table2[Müqavilə nömrəsi],"Xəta",0)</f>
        <v>0</v>
      </c>
      <c r="M893" s="4">
        <f>_xlfn.XLOOKUP(Table4[[#This Row],[Kontragentin adı]],Table2[Kontragentin adı],Table2[Müqavilə nömrəsi],"Xəta",0)</f>
        <v>0</v>
      </c>
    </row>
    <row r="894" spans="2:13" x14ac:dyDescent="0.3">
      <c r="B894" s="4">
        <f t="shared" si="13"/>
        <v>891</v>
      </c>
      <c r="C894" s="5">
        <v>46174</v>
      </c>
      <c r="D894" s="10" t="str" cm="1">
        <f t="array" ref="D894">_xlfn.XLOOKUP(Table4[[#This Row],[Malın kodu]],Table1[[#All],[Malın kodu]],Table1[[#All],[Malın adı]],"xəta",0)</f>
        <v>Odla kəsici / qaz</v>
      </c>
      <c r="E894" s="8" t="s">
        <v>1803</v>
      </c>
      <c r="F894" s="4" t="s">
        <v>920</v>
      </c>
      <c r="G894" s="4">
        <v>1</v>
      </c>
      <c r="H894" s="4"/>
      <c r="I894" s="4">
        <f>Table4[[#This Row],[Malın miqdarı]]*Table4[[#This Row],[Vahidin qiyməti]]</f>
        <v>0</v>
      </c>
      <c r="J894" s="4" t="s">
        <v>899</v>
      </c>
      <c r="K894" s="4" t="s">
        <v>893</v>
      </c>
      <c r="L894" s="4">
        <f>_xlfn.XLOOKUP(Table4[[#This Row],[Kontragentin adı]],Table2[Kontragentin adı],Table2[Müqavilə nömrəsi],"Xəta",0)</f>
        <v>0</v>
      </c>
      <c r="M894" s="4">
        <f>_xlfn.XLOOKUP(Table4[[#This Row],[Kontragentin adı]],Table2[Kontragentin adı],Table2[Müqavilə nömrəsi],"Xəta",0)</f>
        <v>0</v>
      </c>
    </row>
    <row r="895" spans="2:13" x14ac:dyDescent="0.3">
      <c r="B895" s="4">
        <f t="shared" si="13"/>
        <v>892</v>
      </c>
      <c r="C895" s="5">
        <v>46174</v>
      </c>
      <c r="D895" s="10" t="str" cm="1">
        <f t="array" ref="D895">_xlfn.XLOOKUP(Table4[[#This Row],[Malın kodu]],Table1[[#All],[Malın kodu]],Table1[[#All],[Malın adı]],"xəta",0)</f>
        <v>Dişli qayış / 9.5x1275 La (RPF) / “Bando”</v>
      </c>
      <c r="E895" s="8" t="s">
        <v>1804</v>
      </c>
      <c r="F895" s="4" t="s">
        <v>920</v>
      </c>
      <c r="G895" s="4">
        <v>1</v>
      </c>
      <c r="H895" s="4"/>
      <c r="I895" s="4">
        <f>Table4[[#This Row],[Malın miqdarı]]*Table4[[#This Row],[Vahidin qiyməti]]</f>
        <v>0</v>
      </c>
      <c r="J895" s="4" t="s">
        <v>899</v>
      </c>
      <c r="K895" s="4" t="s">
        <v>893</v>
      </c>
      <c r="L895" s="4">
        <f>_xlfn.XLOOKUP(Table4[[#This Row],[Kontragentin adı]],Table2[Kontragentin adı],Table2[Müqavilə nömrəsi],"Xəta",0)</f>
        <v>0</v>
      </c>
      <c r="M895" s="4">
        <f>_xlfn.XLOOKUP(Table4[[#This Row],[Kontragentin adı]],Table2[Kontragentin adı],Table2[Müqavilə nömrəsi],"Xəta",0)</f>
        <v>0</v>
      </c>
    </row>
    <row r="896" spans="2:13" x14ac:dyDescent="0.3">
      <c r="B896" s="4">
        <f t="shared" si="13"/>
        <v>893</v>
      </c>
      <c r="C896" s="5">
        <v>46174</v>
      </c>
      <c r="D896" s="10" t="str" cm="1">
        <f t="array" ref="D896">_xlfn.XLOOKUP(Table4[[#This Row],[Malın kodu]],Table1[[#All],[Malın kodu]],Table1[[#All],[Malın adı]],"xəta",0)</f>
        <v>Dişli qayış / 9.5x1150 La (RPF) / “Bando”</v>
      </c>
      <c r="E896" s="8" t="s">
        <v>1805</v>
      </c>
      <c r="F896" s="4" t="s">
        <v>920</v>
      </c>
      <c r="G896" s="4">
        <v>1</v>
      </c>
      <c r="H896" s="4"/>
      <c r="I896" s="4">
        <f>Table4[[#This Row],[Malın miqdarı]]*Table4[[#This Row],[Vahidin qiyməti]]</f>
        <v>0</v>
      </c>
      <c r="J896" s="4" t="s">
        <v>899</v>
      </c>
      <c r="K896" s="4" t="s">
        <v>893</v>
      </c>
      <c r="L896" s="4">
        <f>_xlfn.XLOOKUP(Table4[[#This Row],[Kontragentin adı]],Table2[Kontragentin adı],Table2[Müqavilə nömrəsi],"Xəta",0)</f>
        <v>0</v>
      </c>
      <c r="M896" s="4">
        <f>_xlfn.XLOOKUP(Table4[[#This Row],[Kontragentin adı]],Table2[Kontragentin adı],Table2[Müqavilə nömrəsi],"Xəta",0)</f>
        <v>0</v>
      </c>
    </row>
    <row r="897" spans="2:13" x14ac:dyDescent="0.3">
      <c r="B897" s="4">
        <f t="shared" si="13"/>
        <v>894</v>
      </c>
      <c r="C897" s="5">
        <v>46174</v>
      </c>
      <c r="D897" s="10" t="str" cm="1">
        <f t="array" ref="D897">_xlfn.XLOOKUP(Table4[[#This Row],[Malın kodu]],Table1[[#All],[Malın kodu]],Table1[[#All],[Malın adı]],"xəta",0)</f>
        <v>Xomut / metal / d 216 x 226 mm</v>
      </c>
      <c r="E897" s="8" t="s">
        <v>1806</v>
      </c>
      <c r="F897" s="4" t="s">
        <v>920</v>
      </c>
      <c r="G897" s="4">
        <v>4</v>
      </c>
      <c r="H897" s="4"/>
      <c r="I897" s="4">
        <f>Table4[[#This Row],[Malın miqdarı]]*Table4[[#This Row],[Vahidin qiyməti]]</f>
        <v>0</v>
      </c>
      <c r="J897" s="4" t="s">
        <v>899</v>
      </c>
      <c r="K897" s="4" t="s">
        <v>893</v>
      </c>
      <c r="L897" s="4">
        <f>_xlfn.XLOOKUP(Table4[[#This Row],[Kontragentin adı]],Table2[Kontragentin adı],Table2[Müqavilə nömrəsi],"Xəta",0)</f>
        <v>0</v>
      </c>
      <c r="M897" s="4">
        <f>_xlfn.XLOOKUP(Table4[[#This Row],[Kontragentin adı]],Table2[Kontragentin adı],Table2[Müqavilə nömrəsi],"Xəta",0)</f>
        <v>0</v>
      </c>
    </row>
    <row r="898" spans="2:13" x14ac:dyDescent="0.3">
      <c r="B898" s="4">
        <f t="shared" si="13"/>
        <v>895</v>
      </c>
      <c r="C898" s="5">
        <v>46174</v>
      </c>
      <c r="D898" s="10" t="str" cm="1">
        <f t="array" ref="D898">_xlfn.XLOOKUP(Table4[[#This Row],[Malın kodu]],Table1[[#All],[Malın kodu]],Table1[[#All],[Malın adı]],"xəta",0)</f>
        <v>Siren / sənaye / 115 desibel / "Selay" Türkiyə istehsalı</v>
      </c>
      <c r="E898" s="8" t="s">
        <v>1807</v>
      </c>
      <c r="F898" s="4" t="s">
        <v>920</v>
      </c>
      <c r="G898" s="4">
        <v>1</v>
      </c>
      <c r="H898" s="4"/>
      <c r="I898" s="4">
        <f>Table4[[#This Row],[Malın miqdarı]]*Table4[[#This Row],[Vahidin qiyməti]]</f>
        <v>0</v>
      </c>
      <c r="J898" s="4" t="s">
        <v>899</v>
      </c>
      <c r="K898" s="4" t="s">
        <v>893</v>
      </c>
      <c r="L898" s="4">
        <f>_xlfn.XLOOKUP(Table4[[#This Row],[Kontragentin adı]],Table2[Kontragentin adı],Table2[Müqavilə nömrəsi],"Xəta",0)</f>
        <v>0</v>
      </c>
      <c r="M898" s="4">
        <f>_xlfn.XLOOKUP(Table4[[#This Row],[Kontragentin adı]],Table2[Kontragentin adı],Table2[Müqavilə nömrəsi],"Xəta",0)</f>
        <v>0</v>
      </c>
    </row>
    <row r="899" spans="2:13" x14ac:dyDescent="0.3">
      <c r="B899" s="4">
        <f t="shared" si="13"/>
        <v>896</v>
      </c>
      <c r="C899" s="5">
        <v>46174</v>
      </c>
      <c r="D899" s="10" t="str" cm="1">
        <f t="array" ref="D899">_xlfn.XLOOKUP(Table4[[#This Row],[Malın kodu]],Table1[[#All],[Malın kodu]],Table1[[#All],[Malın adı]],"xəta",0)</f>
        <v>Filtr / hava / ДФВ 5806 / Rusiya istehsalı</v>
      </c>
      <c r="E899" s="8" t="s">
        <v>1808</v>
      </c>
      <c r="F899" s="4" t="s">
        <v>920</v>
      </c>
      <c r="G899" s="4">
        <v>1</v>
      </c>
      <c r="H899" s="4"/>
      <c r="I899" s="4">
        <f>Table4[[#This Row],[Malın miqdarı]]*Table4[[#This Row],[Vahidin qiyməti]]</f>
        <v>0</v>
      </c>
      <c r="J899" s="4" t="s">
        <v>899</v>
      </c>
      <c r="K899" s="4" t="s">
        <v>893</v>
      </c>
      <c r="L899" s="4">
        <f>_xlfn.XLOOKUP(Table4[[#This Row],[Kontragentin adı]],Table2[Kontragentin adı],Table2[Müqavilə nömrəsi],"Xəta",0)</f>
        <v>0</v>
      </c>
      <c r="M899" s="4">
        <f>_xlfn.XLOOKUP(Table4[[#This Row],[Kontragentin adı]],Table2[Kontragentin adı],Table2[Müqavilə nömrəsi],"Xəta",0)</f>
        <v>0</v>
      </c>
    </row>
    <row r="900" spans="2:13" x14ac:dyDescent="0.3">
      <c r="B900" s="4">
        <f t="shared" ref="B900:B963" si="14">ROW()-3</f>
        <v>897</v>
      </c>
      <c r="C900" s="5">
        <v>46174</v>
      </c>
      <c r="D900" s="10" t="str" cm="1">
        <f t="array" ref="D900">_xlfn.XLOOKUP(Table4[[#This Row],[Malın kodu]],Table1[[#All],[Malın kodu]],Table1[[#All],[Malın adı]],"xəta",0)</f>
        <v>Su pompası / 2200 Vt / 1300 L/d / H 18.5 m / “Shimge”</v>
      </c>
      <c r="E900" s="8" t="s">
        <v>1809</v>
      </c>
      <c r="F900" s="4" t="s">
        <v>920</v>
      </c>
      <c r="G900" s="4">
        <v>1</v>
      </c>
      <c r="H900" s="4"/>
      <c r="I900" s="4">
        <f>Table4[[#This Row],[Malın miqdarı]]*Table4[[#This Row],[Vahidin qiyməti]]</f>
        <v>0</v>
      </c>
      <c r="J900" s="4" t="s">
        <v>899</v>
      </c>
      <c r="K900" s="4" t="s">
        <v>893</v>
      </c>
      <c r="L900" s="4">
        <f>_xlfn.XLOOKUP(Table4[[#This Row],[Kontragentin adı]],Table2[Kontragentin adı],Table2[Müqavilə nömrəsi],"Xəta",0)</f>
        <v>0</v>
      </c>
      <c r="M900" s="4">
        <f>_xlfn.XLOOKUP(Table4[[#This Row],[Kontragentin adı]],Table2[Kontragentin adı],Table2[Müqavilə nömrəsi],"Xəta",0)</f>
        <v>0</v>
      </c>
    </row>
    <row r="901" spans="2:13" x14ac:dyDescent="0.3">
      <c r="B901" s="4">
        <f t="shared" si="14"/>
        <v>898</v>
      </c>
      <c r="C901" s="5">
        <v>46174</v>
      </c>
      <c r="D901" s="10" t="str" cm="1">
        <f t="array" ref="D901">_xlfn.XLOOKUP(Table4[[#This Row],[Malın kodu]],Table1[[#All],[Malın kodu]],Table1[[#All],[Malın adı]],"xəta",0)</f>
        <v>Su pompası / 5.5 kVt / 1400 L/d / “Grandfar”</v>
      </c>
      <c r="E901" s="8" t="s">
        <v>1810</v>
      </c>
      <c r="F901" s="4" t="s">
        <v>920</v>
      </c>
      <c r="G901" s="4">
        <v>1</v>
      </c>
      <c r="H901" s="4"/>
      <c r="I901" s="4">
        <f>Table4[[#This Row],[Malın miqdarı]]*Table4[[#This Row],[Vahidin qiyməti]]</f>
        <v>0</v>
      </c>
      <c r="J901" s="4" t="s">
        <v>899</v>
      </c>
      <c r="K901" s="4" t="s">
        <v>893</v>
      </c>
      <c r="L901" s="4">
        <f>_xlfn.XLOOKUP(Table4[[#This Row],[Kontragentin adı]],Table2[Kontragentin adı],Table2[Müqavilə nömrəsi],"Xəta",0)</f>
        <v>0</v>
      </c>
      <c r="M901" s="4">
        <f>_xlfn.XLOOKUP(Table4[[#This Row],[Kontragentin adı]],Table2[Kontragentin adı],Table2[Müqavilə nömrəsi],"Xəta",0)</f>
        <v>0</v>
      </c>
    </row>
    <row r="902" spans="2:13" x14ac:dyDescent="0.3">
      <c r="B902" s="4">
        <f t="shared" si="14"/>
        <v>899</v>
      </c>
      <c r="C902" s="5">
        <v>46174</v>
      </c>
      <c r="D902" s="10" t="str" cm="1">
        <f t="array" ref="D902">_xlfn.XLOOKUP(Table4[[#This Row],[Malın kodu]],Table1[[#All],[Malın kodu]],Table1[[#All],[Malın adı]],"xəta",0)</f>
        <v>Dişli çarx / d 800 mm / flyanslı</v>
      </c>
      <c r="E902" s="8" t="s">
        <v>1811</v>
      </c>
      <c r="F902" s="4" t="s">
        <v>920</v>
      </c>
      <c r="G902" s="4">
        <v>1</v>
      </c>
      <c r="H902" s="4"/>
      <c r="I902" s="4">
        <f>Table4[[#This Row],[Malın miqdarı]]*Table4[[#This Row],[Vahidin qiyməti]]</f>
        <v>0</v>
      </c>
      <c r="J902" s="4" t="s">
        <v>899</v>
      </c>
      <c r="K902" s="4" t="s">
        <v>893</v>
      </c>
      <c r="L902" s="4">
        <f>_xlfn.XLOOKUP(Table4[[#This Row],[Kontragentin adı]],Table2[Kontragentin adı],Table2[Müqavilə nömrəsi],"Xəta",0)</f>
        <v>0</v>
      </c>
      <c r="M902" s="4">
        <f>_xlfn.XLOOKUP(Table4[[#This Row],[Kontragentin adı]],Table2[Kontragentin adı],Table2[Müqavilə nömrəsi],"Xəta",0)</f>
        <v>0</v>
      </c>
    </row>
    <row r="903" spans="2:13" x14ac:dyDescent="0.3">
      <c r="B903" s="4">
        <f t="shared" si="14"/>
        <v>900</v>
      </c>
      <c r="C903" s="5">
        <v>46174</v>
      </c>
      <c r="D903" s="10" t="str" cm="1">
        <f t="array" ref="D903">_xlfn.XLOOKUP(Table4[[#This Row],[Malın kodu]],Table1[[#All],[Malın kodu]],Table1[[#All],[Malın adı]],"xəta",0)</f>
        <v>Kabel / başlıqlı</v>
      </c>
      <c r="E903" s="8" t="s">
        <v>1812</v>
      </c>
      <c r="F903" s="4" t="s">
        <v>929</v>
      </c>
      <c r="G903" s="4">
        <v>5</v>
      </c>
      <c r="H903" s="4"/>
      <c r="I903" s="4">
        <f>Table4[[#This Row],[Malın miqdarı]]*Table4[[#This Row],[Vahidin qiyməti]]</f>
        <v>0</v>
      </c>
      <c r="J903" s="4" t="s">
        <v>899</v>
      </c>
      <c r="K903" s="4" t="s">
        <v>893</v>
      </c>
      <c r="L903" s="4">
        <f>_xlfn.XLOOKUP(Table4[[#This Row],[Kontragentin adı]],Table2[Kontragentin adı],Table2[Müqavilə nömrəsi],"Xəta",0)</f>
        <v>0</v>
      </c>
      <c r="M903" s="4">
        <f>_xlfn.XLOOKUP(Table4[[#This Row],[Kontragentin adı]],Table2[Kontragentin adı],Table2[Müqavilə nömrəsi],"Xəta",0)</f>
        <v>0</v>
      </c>
    </row>
    <row r="904" spans="2:13" x14ac:dyDescent="0.3">
      <c r="B904" s="4">
        <f t="shared" si="14"/>
        <v>901</v>
      </c>
      <c r="C904" s="5">
        <v>46174</v>
      </c>
      <c r="D904" s="10" t="str" cm="1">
        <f t="array" ref="D904">_xlfn.XLOOKUP(Table4[[#This Row],[Malın kodu]],Table1[[#All],[Malın kodu]],Table1[[#All],[Malın adı]],"xəta",0)</f>
        <v>Xomut / metal / d 158 x 170 mm / boru üçün</v>
      </c>
      <c r="E904" s="8" t="s">
        <v>1813</v>
      </c>
      <c r="F904" s="4" t="s">
        <v>920</v>
      </c>
      <c r="G904" s="4">
        <v>9</v>
      </c>
      <c r="H904" s="4"/>
      <c r="I904" s="4">
        <f>Table4[[#This Row],[Malın miqdarı]]*Table4[[#This Row],[Vahidin qiyməti]]</f>
        <v>0</v>
      </c>
      <c r="J904" s="4" t="s">
        <v>899</v>
      </c>
      <c r="K904" s="4" t="s">
        <v>893</v>
      </c>
      <c r="L904" s="4">
        <f>_xlfn.XLOOKUP(Table4[[#This Row],[Kontragentin adı]],Table2[Kontragentin adı],Table2[Müqavilə nömrəsi],"Xəta",0)</f>
        <v>0</v>
      </c>
      <c r="M904" s="4">
        <f>_xlfn.XLOOKUP(Table4[[#This Row],[Kontragentin adı]],Table2[Kontragentin adı],Table2[Müqavilə nömrəsi],"Xəta",0)</f>
        <v>0</v>
      </c>
    </row>
    <row r="905" spans="2:13" x14ac:dyDescent="0.3">
      <c r="B905" s="4">
        <f t="shared" si="14"/>
        <v>902</v>
      </c>
      <c r="C905" s="5">
        <v>46174</v>
      </c>
      <c r="D905" s="10" t="str" cm="1">
        <f t="array" ref="D905">_xlfn.XLOOKUP(Table4[[#This Row],[Malın kodu]],Table1[[#All],[Malın kodu]],Table1[[#All],[Malın adı]],"xəta",0)</f>
        <v>Xomut / metal / d 109 x 119 mm / boru üçün</v>
      </c>
      <c r="E905" s="8" t="s">
        <v>1814</v>
      </c>
      <c r="F905" s="4" t="s">
        <v>920</v>
      </c>
      <c r="G905" s="4">
        <v>6</v>
      </c>
      <c r="H905" s="4"/>
      <c r="I905" s="4">
        <f>Table4[[#This Row],[Malın miqdarı]]*Table4[[#This Row],[Vahidin qiyməti]]</f>
        <v>0</v>
      </c>
      <c r="J905" s="4" t="s">
        <v>899</v>
      </c>
      <c r="K905" s="4" t="s">
        <v>893</v>
      </c>
      <c r="L905" s="4">
        <f>_xlfn.XLOOKUP(Table4[[#This Row],[Kontragentin adı]],Table2[Kontragentin adı],Table2[Müqavilə nömrəsi],"Xəta",0)</f>
        <v>0</v>
      </c>
      <c r="M905" s="4">
        <f>_xlfn.XLOOKUP(Table4[[#This Row],[Kontragentin adı]],Table2[Kontragentin adı],Table2[Müqavilə nömrəsi],"Xəta",0)</f>
        <v>0</v>
      </c>
    </row>
    <row r="906" spans="2:13" x14ac:dyDescent="0.3">
      <c r="B906" s="4">
        <f t="shared" si="14"/>
        <v>903</v>
      </c>
      <c r="C906" s="5">
        <v>46174</v>
      </c>
      <c r="D906" s="10" t="str" cm="1">
        <f t="array" ref="D906">_xlfn.XLOOKUP(Table4[[#This Row],[Malın kodu]],Table1[[#All],[Malın kodu]],Table1[[#All],[Malın adı]],"xəta",0)</f>
        <v>Xomut / metal / d 60 x 66 mm / boru üçün</v>
      </c>
      <c r="E906" s="8" t="s">
        <v>1815</v>
      </c>
      <c r="F906" s="4" t="s">
        <v>920</v>
      </c>
      <c r="G906" s="4">
        <v>6</v>
      </c>
      <c r="H906" s="4"/>
      <c r="I906" s="4">
        <f>Table4[[#This Row],[Malın miqdarı]]*Table4[[#This Row],[Vahidin qiyməti]]</f>
        <v>0</v>
      </c>
      <c r="J906" s="4" t="s">
        <v>899</v>
      </c>
      <c r="K906" s="4" t="s">
        <v>893</v>
      </c>
      <c r="L906" s="4">
        <f>_xlfn.XLOOKUP(Table4[[#This Row],[Kontragentin adı]],Table2[Kontragentin adı],Table2[Müqavilə nömrəsi],"Xəta",0)</f>
        <v>0</v>
      </c>
      <c r="M906" s="4">
        <f>_xlfn.XLOOKUP(Table4[[#This Row],[Kontragentin adı]],Table2[Kontragentin adı],Table2[Müqavilə nömrəsi],"Xəta",0)</f>
        <v>0</v>
      </c>
    </row>
    <row r="907" spans="2:13" x14ac:dyDescent="0.3">
      <c r="B907" s="4">
        <f t="shared" si="14"/>
        <v>904</v>
      </c>
      <c r="C907" s="5">
        <v>46174</v>
      </c>
      <c r="D907" s="10" t="str" cm="1">
        <f t="array" ref="D907">_xlfn.XLOOKUP(Table4[[#This Row],[Malın kodu]],Table1[[#All],[Malın kodu]],Table1[[#All],[Malın adı]],"xəta",0)</f>
        <v>Sırğa / 17 tonn</v>
      </c>
      <c r="E907" s="8" t="s">
        <v>1816</v>
      </c>
      <c r="F907" s="4" t="s">
        <v>920</v>
      </c>
      <c r="G907" s="4">
        <v>1</v>
      </c>
      <c r="H907" s="4"/>
      <c r="I907" s="4">
        <f>Table4[[#This Row],[Malın miqdarı]]*Table4[[#This Row],[Vahidin qiyməti]]</f>
        <v>0</v>
      </c>
      <c r="J907" s="4" t="s">
        <v>899</v>
      </c>
      <c r="K907" s="4" t="s">
        <v>893</v>
      </c>
      <c r="L907" s="4">
        <f>_xlfn.XLOOKUP(Table4[[#This Row],[Kontragentin adı]],Table2[Kontragentin adı],Table2[Müqavilə nömrəsi],"Xəta",0)</f>
        <v>0</v>
      </c>
      <c r="M907" s="4">
        <f>_xlfn.XLOOKUP(Table4[[#This Row],[Kontragentin adı]],Table2[Kontragentin adı],Table2[Müqavilə nömrəsi],"Xəta",0)</f>
        <v>0</v>
      </c>
    </row>
    <row r="908" spans="2:13" x14ac:dyDescent="0.3">
      <c r="B908" s="4">
        <f t="shared" si="14"/>
        <v>905</v>
      </c>
      <c r="C908" s="5">
        <v>46174</v>
      </c>
      <c r="D908" s="10" t="str" cm="1">
        <f t="array" ref="D908">_xlfn.XLOOKUP(Table4[[#This Row],[Malın kodu]],Table1[[#All],[Malın kodu]],Table1[[#All],[Malın adı]],"xəta",0)</f>
        <v>Su pompası / MMF15AM</v>
      </c>
      <c r="E908" s="8" t="s">
        <v>1817</v>
      </c>
      <c r="F908" s="4" t="s">
        <v>920</v>
      </c>
      <c r="G908" s="4">
        <v>1</v>
      </c>
      <c r="H908" s="4"/>
      <c r="I908" s="4">
        <f>Table4[[#This Row],[Malın miqdarı]]*Table4[[#This Row],[Vahidin qiyməti]]</f>
        <v>0</v>
      </c>
      <c r="J908" s="4" t="s">
        <v>899</v>
      </c>
      <c r="K908" s="4" t="s">
        <v>893</v>
      </c>
      <c r="L908" s="4">
        <f>_xlfn.XLOOKUP(Table4[[#This Row],[Kontragentin adı]],Table2[Kontragentin adı],Table2[Müqavilə nömrəsi],"Xəta",0)</f>
        <v>0</v>
      </c>
      <c r="M908" s="4">
        <f>_xlfn.XLOOKUP(Table4[[#This Row],[Kontragentin adı]],Table2[Kontragentin adı],Table2[Müqavilə nömrəsi],"Xəta",0)</f>
        <v>0</v>
      </c>
    </row>
    <row r="909" spans="2:13" x14ac:dyDescent="0.3">
      <c r="B909" s="4">
        <f t="shared" si="14"/>
        <v>906</v>
      </c>
      <c r="C909" s="5">
        <v>46174</v>
      </c>
      <c r="D909" s="10" t="str" cm="1">
        <f t="array" ref="D909">_xlfn.XLOOKUP(Table4[[#This Row],[Malın kodu]],Table1[[#All],[Malın kodu]],Table1[[#All],[Malın adı]],"xəta",0)</f>
        <v>Kabel / 24 x 1.5</v>
      </c>
      <c r="E909" s="8" t="s">
        <v>1818</v>
      </c>
      <c r="F909" s="4" t="s">
        <v>925</v>
      </c>
      <c r="G909" s="4">
        <v>28</v>
      </c>
      <c r="H909" s="4"/>
      <c r="I909" s="4">
        <f>Table4[[#This Row],[Malın miqdarı]]*Table4[[#This Row],[Vahidin qiyməti]]</f>
        <v>0</v>
      </c>
      <c r="J909" s="4" t="s">
        <v>899</v>
      </c>
      <c r="K909" s="4" t="s">
        <v>893</v>
      </c>
      <c r="L909" s="4">
        <f>_xlfn.XLOOKUP(Table4[[#This Row],[Kontragentin adı]],Table2[Kontragentin adı],Table2[Müqavilə nömrəsi],"Xəta",0)</f>
        <v>0</v>
      </c>
      <c r="M909" s="4">
        <f>_xlfn.XLOOKUP(Table4[[#This Row],[Kontragentin adı]],Table2[Kontragentin adı],Table2[Müqavilə nömrəsi],"Xəta",0)</f>
        <v>0</v>
      </c>
    </row>
    <row r="910" spans="2:13" x14ac:dyDescent="0.3">
      <c r="B910" s="4">
        <f t="shared" si="14"/>
        <v>907</v>
      </c>
      <c r="C910" s="5">
        <v>46174</v>
      </c>
      <c r="D910" s="10" t="str" cm="1">
        <f t="array" ref="D910">_xlfn.XLOOKUP(Table4[[#This Row],[Malın kodu]],Table1[[#All],[Malın kodu]],Table1[[#All],[Malın adı]],"xəta",0)</f>
        <v>Disk / kəsici / almaz / d 350 mm</v>
      </c>
      <c r="E910" s="8" t="s">
        <v>1819</v>
      </c>
      <c r="F910" s="4" t="s">
        <v>920</v>
      </c>
      <c r="G910" s="4">
        <v>2</v>
      </c>
      <c r="H910" s="4"/>
      <c r="I910" s="4">
        <f>Table4[[#This Row],[Malın miqdarı]]*Table4[[#This Row],[Vahidin qiyməti]]</f>
        <v>0</v>
      </c>
      <c r="J910" s="4" t="s">
        <v>899</v>
      </c>
      <c r="K910" s="4" t="s">
        <v>893</v>
      </c>
      <c r="L910" s="4">
        <f>_xlfn.XLOOKUP(Table4[[#This Row],[Kontragentin adı]],Table2[Kontragentin adı],Table2[Müqavilə nömrəsi],"Xəta",0)</f>
        <v>0</v>
      </c>
      <c r="M910" s="4">
        <f>_xlfn.XLOOKUP(Table4[[#This Row],[Kontragentin adı]],Table2[Kontragentin adı],Table2[Müqavilə nömrəsi],"Xəta",0)</f>
        <v>0</v>
      </c>
    </row>
    <row r="911" spans="2:13" x14ac:dyDescent="0.3">
      <c r="B911" s="4">
        <f t="shared" si="14"/>
        <v>908</v>
      </c>
      <c r="C911" s="5">
        <v>46174</v>
      </c>
      <c r="D911" s="10" t="str" cm="1">
        <f t="array" ref="D911">_xlfn.XLOOKUP(Table4[[#This Row],[Malın kodu]],Table1[[#All],[Malın kodu]],Table1[[#All],[Malın adı]],"xəta",0)</f>
        <v>Elektrik lövhəsi / 600 x 795 mm / avtomat və kontaktor ilə</v>
      </c>
      <c r="E911" s="8" t="s">
        <v>1820</v>
      </c>
      <c r="F911" s="4" t="s">
        <v>920</v>
      </c>
      <c r="G911" s="4">
        <v>1</v>
      </c>
      <c r="H911" s="4"/>
      <c r="I911" s="4">
        <f>Table4[[#This Row],[Malın miqdarı]]*Table4[[#This Row],[Vahidin qiyməti]]</f>
        <v>0</v>
      </c>
      <c r="J911" s="4" t="s">
        <v>899</v>
      </c>
      <c r="K911" s="4" t="s">
        <v>893</v>
      </c>
      <c r="L911" s="4">
        <f>_xlfn.XLOOKUP(Table4[[#This Row],[Kontragentin adı]],Table2[Kontragentin adı],Table2[Müqavilə nömrəsi],"Xəta",0)</f>
        <v>0</v>
      </c>
      <c r="M911" s="4">
        <f>_xlfn.XLOOKUP(Table4[[#This Row],[Kontragentin adı]],Table2[Kontragentin adı],Table2[Müqavilə nömrəsi],"Xəta",0)</f>
        <v>0</v>
      </c>
    </row>
    <row r="912" spans="2:13" x14ac:dyDescent="0.3">
      <c r="B912" s="4">
        <f t="shared" si="14"/>
        <v>909</v>
      </c>
      <c r="C912" s="5">
        <v>46174</v>
      </c>
      <c r="D912" s="10" t="str" cm="1">
        <f t="array" ref="D912">_xlfn.XLOOKUP(Table4[[#This Row],[Malın kodu]],Table1[[#All],[Malın kodu]],Table1[[#All],[Malın adı]],"xəta",0)</f>
        <v>Masa / 695x119mm / ağ</v>
      </c>
      <c r="E912" s="8" t="s">
        <v>1822</v>
      </c>
      <c r="F912" s="4" t="s">
        <v>920</v>
      </c>
      <c r="G912" s="4">
        <v>16</v>
      </c>
      <c r="H912" s="4"/>
      <c r="I912" s="4">
        <f>Table4[[#This Row],[Malın miqdarı]]*Table4[[#This Row],[Vahidin qiyməti]]</f>
        <v>0</v>
      </c>
      <c r="J912" s="4" t="s">
        <v>899</v>
      </c>
      <c r="K912" s="4" t="s">
        <v>893</v>
      </c>
      <c r="L912" s="4">
        <f>_xlfn.XLOOKUP(Table4[[#This Row],[Kontragentin adı]],Table2[Kontragentin adı],Table2[Müqavilə nömrəsi],"Xəta",0)</f>
        <v>0</v>
      </c>
      <c r="M912" s="4">
        <f>_xlfn.XLOOKUP(Table4[[#This Row],[Kontragentin adı]],Table2[Kontragentin adı],Table2[Müqavilə nömrəsi],"Xəta",0)</f>
        <v>0</v>
      </c>
    </row>
    <row r="913" spans="2:13" x14ac:dyDescent="0.3">
      <c r="B913" s="4">
        <f t="shared" si="14"/>
        <v>910</v>
      </c>
      <c r="C913" s="5">
        <v>46174</v>
      </c>
      <c r="D913" s="10" t="str" cm="1">
        <f t="array" ref="D913">_xlfn.XLOOKUP(Table4[[#This Row],[Malın kodu]],Table1[[#All],[Malın kodu]],Table1[[#All],[Malın adı]],"xəta",0)</f>
        <v>Oturacaq / ağ</v>
      </c>
      <c r="E913" s="8" t="s">
        <v>1823</v>
      </c>
      <c r="F913" s="4" t="s">
        <v>920</v>
      </c>
      <c r="G913" s="4">
        <v>63</v>
      </c>
      <c r="H913" s="4"/>
      <c r="I913" s="4">
        <f>Table4[[#This Row],[Malın miqdarı]]*Table4[[#This Row],[Vahidin qiyməti]]</f>
        <v>0</v>
      </c>
      <c r="J913" s="4" t="s">
        <v>899</v>
      </c>
      <c r="K913" s="4" t="s">
        <v>893</v>
      </c>
      <c r="L913" s="4">
        <f>_xlfn.XLOOKUP(Table4[[#This Row],[Kontragentin adı]],Table2[Kontragentin adı],Table2[Müqavilə nömrəsi],"Xəta",0)</f>
        <v>0</v>
      </c>
      <c r="M913" s="4">
        <f>_xlfn.XLOOKUP(Table4[[#This Row],[Kontragentin adı]],Table2[Kontragentin adı],Table2[Müqavilə nömrəsi],"Xəta",0)</f>
        <v>0</v>
      </c>
    </row>
    <row r="914" spans="2:13" x14ac:dyDescent="0.3">
      <c r="B914" s="4">
        <f t="shared" si="14"/>
        <v>911</v>
      </c>
      <c r="C914" s="5">
        <v>46174</v>
      </c>
      <c r="D914" s="10" t="str" cm="1">
        <f t="array" ref="D914">_xlfn.XLOOKUP(Table4[[#This Row],[Malın kodu]],Table1[[#All],[Malın kodu]],Table1[[#All],[Malın adı]],"xəta",0)</f>
        <v>Mətbəx çanağı (moyka) / paslanmayan metl / ikili</v>
      </c>
      <c r="E914" s="8" t="s">
        <v>1824</v>
      </c>
      <c r="F914" s="4" t="s">
        <v>920</v>
      </c>
      <c r="G914" s="4">
        <v>2</v>
      </c>
      <c r="H914" s="4"/>
      <c r="I914" s="4">
        <f>Table4[[#This Row],[Malın miqdarı]]*Table4[[#This Row],[Vahidin qiyməti]]</f>
        <v>0</v>
      </c>
      <c r="J914" s="4" t="s">
        <v>899</v>
      </c>
      <c r="K914" s="4" t="s">
        <v>893</v>
      </c>
      <c r="L914" s="4">
        <f>_xlfn.XLOOKUP(Table4[[#This Row],[Kontragentin adı]],Table2[Kontragentin adı],Table2[Müqavilə nömrəsi],"Xəta",0)</f>
        <v>0</v>
      </c>
      <c r="M914" s="4">
        <f>_xlfn.XLOOKUP(Table4[[#This Row],[Kontragentin adı]],Table2[Kontragentin adı],Table2[Müqavilə nömrəsi],"Xəta",0)</f>
        <v>0</v>
      </c>
    </row>
    <row r="915" spans="2:13" x14ac:dyDescent="0.3">
      <c r="B915" s="4">
        <f t="shared" si="14"/>
        <v>912</v>
      </c>
      <c r="C915" s="5">
        <v>46174</v>
      </c>
      <c r="D915" s="10" t="str" cm="1">
        <f t="array" ref="D915">_xlfn.XLOOKUP(Table4[[#This Row],[Malın kodu]],Table1[[#All],[Malın kodu]],Table1[[#All],[Malın adı]],"xəta",0)</f>
        <v>Ləğən (taz) / alüminium / 620mm / mətbəx üçün</v>
      </c>
      <c r="E915" s="8" t="s">
        <v>1825</v>
      </c>
      <c r="F915" s="4" t="s">
        <v>920</v>
      </c>
      <c r="G915" s="4">
        <v>2</v>
      </c>
      <c r="H915" s="4"/>
      <c r="I915" s="4">
        <f>Table4[[#This Row],[Malın miqdarı]]*Table4[[#This Row],[Vahidin qiyməti]]</f>
        <v>0</v>
      </c>
      <c r="J915" s="4" t="s">
        <v>899</v>
      </c>
      <c r="K915" s="4" t="s">
        <v>893</v>
      </c>
      <c r="L915" s="4">
        <f>_xlfn.XLOOKUP(Table4[[#This Row],[Kontragentin adı]],Table2[Kontragentin adı],Table2[Müqavilə nömrəsi],"Xəta",0)</f>
        <v>0</v>
      </c>
      <c r="M915" s="4">
        <f>_xlfn.XLOOKUP(Table4[[#This Row],[Kontragentin adı]],Table2[Kontragentin adı],Table2[Müqavilə nömrəsi],"Xəta",0)</f>
        <v>0</v>
      </c>
    </row>
    <row r="916" spans="2:13" x14ac:dyDescent="0.3">
      <c r="B916" s="4">
        <f t="shared" si="14"/>
        <v>913</v>
      </c>
      <c r="C916" s="5">
        <v>46174</v>
      </c>
      <c r="D916" s="10" t="str" cm="1">
        <f t="array" ref="D916">_xlfn.XLOOKUP(Table4[[#This Row],[Malın kodu]],Table1[[#All],[Malın kodu]],Table1[[#All],[Malın adı]],"xəta",0)</f>
        <v>Ətçəkən / elektrik</v>
      </c>
      <c r="E916" s="8" t="s">
        <v>1826</v>
      </c>
      <c r="F916" s="4" t="s">
        <v>920</v>
      </c>
      <c r="G916" s="4">
        <v>2</v>
      </c>
      <c r="H916" s="4"/>
      <c r="I916" s="4">
        <f>Table4[[#This Row],[Malın miqdarı]]*Table4[[#This Row],[Vahidin qiyməti]]</f>
        <v>0</v>
      </c>
      <c r="J916" s="4" t="s">
        <v>899</v>
      </c>
      <c r="K916" s="4" t="s">
        <v>893</v>
      </c>
      <c r="L916" s="4">
        <f>_xlfn.XLOOKUP(Table4[[#This Row],[Kontragentin adı]],Table2[Kontragentin adı],Table2[Müqavilə nömrəsi],"Xəta",0)</f>
        <v>0</v>
      </c>
      <c r="M916" s="4">
        <f>_xlfn.XLOOKUP(Table4[[#This Row],[Kontragentin adı]],Table2[Kontragentin adı],Table2[Müqavilə nömrəsi],"Xəta",0)</f>
        <v>0</v>
      </c>
    </row>
    <row r="917" spans="2:13" x14ac:dyDescent="0.3">
      <c r="B917" s="4">
        <f t="shared" si="14"/>
        <v>914</v>
      </c>
      <c r="C917" s="5">
        <v>46174</v>
      </c>
      <c r="D917" s="10" t="str" cm="1">
        <f t="array" ref="D917">_xlfn.XLOOKUP(Table4[[#This Row],[Malın kodu]],Table1[[#All],[Malın kodu]],Table1[[#All],[Malın adı]],"xəta",0)</f>
        <v>Ventilyator / dayaqlı</v>
      </c>
      <c r="E917" s="8" t="s">
        <v>1827</v>
      </c>
      <c r="F917" s="4" t="s">
        <v>920</v>
      </c>
      <c r="G917" s="4">
        <v>1</v>
      </c>
      <c r="H917" s="4"/>
      <c r="I917" s="4">
        <f>Table4[[#This Row],[Malın miqdarı]]*Table4[[#This Row],[Vahidin qiyməti]]</f>
        <v>0</v>
      </c>
      <c r="J917" s="4" t="s">
        <v>899</v>
      </c>
      <c r="K917" s="4" t="s">
        <v>893</v>
      </c>
      <c r="L917" s="4">
        <f>_xlfn.XLOOKUP(Table4[[#This Row],[Kontragentin adı]],Table2[Kontragentin adı],Table2[Müqavilə nömrəsi],"Xəta",0)</f>
        <v>0</v>
      </c>
      <c r="M917" s="4">
        <f>_xlfn.XLOOKUP(Table4[[#This Row],[Kontragentin adı]],Table2[Kontragentin adı],Table2[Müqavilə nömrəsi],"Xəta",0)</f>
        <v>0</v>
      </c>
    </row>
    <row r="918" spans="2:13" x14ac:dyDescent="0.3">
      <c r="B918" s="4">
        <f t="shared" si="14"/>
        <v>915</v>
      </c>
      <c r="C918" s="5">
        <v>46174</v>
      </c>
      <c r="D918" s="10" t="str" cm="1">
        <f t="array" ref="D918">_xlfn.XLOOKUP(Table4[[#This Row],[Malın kodu]],Table1[[#All],[Malın kodu]],Table1[[#All],[Malın adı]],"xəta",0)</f>
        <v>Qazan / alüminium / 495mm</v>
      </c>
      <c r="E918" s="8" t="s">
        <v>1828</v>
      </c>
      <c r="F918" s="4" t="s">
        <v>920</v>
      </c>
      <c r="G918" s="4">
        <v>2</v>
      </c>
      <c r="H918" s="4"/>
      <c r="I918" s="4">
        <f>Table4[[#This Row],[Malın miqdarı]]*Table4[[#This Row],[Vahidin qiyməti]]</f>
        <v>0</v>
      </c>
      <c r="J918" s="4" t="s">
        <v>899</v>
      </c>
      <c r="K918" s="4" t="s">
        <v>893</v>
      </c>
      <c r="L918" s="4">
        <f>_xlfn.XLOOKUP(Table4[[#This Row],[Kontragentin adı]],Table2[Kontragentin adı],Table2[Müqavilə nömrəsi],"Xəta",0)</f>
        <v>0</v>
      </c>
      <c r="M918" s="4">
        <f>_xlfn.XLOOKUP(Table4[[#This Row],[Kontragentin adı]],Table2[Kontragentin adı],Table2[Müqavilə nömrəsi],"Xəta",0)</f>
        <v>0</v>
      </c>
    </row>
    <row r="919" spans="2:13" x14ac:dyDescent="0.3">
      <c r="B919" s="4">
        <f t="shared" si="14"/>
        <v>916</v>
      </c>
      <c r="C919" s="5">
        <v>46174</v>
      </c>
      <c r="D919" s="10" t="str" cm="1">
        <f t="array" ref="D919">_xlfn.XLOOKUP(Table4[[#This Row],[Malın kodu]],Table1[[#All],[Malın kodu]],Table1[[#All],[Malın adı]],"xəta",0)</f>
        <v>Tava / 410mm / mətbəx üçün</v>
      </c>
      <c r="E919" s="8" t="s">
        <v>1829</v>
      </c>
      <c r="F919" s="4" t="s">
        <v>920</v>
      </c>
      <c r="G919" s="4">
        <v>1</v>
      </c>
      <c r="H919" s="4"/>
      <c r="I919" s="4">
        <f>Table4[[#This Row],[Malın miqdarı]]*Table4[[#This Row],[Vahidin qiyməti]]</f>
        <v>0</v>
      </c>
      <c r="J919" s="4" t="s">
        <v>899</v>
      </c>
      <c r="K919" s="4" t="s">
        <v>893</v>
      </c>
      <c r="L919" s="4">
        <f>_xlfn.XLOOKUP(Table4[[#This Row],[Kontragentin adı]],Table2[Kontragentin adı],Table2[Müqavilə nömrəsi],"Xəta",0)</f>
        <v>0</v>
      </c>
      <c r="M919" s="4">
        <f>_xlfn.XLOOKUP(Table4[[#This Row],[Kontragentin adı]],Table2[Kontragentin adı],Table2[Müqavilə nömrəsi],"Xəta",0)</f>
        <v>0</v>
      </c>
    </row>
    <row r="920" spans="2:13" x14ac:dyDescent="0.3">
      <c r="B920" s="4">
        <f t="shared" si="14"/>
        <v>917</v>
      </c>
      <c r="C920" s="5">
        <v>46174</v>
      </c>
      <c r="D920" s="10" t="str" cm="1">
        <f t="array" ref="D920">_xlfn.XLOOKUP(Table4[[#This Row],[Malın kodu]],Table1[[#All],[Malın kodu]],Table1[[#All],[Malın adı]],"xəta",0)</f>
        <v>Qazan / alüminium / 730mm</v>
      </c>
      <c r="E920" s="8" t="s">
        <v>1830</v>
      </c>
      <c r="F920" s="4" t="s">
        <v>920</v>
      </c>
      <c r="G920" s="4">
        <v>1</v>
      </c>
      <c r="H920" s="4"/>
      <c r="I920" s="4">
        <f>Table4[[#This Row],[Malın miqdarı]]*Table4[[#This Row],[Vahidin qiyməti]]</f>
        <v>0</v>
      </c>
      <c r="J920" s="4" t="s">
        <v>899</v>
      </c>
      <c r="K920" s="4" t="s">
        <v>893</v>
      </c>
      <c r="L920" s="4">
        <f>_xlfn.XLOOKUP(Table4[[#This Row],[Kontragentin adı]],Table2[Kontragentin adı],Table2[Müqavilə nömrəsi],"Xəta",0)</f>
        <v>0</v>
      </c>
      <c r="M920" s="4">
        <f>_xlfn.XLOOKUP(Table4[[#This Row],[Kontragentin adı]],Table2[Kontragentin adı],Table2[Müqavilə nömrəsi],"Xəta",0)</f>
        <v>0</v>
      </c>
    </row>
    <row r="921" spans="2:13" x14ac:dyDescent="0.3">
      <c r="B921" s="4">
        <f t="shared" si="14"/>
        <v>918</v>
      </c>
      <c r="C921" s="5">
        <v>46174</v>
      </c>
      <c r="D921" s="10" t="str" cm="1">
        <f t="array" ref="D921">_xlfn.XLOOKUP(Table4[[#This Row],[Malın kodu]],Table1[[#All],[Malın kodu]],Table1[[#All],[Malın adı]],"xəta",0)</f>
        <v>Ləğən (taz) / emallı / mətbəx üçün</v>
      </c>
      <c r="E921" s="8" t="s">
        <v>1831</v>
      </c>
      <c r="F921" s="4" t="s">
        <v>920</v>
      </c>
      <c r="G921" s="4">
        <v>1</v>
      </c>
      <c r="H921" s="4"/>
      <c r="I921" s="4">
        <f>Table4[[#This Row],[Malın miqdarı]]*Table4[[#This Row],[Vahidin qiyməti]]</f>
        <v>0</v>
      </c>
      <c r="J921" s="4" t="s">
        <v>899</v>
      </c>
      <c r="K921" s="4" t="s">
        <v>893</v>
      </c>
      <c r="L921" s="4">
        <f>_xlfn.XLOOKUP(Table4[[#This Row],[Kontragentin adı]],Table2[Kontragentin adı],Table2[Müqavilə nömrəsi],"Xəta",0)</f>
        <v>0</v>
      </c>
      <c r="M921" s="4">
        <f>_xlfn.XLOOKUP(Table4[[#This Row],[Kontragentin adı]],Table2[Kontragentin adı],Table2[Müqavilə nömrəsi],"Xəta",0)</f>
        <v>0</v>
      </c>
    </row>
    <row r="922" spans="2:13" x14ac:dyDescent="0.3">
      <c r="B922" s="4">
        <f t="shared" si="14"/>
        <v>919</v>
      </c>
      <c r="C922" s="5">
        <v>46174</v>
      </c>
      <c r="D922" s="10" t="str" cm="1">
        <f t="array" ref="D922">_xlfn.XLOOKUP(Table4[[#This Row],[Malın kodu]],Table1[[#All],[Malın kodu]],Table1[[#All],[Malın adı]],"xəta",0)</f>
        <v>Samovar / elektrik / mətbəx üçün</v>
      </c>
      <c r="E922" s="8" t="s">
        <v>1832</v>
      </c>
      <c r="F922" s="4" t="s">
        <v>920</v>
      </c>
      <c r="G922" s="4">
        <v>1</v>
      </c>
      <c r="H922" s="4"/>
      <c r="I922" s="4">
        <f>Table4[[#This Row],[Malın miqdarı]]*Table4[[#This Row],[Vahidin qiyməti]]</f>
        <v>0</v>
      </c>
      <c r="J922" s="4" t="s">
        <v>899</v>
      </c>
      <c r="K922" s="4" t="s">
        <v>893</v>
      </c>
      <c r="L922" s="4">
        <f>_xlfn.XLOOKUP(Table4[[#This Row],[Kontragentin adı]],Table2[Kontragentin adı],Table2[Müqavilə nömrəsi],"Xəta",0)</f>
        <v>0</v>
      </c>
      <c r="M922" s="4">
        <f>_xlfn.XLOOKUP(Table4[[#This Row],[Kontragentin adı]],Table2[Kontragentin adı],Table2[Müqavilə nömrəsi],"Xəta",0)</f>
        <v>0</v>
      </c>
    </row>
    <row r="923" spans="2:13" x14ac:dyDescent="0.3">
      <c r="B923" s="4">
        <f t="shared" si="14"/>
        <v>920</v>
      </c>
      <c r="C923" s="5">
        <v>46174</v>
      </c>
      <c r="D923" s="10" t="str" cm="1">
        <f t="array" ref="D923">_xlfn.XLOOKUP(Table4[[#This Row],[Malın kodu]],Table1[[#All],[Malın kodu]],Table1[[#All],[Malın adı]],"xəta",0)</f>
        <v>Soba / mikrodalğalı / "Quicks"</v>
      </c>
      <c r="E923" s="8" t="s">
        <v>1833</v>
      </c>
      <c r="F923" s="4" t="s">
        <v>920</v>
      </c>
      <c r="G923" s="4">
        <v>1</v>
      </c>
      <c r="H923" s="4"/>
      <c r="I923" s="4">
        <f>Table4[[#This Row],[Malın miqdarı]]*Table4[[#This Row],[Vahidin qiyməti]]</f>
        <v>0</v>
      </c>
      <c r="J923" s="4" t="s">
        <v>899</v>
      </c>
      <c r="K923" s="4" t="s">
        <v>893</v>
      </c>
      <c r="L923" s="4">
        <f>_xlfn.XLOOKUP(Table4[[#This Row],[Kontragentin adı]],Table2[Kontragentin adı],Table2[Müqavilə nömrəsi],"Xəta",0)</f>
        <v>0</v>
      </c>
      <c r="M923" s="4">
        <f>_xlfn.XLOOKUP(Table4[[#This Row],[Kontragentin adı]],Table2[Kontragentin adı],Table2[Müqavilə nömrəsi],"Xəta",0)</f>
        <v>0</v>
      </c>
    </row>
    <row r="924" spans="2:13" x14ac:dyDescent="0.3">
      <c r="B924" s="4">
        <f t="shared" si="14"/>
        <v>921</v>
      </c>
      <c r="C924" s="5">
        <v>46174</v>
      </c>
      <c r="D924" s="10" t="str" cm="1">
        <f t="array" ref="D924">_xlfn.XLOOKUP(Table4[[#This Row],[Malın kodu]],Table1[[#All],[Malın kodu]],Table1[[#All],[Malın adı]],"xəta",0)</f>
        <v>Aspitaror / mətbəx üçün</v>
      </c>
      <c r="E924" s="8" t="s">
        <v>1834</v>
      </c>
      <c r="F924" s="4" t="s">
        <v>920</v>
      </c>
      <c r="G924" s="4">
        <v>1</v>
      </c>
      <c r="H924" s="4"/>
      <c r="I924" s="4">
        <f>Table4[[#This Row],[Malın miqdarı]]*Table4[[#This Row],[Vahidin qiyməti]]</f>
        <v>0</v>
      </c>
      <c r="J924" s="4" t="s">
        <v>899</v>
      </c>
      <c r="K924" s="4" t="s">
        <v>893</v>
      </c>
      <c r="L924" s="4">
        <f>_xlfn.XLOOKUP(Table4[[#This Row],[Kontragentin adı]],Table2[Kontragentin adı],Table2[Müqavilə nömrəsi],"Xəta",0)</f>
        <v>0</v>
      </c>
      <c r="M924" s="4">
        <f>_xlfn.XLOOKUP(Table4[[#This Row],[Kontragentin adı]],Table2[Kontragentin adı],Table2[Müqavilə nömrəsi],"Xəta",0)</f>
        <v>0</v>
      </c>
    </row>
    <row r="925" spans="2:13" x14ac:dyDescent="0.3">
      <c r="B925" s="4">
        <f t="shared" si="14"/>
        <v>922</v>
      </c>
      <c r="C925" s="5">
        <v>46174</v>
      </c>
      <c r="D925" s="10" t="str" cm="1">
        <f t="array" ref="D925">_xlfn.XLOOKUP(Table4[[#This Row],[Malın kodu]],Table1[[#All],[Malın kodu]],Table1[[#All],[Malın adı]],"xəta",0)</f>
        <v>Qaz plitəsi / masaüstü / 1 gözlü</v>
      </c>
      <c r="E925" s="8" t="s">
        <v>1835</v>
      </c>
      <c r="F925" s="4" t="s">
        <v>920</v>
      </c>
      <c r="G925" s="4">
        <v>1</v>
      </c>
      <c r="H925" s="4"/>
      <c r="I925" s="4">
        <f>Table4[[#This Row],[Malın miqdarı]]*Table4[[#This Row],[Vahidin qiyməti]]</f>
        <v>0</v>
      </c>
      <c r="J925" s="4" t="s">
        <v>899</v>
      </c>
      <c r="K925" s="4" t="s">
        <v>893</v>
      </c>
      <c r="L925" s="4">
        <f>_xlfn.XLOOKUP(Table4[[#This Row],[Kontragentin adı]],Table2[Kontragentin adı],Table2[Müqavilə nömrəsi],"Xəta",0)</f>
        <v>0</v>
      </c>
      <c r="M925" s="4">
        <f>_xlfn.XLOOKUP(Table4[[#This Row],[Kontragentin adı]],Table2[Kontragentin adı],Table2[Müqavilə nömrəsi],"Xəta",0)</f>
        <v>0</v>
      </c>
    </row>
    <row r="926" spans="2:13" x14ac:dyDescent="0.3">
      <c r="B926" s="4">
        <f t="shared" si="14"/>
        <v>923</v>
      </c>
      <c r="C926" s="5">
        <v>46174</v>
      </c>
      <c r="D926" s="10" t="str" cm="1">
        <f t="array" ref="D926">_xlfn.XLOOKUP(Table4[[#This Row],[Malın kodu]],Table1[[#All],[Malın kodu]],Table1[[#All],[Malın adı]],"xəta",0)</f>
        <v>Qaz plitəsi / masaüstü / 2 gözlü</v>
      </c>
      <c r="E926" s="8" t="s">
        <v>1836</v>
      </c>
      <c r="F926" s="4" t="s">
        <v>920</v>
      </c>
      <c r="G926" s="4">
        <v>1</v>
      </c>
      <c r="H926" s="4"/>
      <c r="I926" s="4">
        <f>Table4[[#This Row],[Malın miqdarı]]*Table4[[#This Row],[Vahidin qiyməti]]</f>
        <v>0</v>
      </c>
      <c r="J926" s="4" t="s">
        <v>899</v>
      </c>
      <c r="K926" s="4" t="s">
        <v>893</v>
      </c>
      <c r="L926" s="4">
        <f>_xlfn.XLOOKUP(Table4[[#This Row],[Kontragentin adı]],Table2[Kontragentin adı],Table2[Müqavilə nömrəsi],"Xəta",0)</f>
        <v>0</v>
      </c>
      <c r="M926" s="4">
        <f>_xlfn.XLOOKUP(Table4[[#This Row],[Kontragentin adı]],Table2[Kontragentin adı],Table2[Müqavilə nömrəsi],"Xəta",0)</f>
        <v>0</v>
      </c>
    </row>
    <row r="927" spans="2:13" x14ac:dyDescent="0.3">
      <c r="B927" s="4">
        <f t="shared" si="14"/>
        <v>924</v>
      </c>
      <c r="C927" s="5">
        <v>46174</v>
      </c>
      <c r="D927" s="10" t="str" cm="1">
        <f t="array" ref="D927">_xlfn.XLOOKUP(Table4[[#This Row],[Malın kodu]],Table1[[#All],[Malın kodu]],Table1[[#All],[Malın adı]],"xəta",0)</f>
        <v>Qaz plitəsi / masaüstü / 4 gözlü</v>
      </c>
      <c r="E927" s="8" t="s">
        <v>1837</v>
      </c>
      <c r="F927" s="4" t="s">
        <v>920</v>
      </c>
      <c r="G927" s="4">
        <v>1</v>
      </c>
      <c r="H927" s="4"/>
      <c r="I927" s="4">
        <f>Table4[[#This Row],[Malın miqdarı]]*Table4[[#This Row],[Vahidin qiyməti]]</f>
        <v>0</v>
      </c>
      <c r="J927" s="4" t="s">
        <v>899</v>
      </c>
      <c r="K927" s="4" t="s">
        <v>893</v>
      </c>
      <c r="L927" s="4">
        <f>_xlfn.XLOOKUP(Table4[[#This Row],[Kontragentin adı]],Table2[Kontragentin adı],Table2[Müqavilə nömrəsi],"Xəta",0)</f>
        <v>0</v>
      </c>
      <c r="M927" s="4">
        <f>_xlfn.XLOOKUP(Table4[[#This Row],[Kontragentin adı]],Table2[Kontragentin adı],Table2[Müqavilə nömrəsi],"Xəta",0)</f>
        <v>0</v>
      </c>
    </row>
    <row r="928" spans="2:13" x14ac:dyDescent="0.3">
      <c r="B928" s="4">
        <f t="shared" si="14"/>
        <v>925</v>
      </c>
      <c r="C928" s="5">
        <v>46174</v>
      </c>
      <c r="D928" s="10" t="str" cm="1">
        <f t="array" ref="D928">_xlfn.XLOOKUP(Table4[[#This Row],[Malın kodu]],Table1[[#All],[Malın kodu]],Table1[[#All],[Malın adı]],"xəta",0)</f>
        <v>Aşsüzən / 450mm / metal</v>
      </c>
      <c r="E928" s="8" t="s">
        <v>1838</v>
      </c>
      <c r="F928" s="4" t="s">
        <v>920</v>
      </c>
      <c r="G928" s="4">
        <v>1</v>
      </c>
      <c r="H928" s="4"/>
      <c r="I928" s="4">
        <f>Table4[[#This Row],[Malın miqdarı]]*Table4[[#This Row],[Vahidin qiyməti]]</f>
        <v>0</v>
      </c>
      <c r="J928" s="4" t="s">
        <v>899</v>
      </c>
      <c r="K928" s="4" t="s">
        <v>893</v>
      </c>
      <c r="L928" s="4">
        <f>_xlfn.XLOOKUP(Table4[[#This Row],[Kontragentin adı]],Table2[Kontragentin adı],Table2[Müqavilə nömrəsi],"Xəta",0)</f>
        <v>0</v>
      </c>
      <c r="M928" s="4">
        <f>_xlfn.XLOOKUP(Table4[[#This Row],[Kontragentin adı]],Table2[Kontragentin adı],Table2[Müqavilə nömrəsi],"Xəta",0)</f>
        <v>0</v>
      </c>
    </row>
    <row r="929" spans="2:13" x14ac:dyDescent="0.3">
      <c r="B929" s="4">
        <f t="shared" si="14"/>
        <v>926</v>
      </c>
      <c r="C929" s="5">
        <v>46174</v>
      </c>
      <c r="D929" s="10" t="str" cm="1">
        <f t="array" ref="D929">_xlfn.XLOOKUP(Table4[[#This Row],[Malın kodu]],Table1[[#All],[Malın kodu]],Table1[[#All],[Malın adı]],"xəta",0)</f>
        <v>Qazan / alüminium / 400mm</v>
      </c>
      <c r="E929" s="8" t="s">
        <v>1839</v>
      </c>
      <c r="F929" s="4" t="s">
        <v>920</v>
      </c>
      <c r="G929" s="4">
        <v>1</v>
      </c>
      <c r="H929" s="4"/>
      <c r="I929" s="4">
        <f>Table4[[#This Row],[Malın miqdarı]]*Table4[[#This Row],[Vahidin qiyməti]]</f>
        <v>0</v>
      </c>
      <c r="J929" s="4" t="s">
        <v>899</v>
      </c>
      <c r="K929" s="4" t="s">
        <v>893</v>
      </c>
      <c r="L929" s="4">
        <f>_xlfn.XLOOKUP(Table4[[#This Row],[Kontragentin adı]],Table2[Kontragentin adı],Table2[Müqavilə nömrəsi],"Xəta",0)</f>
        <v>0</v>
      </c>
      <c r="M929" s="4">
        <f>_xlfn.XLOOKUP(Table4[[#This Row],[Kontragentin adı]],Table2[Kontragentin adı],Table2[Müqavilə nömrəsi],"Xəta",0)</f>
        <v>0</v>
      </c>
    </row>
    <row r="930" spans="2:13" x14ac:dyDescent="0.3">
      <c r="B930" s="4">
        <f t="shared" si="14"/>
        <v>927</v>
      </c>
      <c r="C930" s="5">
        <v>46174</v>
      </c>
      <c r="D930" s="10" t="str" cm="1">
        <f t="array" ref="D930">_xlfn.XLOOKUP(Table4[[#This Row],[Malın kodu]],Table1[[#All],[Malın kodu]],Table1[[#All],[Malın adı]],"xəta",0)</f>
        <v>Qazan / alüminium / 440mm</v>
      </c>
      <c r="E930" s="8" t="s">
        <v>1840</v>
      </c>
      <c r="F930" s="4" t="s">
        <v>920</v>
      </c>
      <c r="G930" s="4">
        <v>1</v>
      </c>
      <c r="H930" s="4"/>
      <c r="I930" s="4">
        <f>Table4[[#This Row],[Malın miqdarı]]*Table4[[#This Row],[Vahidin qiyməti]]</f>
        <v>0</v>
      </c>
      <c r="J930" s="4" t="s">
        <v>899</v>
      </c>
      <c r="K930" s="4" t="s">
        <v>893</v>
      </c>
      <c r="L930" s="4">
        <f>_xlfn.XLOOKUP(Table4[[#This Row],[Kontragentin adı]],Table2[Kontragentin adı],Table2[Müqavilə nömrəsi],"Xəta",0)</f>
        <v>0</v>
      </c>
      <c r="M930" s="4">
        <f>_xlfn.XLOOKUP(Table4[[#This Row],[Kontragentin adı]],Table2[Kontragentin adı],Table2[Müqavilə nömrəsi],"Xəta",0)</f>
        <v>0</v>
      </c>
    </row>
    <row r="931" spans="2:13" x14ac:dyDescent="0.3">
      <c r="B931" s="4">
        <f t="shared" si="14"/>
        <v>928</v>
      </c>
      <c r="C931" s="5">
        <v>46174</v>
      </c>
      <c r="D931" s="10" t="str" cm="1">
        <f t="array" ref="D931">_xlfn.XLOOKUP(Table4[[#This Row],[Malın kodu]],Table1[[#All],[Malın kodu]],Table1[[#All],[Malın adı]],"xəta",0)</f>
        <v>Çaydan / alüminium / 4-5 litr</v>
      </c>
      <c r="E931" s="8" t="s">
        <v>1841</v>
      </c>
      <c r="F931" s="4" t="s">
        <v>920</v>
      </c>
      <c r="G931" s="4">
        <v>2</v>
      </c>
      <c r="H931" s="4"/>
      <c r="I931" s="4">
        <f>Table4[[#This Row],[Malın miqdarı]]*Table4[[#This Row],[Vahidin qiyməti]]</f>
        <v>0</v>
      </c>
      <c r="J931" s="4" t="s">
        <v>899</v>
      </c>
      <c r="K931" s="4" t="s">
        <v>893</v>
      </c>
      <c r="L931" s="4">
        <f>_xlfn.XLOOKUP(Table4[[#This Row],[Kontragentin adı]],Table2[Kontragentin adı],Table2[Müqavilə nömrəsi],"Xəta",0)</f>
        <v>0</v>
      </c>
      <c r="M931" s="4">
        <f>_xlfn.XLOOKUP(Table4[[#This Row],[Kontragentin adı]],Table2[Kontragentin adı],Table2[Müqavilə nömrəsi],"Xəta",0)</f>
        <v>0</v>
      </c>
    </row>
    <row r="932" spans="2:13" x14ac:dyDescent="0.3">
      <c r="B932" s="4">
        <f t="shared" si="14"/>
        <v>929</v>
      </c>
      <c r="C932" s="5">
        <v>46174</v>
      </c>
      <c r="D932" s="10" t="str" cm="1">
        <f t="array" ref="D932">_xlfn.XLOOKUP(Table4[[#This Row],[Malın kodu]],Table1[[#All],[Malın kodu]],Table1[[#All],[Malın adı]],"xəta",0)</f>
        <v>Döşək</v>
      </c>
      <c r="E932" s="8" t="s">
        <v>1843</v>
      </c>
      <c r="F932" s="4" t="s">
        <v>920</v>
      </c>
      <c r="G932" s="4">
        <v>3</v>
      </c>
      <c r="H932" s="4"/>
      <c r="I932" s="4">
        <f>Table4[[#This Row],[Malın miqdarı]]*Table4[[#This Row],[Vahidin qiyməti]]</f>
        <v>0</v>
      </c>
      <c r="J932" s="4" t="s">
        <v>899</v>
      </c>
      <c r="K932" s="4" t="s">
        <v>893</v>
      </c>
      <c r="L932" s="4">
        <f>_xlfn.XLOOKUP(Table4[[#This Row],[Kontragentin adı]],Table2[Kontragentin adı],Table2[Müqavilə nömrəsi],"Xəta",0)</f>
        <v>0</v>
      </c>
      <c r="M932" s="4">
        <f>_xlfn.XLOOKUP(Table4[[#This Row],[Kontragentin adı]],Table2[Kontragentin adı],Table2[Müqavilə nömrəsi],"Xəta",0)</f>
        <v>0</v>
      </c>
    </row>
    <row r="933" spans="2:13" x14ac:dyDescent="0.3">
      <c r="B933" s="4">
        <f t="shared" si="14"/>
        <v>930</v>
      </c>
      <c r="C933" s="5">
        <v>46174</v>
      </c>
      <c r="D933" s="10" t="str" cm="1">
        <f t="array" ref="D933">_xlfn.XLOOKUP(Table4[[#This Row],[Malın kodu]],Table1[[#All],[Malın kodu]],Table1[[#All],[Malın adı]],"xəta",0)</f>
        <v>Yataq / açilıb bağlanan /</v>
      </c>
      <c r="E933" s="8" t="s">
        <v>1844</v>
      </c>
      <c r="F933" s="4" t="s">
        <v>920</v>
      </c>
      <c r="G933" s="4">
        <v>5</v>
      </c>
      <c r="H933" s="4"/>
      <c r="I933" s="4">
        <f>Table4[[#This Row],[Malın miqdarı]]*Table4[[#This Row],[Vahidin qiyməti]]</f>
        <v>0</v>
      </c>
      <c r="J933" s="4" t="s">
        <v>899</v>
      </c>
      <c r="K933" s="4" t="s">
        <v>893</v>
      </c>
      <c r="L933" s="4">
        <f>_xlfn.XLOOKUP(Table4[[#This Row],[Kontragentin adı]],Table2[Kontragentin adı],Table2[Müqavilə nömrəsi],"Xəta",0)</f>
        <v>0</v>
      </c>
      <c r="M933" s="4">
        <f>_xlfn.XLOOKUP(Table4[[#This Row],[Kontragentin adı]],Table2[Kontragentin adı],Table2[Müqavilə nömrəsi],"Xəta",0)</f>
        <v>0</v>
      </c>
    </row>
    <row r="934" spans="2:13" x14ac:dyDescent="0.3">
      <c r="B934" s="4">
        <f t="shared" si="14"/>
        <v>931</v>
      </c>
      <c r="C934" s="5">
        <v>46174</v>
      </c>
      <c r="D934" s="10" t="str" cm="1">
        <f t="array" ref="D934">_xlfn.XLOOKUP(Table4[[#This Row],[Malın kodu]],Table1[[#All],[Malın kodu]],Table1[[#All],[Malın adı]],"xəta",0)</f>
        <v>Kreslo / parça</v>
      </c>
      <c r="E934" s="8" t="s">
        <v>1845</v>
      </c>
      <c r="F934" s="4" t="s">
        <v>920</v>
      </c>
      <c r="G934" s="4">
        <v>1</v>
      </c>
      <c r="H934" s="4"/>
      <c r="I934" s="4">
        <f>Table4[[#This Row],[Malın miqdarı]]*Table4[[#This Row],[Vahidin qiyməti]]</f>
        <v>0</v>
      </c>
      <c r="J934" s="4" t="s">
        <v>899</v>
      </c>
      <c r="K934" s="4" t="s">
        <v>893</v>
      </c>
      <c r="L934" s="4">
        <f>_xlfn.XLOOKUP(Table4[[#This Row],[Kontragentin adı]],Table2[Kontragentin adı],Table2[Müqavilə nömrəsi],"Xəta",0)</f>
        <v>0</v>
      </c>
      <c r="M934" s="4">
        <f>_xlfn.XLOOKUP(Table4[[#This Row],[Kontragentin adı]],Table2[Kontragentin adı],Table2[Müqavilə nömrəsi],"Xəta",0)</f>
        <v>0</v>
      </c>
    </row>
    <row r="935" spans="2:13" x14ac:dyDescent="0.3">
      <c r="B935" s="4">
        <f t="shared" si="14"/>
        <v>932</v>
      </c>
      <c r="C935" s="5">
        <v>46174</v>
      </c>
      <c r="D935" s="10" t="str" cm="1">
        <f t="array" ref="D935">_xlfn.XLOOKUP(Table4[[#This Row],[Malın kodu]],Table1[[#All],[Malın kodu]],Table1[[#All],[Malın adı]],"xəta",0)</f>
        <v>Paltaryuyan maşın / "Midea"</v>
      </c>
      <c r="E935" s="8" t="s">
        <v>1846</v>
      </c>
      <c r="F935" s="4" t="s">
        <v>920</v>
      </c>
      <c r="G935" s="4">
        <v>1</v>
      </c>
      <c r="H935" s="4"/>
      <c r="I935" s="4">
        <f>Table4[[#This Row],[Malın miqdarı]]*Table4[[#This Row],[Vahidin qiyməti]]</f>
        <v>0</v>
      </c>
      <c r="J935" s="4" t="s">
        <v>899</v>
      </c>
      <c r="K935" s="4" t="s">
        <v>893</v>
      </c>
      <c r="L935" s="4">
        <f>_xlfn.XLOOKUP(Table4[[#This Row],[Kontragentin adı]],Table2[Kontragentin adı],Table2[Müqavilə nömrəsi],"Xəta",0)</f>
        <v>0</v>
      </c>
      <c r="M935" s="4">
        <f>_xlfn.XLOOKUP(Table4[[#This Row],[Kontragentin adı]],Table2[Kontragentin adı],Table2[Müqavilə nömrəsi],"Xəta",0)</f>
        <v>0</v>
      </c>
    </row>
    <row r="936" spans="2:13" x14ac:dyDescent="0.3">
      <c r="B936" s="4">
        <f t="shared" si="14"/>
        <v>933</v>
      </c>
      <c r="C936" s="5">
        <v>46174</v>
      </c>
      <c r="D936" s="10" t="str" cm="1">
        <f t="array" ref="D936">_xlfn.XLOOKUP(Table4[[#This Row],[Malın kodu]],Table1[[#All],[Malın kodu]],Table1[[#All],[Malın adı]],"xəta",0)</f>
        <v>Yataq / metal karkas</v>
      </c>
      <c r="E936" s="8" t="s">
        <v>1847</v>
      </c>
      <c r="F936" s="4" t="s">
        <v>920</v>
      </c>
      <c r="G936" s="4">
        <v>6</v>
      </c>
      <c r="H936" s="4"/>
      <c r="I936" s="4">
        <f>Table4[[#This Row],[Malın miqdarı]]*Table4[[#This Row],[Vahidin qiyməti]]</f>
        <v>0</v>
      </c>
      <c r="J936" s="4" t="s">
        <v>899</v>
      </c>
      <c r="K936" s="4" t="s">
        <v>893</v>
      </c>
      <c r="L936" s="4">
        <f>_xlfn.XLOOKUP(Table4[[#This Row],[Kontragentin adı]],Table2[Kontragentin adı],Table2[Müqavilə nömrəsi],"Xəta",0)</f>
        <v>0</v>
      </c>
      <c r="M936" s="4">
        <f>_xlfn.XLOOKUP(Table4[[#This Row],[Kontragentin adı]],Table2[Kontragentin adı],Table2[Müqavilə nömrəsi],"Xəta",0)</f>
        <v>0</v>
      </c>
    </row>
    <row r="937" spans="2:13" x14ac:dyDescent="0.3">
      <c r="B937" s="4">
        <f t="shared" si="14"/>
        <v>934</v>
      </c>
      <c r="C937" s="5">
        <v>46174</v>
      </c>
      <c r="D937" s="10" t="str" cm="1">
        <f t="array" ref="D937">_xlfn.XLOOKUP(Table4[[#This Row],[Malın kodu]],Table1[[#All],[Malın kodu]],Table1[[#All],[Malın adı]],"xəta",0)</f>
        <v>Masa / 700x1400mm</v>
      </c>
      <c r="E937" s="8" t="s">
        <v>1848</v>
      </c>
      <c r="F937" s="4" t="s">
        <v>920</v>
      </c>
      <c r="G937" s="4">
        <v>2</v>
      </c>
      <c r="H937" s="4"/>
      <c r="I937" s="4">
        <f>Table4[[#This Row],[Malın miqdarı]]*Table4[[#This Row],[Vahidin qiyməti]]</f>
        <v>0</v>
      </c>
      <c r="J937" s="4" t="s">
        <v>899</v>
      </c>
      <c r="K937" s="4" t="s">
        <v>893</v>
      </c>
      <c r="L937" s="4">
        <f>_xlfn.XLOOKUP(Table4[[#This Row],[Kontragentin adı]],Table2[Kontragentin adı],Table2[Müqavilə nömrəsi],"Xəta",0)</f>
        <v>0</v>
      </c>
      <c r="M937" s="4">
        <f>_xlfn.XLOOKUP(Table4[[#This Row],[Kontragentin adı]],Table2[Kontragentin adı],Table2[Müqavilə nömrəsi],"Xəta",0)</f>
        <v>0</v>
      </c>
    </row>
    <row r="938" spans="2:13" x14ac:dyDescent="0.3">
      <c r="B938" s="4">
        <f t="shared" si="14"/>
        <v>935</v>
      </c>
      <c r="C938" s="5">
        <v>46174</v>
      </c>
      <c r="D938" s="10" t="str" cm="1">
        <f t="array" ref="D938">_xlfn.XLOOKUP(Table4[[#This Row],[Malın kodu]],Table1[[#All],[Malın kodu]],Table1[[#All],[Malın adı]],"xəta",0)</f>
        <v>Elektrik lövhəsi / 300x400mm</v>
      </c>
      <c r="E938" s="8" t="s">
        <v>1849</v>
      </c>
      <c r="F938" s="4" t="s">
        <v>920</v>
      </c>
      <c r="G938" s="4">
        <v>1</v>
      </c>
      <c r="H938" s="4"/>
      <c r="I938" s="4">
        <f>Table4[[#This Row],[Malın miqdarı]]*Table4[[#This Row],[Vahidin qiyməti]]</f>
        <v>0</v>
      </c>
      <c r="J938" s="4" t="s">
        <v>899</v>
      </c>
      <c r="K938" s="4" t="s">
        <v>893</v>
      </c>
      <c r="L938" s="4">
        <f>_xlfn.XLOOKUP(Table4[[#This Row],[Kontragentin adı]],Table2[Kontragentin adı],Table2[Müqavilə nömrəsi],"Xəta",0)</f>
        <v>0</v>
      </c>
      <c r="M938" s="4">
        <f>_xlfn.XLOOKUP(Table4[[#This Row],[Kontragentin adı]],Table2[Kontragentin adı],Table2[Müqavilə nömrəsi],"Xəta",0)</f>
        <v>0</v>
      </c>
    </row>
    <row r="939" spans="2:13" x14ac:dyDescent="0.3">
      <c r="B939" s="4">
        <f t="shared" si="14"/>
        <v>936</v>
      </c>
      <c r="C939" s="5">
        <v>46174</v>
      </c>
      <c r="D939" s="10" t="str" cm="1">
        <f t="array" ref="D939">_xlfn.XLOOKUP(Table4[[#This Row],[Malın kodu]],Table1[[#All],[Malın kodu]],Table1[[#All],[Malın adı]],"xəta",0)</f>
        <v>Masa / 700x1700mm / 3 siyirtməli</v>
      </c>
      <c r="E939" s="8" t="s">
        <v>1850</v>
      </c>
      <c r="F939" s="4" t="s">
        <v>920</v>
      </c>
      <c r="G939" s="4">
        <v>1</v>
      </c>
      <c r="H939" s="4"/>
      <c r="I939" s="4">
        <f>Table4[[#This Row],[Malın miqdarı]]*Table4[[#This Row],[Vahidin qiyməti]]</f>
        <v>0</v>
      </c>
      <c r="J939" s="4" t="s">
        <v>899</v>
      </c>
      <c r="K939" s="4" t="s">
        <v>893</v>
      </c>
      <c r="L939" s="4">
        <f>_xlfn.XLOOKUP(Table4[[#This Row],[Kontragentin adı]],Table2[Kontragentin adı],Table2[Müqavilə nömrəsi],"Xəta",0)</f>
        <v>0</v>
      </c>
      <c r="M939" s="4">
        <f>_xlfn.XLOOKUP(Table4[[#This Row],[Kontragentin adı]],Table2[Kontragentin adı],Table2[Müqavilə nömrəsi],"Xəta",0)</f>
        <v>0</v>
      </c>
    </row>
    <row r="940" spans="2:13" x14ac:dyDescent="0.3">
      <c r="B940" s="4">
        <f t="shared" si="14"/>
        <v>937</v>
      </c>
      <c r="C940" s="5">
        <v>46174</v>
      </c>
      <c r="D940" s="10" t="str" cm="1">
        <f t="array" ref="D940">_xlfn.XLOOKUP(Table4[[#This Row],[Malın kodu]],Table1[[#All],[Malın kodu]],Table1[[#All],[Malın adı]],"xəta",0)</f>
        <v>Oturacaq</v>
      </c>
      <c r="E940" s="8" t="s">
        <v>1851</v>
      </c>
      <c r="F940" s="4" t="s">
        <v>920</v>
      </c>
      <c r="G940" s="4">
        <v>1</v>
      </c>
      <c r="H940" s="4"/>
      <c r="I940" s="4">
        <f>Table4[[#This Row],[Malın miqdarı]]*Table4[[#This Row],[Vahidin qiyməti]]</f>
        <v>0</v>
      </c>
      <c r="J940" s="4" t="s">
        <v>899</v>
      </c>
      <c r="K940" s="4" t="s">
        <v>893</v>
      </c>
      <c r="L940" s="4">
        <f>_xlfn.XLOOKUP(Table4[[#This Row],[Kontragentin adı]],Table2[Kontragentin adı],Table2[Müqavilə nömrəsi],"Xəta",0)</f>
        <v>0</v>
      </c>
      <c r="M940" s="4">
        <f>_xlfn.XLOOKUP(Table4[[#This Row],[Kontragentin adı]],Table2[Kontragentin adı],Table2[Müqavilə nömrəsi],"Xəta",0)</f>
        <v>0</v>
      </c>
    </row>
    <row r="941" spans="2:13" x14ac:dyDescent="0.3">
      <c r="B941" s="4">
        <f t="shared" si="14"/>
        <v>938</v>
      </c>
      <c r="C941" s="5">
        <v>46174</v>
      </c>
      <c r="D941" s="10" t="str" cm="1">
        <f t="array" ref="D941">_xlfn.XLOOKUP(Table4[[#This Row],[Malın kodu]],Table1[[#All],[Malın kodu]],Table1[[#All],[Malın adı]],"xəta",0)</f>
        <v>Masa / 500x950 mm</v>
      </c>
      <c r="E941" s="8" t="s">
        <v>1852</v>
      </c>
      <c r="F941" s="4" t="s">
        <v>920</v>
      </c>
      <c r="G941" s="4">
        <v>1</v>
      </c>
      <c r="H941" s="4"/>
      <c r="I941" s="4">
        <f>Table4[[#This Row],[Malın miqdarı]]*Table4[[#This Row],[Vahidin qiyməti]]</f>
        <v>0</v>
      </c>
      <c r="J941" s="4" t="s">
        <v>899</v>
      </c>
      <c r="K941" s="4" t="s">
        <v>893</v>
      </c>
      <c r="L941" s="4">
        <f>_xlfn.XLOOKUP(Table4[[#This Row],[Kontragentin adı]],Table2[Kontragentin adı],Table2[Müqavilə nömrəsi],"Xəta",0)</f>
        <v>0</v>
      </c>
      <c r="M941" s="4">
        <f>_xlfn.XLOOKUP(Table4[[#This Row],[Kontragentin adı]],Table2[Kontragentin adı],Table2[Müqavilə nömrəsi],"Xəta",0)</f>
        <v>0</v>
      </c>
    </row>
    <row r="942" spans="2:13" x14ac:dyDescent="0.3">
      <c r="B942" s="4">
        <f t="shared" si="14"/>
        <v>939</v>
      </c>
      <c r="C942" s="5">
        <v>46174</v>
      </c>
      <c r="D942" s="10" t="str" cm="1">
        <f t="array" ref="D942">_xlfn.XLOOKUP(Table4[[#This Row],[Malın kodu]],Table1[[#All],[Malın kodu]],Table1[[#All],[Malın adı]],"xəta",0)</f>
        <v>Masa / 500x700 mm</v>
      </c>
      <c r="E942" s="8" t="s">
        <v>1853</v>
      </c>
      <c r="F942" s="4" t="s">
        <v>920</v>
      </c>
      <c r="G942" s="4">
        <v>1</v>
      </c>
      <c r="H942" s="4"/>
      <c r="I942" s="4">
        <f>Table4[[#This Row],[Malın miqdarı]]*Table4[[#This Row],[Vahidin qiyməti]]</f>
        <v>0</v>
      </c>
      <c r="J942" s="4" t="s">
        <v>899</v>
      </c>
      <c r="K942" s="4" t="s">
        <v>893</v>
      </c>
      <c r="L942" s="4">
        <f>_xlfn.XLOOKUP(Table4[[#This Row],[Kontragentin adı]],Table2[Kontragentin adı],Table2[Müqavilə nömrəsi],"Xəta",0)</f>
        <v>0</v>
      </c>
      <c r="M942" s="4">
        <f>_xlfn.XLOOKUP(Table4[[#This Row],[Kontragentin adı]],Table2[Kontragentin adı],Table2[Müqavilə nömrəsi],"Xəta",0)</f>
        <v>0</v>
      </c>
    </row>
    <row r="943" spans="2:13" x14ac:dyDescent="0.3">
      <c r="B943" s="4">
        <f t="shared" si="14"/>
        <v>940</v>
      </c>
      <c r="C943" s="5">
        <v>46174</v>
      </c>
      <c r="D943" s="10" t="str" cm="1">
        <f t="array" ref="D943">_xlfn.XLOOKUP(Table4[[#This Row],[Malın kodu]],Table1[[#All],[Malın kodu]],Table1[[#All],[Malın adı]],"xəta",0)</f>
        <v>Sənəd dolabı / 700x1320mm</v>
      </c>
      <c r="E943" s="8" t="s">
        <v>1854</v>
      </c>
      <c r="F943" s="4" t="s">
        <v>920</v>
      </c>
      <c r="G943" s="4">
        <v>1</v>
      </c>
      <c r="H943" s="4"/>
      <c r="I943" s="4">
        <f>Table4[[#This Row],[Malın miqdarı]]*Table4[[#This Row],[Vahidin qiyməti]]</f>
        <v>0</v>
      </c>
      <c r="J943" s="4" t="s">
        <v>899</v>
      </c>
      <c r="K943" s="4" t="s">
        <v>893</v>
      </c>
      <c r="L943" s="4">
        <f>_xlfn.XLOOKUP(Table4[[#This Row],[Kontragentin adı]],Table2[Kontragentin adı],Table2[Müqavilə nömrəsi],"Xəta",0)</f>
        <v>0</v>
      </c>
      <c r="M943" s="4">
        <f>_xlfn.XLOOKUP(Table4[[#This Row],[Kontragentin adı]],Table2[Kontragentin adı],Table2[Müqavilə nömrəsi],"Xəta",0)</f>
        <v>0</v>
      </c>
    </row>
    <row r="944" spans="2:13" x14ac:dyDescent="0.3">
      <c r="B944" s="4">
        <f t="shared" si="14"/>
        <v>941</v>
      </c>
      <c r="C944" s="5">
        <v>46174</v>
      </c>
      <c r="D944" s="10" t="str" cm="1">
        <f t="array" ref="D944">_xlfn.XLOOKUP(Table4[[#This Row],[Malın kodu]],Table1[[#All],[Malın kodu]],Table1[[#All],[Malın adı]],"xəta",0)</f>
        <v>Su qızdırıcı / elektrik / 80litr</v>
      </c>
      <c r="E944" s="8" t="s">
        <v>1855</v>
      </c>
      <c r="F944" s="4" t="s">
        <v>920</v>
      </c>
      <c r="G944" s="4">
        <v>1</v>
      </c>
      <c r="H944" s="4"/>
      <c r="I944" s="4">
        <f>Table4[[#This Row],[Malın miqdarı]]*Table4[[#This Row],[Vahidin qiyməti]]</f>
        <v>0</v>
      </c>
      <c r="J944" s="4" t="s">
        <v>899</v>
      </c>
      <c r="K944" s="4" t="s">
        <v>893</v>
      </c>
      <c r="L944" s="4">
        <f>_xlfn.XLOOKUP(Table4[[#This Row],[Kontragentin adı]],Table2[Kontragentin adı],Table2[Müqavilə nömrəsi],"Xəta",0)</f>
        <v>0</v>
      </c>
      <c r="M944" s="4">
        <f>_xlfn.XLOOKUP(Table4[[#This Row],[Kontragentin adı]],Table2[Kontragentin adı],Table2[Müqavilə nömrəsi],"Xəta",0)</f>
        <v>0</v>
      </c>
    </row>
    <row r="945" spans="2:13" x14ac:dyDescent="0.3">
      <c r="B945" s="4">
        <f t="shared" si="14"/>
        <v>942</v>
      </c>
      <c r="C945" s="5">
        <v>46174</v>
      </c>
      <c r="D945" s="10" t="str" cm="1">
        <f t="array" ref="D945">_xlfn.XLOOKUP(Table4[[#This Row],[Malın kodu]],Table1[[#All],[Malın kodu]],Table1[[#All],[Malın adı]],"xəta",0)</f>
        <v>Nivelyator dayağı / üçayaq</v>
      </c>
      <c r="E945" s="8" t="s">
        <v>1856</v>
      </c>
      <c r="F945" s="4" t="s">
        <v>920</v>
      </c>
      <c r="G945" s="4">
        <v>2</v>
      </c>
      <c r="H945" s="4"/>
      <c r="I945" s="4">
        <f>Table4[[#This Row],[Malın miqdarı]]*Table4[[#This Row],[Vahidin qiyməti]]</f>
        <v>0</v>
      </c>
      <c r="J945" s="4" t="s">
        <v>899</v>
      </c>
      <c r="K945" s="4" t="s">
        <v>893</v>
      </c>
      <c r="L945" s="4">
        <f>_xlfn.XLOOKUP(Table4[[#This Row],[Kontragentin adı]],Table2[Kontragentin adı],Table2[Müqavilə nömrəsi],"Xəta",0)</f>
        <v>0</v>
      </c>
      <c r="M945" s="4">
        <f>_xlfn.XLOOKUP(Table4[[#This Row],[Kontragentin adı]],Table2[Kontragentin adı],Table2[Müqavilə nömrəsi],"Xəta",0)</f>
        <v>0</v>
      </c>
    </row>
    <row r="946" spans="2:13" x14ac:dyDescent="0.3">
      <c r="B946" s="4">
        <f t="shared" si="14"/>
        <v>943</v>
      </c>
      <c r="C946" s="5">
        <v>46174</v>
      </c>
      <c r="D946" s="10" t="str" cm="1">
        <f t="array" ref="D946">_xlfn.XLOOKUP(Table4[[#This Row],[Malın kodu]],Table1[[#All],[Malın kodu]],Table1[[#All],[Malın adı]],"xəta",0)</f>
        <v>Nivelyator oxu</v>
      </c>
      <c r="E946" s="8" t="s">
        <v>1857</v>
      </c>
      <c r="F946" s="4" t="s">
        <v>920</v>
      </c>
      <c r="G946" s="4">
        <v>1</v>
      </c>
      <c r="H946" s="4"/>
      <c r="I946" s="4">
        <f>Table4[[#This Row],[Malın miqdarı]]*Table4[[#This Row],[Vahidin qiyməti]]</f>
        <v>0</v>
      </c>
      <c r="J946" s="4" t="s">
        <v>899</v>
      </c>
      <c r="K946" s="4" t="s">
        <v>893</v>
      </c>
      <c r="L946" s="4">
        <f>_xlfn.XLOOKUP(Table4[[#This Row],[Kontragentin adı]],Table2[Kontragentin adı],Table2[Müqavilə nömrəsi],"Xəta",0)</f>
        <v>0</v>
      </c>
      <c r="M946" s="4">
        <f>_xlfn.XLOOKUP(Table4[[#This Row],[Kontragentin adı]],Table2[Kontragentin adı],Table2[Müqavilə nömrəsi],"Xəta",0)</f>
        <v>0</v>
      </c>
    </row>
    <row r="947" spans="2:13" x14ac:dyDescent="0.3">
      <c r="B947" s="4">
        <f t="shared" si="14"/>
        <v>944</v>
      </c>
      <c r="C947" s="5">
        <v>46174</v>
      </c>
      <c r="D947" s="10" t="str" cm="1">
        <f t="array" ref="D947">_xlfn.XLOOKUP(Table4[[#This Row],[Malın kodu]],Table1[[#All],[Malın kodu]],Table1[[#All],[Malın adı]],"xəta",0)</f>
        <v>Qaynaq aparatı (ütü) / plastik boru üçün</v>
      </c>
      <c r="E947" s="8" t="s">
        <v>1858</v>
      </c>
      <c r="F947" s="4" t="s">
        <v>920</v>
      </c>
      <c r="G947" s="4">
        <v>1</v>
      </c>
      <c r="H947" s="4"/>
      <c r="I947" s="4">
        <f>Table4[[#This Row],[Malın miqdarı]]*Table4[[#This Row],[Vahidin qiyməti]]</f>
        <v>0</v>
      </c>
      <c r="J947" s="4" t="s">
        <v>899</v>
      </c>
      <c r="K947" s="4" t="s">
        <v>893</v>
      </c>
      <c r="L947" s="4">
        <f>_xlfn.XLOOKUP(Table4[[#This Row],[Kontragentin adı]],Table2[Kontragentin adı],Table2[Müqavilə nömrəsi],"Xəta",0)</f>
        <v>0</v>
      </c>
      <c r="M947" s="4">
        <f>_xlfn.XLOOKUP(Table4[[#This Row],[Kontragentin adı]],Table2[Kontragentin adı],Table2[Müqavilə nömrəsi],"Xəta",0)</f>
        <v>0</v>
      </c>
    </row>
    <row r="948" spans="2:13" x14ac:dyDescent="0.3">
      <c r="B948" s="4">
        <f t="shared" si="14"/>
        <v>945</v>
      </c>
      <c r="C948" s="5">
        <v>46174</v>
      </c>
      <c r="D948" s="10" t="str" cm="1">
        <f t="array" ref="D948">_xlfn.XLOOKUP(Table4[[#This Row],[Malın kodu]],Table1[[#All],[Malın kodu]],Table1[[#All],[Malın adı]],"xəta",0)</f>
        <v>Reduktor / oksiqen balonu üçün</v>
      </c>
      <c r="E948" s="8" t="s">
        <v>1859</v>
      </c>
      <c r="F948" s="4" t="s">
        <v>920</v>
      </c>
      <c r="G948" s="4">
        <v>3</v>
      </c>
      <c r="H948" s="4"/>
      <c r="I948" s="4">
        <f>Table4[[#This Row],[Malın miqdarı]]*Table4[[#This Row],[Vahidin qiyməti]]</f>
        <v>0</v>
      </c>
      <c r="J948" s="4" t="s">
        <v>899</v>
      </c>
      <c r="K948" s="4" t="s">
        <v>893</v>
      </c>
      <c r="L948" s="4">
        <f>_xlfn.XLOOKUP(Table4[[#This Row],[Kontragentin adı]],Table2[Kontragentin adı],Table2[Müqavilə nömrəsi],"Xəta",0)</f>
        <v>0</v>
      </c>
      <c r="M948" s="4">
        <f>_xlfn.XLOOKUP(Table4[[#This Row],[Kontragentin adı]],Table2[Kontragentin adı],Table2[Müqavilə nömrəsi],"Xəta",0)</f>
        <v>0</v>
      </c>
    </row>
    <row r="949" spans="2:13" x14ac:dyDescent="0.3">
      <c r="B949" s="4">
        <f t="shared" si="14"/>
        <v>946</v>
      </c>
      <c r="C949" s="5">
        <v>46174</v>
      </c>
      <c r="D949" s="10" t="str" cm="1">
        <f t="array" ref="D949">_xlfn.XLOOKUP(Table4[[#This Row],[Malın kodu]],Table1[[#All],[Malın kodu]],Table1[[#All],[Malın adı]],"xəta",0)</f>
        <v>Kabel / 50x0.5</v>
      </c>
      <c r="E949" s="8" t="s">
        <v>1860</v>
      </c>
      <c r="F949" s="4" t="s">
        <v>925</v>
      </c>
      <c r="G949" s="4">
        <v>167</v>
      </c>
      <c r="H949" s="4"/>
      <c r="I949" s="4">
        <f>Table4[[#This Row],[Malın miqdarı]]*Table4[[#This Row],[Vahidin qiyməti]]</f>
        <v>0</v>
      </c>
      <c r="J949" s="4" t="s">
        <v>899</v>
      </c>
      <c r="K949" s="4" t="s">
        <v>893</v>
      </c>
      <c r="L949" s="4">
        <f>_xlfn.XLOOKUP(Table4[[#This Row],[Kontragentin adı]],Table2[Kontragentin adı],Table2[Müqavilə nömrəsi],"Xəta",0)</f>
        <v>0</v>
      </c>
      <c r="M949" s="4">
        <f>_xlfn.XLOOKUP(Table4[[#This Row],[Kontragentin adı]],Table2[Kontragentin adı],Table2[Müqavilə nömrəsi],"Xəta",0)</f>
        <v>0</v>
      </c>
    </row>
    <row r="950" spans="2:13" x14ac:dyDescent="0.3">
      <c r="B950" s="4">
        <f t="shared" si="14"/>
        <v>947</v>
      </c>
      <c r="C950" s="5">
        <v>46174</v>
      </c>
      <c r="D950" s="10" t="str" cm="1">
        <f t="array" ref="D950">_xlfn.XLOOKUP(Table4[[#This Row],[Malın kodu]],Table1[[#All],[Malın kodu]],Table1[[#All],[Malın adı]],"xəta",0)</f>
        <v>Ətçəkən / elektrik / "Hausberg"</v>
      </c>
      <c r="E950" s="8" t="s">
        <v>1862</v>
      </c>
      <c r="F950" s="4" t="s">
        <v>920</v>
      </c>
      <c r="G950" s="4">
        <v>1</v>
      </c>
      <c r="H950" s="4"/>
      <c r="I950" s="4">
        <f>Table4[[#This Row],[Malın miqdarı]]*Table4[[#This Row],[Vahidin qiyməti]]</f>
        <v>0</v>
      </c>
      <c r="J950" s="4" t="s">
        <v>899</v>
      </c>
      <c r="K950" s="4" t="s">
        <v>893</v>
      </c>
      <c r="L950" s="4">
        <f>_xlfn.XLOOKUP(Table4[[#This Row],[Kontragentin adı]],Table2[Kontragentin adı],Table2[Müqavilə nömrəsi],"Xəta",0)</f>
        <v>0</v>
      </c>
      <c r="M950" s="4">
        <f>_xlfn.XLOOKUP(Table4[[#This Row],[Kontragentin adı]],Table2[Kontragentin adı],Table2[Müqavilə nömrəsi],"Xəta",0)</f>
        <v>0</v>
      </c>
    </row>
    <row r="951" spans="2:13" x14ac:dyDescent="0.3">
      <c r="B951" s="4">
        <f t="shared" si="14"/>
        <v>948</v>
      </c>
      <c r="C951" s="5">
        <v>46174</v>
      </c>
      <c r="D951" s="10" t="str" cm="1">
        <f t="array" ref="D951">_xlfn.XLOOKUP(Table4[[#This Row],[Malın kodu]],Table1[[#All],[Malın kodu]],Table1[[#All],[Malın adı]],"xəta",0)</f>
        <v>Soyuducu / 800x480mm / vertikal / 1 kameralı / "Arçelik"</v>
      </c>
      <c r="E951" s="8" t="s">
        <v>1863</v>
      </c>
      <c r="F951" s="4" t="s">
        <v>920</v>
      </c>
      <c r="G951" s="4">
        <v>1</v>
      </c>
      <c r="H951" s="4"/>
      <c r="I951" s="4">
        <f>Table4[[#This Row],[Malın miqdarı]]*Table4[[#This Row],[Vahidin qiyməti]]</f>
        <v>0</v>
      </c>
      <c r="J951" s="4" t="s">
        <v>899</v>
      </c>
      <c r="K951" s="4" t="s">
        <v>893</v>
      </c>
      <c r="L951" s="4">
        <f>_xlfn.XLOOKUP(Table4[[#This Row],[Kontragentin adı]],Table2[Kontragentin adı],Table2[Müqavilə nömrəsi],"Xəta",0)</f>
        <v>0</v>
      </c>
      <c r="M951" s="4">
        <f>_xlfn.XLOOKUP(Table4[[#This Row],[Kontragentin adı]],Table2[Kontragentin adı],Table2[Müqavilə nömrəsi],"Xəta",0)</f>
        <v>0</v>
      </c>
    </row>
    <row r="952" spans="2:13" x14ac:dyDescent="0.3">
      <c r="B952" s="4">
        <f t="shared" si="14"/>
        <v>949</v>
      </c>
      <c r="C952" s="5">
        <v>46174</v>
      </c>
      <c r="D952" s="10" t="str" cm="1">
        <f t="array" ref="D952">_xlfn.XLOOKUP(Table4[[#This Row],[Malın kodu]],Table1[[#All],[Malın kodu]],Table1[[#All],[Malın adı]],"xəta",0)</f>
        <v>Masa / metal / 3050x760mm</v>
      </c>
      <c r="E952" s="8" t="s">
        <v>1864</v>
      </c>
      <c r="F952" s="4" t="s">
        <v>920</v>
      </c>
      <c r="G952" s="4">
        <v>2</v>
      </c>
      <c r="H952" s="4"/>
      <c r="I952" s="4">
        <f>Table4[[#This Row],[Malın miqdarı]]*Table4[[#This Row],[Vahidin qiyməti]]</f>
        <v>0</v>
      </c>
      <c r="J952" s="4" t="s">
        <v>899</v>
      </c>
      <c r="K952" s="4" t="s">
        <v>893</v>
      </c>
      <c r="L952" s="4">
        <f>_xlfn.XLOOKUP(Table4[[#This Row],[Kontragentin adı]],Table2[Kontragentin adı],Table2[Müqavilə nömrəsi],"Xəta",0)</f>
        <v>0</v>
      </c>
      <c r="M952" s="4">
        <f>_xlfn.XLOOKUP(Table4[[#This Row],[Kontragentin adı]],Table2[Kontragentin adı],Table2[Müqavilə nömrəsi],"Xəta",0)</f>
        <v>0</v>
      </c>
    </row>
    <row r="953" spans="2:13" x14ac:dyDescent="0.3">
      <c r="B953" s="4">
        <f t="shared" si="14"/>
        <v>950</v>
      </c>
      <c r="C953" s="5">
        <v>46174</v>
      </c>
      <c r="D953" s="10" t="str" cm="1">
        <f t="array" ref="D953">_xlfn.XLOOKUP(Table4[[#This Row],[Malın kodu]],Table1[[#All],[Malın kodu]],Table1[[#All],[Malın adı]],"xəta",0)</f>
        <v>Masa / ofis / 1420x700mm</v>
      </c>
      <c r="E953" s="8" t="s">
        <v>1865</v>
      </c>
      <c r="F953" s="4" t="s">
        <v>920</v>
      </c>
      <c r="G953" s="4">
        <v>1</v>
      </c>
      <c r="H953" s="4"/>
      <c r="I953" s="4">
        <f>Table4[[#This Row],[Malın miqdarı]]*Table4[[#This Row],[Vahidin qiyməti]]</f>
        <v>0</v>
      </c>
      <c r="J953" s="4" t="s">
        <v>899</v>
      </c>
      <c r="K953" s="4" t="s">
        <v>893</v>
      </c>
      <c r="L953" s="4">
        <f>_xlfn.XLOOKUP(Table4[[#This Row],[Kontragentin adı]],Table2[Kontragentin adı],Table2[Müqavilə nömrəsi],"Xəta",0)</f>
        <v>0</v>
      </c>
      <c r="M953" s="4">
        <f>_xlfn.XLOOKUP(Table4[[#This Row],[Kontragentin adı]],Table2[Kontragentin adı],Table2[Müqavilə nömrəsi],"Xəta",0)</f>
        <v>0</v>
      </c>
    </row>
    <row r="954" spans="2:13" x14ac:dyDescent="0.3">
      <c r="B954" s="4">
        <f t="shared" si="14"/>
        <v>951</v>
      </c>
      <c r="C954" s="5">
        <v>46174</v>
      </c>
      <c r="D954" s="10" t="str" cm="1">
        <f t="array" ref="D954">_xlfn.XLOOKUP(Table4[[#This Row],[Malın kodu]],Table1[[#All],[Malın kodu]],Table1[[#All],[Malın adı]],"xəta",0)</f>
        <v>Dolab / sənəd / 500x910mm</v>
      </c>
      <c r="E954" s="8" t="s">
        <v>1866</v>
      </c>
      <c r="F954" s="4" t="s">
        <v>920</v>
      </c>
      <c r="G954" s="4">
        <v>1</v>
      </c>
      <c r="H954" s="4"/>
      <c r="I954" s="4">
        <f>Table4[[#This Row],[Malın miqdarı]]*Table4[[#This Row],[Vahidin qiyməti]]</f>
        <v>0</v>
      </c>
      <c r="J954" s="4" t="s">
        <v>899</v>
      </c>
      <c r="K954" s="4" t="s">
        <v>893</v>
      </c>
      <c r="L954" s="4">
        <f>_xlfn.XLOOKUP(Table4[[#This Row],[Kontragentin adı]],Table2[Kontragentin adı],Table2[Müqavilə nömrəsi],"Xəta",0)</f>
        <v>0</v>
      </c>
      <c r="M954" s="4">
        <f>_xlfn.XLOOKUP(Table4[[#This Row],[Kontragentin adı]],Table2[Kontragentin adı],Table2[Müqavilə nömrəsi],"Xəta",0)</f>
        <v>0</v>
      </c>
    </row>
    <row r="955" spans="2:13" x14ac:dyDescent="0.3">
      <c r="B955" s="4">
        <f t="shared" si="14"/>
        <v>952</v>
      </c>
      <c r="C955" s="5">
        <v>46174</v>
      </c>
      <c r="D955" s="10" t="str" cm="1">
        <f t="array" ref="D955">_xlfn.XLOOKUP(Table4[[#This Row],[Malın kodu]],Table1[[#All],[Malın kodu]],Table1[[#All],[Malın adı]],"xəta",0)</f>
        <v>Dispenser / su / "Orvica"</v>
      </c>
      <c r="E955" s="8" t="s">
        <v>1867</v>
      </c>
      <c r="F955" s="4" t="s">
        <v>920</v>
      </c>
      <c r="G955" s="4">
        <v>1</v>
      </c>
      <c r="H955" s="4"/>
      <c r="I955" s="4">
        <f>Table4[[#This Row],[Malın miqdarı]]*Table4[[#This Row],[Vahidin qiyməti]]</f>
        <v>0</v>
      </c>
      <c r="J955" s="4" t="s">
        <v>899</v>
      </c>
      <c r="K955" s="4" t="s">
        <v>893</v>
      </c>
      <c r="L955" s="4">
        <f>_xlfn.XLOOKUP(Table4[[#This Row],[Kontragentin adı]],Table2[Kontragentin adı],Table2[Müqavilə nömrəsi],"Xəta",0)</f>
        <v>0</v>
      </c>
      <c r="M955" s="4">
        <f>_xlfn.XLOOKUP(Table4[[#This Row],[Kontragentin adı]],Table2[Kontragentin adı],Table2[Müqavilə nömrəsi],"Xəta",0)</f>
        <v>0</v>
      </c>
    </row>
    <row r="956" spans="2:13" x14ac:dyDescent="0.3">
      <c r="B956" s="4">
        <f t="shared" si="14"/>
        <v>953</v>
      </c>
      <c r="C956" s="5">
        <v>46174</v>
      </c>
      <c r="D956" s="10" t="str" cm="1">
        <f t="array" ref="D956">_xlfn.XLOOKUP(Table4[[#This Row],[Malın kodu]],Table1[[#All],[Malın kodu]],Table1[[#All],[Malın adı]],"xəta",0)</f>
        <v>Soyuducu / horizontal / 630x1000mm</v>
      </c>
      <c r="E956" s="8" t="s">
        <v>1868</v>
      </c>
      <c r="F956" s="4" t="s">
        <v>920</v>
      </c>
      <c r="G956" s="4">
        <v>1</v>
      </c>
      <c r="H956" s="4"/>
      <c r="I956" s="4">
        <f>Table4[[#This Row],[Malın miqdarı]]*Table4[[#This Row],[Vahidin qiyməti]]</f>
        <v>0</v>
      </c>
      <c r="J956" s="4" t="s">
        <v>899</v>
      </c>
      <c r="K956" s="4" t="s">
        <v>893</v>
      </c>
      <c r="L956" s="4">
        <f>_xlfn.XLOOKUP(Table4[[#This Row],[Kontragentin adı]],Table2[Kontragentin adı],Table2[Müqavilə nömrəsi],"Xəta",0)</f>
        <v>0</v>
      </c>
      <c r="M956" s="4">
        <f>_xlfn.XLOOKUP(Table4[[#This Row],[Kontragentin adı]],Table2[Kontragentin adı],Table2[Müqavilə nömrəsi],"Xəta",0)</f>
        <v>0</v>
      </c>
    </row>
    <row r="957" spans="2:13" x14ac:dyDescent="0.3">
      <c r="B957" s="4">
        <f t="shared" si="14"/>
        <v>954</v>
      </c>
      <c r="C957" s="5">
        <v>46174</v>
      </c>
      <c r="D957" s="10" t="str" cm="1">
        <f t="array" ref="D957">_xlfn.XLOOKUP(Table4[[#This Row],[Malın kodu]],Table1[[#All],[Malın kodu]],Table1[[#All],[Malın adı]],"xəta",0)</f>
        <v>Masa / plastik / 790x1290mm</v>
      </c>
      <c r="E957" s="8" t="s">
        <v>1869</v>
      </c>
      <c r="F957" s="4" t="s">
        <v>920</v>
      </c>
      <c r="G957" s="4">
        <v>1</v>
      </c>
      <c r="H957" s="4"/>
      <c r="I957" s="4">
        <f>Table4[[#This Row],[Malın miqdarı]]*Table4[[#This Row],[Vahidin qiyməti]]</f>
        <v>0</v>
      </c>
      <c r="J957" s="4" t="s">
        <v>899</v>
      </c>
      <c r="K957" s="4" t="s">
        <v>893</v>
      </c>
      <c r="L957" s="4">
        <f>_xlfn.XLOOKUP(Table4[[#This Row],[Kontragentin adı]],Table2[Kontragentin adı],Table2[Müqavilə nömrəsi],"Xəta",0)</f>
        <v>0</v>
      </c>
      <c r="M957" s="4">
        <f>_xlfn.XLOOKUP(Table4[[#This Row],[Kontragentin adı]],Table2[Kontragentin adı],Table2[Müqavilə nömrəsi],"Xəta",0)</f>
        <v>0</v>
      </c>
    </row>
    <row r="958" spans="2:13" x14ac:dyDescent="0.3">
      <c r="B958" s="4">
        <f t="shared" si="14"/>
        <v>955</v>
      </c>
      <c r="C958" s="5">
        <v>46174</v>
      </c>
      <c r="D958" s="10" t="str" cm="1">
        <f t="array" ref="D958">_xlfn.XLOOKUP(Table4[[#This Row],[Malın kodu]],Table1[[#All],[Malın kodu]],Table1[[#All],[Malın adı]],"xəta",0)</f>
        <v>Yazı lövhəsi / 1000x1400mm</v>
      </c>
      <c r="E958" s="8" t="s">
        <v>1870</v>
      </c>
      <c r="F958" s="4" t="s">
        <v>920</v>
      </c>
      <c r="G958" s="4">
        <v>1</v>
      </c>
      <c r="H958" s="4"/>
      <c r="I958" s="4">
        <f>Table4[[#This Row],[Malın miqdarı]]*Table4[[#This Row],[Vahidin qiyməti]]</f>
        <v>0</v>
      </c>
      <c r="J958" s="4" t="s">
        <v>899</v>
      </c>
      <c r="K958" s="4" t="s">
        <v>893</v>
      </c>
      <c r="L958" s="4">
        <f>_xlfn.XLOOKUP(Table4[[#This Row],[Kontragentin adı]],Table2[Kontragentin adı],Table2[Müqavilə nömrəsi],"Xəta",0)</f>
        <v>0</v>
      </c>
      <c r="M958" s="4">
        <f>_xlfn.XLOOKUP(Table4[[#This Row],[Kontragentin adı]],Table2[Kontragentin adı],Table2[Müqavilə nömrəsi],"Xəta",0)</f>
        <v>0</v>
      </c>
    </row>
    <row r="959" spans="2:13" x14ac:dyDescent="0.3">
      <c r="B959" s="4">
        <f t="shared" si="14"/>
        <v>956</v>
      </c>
      <c r="C959" s="5">
        <v>46174</v>
      </c>
      <c r="D959" s="10" t="str" cm="1">
        <f t="array" ref="D959">_xlfn.XLOOKUP(Table4[[#This Row],[Malın kodu]],Table1[[#All],[Malın kodu]],Table1[[#All],[Malın adı]],"xəta",0)</f>
        <v>Oturacaq / plastik</v>
      </c>
      <c r="E959" s="8" t="s">
        <v>1871</v>
      </c>
      <c r="F959" s="4" t="s">
        <v>920</v>
      </c>
      <c r="G959" s="4">
        <v>6</v>
      </c>
      <c r="H959" s="4"/>
      <c r="I959" s="4">
        <f>Table4[[#This Row],[Malın miqdarı]]*Table4[[#This Row],[Vahidin qiyməti]]</f>
        <v>0</v>
      </c>
      <c r="J959" s="4" t="s">
        <v>899</v>
      </c>
      <c r="K959" s="4" t="s">
        <v>893</v>
      </c>
      <c r="L959" s="4">
        <f>_xlfn.XLOOKUP(Table4[[#This Row],[Kontragentin adı]],Table2[Kontragentin adı],Table2[Müqavilə nömrəsi],"Xəta",0)</f>
        <v>0</v>
      </c>
      <c r="M959" s="4">
        <f>_xlfn.XLOOKUP(Table4[[#This Row],[Kontragentin adı]],Table2[Kontragentin adı],Table2[Müqavilə nömrəsi],"Xəta",0)</f>
        <v>0</v>
      </c>
    </row>
    <row r="960" spans="2:13" x14ac:dyDescent="0.3">
      <c r="B960" s="4">
        <f t="shared" si="14"/>
        <v>957</v>
      </c>
      <c r="C960" s="5">
        <v>46174</v>
      </c>
      <c r="D960" s="10" t="str" cm="1">
        <f t="array" ref="D960">_xlfn.XLOOKUP(Table4[[#This Row],[Malın kodu]],Table1[[#All],[Malın kodu]],Table1[[#All],[Malın adı]],"xəta",0)</f>
        <v>Oturacaq / parça</v>
      </c>
      <c r="E960" s="8" t="s">
        <v>1872</v>
      </c>
      <c r="F960" s="4" t="s">
        <v>920</v>
      </c>
      <c r="G960" s="4">
        <v>2</v>
      </c>
      <c r="H960" s="4"/>
      <c r="I960" s="4">
        <f>Table4[[#This Row],[Malın miqdarı]]*Table4[[#This Row],[Vahidin qiyməti]]</f>
        <v>0</v>
      </c>
      <c r="J960" s="4" t="s">
        <v>899</v>
      </c>
      <c r="K960" s="4" t="s">
        <v>893</v>
      </c>
      <c r="L960" s="4">
        <f>_xlfn.XLOOKUP(Table4[[#This Row],[Kontragentin adı]],Table2[Kontragentin adı],Table2[Müqavilə nömrəsi],"Xəta",0)</f>
        <v>0</v>
      </c>
      <c r="M960" s="4">
        <f>_xlfn.XLOOKUP(Table4[[#This Row],[Kontragentin adı]],Table2[Kontragentin adı],Table2[Müqavilə nömrəsi],"Xəta",0)</f>
        <v>0</v>
      </c>
    </row>
    <row r="961" spans="2:13" x14ac:dyDescent="0.3">
      <c r="B961" s="4">
        <f t="shared" si="14"/>
        <v>958</v>
      </c>
      <c r="C961" s="5">
        <v>46174</v>
      </c>
      <c r="D961" s="10" t="str" cm="1">
        <f t="array" ref="D961">_xlfn.XLOOKUP(Table4[[#This Row],[Malın kodu]],Table1[[#All],[Malın kodu]],Table1[[#All],[Malın adı]],"xəta",0)</f>
        <v>Termos</v>
      </c>
      <c r="E961" s="8" t="s">
        <v>1873</v>
      </c>
      <c r="F961" s="4" t="s">
        <v>920</v>
      </c>
      <c r="G961" s="4">
        <v>1</v>
      </c>
      <c r="H961" s="4"/>
      <c r="I961" s="4">
        <f>Table4[[#This Row],[Malın miqdarı]]*Table4[[#This Row],[Vahidin qiyməti]]</f>
        <v>0</v>
      </c>
      <c r="J961" s="4" t="s">
        <v>899</v>
      </c>
      <c r="K961" s="4" t="s">
        <v>893</v>
      </c>
      <c r="L961" s="4">
        <f>_xlfn.XLOOKUP(Table4[[#This Row],[Kontragentin adı]],Table2[Kontragentin adı],Table2[Müqavilə nömrəsi],"Xəta",0)</f>
        <v>0</v>
      </c>
      <c r="M961" s="4">
        <f>_xlfn.XLOOKUP(Table4[[#This Row],[Kontragentin adı]],Table2[Kontragentin adı],Table2[Müqavilə nömrəsi],"Xəta",0)</f>
        <v>0</v>
      </c>
    </row>
    <row r="962" spans="2:13" x14ac:dyDescent="0.3">
      <c r="B962" s="4">
        <f t="shared" si="14"/>
        <v>959</v>
      </c>
      <c r="C962" s="5">
        <v>46174</v>
      </c>
      <c r="D962" s="10" t="str" cm="1">
        <f t="array" ref="D962">_xlfn.XLOOKUP(Table4[[#This Row],[Malın kodu]],Table1[[#All],[Malın kodu]],Table1[[#All],[Malın adı]],"xəta",0)</f>
        <v>Soyuducu / 157x600mm / vertikal / 2 kameralı</v>
      </c>
      <c r="E962" s="8" t="s">
        <v>1874</v>
      </c>
      <c r="F962" s="4" t="s">
        <v>920</v>
      </c>
      <c r="G962" s="4">
        <v>1</v>
      </c>
      <c r="H962" s="4"/>
      <c r="I962" s="4">
        <f>Table4[[#This Row],[Malın miqdarı]]*Table4[[#This Row],[Vahidin qiyməti]]</f>
        <v>0</v>
      </c>
      <c r="J962" s="4" t="s">
        <v>899</v>
      </c>
      <c r="K962" s="4" t="s">
        <v>893</v>
      </c>
      <c r="L962" s="4">
        <f>_xlfn.XLOOKUP(Table4[[#This Row],[Kontragentin adı]],Table2[Kontragentin adı],Table2[Müqavilə nömrəsi],"Xəta",0)</f>
        <v>0</v>
      </c>
      <c r="M962" s="4">
        <f>_xlfn.XLOOKUP(Table4[[#This Row],[Kontragentin adı]],Table2[Kontragentin adı],Table2[Müqavilə nömrəsi],"Xəta",0)</f>
        <v>0</v>
      </c>
    </row>
    <row r="963" spans="2:13" x14ac:dyDescent="0.3">
      <c r="B963" s="4">
        <f t="shared" si="14"/>
        <v>960</v>
      </c>
      <c r="C963" s="5">
        <v>46174</v>
      </c>
      <c r="D963" s="10" t="str" cm="1">
        <f t="array" ref="D963">_xlfn.XLOOKUP(Table4[[#This Row],[Malın kodu]],Table1[[#All],[Malın kodu]],Table1[[#All],[Malın adı]],"xəta",0)</f>
        <v>Su qızdırıcı / elektrik / 250 litr</v>
      </c>
      <c r="E963" s="8" t="s">
        <v>1875</v>
      </c>
      <c r="F963" s="4" t="s">
        <v>920</v>
      </c>
      <c r="G963" s="4">
        <v>1</v>
      </c>
      <c r="H963" s="4"/>
      <c r="I963" s="4">
        <f>Table4[[#This Row],[Malın miqdarı]]*Table4[[#This Row],[Vahidin qiyməti]]</f>
        <v>0</v>
      </c>
      <c r="J963" s="4" t="s">
        <v>899</v>
      </c>
      <c r="K963" s="4" t="s">
        <v>893</v>
      </c>
      <c r="L963" s="4">
        <f>_xlfn.XLOOKUP(Table4[[#This Row],[Kontragentin adı]],Table2[Kontragentin adı],Table2[Müqavilə nömrəsi],"Xəta",0)</f>
        <v>0</v>
      </c>
      <c r="M963" s="4">
        <f>_xlfn.XLOOKUP(Table4[[#This Row],[Kontragentin adı]],Table2[Kontragentin adı],Table2[Müqavilə nömrəsi],"Xəta",0)</f>
        <v>0</v>
      </c>
    </row>
    <row r="964" spans="2:13" x14ac:dyDescent="0.3">
      <c r="B964" s="4">
        <f t="shared" ref="B964:B1027" si="15">ROW()-3</f>
        <v>961</v>
      </c>
      <c r="C964" s="5">
        <v>46174</v>
      </c>
      <c r="D964" s="10" t="str" cm="1">
        <f t="array" ref="D964">_xlfn.XLOOKUP(Table4[[#This Row],[Malın kodu]],Table1[[#All],[Malın kodu]],Table1[[#All],[Malın adı]],"xəta",0)</f>
        <v>Soyuducu / vertikal / 2 kameralı / "İndesit"</v>
      </c>
      <c r="E964" s="8" t="s">
        <v>1876</v>
      </c>
      <c r="F964" s="4" t="s">
        <v>920</v>
      </c>
      <c r="G964" s="4">
        <v>1</v>
      </c>
      <c r="H964" s="4"/>
      <c r="I964" s="4">
        <f>Table4[[#This Row],[Malın miqdarı]]*Table4[[#This Row],[Vahidin qiyməti]]</f>
        <v>0</v>
      </c>
      <c r="J964" s="4" t="s">
        <v>899</v>
      </c>
      <c r="K964" s="4" t="s">
        <v>893</v>
      </c>
      <c r="L964" s="4">
        <f>_xlfn.XLOOKUP(Table4[[#This Row],[Kontragentin adı]],Table2[Kontragentin adı],Table2[Müqavilə nömrəsi],"Xəta",0)</f>
        <v>0</v>
      </c>
      <c r="M964" s="4">
        <f>_xlfn.XLOOKUP(Table4[[#This Row],[Kontragentin adı]],Table2[Kontragentin adı],Table2[Müqavilə nömrəsi],"Xəta",0)</f>
        <v>0</v>
      </c>
    </row>
    <row r="965" spans="2:13" x14ac:dyDescent="0.3">
      <c r="B965" s="4">
        <f t="shared" si="15"/>
        <v>962</v>
      </c>
      <c r="C965" s="5">
        <v>46174</v>
      </c>
      <c r="D965" s="10" t="str" cm="1">
        <f t="array" ref="D965">_xlfn.XLOOKUP(Table4[[#This Row],[Malın kodu]],Table1[[#All],[Malın kodu]],Table1[[#All],[Malın adı]],"xəta",0)</f>
        <v>Soba dolabı / qaz / 3 plitəli</v>
      </c>
      <c r="E965" s="8" t="s">
        <v>1877</v>
      </c>
      <c r="F965" s="4" t="s">
        <v>920</v>
      </c>
      <c r="G965" s="4">
        <v>1</v>
      </c>
      <c r="H965" s="4"/>
      <c r="I965" s="4">
        <f>Table4[[#This Row],[Malın miqdarı]]*Table4[[#This Row],[Vahidin qiyməti]]</f>
        <v>0</v>
      </c>
      <c r="J965" s="4" t="s">
        <v>899</v>
      </c>
      <c r="K965" s="4" t="s">
        <v>893</v>
      </c>
      <c r="L965" s="4">
        <f>_xlfn.XLOOKUP(Table4[[#This Row],[Kontragentin adı]],Table2[Kontragentin adı],Table2[Müqavilə nömrəsi],"Xəta",0)</f>
        <v>0</v>
      </c>
      <c r="M965" s="4">
        <f>_xlfn.XLOOKUP(Table4[[#This Row],[Kontragentin adı]],Table2[Kontragentin adı],Table2[Müqavilə nömrəsi],"Xəta",0)</f>
        <v>0</v>
      </c>
    </row>
    <row r="966" spans="2:13" x14ac:dyDescent="0.3">
      <c r="B966" s="4">
        <f t="shared" si="15"/>
        <v>963</v>
      </c>
      <c r="C966" s="5">
        <v>46174</v>
      </c>
      <c r="D966" s="10" t="str" cm="1">
        <f t="array" ref="D966">_xlfn.XLOOKUP(Table4[[#This Row],[Malın kodu]],Table1[[#All],[Malın kodu]],Table1[[#All],[Malın adı]],"xəta",0)</f>
        <v>Soyuducu / vertikal / "Dixell"</v>
      </c>
      <c r="E966" s="8" t="s">
        <v>1878</v>
      </c>
      <c r="F966" s="4" t="s">
        <v>920</v>
      </c>
      <c r="G966" s="4">
        <v>1</v>
      </c>
      <c r="H966" s="4"/>
      <c r="I966" s="4">
        <f>Table4[[#This Row],[Malın miqdarı]]*Table4[[#This Row],[Vahidin qiyməti]]</f>
        <v>0</v>
      </c>
      <c r="J966" s="4" t="s">
        <v>899</v>
      </c>
      <c r="K966" s="4" t="s">
        <v>893</v>
      </c>
      <c r="L966" s="4">
        <f>_xlfn.XLOOKUP(Table4[[#This Row],[Kontragentin adı]],Table2[Kontragentin adı],Table2[Müqavilə nömrəsi],"Xəta",0)</f>
        <v>0</v>
      </c>
      <c r="M966" s="4">
        <f>_xlfn.XLOOKUP(Table4[[#This Row],[Kontragentin adı]],Table2[Kontragentin adı],Table2[Müqavilə nömrəsi],"Xəta",0)</f>
        <v>0</v>
      </c>
    </row>
    <row r="967" spans="2:13" x14ac:dyDescent="0.3">
      <c r="B967" s="4">
        <f t="shared" si="15"/>
        <v>964</v>
      </c>
      <c r="C967" s="5">
        <v>46174</v>
      </c>
      <c r="D967" s="10" t="str" cm="1">
        <f t="array" ref="D967">_xlfn.XLOOKUP(Table4[[#This Row],[Malın kodu]],Table1[[#All],[Malın kodu]],Table1[[#All],[Malın adı]],"xəta",0)</f>
        <v>Masa / 700x2700mm</v>
      </c>
      <c r="E967" s="8" t="s">
        <v>1879</v>
      </c>
      <c r="F967" s="4" t="s">
        <v>920</v>
      </c>
      <c r="G967" s="4">
        <v>1</v>
      </c>
      <c r="H967" s="4"/>
      <c r="I967" s="4">
        <f>Table4[[#This Row],[Malın miqdarı]]*Table4[[#This Row],[Vahidin qiyməti]]</f>
        <v>0</v>
      </c>
      <c r="J967" s="4" t="s">
        <v>899</v>
      </c>
      <c r="K967" s="4" t="s">
        <v>893</v>
      </c>
      <c r="L967" s="4">
        <f>_xlfn.XLOOKUP(Table4[[#This Row],[Kontragentin adı]],Table2[Kontragentin adı],Table2[Müqavilə nömrəsi],"Xəta",0)</f>
        <v>0</v>
      </c>
      <c r="M967" s="4">
        <f>_xlfn.XLOOKUP(Table4[[#This Row],[Kontragentin adı]],Table2[Kontragentin adı],Table2[Müqavilə nömrəsi],"Xəta",0)</f>
        <v>0</v>
      </c>
    </row>
    <row r="968" spans="2:13" x14ac:dyDescent="0.3">
      <c r="B968" s="4">
        <f t="shared" si="15"/>
        <v>965</v>
      </c>
      <c r="C968" s="5">
        <v>46174</v>
      </c>
      <c r="D968" s="10" t="str" cm="1">
        <f t="array" ref="D968">_xlfn.XLOOKUP(Table4[[#This Row],[Malın kodu]],Table1[[#All],[Malın kodu]],Table1[[#All],[Malın adı]],"xəta",0)</f>
        <v>Qazan / d 400mm / alüminium</v>
      </c>
      <c r="E968" s="8" t="s">
        <v>1880</v>
      </c>
      <c r="F968" s="4" t="s">
        <v>920</v>
      </c>
      <c r="G968" s="4">
        <v>1</v>
      </c>
      <c r="H968" s="4"/>
      <c r="I968" s="4">
        <f>Table4[[#This Row],[Malın miqdarı]]*Table4[[#This Row],[Vahidin qiyməti]]</f>
        <v>0</v>
      </c>
      <c r="J968" s="4" t="s">
        <v>899</v>
      </c>
      <c r="K968" s="4" t="s">
        <v>893</v>
      </c>
      <c r="L968" s="4">
        <f>_xlfn.XLOOKUP(Table4[[#This Row],[Kontragentin adı]],Table2[Kontragentin adı],Table2[Müqavilə nömrəsi],"Xəta",0)</f>
        <v>0</v>
      </c>
      <c r="M968" s="4">
        <f>_xlfn.XLOOKUP(Table4[[#This Row],[Kontragentin adı]],Table2[Kontragentin adı],Table2[Müqavilə nömrəsi],"Xəta",0)</f>
        <v>0</v>
      </c>
    </row>
    <row r="969" spans="2:13" x14ac:dyDescent="0.3">
      <c r="B969" s="4">
        <f t="shared" si="15"/>
        <v>966</v>
      </c>
      <c r="C969" s="5">
        <v>46174</v>
      </c>
      <c r="D969" s="10" t="str" cm="1">
        <f t="array" ref="D969">_xlfn.XLOOKUP(Table4[[#This Row],[Malın kodu]],Table1[[#All],[Malın kodu]],Table1[[#All],[Malın adı]],"xəta",0)</f>
        <v>Qazan / d 340mm / alüminium</v>
      </c>
      <c r="E969" s="8" t="s">
        <v>1881</v>
      </c>
      <c r="F969" s="4" t="s">
        <v>920</v>
      </c>
      <c r="G969" s="4">
        <v>1</v>
      </c>
      <c r="H969" s="4"/>
      <c r="I969" s="4">
        <f>Table4[[#This Row],[Malın miqdarı]]*Table4[[#This Row],[Vahidin qiyməti]]</f>
        <v>0</v>
      </c>
      <c r="J969" s="4" t="s">
        <v>899</v>
      </c>
      <c r="K969" s="4" t="s">
        <v>893</v>
      </c>
      <c r="L969" s="4">
        <f>_xlfn.XLOOKUP(Table4[[#This Row],[Kontragentin adı]],Table2[Kontragentin adı],Table2[Müqavilə nömrəsi],"Xəta",0)</f>
        <v>0</v>
      </c>
      <c r="M969" s="4">
        <f>_xlfn.XLOOKUP(Table4[[#This Row],[Kontragentin adı]],Table2[Kontragentin adı],Table2[Müqavilə nömrəsi],"Xəta",0)</f>
        <v>0</v>
      </c>
    </row>
    <row r="970" spans="2:13" x14ac:dyDescent="0.3">
      <c r="B970" s="4">
        <f t="shared" si="15"/>
        <v>967</v>
      </c>
      <c r="C970" s="5">
        <v>46174</v>
      </c>
      <c r="D970" s="10" t="str" cm="1">
        <f t="array" ref="D970">_xlfn.XLOOKUP(Table4[[#This Row],[Malın kodu]],Table1[[#All],[Malın kodu]],Table1[[#All],[Malın adı]],"xəta",0)</f>
        <v>Ləğən (taz) / d 500mm / alüminium</v>
      </c>
      <c r="E970" s="8" t="s">
        <v>1882</v>
      </c>
      <c r="F970" s="4" t="s">
        <v>920</v>
      </c>
      <c r="G970" s="4">
        <v>1</v>
      </c>
      <c r="H970" s="4"/>
      <c r="I970" s="4">
        <f>Table4[[#This Row],[Malın miqdarı]]*Table4[[#This Row],[Vahidin qiyməti]]</f>
        <v>0</v>
      </c>
      <c r="J970" s="4" t="s">
        <v>899</v>
      </c>
      <c r="K970" s="4" t="s">
        <v>893</v>
      </c>
      <c r="L970" s="4">
        <f>_xlfn.XLOOKUP(Table4[[#This Row],[Kontragentin adı]],Table2[Kontragentin adı],Table2[Müqavilə nömrəsi],"Xəta",0)</f>
        <v>0</v>
      </c>
      <c r="M970" s="4">
        <f>_xlfn.XLOOKUP(Table4[[#This Row],[Kontragentin adı]],Table2[Kontragentin adı],Table2[Müqavilə nömrəsi],"Xəta",0)</f>
        <v>0</v>
      </c>
    </row>
    <row r="971" spans="2:13" x14ac:dyDescent="0.3">
      <c r="B971" s="4">
        <f t="shared" si="15"/>
        <v>968</v>
      </c>
      <c r="C971" s="5">
        <v>46174</v>
      </c>
      <c r="D971" s="10" t="str" cm="1">
        <f t="array" ref="D971">_xlfn.XLOOKUP(Table4[[#This Row],[Malın kodu]],Table1[[#All],[Malın kodu]],Table1[[#All],[Malın adı]],"xəta",0)</f>
        <v>Ləğən (taz) / d 520mm / alüminium</v>
      </c>
      <c r="E971" s="8" t="s">
        <v>1883</v>
      </c>
      <c r="F971" s="4" t="s">
        <v>920</v>
      </c>
      <c r="G971" s="4">
        <v>1</v>
      </c>
      <c r="H971" s="4"/>
      <c r="I971" s="4">
        <f>Table4[[#This Row],[Malın miqdarı]]*Table4[[#This Row],[Vahidin qiyməti]]</f>
        <v>0</v>
      </c>
      <c r="J971" s="4" t="s">
        <v>899</v>
      </c>
      <c r="K971" s="4" t="s">
        <v>893</v>
      </c>
      <c r="L971" s="4">
        <f>_xlfn.XLOOKUP(Table4[[#This Row],[Kontragentin adı]],Table2[Kontragentin adı],Table2[Müqavilə nömrəsi],"Xəta",0)</f>
        <v>0</v>
      </c>
      <c r="M971" s="4">
        <f>_xlfn.XLOOKUP(Table4[[#This Row],[Kontragentin adı]],Table2[Kontragentin adı],Table2[Müqavilə nömrəsi],"Xəta",0)</f>
        <v>0</v>
      </c>
    </row>
    <row r="972" spans="2:13" x14ac:dyDescent="0.3">
      <c r="B972" s="4">
        <f t="shared" si="15"/>
        <v>969</v>
      </c>
      <c r="C972" s="5">
        <v>46174</v>
      </c>
      <c r="D972" s="10" t="str" cm="1">
        <f t="array" ref="D972">_xlfn.XLOOKUP(Table4[[#This Row],[Malın kodu]],Table1[[#All],[Malın kodu]],Table1[[#All],[Malın adı]],"xəta",0)</f>
        <v>Doğrayıcı / qida / mexaniki</v>
      </c>
      <c r="E972" s="8" t="s">
        <v>1884</v>
      </c>
      <c r="F972" s="4" t="s">
        <v>920</v>
      </c>
      <c r="G972" s="4">
        <v>1</v>
      </c>
      <c r="H972" s="4"/>
      <c r="I972" s="4">
        <f>Table4[[#This Row],[Malın miqdarı]]*Table4[[#This Row],[Vahidin qiyməti]]</f>
        <v>0</v>
      </c>
      <c r="J972" s="4" t="s">
        <v>899</v>
      </c>
      <c r="K972" s="4" t="s">
        <v>893</v>
      </c>
      <c r="L972" s="4">
        <f>_xlfn.XLOOKUP(Table4[[#This Row],[Kontragentin adı]],Table2[Kontragentin adı],Table2[Müqavilə nömrəsi],"Xəta",0)</f>
        <v>0</v>
      </c>
      <c r="M972" s="4">
        <f>_xlfn.XLOOKUP(Table4[[#This Row],[Kontragentin adı]],Table2[Kontragentin adı],Table2[Müqavilə nömrəsi],"Xəta",0)</f>
        <v>0</v>
      </c>
    </row>
    <row r="973" spans="2:13" x14ac:dyDescent="0.3">
      <c r="B973" s="4">
        <f t="shared" si="15"/>
        <v>970</v>
      </c>
      <c r="C973" s="5">
        <v>46174</v>
      </c>
      <c r="D973" s="10" t="str" cm="1">
        <f t="array" ref="D973">_xlfn.XLOOKUP(Table4[[#This Row],[Malın kodu]],Table1[[#All],[Malın kodu]],Table1[[#All],[Malın adı]],"xəta",0)</f>
        <v>Dolab / 2 qapılı/ 690x680mm</v>
      </c>
      <c r="E973" s="8" t="s">
        <v>1885</v>
      </c>
      <c r="F973" s="4" t="s">
        <v>920</v>
      </c>
      <c r="G973" s="4">
        <v>1</v>
      </c>
      <c r="H973" s="4"/>
      <c r="I973" s="4">
        <f>Table4[[#This Row],[Malın miqdarı]]*Table4[[#This Row],[Vahidin qiyməti]]</f>
        <v>0</v>
      </c>
      <c r="J973" s="4" t="s">
        <v>899</v>
      </c>
      <c r="K973" s="4" t="s">
        <v>893</v>
      </c>
      <c r="L973" s="4">
        <f>_xlfn.XLOOKUP(Table4[[#This Row],[Kontragentin adı]],Table2[Kontragentin adı],Table2[Müqavilə nömrəsi],"Xəta",0)</f>
        <v>0</v>
      </c>
      <c r="M973" s="4">
        <f>_xlfn.XLOOKUP(Table4[[#This Row],[Kontragentin adı]],Table2[Kontragentin adı],Table2[Müqavilə nömrəsi],"Xəta",0)</f>
        <v>0</v>
      </c>
    </row>
    <row r="974" spans="2:13" x14ac:dyDescent="0.3">
      <c r="B974" s="4">
        <f t="shared" si="15"/>
        <v>971</v>
      </c>
      <c r="C974" s="5">
        <v>46174</v>
      </c>
      <c r="D974" s="10" t="str" cm="1">
        <f t="array" ref="D974">_xlfn.XLOOKUP(Table4[[#This Row],[Malın kodu]],Table1[[#All],[Malın kodu]],Table1[[#All],[Malın adı]],"xəta",0)</f>
        <v>Masa / metal / 165x59mm</v>
      </c>
      <c r="E974" s="8" t="s">
        <v>1886</v>
      </c>
      <c r="F974" s="4" t="s">
        <v>920</v>
      </c>
      <c r="G974" s="4">
        <v>1</v>
      </c>
      <c r="H974" s="4"/>
      <c r="I974" s="4">
        <f>Table4[[#This Row],[Malın miqdarı]]*Table4[[#This Row],[Vahidin qiyməti]]</f>
        <v>0</v>
      </c>
      <c r="J974" s="4" t="s">
        <v>899</v>
      </c>
      <c r="K974" s="4" t="s">
        <v>893</v>
      </c>
      <c r="L974" s="4">
        <f>_xlfn.XLOOKUP(Table4[[#This Row],[Kontragentin adı]],Table2[Kontragentin adı],Table2[Müqavilə nömrəsi],"Xəta",0)</f>
        <v>0</v>
      </c>
      <c r="M974" s="4">
        <f>_xlfn.XLOOKUP(Table4[[#This Row],[Kontragentin adı]],Table2[Kontragentin adı],Table2[Müqavilə nömrəsi],"Xəta",0)</f>
        <v>0</v>
      </c>
    </row>
    <row r="975" spans="2:13" x14ac:dyDescent="0.3">
      <c r="B975" s="4">
        <f t="shared" si="15"/>
        <v>972</v>
      </c>
      <c r="C975" s="5">
        <v>46174</v>
      </c>
      <c r="D975" s="10" t="str" cm="1">
        <f t="array" ref="D975">_xlfn.XLOOKUP(Table4[[#This Row],[Malın kodu]],Table1[[#All],[Malın kodu]],Table1[[#All],[Malın adı]],"xəta",0)</f>
        <v>Masa / metal / 740x980mm</v>
      </c>
      <c r="E975" s="8" t="s">
        <v>1887</v>
      </c>
      <c r="F975" s="4" t="s">
        <v>920</v>
      </c>
      <c r="G975" s="4">
        <v>1</v>
      </c>
      <c r="H975" s="4"/>
      <c r="I975" s="4">
        <f>Table4[[#This Row],[Malın miqdarı]]*Table4[[#This Row],[Vahidin qiyməti]]</f>
        <v>0</v>
      </c>
      <c r="J975" s="4" t="s">
        <v>899</v>
      </c>
      <c r="K975" s="4" t="s">
        <v>893</v>
      </c>
      <c r="L975" s="4">
        <f>_xlfn.XLOOKUP(Table4[[#This Row],[Kontragentin adı]],Table2[Kontragentin adı],Table2[Müqavilə nömrəsi],"Xəta",0)</f>
        <v>0</v>
      </c>
      <c r="M975" s="4">
        <f>_xlfn.XLOOKUP(Table4[[#This Row],[Kontragentin adı]],Table2[Kontragentin adı],Table2[Müqavilə nömrəsi],"Xəta",0)</f>
        <v>0</v>
      </c>
    </row>
    <row r="976" spans="2:13" x14ac:dyDescent="0.3">
      <c r="B976" s="4">
        <f t="shared" si="15"/>
        <v>973</v>
      </c>
      <c r="C976" s="5">
        <v>46174</v>
      </c>
      <c r="D976" s="10" t="str" cm="1">
        <f t="array" ref="D976">_xlfn.XLOOKUP(Table4[[#This Row],[Malın kodu]],Table1[[#All],[Malın kodu]],Table1[[#All],[Malın adı]],"xəta",0)</f>
        <v>Mətbəx çanağı (moyka) / emallı / 800x800mm</v>
      </c>
      <c r="E976" s="8" t="s">
        <v>1888</v>
      </c>
      <c r="F976" s="4" t="s">
        <v>920</v>
      </c>
      <c r="G976" s="4">
        <v>1</v>
      </c>
      <c r="H976" s="4"/>
      <c r="I976" s="4">
        <f>Table4[[#This Row],[Malın miqdarı]]*Table4[[#This Row],[Vahidin qiyməti]]</f>
        <v>0</v>
      </c>
      <c r="J976" s="4" t="s">
        <v>899</v>
      </c>
      <c r="K976" s="4" t="s">
        <v>893</v>
      </c>
      <c r="L976" s="4">
        <f>_xlfn.XLOOKUP(Table4[[#This Row],[Kontragentin adı]],Table2[Kontragentin adı],Table2[Müqavilə nömrəsi],"Xəta",0)</f>
        <v>0</v>
      </c>
      <c r="M976" s="4">
        <f>_xlfn.XLOOKUP(Table4[[#This Row],[Kontragentin adı]],Table2[Kontragentin adı],Table2[Müqavilə nömrəsi],"Xəta",0)</f>
        <v>0</v>
      </c>
    </row>
    <row r="977" spans="2:13" x14ac:dyDescent="0.3">
      <c r="B977" s="4">
        <f t="shared" si="15"/>
        <v>974</v>
      </c>
      <c r="C977" s="5">
        <v>46174</v>
      </c>
      <c r="D977" s="10" t="str" cm="1">
        <f t="array" ref="D977">_xlfn.XLOOKUP(Table4[[#This Row],[Malın kodu]],Table1[[#All],[Malın kodu]],Table1[[#All],[Malın adı]],"xəta",0)</f>
        <v>Rəf / 940x430mm / 3 pilləli</v>
      </c>
      <c r="E977" s="8" t="s">
        <v>1889</v>
      </c>
      <c r="F977" s="4" t="s">
        <v>920</v>
      </c>
      <c r="G977" s="4">
        <v>1</v>
      </c>
      <c r="H977" s="4"/>
      <c r="I977" s="4">
        <f>Table4[[#This Row],[Malın miqdarı]]*Table4[[#This Row],[Vahidin qiyməti]]</f>
        <v>0</v>
      </c>
      <c r="J977" s="4" t="s">
        <v>899</v>
      </c>
      <c r="K977" s="4" t="s">
        <v>893</v>
      </c>
      <c r="L977" s="4">
        <f>_xlfn.XLOOKUP(Table4[[#This Row],[Kontragentin adı]],Table2[Kontragentin adı],Table2[Müqavilə nömrəsi],"Xəta",0)</f>
        <v>0</v>
      </c>
      <c r="M977" s="4">
        <f>_xlfn.XLOOKUP(Table4[[#This Row],[Kontragentin adı]],Table2[Kontragentin adı],Table2[Müqavilə nömrəsi],"Xəta",0)</f>
        <v>0</v>
      </c>
    </row>
    <row r="978" spans="2:13" x14ac:dyDescent="0.3">
      <c r="B978" s="4">
        <f t="shared" si="15"/>
        <v>975</v>
      </c>
      <c r="C978" s="5">
        <v>46174</v>
      </c>
      <c r="D978" s="10" t="str" cm="1">
        <f t="array" ref="D978">_xlfn.XLOOKUP(Table4[[#This Row],[Malın kodu]],Table1[[#All],[Malın kodu]],Table1[[#All],[Malın adı]],"xəta",0)</f>
        <v>Masa / ofis / 690x1330mm</v>
      </c>
      <c r="E978" s="8" t="s">
        <v>1890</v>
      </c>
      <c r="F978" s="4" t="s">
        <v>920</v>
      </c>
      <c r="G978" s="4">
        <v>1</v>
      </c>
      <c r="H978" s="4"/>
      <c r="I978" s="4">
        <f>Table4[[#This Row],[Malın miqdarı]]*Table4[[#This Row],[Vahidin qiyməti]]</f>
        <v>0</v>
      </c>
      <c r="J978" s="4" t="s">
        <v>899</v>
      </c>
      <c r="K978" s="4" t="s">
        <v>893</v>
      </c>
      <c r="L978" s="4">
        <f>_xlfn.XLOOKUP(Table4[[#This Row],[Kontragentin adı]],Table2[Kontragentin adı],Table2[Müqavilə nömrəsi],"Xəta",0)</f>
        <v>0</v>
      </c>
      <c r="M978" s="4">
        <f>_xlfn.XLOOKUP(Table4[[#This Row],[Kontragentin adı]],Table2[Kontragentin adı],Table2[Müqavilə nömrəsi],"Xəta",0)</f>
        <v>0</v>
      </c>
    </row>
    <row r="979" spans="2:13" x14ac:dyDescent="0.3">
      <c r="B979" s="4">
        <f t="shared" si="15"/>
        <v>976</v>
      </c>
      <c r="C979" s="5">
        <v>46174</v>
      </c>
      <c r="D979" s="10" t="str" cm="1">
        <f t="array" ref="D979">_xlfn.XLOOKUP(Table4[[#This Row],[Malın kodu]],Table1[[#All],[Malın kodu]],Table1[[#All],[Malın adı]],"xəta",0)</f>
        <v>Samovar / mətbəx üçün</v>
      </c>
      <c r="E979" s="8" t="s">
        <v>1891</v>
      </c>
      <c r="F979" s="4" t="s">
        <v>920</v>
      </c>
      <c r="G979" s="4">
        <v>1</v>
      </c>
      <c r="H979" s="4"/>
      <c r="I979" s="4">
        <f>Table4[[#This Row],[Malın miqdarı]]*Table4[[#This Row],[Vahidin qiyməti]]</f>
        <v>0</v>
      </c>
      <c r="J979" s="4" t="s">
        <v>899</v>
      </c>
      <c r="K979" s="4" t="s">
        <v>893</v>
      </c>
      <c r="L979" s="4">
        <f>_xlfn.XLOOKUP(Table4[[#This Row],[Kontragentin adı]],Table2[Kontragentin adı],Table2[Müqavilə nömrəsi],"Xəta",0)</f>
        <v>0</v>
      </c>
      <c r="M979" s="4">
        <f>_xlfn.XLOOKUP(Table4[[#This Row],[Kontragentin adı]],Table2[Kontragentin adı],Table2[Müqavilə nömrəsi],"Xəta",0)</f>
        <v>0</v>
      </c>
    </row>
    <row r="980" spans="2:13" x14ac:dyDescent="0.3">
      <c r="B980" s="4">
        <f t="shared" si="15"/>
        <v>977</v>
      </c>
      <c r="C980" s="5">
        <v>46174</v>
      </c>
      <c r="D980" s="10" t="str" cm="1">
        <f t="array" ref="D980">_xlfn.XLOOKUP(Table4[[#This Row],[Malın kodu]],Table1[[#All],[Malın kodu]],Table1[[#All],[Malın adı]],"xəta",0)</f>
        <v>Dolab / sənəd / 800x1800mm</v>
      </c>
      <c r="E980" s="8" t="s">
        <v>1892</v>
      </c>
      <c r="F980" s="4" t="s">
        <v>920</v>
      </c>
      <c r="G980" s="4">
        <v>2</v>
      </c>
      <c r="H980" s="4"/>
      <c r="I980" s="4">
        <f>Table4[[#This Row],[Malın miqdarı]]*Table4[[#This Row],[Vahidin qiyməti]]</f>
        <v>0</v>
      </c>
      <c r="J980" s="4" t="s">
        <v>899</v>
      </c>
      <c r="K980" s="4" t="s">
        <v>893</v>
      </c>
      <c r="L980" s="4">
        <f>_xlfn.XLOOKUP(Table4[[#This Row],[Kontragentin adı]],Table2[Kontragentin adı],Table2[Müqavilə nömrəsi],"Xəta",0)</f>
        <v>0</v>
      </c>
      <c r="M980" s="4">
        <f>_xlfn.XLOOKUP(Table4[[#This Row],[Kontragentin adı]],Table2[Kontragentin adı],Table2[Müqavilə nömrəsi],"Xəta",0)</f>
        <v>0</v>
      </c>
    </row>
    <row r="981" spans="2:13" x14ac:dyDescent="0.3">
      <c r="B981" s="4">
        <f t="shared" si="15"/>
        <v>978</v>
      </c>
      <c r="C981" s="5">
        <v>46174</v>
      </c>
      <c r="D981" s="10" t="str" cm="1">
        <f t="array" ref="D981">_xlfn.XLOOKUP(Table4[[#This Row],[Malın kodu]],Table1[[#All],[Malın kodu]],Table1[[#All],[Malın adı]],"xəta",0)</f>
        <v>Generator / dizel / 50 kvA / "Genpower"</v>
      </c>
      <c r="E981" s="8" t="s">
        <v>2021</v>
      </c>
      <c r="F981" s="4" t="s">
        <v>920</v>
      </c>
      <c r="G981" s="4">
        <v>1</v>
      </c>
      <c r="H981" s="4"/>
      <c r="I981" s="4">
        <f>Table4[[#This Row],[Malın miqdarı]]*Table4[[#This Row],[Vahidin qiyməti]]</f>
        <v>0</v>
      </c>
      <c r="J981" s="4" t="s">
        <v>899</v>
      </c>
      <c r="K981" s="4" t="s">
        <v>893</v>
      </c>
      <c r="L981" s="4">
        <f>_xlfn.XLOOKUP(Table4[[#This Row],[Kontragentin adı]],Table2[Kontragentin adı],Table2[Müqavilə nömrəsi],"Xəta",0)</f>
        <v>0</v>
      </c>
      <c r="M981" s="4">
        <f>_xlfn.XLOOKUP(Table4[[#This Row],[Kontragentin adı]],Table2[Kontragentin adı],Table2[Müqavilə nömrəsi],"Xəta",0)</f>
        <v>0</v>
      </c>
    </row>
    <row r="982" spans="2:13" x14ac:dyDescent="0.3">
      <c r="B982" s="4">
        <f t="shared" si="15"/>
        <v>979</v>
      </c>
      <c r="C982" s="5">
        <v>46174</v>
      </c>
      <c r="D982" s="10" t="str" cm="1">
        <f t="array" ref="D982">_xlfn.XLOOKUP(Table4[[#This Row],[Malın kodu]],Table1[[#All],[Malın kodu]],Table1[[#All],[Malın adı]],"xəta",0)</f>
        <v>Taxeometr / geodeziya cihazı</v>
      </c>
      <c r="E982" s="8" t="s">
        <v>2087</v>
      </c>
      <c r="F982" s="4" t="s">
        <v>920</v>
      </c>
      <c r="G982" s="4">
        <v>2</v>
      </c>
      <c r="H982" s="4"/>
      <c r="I982" s="4">
        <f>Table4[[#This Row],[Malın miqdarı]]*Table4[[#This Row],[Vahidin qiyməti]]</f>
        <v>0</v>
      </c>
      <c r="J982" s="4" t="s">
        <v>899</v>
      </c>
      <c r="K982" s="4" t="s">
        <v>893</v>
      </c>
      <c r="L982" s="4">
        <f>_xlfn.XLOOKUP(Table4[[#This Row],[Kontragentin adı]],Table2[Kontragentin adı],Table2[Müqavilə nömrəsi],"Xəta",0)</f>
        <v>0</v>
      </c>
      <c r="M982" s="4">
        <f>_xlfn.XLOOKUP(Table4[[#This Row],[Kontragentin adı]],Table2[Kontragentin adı],Table2[Müqavilə nömrəsi],"Xəta",0)</f>
        <v>0</v>
      </c>
    </row>
    <row r="983" spans="2:13" x14ac:dyDescent="0.3">
      <c r="B983" s="4">
        <f t="shared" si="15"/>
        <v>980</v>
      </c>
      <c r="C983" s="5">
        <v>46174</v>
      </c>
      <c r="D983" s="10" t="str" cm="1">
        <f t="array" ref="D983">_xlfn.XLOOKUP(Table4[[#This Row],[Malın kodu]],Table1[[#All],[Malın kodu]],Table1[[#All],[Malın adı]],"xəta",0)</f>
        <v>Planşet / taxeometr üçün</v>
      </c>
      <c r="E983" s="8" t="s">
        <v>2143</v>
      </c>
      <c r="F983" s="4" t="s">
        <v>920</v>
      </c>
      <c r="G983" s="4">
        <v>1</v>
      </c>
      <c r="H983" s="4"/>
      <c r="I983" s="4">
        <f>Table4[[#This Row],[Malın miqdarı]]*Table4[[#This Row],[Vahidin qiyməti]]</f>
        <v>0</v>
      </c>
      <c r="J983" s="4" t="s">
        <v>899</v>
      </c>
      <c r="K983" s="4" t="s">
        <v>893</v>
      </c>
      <c r="L983" s="4">
        <f>_xlfn.XLOOKUP(Table4[[#This Row],[Kontragentin adı]],Table2[Kontragentin adı],Table2[Müqavilə nömrəsi],"Xəta",0)</f>
        <v>0</v>
      </c>
      <c r="M983" s="4">
        <f>_xlfn.XLOOKUP(Table4[[#This Row],[Kontragentin adı]],Table2[Kontragentin adı],Table2[Müqavilə nömrəsi],"Xəta",0)</f>
        <v>0</v>
      </c>
    </row>
    <row r="984" spans="2:13" x14ac:dyDescent="0.3">
      <c r="B984" s="4">
        <f t="shared" si="15"/>
        <v>981</v>
      </c>
      <c r="C984" s="5">
        <v>46179</v>
      </c>
      <c r="D984" s="10" t="str" cm="1">
        <f t="array" ref="D984">_xlfn.XLOOKUP(Table4[[#This Row],[Malın kodu]],Table1[[#All],[Malın kodu]],Table1[[#All],[Malın adı]],"xəta",0)</f>
        <v>Mouse-Keyboard / wireless / "DELL" KM3322W</v>
      </c>
      <c r="E984" s="8" t="s">
        <v>1910</v>
      </c>
      <c r="F984" s="4" t="s">
        <v>921</v>
      </c>
      <c r="G984" s="4">
        <v>1</v>
      </c>
      <c r="H984" s="4">
        <v>57.5</v>
      </c>
      <c r="I984" s="4">
        <f>Table4[[#This Row],[Malın miqdarı]]*Table4[[#This Row],[Vahidin qiyməti]]</f>
        <v>57.5</v>
      </c>
      <c r="J984" s="4" t="s">
        <v>1905</v>
      </c>
      <c r="K984" s="4" t="s">
        <v>1906</v>
      </c>
      <c r="L984" s="4" t="s">
        <v>1907</v>
      </c>
      <c r="M984" s="4" t="str">
        <f>_xlfn.XLOOKUP(Table4[[#This Row],[Kontragentin adı]],Table2[Kontragentin adı],Table2[Müqavilə nömrəsi],"Xəta",0)</f>
        <v>№050626-1</v>
      </c>
    </row>
    <row r="985" spans="2:13" x14ac:dyDescent="0.3">
      <c r="B985" s="4">
        <f t="shared" si="15"/>
        <v>982</v>
      </c>
      <c r="C985" s="5">
        <v>46179</v>
      </c>
      <c r="D985" s="10" t="str" cm="1">
        <f t="array" ref="D985">_xlfn.XLOOKUP(Table4[[#This Row],[Malın kodu]],Table1[[#All],[Malın kodu]],Table1[[#All],[Malın adı]],"xəta",0)</f>
        <v>Notebook / 16GB / 512GB / SSD 6GB / "HP" VİCTUS 15-FA2082 WM i5-1342OH</v>
      </c>
      <c r="E985" s="8" t="s">
        <v>1908</v>
      </c>
      <c r="F985" s="4" t="s">
        <v>920</v>
      </c>
      <c r="G985" s="4">
        <v>1</v>
      </c>
      <c r="H985" s="4">
        <v>1737</v>
      </c>
      <c r="I985" s="4">
        <f>Table4[[#This Row],[Malın miqdarı]]*Table4[[#This Row],[Vahidin qiyməti]]</f>
        <v>1737</v>
      </c>
      <c r="J985" s="4" t="s">
        <v>1905</v>
      </c>
      <c r="K985" s="4" t="s">
        <v>1906</v>
      </c>
      <c r="L985" s="4" t="s">
        <v>1907</v>
      </c>
      <c r="M985" s="4" t="str">
        <f>_xlfn.XLOOKUP(Table4[[#This Row],[Kontragentin adı]],Table2[Kontragentin adı],Table2[Müqavilə nömrəsi],"Xəta",0)</f>
        <v>№050626-1</v>
      </c>
    </row>
    <row r="986" spans="2:13" x14ac:dyDescent="0.3">
      <c r="B986" s="4">
        <f t="shared" si="15"/>
        <v>983</v>
      </c>
      <c r="C986" s="5">
        <v>46179</v>
      </c>
      <c r="D986" s="10" t="str" cm="1">
        <f t="array" ref="D986">_xlfn.XLOOKUP(Table4[[#This Row],[Malın kodu]],Table1[[#All],[Malın kodu]],Table1[[#All],[Malın adı]],"xəta",0)</f>
        <v>Çanta / notebook üçün / "HP" Prelude 15.6" TOP LOAD</v>
      </c>
      <c r="E986" s="8" t="s">
        <v>1911</v>
      </c>
      <c r="F986" s="4" t="s">
        <v>920</v>
      </c>
      <c r="G986" s="4">
        <v>1</v>
      </c>
      <c r="H986" s="4">
        <v>39.799999999999997</v>
      </c>
      <c r="I986" s="4">
        <f>Table4[[#This Row],[Malın miqdarı]]*Table4[[#This Row],[Vahidin qiyməti]]</f>
        <v>39.799999999999997</v>
      </c>
      <c r="J986" s="4" t="s">
        <v>1905</v>
      </c>
      <c r="K986" s="4" t="s">
        <v>1906</v>
      </c>
      <c r="L986" s="4" t="s">
        <v>1907</v>
      </c>
      <c r="M986" s="4" t="str">
        <f>_xlfn.XLOOKUP(Table4[[#This Row],[Kontragentin adı]],Table2[Kontragentin adı],Table2[Müqavilə nömrəsi],"Xəta",0)</f>
        <v>№050626-1</v>
      </c>
    </row>
    <row r="987" spans="2:13" x14ac:dyDescent="0.3">
      <c r="B987" s="4">
        <f t="shared" si="15"/>
        <v>984</v>
      </c>
      <c r="C987" s="5">
        <v>46181</v>
      </c>
      <c r="D987" s="10" t="str" cm="1">
        <f t="array" ref="D987">_xlfn.XLOOKUP(Table4[[#This Row],[Malın kodu]],Table1[[#All],[Malın kodu]],Table1[[#All],[Malın adı]],"xəta",0)</f>
        <v>Burğu / 8 x 120 mm</v>
      </c>
      <c r="E987" s="8" t="s">
        <v>1148</v>
      </c>
      <c r="F987" s="4" t="s">
        <v>920</v>
      </c>
      <c r="G987" s="4">
        <v>1</v>
      </c>
      <c r="H987" s="4">
        <v>1</v>
      </c>
      <c r="I987" s="4">
        <f>Table4[[#This Row],[Malın miqdarı]]*Table4[[#This Row],[Vahidin qiyməti]]</f>
        <v>1</v>
      </c>
      <c r="J987" s="4" t="s">
        <v>1905</v>
      </c>
      <c r="K987" s="4" t="s">
        <v>1992</v>
      </c>
      <c r="L987" s="4" t="str">
        <f>_xlfn.XLOOKUP(Table4[[#This Row],[Kontragentin adı]],Table2[Kontragentin adı],Table2[Müqavilə nömrəsi],"Xəta",0)</f>
        <v>№ 24-060</v>
      </c>
      <c r="M987" s="4" t="s">
        <v>2350</v>
      </c>
    </row>
    <row r="988" spans="2:13" x14ac:dyDescent="0.3">
      <c r="B988" s="4">
        <f t="shared" si="15"/>
        <v>985</v>
      </c>
      <c r="C988" s="5">
        <v>46181</v>
      </c>
      <c r="D988" s="10" t="str" cm="1">
        <f t="array" ref="D988">_xlfn.XLOOKUP(Table4[[#This Row],[Malın kodu]],Table1[[#All],[Malın kodu]],Table1[[#All],[Malın adı]],"xəta",0)</f>
        <v>Valik / 20-lik "Defne"</v>
      </c>
      <c r="E988" s="8" t="s">
        <v>1979</v>
      </c>
      <c r="F988" s="4" t="s">
        <v>920</v>
      </c>
      <c r="G988" s="4">
        <v>5</v>
      </c>
      <c r="H988" s="4">
        <v>1.7</v>
      </c>
      <c r="I988" s="4">
        <f>Table4[[#This Row],[Malın miqdarı]]*Table4[[#This Row],[Vahidin qiyməti]]</f>
        <v>8.5</v>
      </c>
      <c r="J988" s="4" t="s">
        <v>1905</v>
      </c>
      <c r="K988" s="4" t="s">
        <v>1992</v>
      </c>
      <c r="L988" s="4" t="str">
        <f>_xlfn.XLOOKUP(Table4[[#This Row],[Kontragentin adı]],Table2[Kontragentin adı],Table2[Müqavilə nömrəsi],"Xəta",0)</f>
        <v>№ 24-060</v>
      </c>
      <c r="M988" s="4" t="s">
        <v>2350</v>
      </c>
    </row>
    <row r="989" spans="2:13" x14ac:dyDescent="0.3">
      <c r="B989" s="4">
        <f t="shared" si="15"/>
        <v>986</v>
      </c>
      <c r="C989" s="5">
        <v>46181</v>
      </c>
      <c r="D989" s="10" t="str" cm="1">
        <f t="array" ref="D989">_xlfn.XLOOKUP(Table4[[#This Row],[Malın kodu]],Table1[[#All],[Malın kodu]],Table1[[#All],[Malın adı]],"xəta",0)</f>
        <v>Qaynaq çubuğu (elektrod) / 3 / "Azkaynak"</v>
      </c>
      <c r="E989" s="8" t="s">
        <v>1981</v>
      </c>
      <c r="F989" s="4" t="s">
        <v>922</v>
      </c>
      <c r="G989" s="4">
        <v>2</v>
      </c>
      <c r="H989" s="4">
        <v>16</v>
      </c>
      <c r="I989" s="4">
        <f>Table4[[#This Row],[Malın miqdarı]]*Table4[[#This Row],[Vahidin qiyməti]]</f>
        <v>32</v>
      </c>
      <c r="J989" s="4" t="s">
        <v>1905</v>
      </c>
      <c r="K989" s="4" t="s">
        <v>1992</v>
      </c>
      <c r="L989" s="4" t="str">
        <f>_xlfn.XLOOKUP(Table4[[#This Row],[Kontragentin adı]],Table2[Kontragentin adı],Table2[Müqavilə nömrəsi],"Xəta",0)</f>
        <v>№ 24-060</v>
      </c>
      <c r="M989" s="4" t="s">
        <v>2350</v>
      </c>
    </row>
    <row r="990" spans="2:13" x14ac:dyDescent="0.3">
      <c r="B990" s="4">
        <f t="shared" si="15"/>
        <v>987</v>
      </c>
      <c r="C990" s="5">
        <v>46181</v>
      </c>
      <c r="D990" s="10" t="str" cm="1">
        <f t="array" ref="D990">_xlfn.XLOOKUP(Table4[[#This Row],[Malın kodu]],Table1[[#All],[Malın kodu]],Table1[[#All],[Malın adı]],"xəta",0)</f>
        <v>Əlcək / sarı</v>
      </c>
      <c r="E990" s="8" t="s">
        <v>1982</v>
      </c>
      <c r="F990" s="4" t="s">
        <v>920</v>
      </c>
      <c r="G990" s="4">
        <v>50</v>
      </c>
      <c r="H990" s="4">
        <v>3.5</v>
      </c>
      <c r="I990" s="4">
        <f>Table4[[#This Row],[Malın miqdarı]]*Table4[[#This Row],[Vahidin qiyməti]]</f>
        <v>175</v>
      </c>
      <c r="J990" s="4" t="s">
        <v>1905</v>
      </c>
      <c r="K990" s="4" t="s">
        <v>1992</v>
      </c>
      <c r="L990" s="4" t="str">
        <f>_xlfn.XLOOKUP(Table4[[#This Row],[Kontragentin adı]],Table2[Kontragentin adı],Table2[Müqavilə nömrəsi],"Xəta",0)</f>
        <v>№ 24-060</v>
      </c>
      <c r="M990" s="4" t="s">
        <v>2350</v>
      </c>
    </row>
    <row r="991" spans="2:13" x14ac:dyDescent="0.3">
      <c r="B991" s="4">
        <f t="shared" si="15"/>
        <v>988</v>
      </c>
      <c r="C991" s="5">
        <v>46181</v>
      </c>
      <c r="D991" s="10" t="str" cm="1">
        <f t="array" ref="D991">_xlfn.XLOOKUP(Table4[[#This Row],[Malın kodu]],Table1[[#All],[Malın kodu]],Table1[[#All],[Malın adı]],"xəta",0)</f>
        <v>Metrə / 5m</v>
      </c>
      <c r="E991" s="8" t="s">
        <v>2054</v>
      </c>
      <c r="F991" s="4" t="s">
        <v>920</v>
      </c>
      <c r="G991" s="4">
        <v>3</v>
      </c>
      <c r="H991" s="4">
        <v>2</v>
      </c>
      <c r="I991" s="4">
        <f>Table4[[#This Row],[Malın miqdarı]]*Table4[[#This Row],[Vahidin qiyməti]]</f>
        <v>6</v>
      </c>
      <c r="J991" s="4" t="s">
        <v>1905</v>
      </c>
      <c r="K991" s="4" t="s">
        <v>1992</v>
      </c>
      <c r="L991" s="4" t="str">
        <f>_xlfn.XLOOKUP(Table4[[#This Row],[Kontragentin adı]],Table2[Kontragentin adı],Table2[Müqavilə nömrəsi],"Xəta",0)</f>
        <v>№ 24-060</v>
      </c>
      <c r="M991" s="4" t="s">
        <v>2350</v>
      </c>
    </row>
    <row r="992" spans="2:13" x14ac:dyDescent="0.3">
      <c r="B992" s="4">
        <f t="shared" si="15"/>
        <v>989</v>
      </c>
      <c r="C992" s="5">
        <v>46181</v>
      </c>
      <c r="D992" s="10" t="str" cm="1">
        <f t="array" ref="D992">_xlfn.XLOOKUP(Table4[[#This Row],[Malın kodu]],Table1[[#All],[Malın kodu]],Table1[[#All],[Malın adı]],"xəta",0)</f>
        <v>Metrə / 3m</v>
      </c>
      <c r="E992" s="8" t="s">
        <v>2178</v>
      </c>
      <c r="F992" s="4" t="s">
        <v>920</v>
      </c>
      <c r="G992" s="4">
        <v>2</v>
      </c>
      <c r="H992" s="4">
        <v>1</v>
      </c>
      <c r="I992" s="4">
        <f>Table4[[#This Row],[Malın miqdarı]]*Table4[[#This Row],[Vahidin qiyməti]]</f>
        <v>2</v>
      </c>
      <c r="J992" s="4" t="s">
        <v>1905</v>
      </c>
      <c r="K992" s="4" t="s">
        <v>1992</v>
      </c>
      <c r="L992" s="4" t="str">
        <f>_xlfn.XLOOKUP(Table4[[#This Row],[Kontragentin adı]],Table2[Kontragentin adı],Table2[Müqavilə nömrəsi],"Xəta",0)</f>
        <v>№ 24-060</v>
      </c>
      <c r="M992" s="4" t="s">
        <v>2350</v>
      </c>
    </row>
    <row r="993" spans="2:13" x14ac:dyDescent="0.3">
      <c r="B993" s="4">
        <f t="shared" si="15"/>
        <v>990</v>
      </c>
      <c r="C993" s="5">
        <v>46181</v>
      </c>
      <c r="D993" s="10" t="str" cm="1">
        <f t="array" ref="D993">_xlfn.XLOOKUP(Table4[[#This Row],[Malın kodu]],Table1[[#All],[Malın kodu]],Table1[[#All],[Malın adı]],"xəta",0)</f>
        <v>Bel sapı</v>
      </c>
      <c r="E993" s="8" t="s">
        <v>2259</v>
      </c>
      <c r="F993" s="4" t="s">
        <v>920</v>
      </c>
      <c r="G993" s="4">
        <v>10</v>
      </c>
      <c r="H993" s="4">
        <v>2</v>
      </c>
      <c r="I993" s="4">
        <f>Table4[[#This Row],[Malın miqdarı]]*Table4[[#This Row],[Vahidin qiyməti]]</f>
        <v>20</v>
      </c>
      <c r="J993" s="4" t="s">
        <v>1905</v>
      </c>
      <c r="K993" s="4" t="s">
        <v>1992</v>
      </c>
      <c r="L993" s="4" t="str">
        <f>_xlfn.XLOOKUP(Table4[[#This Row],[Kontragentin adı]],Table2[Kontragentin adı],Table2[Müqavilə nömrəsi],"Xəta",0)</f>
        <v>№ 24-060</v>
      </c>
      <c r="M993" s="4" t="s">
        <v>2350</v>
      </c>
    </row>
    <row r="994" spans="2:13" x14ac:dyDescent="0.3">
      <c r="B994" s="4">
        <f t="shared" si="15"/>
        <v>991</v>
      </c>
      <c r="C994" s="5">
        <v>46181</v>
      </c>
      <c r="D994" s="10" t="str" cm="1">
        <f t="array" ref="D994">_xlfn.XLOOKUP(Table4[[#This Row],[Malın kodu]],Table1[[#All],[Malın kodu]],Table1[[#All],[Malın adı]],"xəta",0)</f>
        <v>Jilet / fəhlə</v>
      </c>
      <c r="E994" s="8" t="s">
        <v>2261</v>
      </c>
      <c r="F994" s="4" t="s">
        <v>920</v>
      </c>
      <c r="G994" s="4">
        <v>15</v>
      </c>
      <c r="H994" s="4">
        <v>1.3</v>
      </c>
      <c r="I994" s="4">
        <f>Table4[[#This Row],[Malın miqdarı]]*Table4[[#This Row],[Vahidin qiyməti]]</f>
        <v>19.5</v>
      </c>
      <c r="J994" s="4" t="s">
        <v>1905</v>
      </c>
      <c r="K994" s="4" t="s">
        <v>1992</v>
      </c>
      <c r="L994" s="4" t="str">
        <f>_xlfn.XLOOKUP(Table4[[#This Row],[Kontragentin adı]],Table2[Kontragentin adı],Table2[Müqavilə nömrəsi],"Xəta",0)</f>
        <v>№ 24-060</v>
      </c>
      <c r="M994" s="4" t="s">
        <v>2350</v>
      </c>
    </row>
    <row r="995" spans="2:13" x14ac:dyDescent="0.3">
      <c r="B995" s="4">
        <f t="shared" si="15"/>
        <v>992</v>
      </c>
      <c r="C995" s="5">
        <v>46181</v>
      </c>
      <c r="D995" s="10" t="str" cm="1">
        <f t="array" ref="D995">_xlfn.XLOOKUP(Table4[[#This Row],[Malın kodu]],Table1[[#All],[Malın kodu]],Table1[[#All],[Malın adı]],"xəta",0)</f>
        <v>Çəkic / 2 kq</v>
      </c>
      <c r="E995" s="8" t="s">
        <v>2296</v>
      </c>
      <c r="F995" s="4" t="s">
        <v>920</v>
      </c>
      <c r="G995" s="4">
        <v>1</v>
      </c>
      <c r="H995" s="4">
        <v>7.5</v>
      </c>
      <c r="I995" s="4">
        <f>Table4[[#This Row],[Malın miqdarı]]*Table4[[#This Row],[Vahidin qiyməti]]</f>
        <v>7.5</v>
      </c>
      <c r="J995" s="4" t="s">
        <v>1905</v>
      </c>
      <c r="K995" s="4" t="s">
        <v>1992</v>
      </c>
      <c r="L995" s="4" t="str">
        <f>_xlfn.XLOOKUP(Table4[[#This Row],[Kontragentin adı]],Table2[Kontragentin adı],Table2[Müqavilə nömrəsi],"Xəta",0)</f>
        <v>№ 24-060</v>
      </c>
      <c r="M995" s="4" t="s">
        <v>2350</v>
      </c>
    </row>
    <row r="996" spans="2:13" x14ac:dyDescent="0.3">
      <c r="B996" s="4">
        <f t="shared" si="15"/>
        <v>993</v>
      </c>
      <c r="C996" s="5">
        <v>46181</v>
      </c>
      <c r="D996" s="10" t="str" cm="1">
        <f t="array" ref="D996">_xlfn.XLOOKUP(Table4[[#This Row],[Malın kodu]],Table1[[#All],[Malın kodu]],Table1[[#All],[Malın adı]],"xəta",0)</f>
        <v>Disk / d 230mm / nerj nazik</v>
      </c>
      <c r="E996" s="8" t="s">
        <v>2351</v>
      </c>
      <c r="F996" s="4" t="s">
        <v>920</v>
      </c>
      <c r="G996" s="4">
        <v>25</v>
      </c>
      <c r="H996" s="4">
        <v>3.8</v>
      </c>
      <c r="I996" s="4">
        <f>Table4[[#This Row],[Malın miqdarı]]*Table4[[#This Row],[Vahidin qiyməti]]</f>
        <v>95</v>
      </c>
      <c r="J996" s="4" t="s">
        <v>1905</v>
      </c>
      <c r="K996" s="4" t="s">
        <v>1992</v>
      </c>
      <c r="L996" s="4" t="str">
        <f>_xlfn.XLOOKUP(Table4[[#This Row],[Kontragentin adı]],Table2[Kontragentin adı],Table2[Müqavilə nömrəsi],"Xəta",0)</f>
        <v>№ 24-060</v>
      </c>
      <c r="M996" s="4" t="s">
        <v>2350</v>
      </c>
    </row>
    <row r="997" spans="2:13" x14ac:dyDescent="0.3">
      <c r="B997" s="4">
        <f t="shared" si="15"/>
        <v>994</v>
      </c>
      <c r="C997" s="5">
        <v>46181</v>
      </c>
      <c r="D997" s="10" t="str" cm="1">
        <f t="array" ref="D997">_xlfn.XLOOKUP(Table4[[#This Row],[Malın kodu]],Table1[[#All],[Malın kodu]],Table1[[#All],[Malın adı]],"xəta",0)</f>
        <v>İzolyasiya lenti / 25m / qara</v>
      </c>
      <c r="E997" s="8" t="s">
        <v>2352</v>
      </c>
      <c r="F997" s="4" t="s">
        <v>920</v>
      </c>
      <c r="G997" s="4">
        <v>10</v>
      </c>
      <c r="H997" s="4">
        <v>0.7</v>
      </c>
      <c r="I997" s="4">
        <f>Table4[[#This Row],[Malın miqdarı]]*Table4[[#This Row],[Vahidin qiyməti]]</f>
        <v>7</v>
      </c>
      <c r="J997" s="4" t="s">
        <v>1905</v>
      </c>
      <c r="K997" s="4" t="s">
        <v>1992</v>
      </c>
      <c r="L997" s="4" t="str">
        <f>_xlfn.XLOOKUP(Table4[[#This Row],[Kontragentin adı]],Table2[Kontragentin adı],Table2[Müqavilə nömrəsi],"Xəta",0)</f>
        <v>№ 24-060</v>
      </c>
      <c r="M997" s="4" t="s">
        <v>2353</v>
      </c>
    </row>
    <row r="998" spans="2:13" x14ac:dyDescent="0.3">
      <c r="B998" s="4">
        <f t="shared" si="15"/>
        <v>995</v>
      </c>
      <c r="C998" s="5">
        <v>46181</v>
      </c>
      <c r="D998" s="10" t="str" cm="1">
        <f t="array" ref="D998">_xlfn.XLOOKUP(Table4[[#This Row],[Malın kodu]],Table1[[#All],[Malın kodu]],Table1[[#All],[Malın adı]],"xəta",0)</f>
        <v>Yanmış məftil</v>
      </c>
      <c r="E998" s="8" t="s">
        <v>2354</v>
      </c>
      <c r="F998" s="4" t="s">
        <v>927</v>
      </c>
      <c r="G998" s="4">
        <v>100</v>
      </c>
      <c r="H998" s="4">
        <v>1.6</v>
      </c>
      <c r="I998" s="4">
        <f>Table4[[#This Row],[Malın miqdarı]]*Table4[[#This Row],[Vahidin qiyməti]]</f>
        <v>160</v>
      </c>
      <c r="J998" s="4" t="s">
        <v>1905</v>
      </c>
      <c r="K998" s="4" t="s">
        <v>1992</v>
      </c>
      <c r="L998" s="4" t="str">
        <f>_xlfn.XLOOKUP(Table4[[#This Row],[Kontragentin adı]],Table2[Kontragentin adı],Table2[Müqavilə nömrəsi],"Xəta",0)</f>
        <v>№ 24-060</v>
      </c>
      <c r="M998" s="4" t="s">
        <v>2350</v>
      </c>
    </row>
    <row r="999" spans="2:13" x14ac:dyDescent="0.3">
      <c r="B999" s="4">
        <f t="shared" si="15"/>
        <v>996</v>
      </c>
      <c r="C999" s="5">
        <v>46181</v>
      </c>
      <c r="D999" s="10" t="str" cm="1">
        <f t="array" ref="D999">_xlfn.XLOOKUP(Table4[[#This Row],[Malın kodu]],Table1[[#All],[Malın kodu]],Table1[[#All],[Malın adı]],"xəta",0)</f>
        <v>Kəlbətin / N7</v>
      </c>
      <c r="E999" s="8" t="s">
        <v>2355</v>
      </c>
      <c r="F999" s="4" t="s">
        <v>920</v>
      </c>
      <c r="G999" s="4">
        <v>1</v>
      </c>
      <c r="H999" s="4">
        <v>4</v>
      </c>
      <c r="I999" s="4">
        <f>Table4[[#This Row],[Malın miqdarı]]*Table4[[#This Row],[Vahidin qiyməti]]</f>
        <v>4</v>
      </c>
      <c r="J999" s="4" t="s">
        <v>1905</v>
      </c>
      <c r="K999" s="4" t="s">
        <v>1992</v>
      </c>
      <c r="L999" s="4" t="str">
        <f>_xlfn.XLOOKUP(Table4[[#This Row],[Kontragentin adı]],Table2[Kontragentin adı],Table2[Müqavilə nömrəsi],"Xəta",0)</f>
        <v>№ 24-060</v>
      </c>
      <c r="M999" s="4" t="s">
        <v>2350</v>
      </c>
    </row>
    <row r="1000" spans="2:13" x14ac:dyDescent="0.3">
      <c r="B1000" s="4">
        <f t="shared" si="15"/>
        <v>997</v>
      </c>
      <c r="C1000" s="5">
        <v>46181</v>
      </c>
      <c r="D1000" s="10" t="str" cm="1">
        <f t="array" ref="D1000">_xlfn.XLOOKUP(Table4[[#This Row],[Malın kodu]],Table1[[#All],[Malın kodu]],Table1[[#All],[Malın adı]],"xəta",0)</f>
        <v>Kəsər / sadə / çin</v>
      </c>
      <c r="E1000" s="8" t="s">
        <v>2356</v>
      </c>
      <c r="F1000" s="4" t="s">
        <v>920</v>
      </c>
      <c r="G1000" s="4">
        <v>2</v>
      </c>
      <c r="H1000" s="4">
        <v>5</v>
      </c>
      <c r="I1000" s="4">
        <f>Table4[[#This Row],[Malın miqdarı]]*Table4[[#This Row],[Vahidin qiyməti]]</f>
        <v>10</v>
      </c>
      <c r="J1000" s="4" t="s">
        <v>1905</v>
      </c>
      <c r="K1000" s="4" t="s">
        <v>1992</v>
      </c>
      <c r="L1000" s="4" t="str">
        <f>_xlfn.XLOOKUP(Table4[[#This Row],[Kontragentin adı]],Table2[Kontragentin adı],Table2[Müqavilə nömrəsi],"Xəta",0)</f>
        <v>№ 24-060</v>
      </c>
      <c r="M1000" s="4" t="s">
        <v>2350</v>
      </c>
    </row>
    <row r="1001" spans="2:13" x14ac:dyDescent="0.3">
      <c r="B1001" s="4">
        <f t="shared" si="15"/>
        <v>998</v>
      </c>
      <c r="C1001" s="5">
        <v>46181</v>
      </c>
      <c r="D1001" s="10" t="str" cm="1">
        <f t="array" ref="D1001">_xlfn.XLOOKUP(Table4[[#This Row],[Malın kodu]],Table1[[#All],[Malın kodu]],Table1[[#All],[Malın adı]],"xəta",0)</f>
        <v>Kəsər sapı / laklı / çin</v>
      </c>
      <c r="E1001" s="8" t="s">
        <v>2357</v>
      </c>
      <c r="F1001" s="4" t="s">
        <v>920</v>
      </c>
      <c r="G1001" s="4">
        <v>2</v>
      </c>
      <c r="H1001" s="4">
        <v>1.2</v>
      </c>
      <c r="I1001" s="4">
        <f>Table4[[#This Row],[Malın miqdarı]]*Table4[[#This Row],[Vahidin qiyməti]]</f>
        <v>2.4</v>
      </c>
      <c r="J1001" s="4" t="s">
        <v>1905</v>
      </c>
      <c r="K1001" s="4" t="s">
        <v>1992</v>
      </c>
      <c r="L1001" s="4" t="str">
        <f>_xlfn.XLOOKUP(Table4[[#This Row],[Kontragentin adı]],Table2[Kontragentin adı],Table2[Müqavilə nömrəsi],"Xəta",0)</f>
        <v>№ 24-060</v>
      </c>
      <c r="M1001" s="4" t="s">
        <v>2350</v>
      </c>
    </row>
    <row r="1002" spans="2:13" x14ac:dyDescent="0.3">
      <c r="B1002" s="4">
        <f t="shared" si="15"/>
        <v>999</v>
      </c>
      <c r="C1002" s="5">
        <v>46181</v>
      </c>
      <c r="D1002" s="10" t="str" cm="1">
        <f t="array" ref="D1002">_xlfn.XLOOKUP(Table4[[#This Row],[Malın kodu]],Table1[[#All],[Malın kodu]],Table1[[#All],[Malın adı]],"xəta",0)</f>
        <v>Lom / 28 (böyük)</v>
      </c>
      <c r="E1002" s="8" t="s">
        <v>2358</v>
      </c>
      <c r="F1002" s="4" t="s">
        <v>920</v>
      </c>
      <c r="G1002" s="4">
        <v>1</v>
      </c>
      <c r="H1002" s="4">
        <v>10</v>
      </c>
      <c r="I1002" s="4">
        <f>Table4[[#This Row],[Malın miqdarı]]*Table4[[#This Row],[Vahidin qiyməti]]</f>
        <v>10</v>
      </c>
      <c r="J1002" s="4" t="s">
        <v>1905</v>
      </c>
      <c r="K1002" s="4" t="s">
        <v>1992</v>
      </c>
      <c r="L1002" s="4" t="str">
        <f>_xlfn.XLOOKUP(Table4[[#This Row],[Kontragentin adı]],Table2[Kontragentin adı],Table2[Müqavilə nömrəsi],"Xəta",0)</f>
        <v>№ 24-060</v>
      </c>
      <c r="M1002" s="4" t="s">
        <v>2350</v>
      </c>
    </row>
    <row r="1003" spans="2:13" x14ac:dyDescent="0.3">
      <c r="B1003" s="4">
        <f t="shared" si="15"/>
        <v>1000</v>
      </c>
      <c r="C1003" s="5">
        <v>46181</v>
      </c>
      <c r="D1003" s="10" t="str" cm="1">
        <f t="array" ref="D1003">_xlfn.XLOOKUP(Table4[[#This Row],[Malın kodu]],Table1[[#All],[Malın kodu]],Table1[[#All],[Malın adı]],"xəta",0)</f>
        <v>Disk / d 180  / ataka / "Makita"</v>
      </c>
      <c r="E1003" s="8" t="s">
        <v>2359</v>
      </c>
      <c r="F1003" s="4" t="s">
        <v>920</v>
      </c>
      <c r="G1003" s="4">
        <v>1</v>
      </c>
      <c r="H1003" s="4">
        <v>5</v>
      </c>
      <c r="I1003" s="4">
        <f>Table4[[#This Row],[Malın miqdarı]]*Table4[[#This Row],[Vahidin qiyməti]]</f>
        <v>5</v>
      </c>
      <c r="J1003" s="4" t="s">
        <v>1905</v>
      </c>
      <c r="K1003" s="4" t="s">
        <v>1992</v>
      </c>
      <c r="L1003" s="4" t="str">
        <f>_xlfn.XLOOKUP(Table4[[#This Row],[Kontragentin adı]],Table2[Kontragentin adı],Table2[Müqavilə nömrəsi],"Xəta",0)</f>
        <v>№ 24-060</v>
      </c>
      <c r="M1003" s="4" t="s">
        <v>2350</v>
      </c>
    </row>
    <row r="1004" spans="2:13" x14ac:dyDescent="0.3">
      <c r="B1004" s="4">
        <f t="shared" si="15"/>
        <v>1001</v>
      </c>
      <c r="C1004" s="5">
        <v>46181</v>
      </c>
      <c r="D1004" s="10" t="str" cm="1">
        <f t="array" ref="D1004">_xlfn.XLOOKUP(Table4[[#This Row],[Malın kodu]],Table1[[#All],[Malın kodu]],Table1[[#All],[Malın adı]],"xəta",0)</f>
        <v>Bel / 750 qr / çalov</v>
      </c>
      <c r="E1004" s="8" t="s">
        <v>2360</v>
      </c>
      <c r="F1004" s="4" t="s">
        <v>920</v>
      </c>
      <c r="G1004" s="4">
        <v>5</v>
      </c>
      <c r="H1004" s="4">
        <v>2.5</v>
      </c>
      <c r="I1004" s="4">
        <f>Table4[[#This Row],[Malın miqdarı]]*Table4[[#This Row],[Vahidin qiyməti]]</f>
        <v>12.5</v>
      </c>
      <c r="J1004" s="4" t="s">
        <v>1905</v>
      </c>
      <c r="K1004" s="4" t="s">
        <v>1992</v>
      </c>
      <c r="L1004" s="4" t="str">
        <f>_xlfn.XLOOKUP(Table4[[#This Row],[Kontragentin adı]],Table2[Kontragentin adı],Table2[Müqavilə nömrəsi],"Xəta",0)</f>
        <v>№ 24-060</v>
      </c>
      <c r="M1004" s="4" t="s">
        <v>2350</v>
      </c>
    </row>
    <row r="1005" spans="2:13" x14ac:dyDescent="0.3">
      <c r="B1005" s="4">
        <f t="shared" si="15"/>
        <v>1002</v>
      </c>
      <c r="C1005" s="5">
        <v>46181</v>
      </c>
      <c r="D1005" s="10" t="str" cm="1">
        <f t="array" ref="D1005">_xlfn.XLOOKUP(Table4[[#This Row],[Malın kodu]],Table1[[#All],[Malın kodu]],Table1[[#All],[Malın adı]],"xəta",0)</f>
        <v>Bel / 750 qr / düz</v>
      </c>
      <c r="E1005" s="8" t="s">
        <v>2361</v>
      </c>
      <c r="F1005" s="4" t="s">
        <v>920</v>
      </c>
      <c r="G1005" s="4">
        <v>3</v>
      </c>
      <c r="H1005" s="4">
        <v>2.5</v>
      </c>
      <c r="I1005" s="4">
        <f>Table4[[#This Row],[Malın miqdarı]]*Table4[[#This Row],[Vahidin qiyməti]]</f>
        <v>7.5</v>
      </c>
      <c r="J1005" s="4" t="s">
        <v>1905</v>
      </c>
      <c r="K1005" s="4" t="s">
        <v>1992</v>
      </c>
      <c r="L1005" s="4" t="str">
        <f>_xlfn.XLOOKUP(Table4[[#This Row],[Kontragentin adı]],Table2[Kontragentin adı],Table2[Müqavilə nömrəsi],"Xəta",0)</f>
        <v>№ 24-060</v>
      </c>
      <c r="M1005" s="4" t="s">
        <v>2350</v>
      </c>
    </row>
    <row r="1006" spans="2:13" x14ac:dyDescent="0.3">
      <c r="B1006" s="4">
        <f t="shared" si="15"/>
        <v>1003</v>
      </c>
      <c r="C1006" s="5">
        <v>46181</v>
      </c>
      <c r="D1006" s="10" t="str" cm="1">
        <f t="array" ref="D1006">_xlfn.XLOOKUP(Table4[[#This Row],[Malın kodu]],Table1[[#All],[Malın kodu]],Table1[[#All],[Malın adı]],"xəta",0)</f>
        <v>Metrə / 10m / rezin N142</v>
      </c>
      <c r="E1006" s="8" t="s">
        <v>2362</v>
      </c>
      <c r="F1006" s="4" t="s">
        <v>920</v>
      </c>
      <c r="G1006" s="4">
        <v>2</v>
      </c>
      <c r="H1006" s="4">
        <v>3</v>
      </c>
      <c r="I1006" s="4">
        <f>Table4[[#This Row],[Malın miqdarı]]*Table4[[#This Row],[Vahidin qiyməti]]</f>
        <v>6</v>
      </c>
      <c r="J1006" s="4" t="s">
        <v>1905</v>
      </c>
      <c r="K1006" s="4" t="s">
        <v>1992</v>
      </c>
      <c r="L1006" s="4" t="str">
        <f>_xlfn.XLOOKUP(Table4[[#This Row],[Kontragentin adı]],Table2[Kontragentin adı],Table2[Müqavilə nömrəsi],"Xəta",0)</f>
        <v>№ 24-060</v>
      </c>
      <c r="M1006" s="4" t="s">
        <v>2350</v>
      </c>
    </row>
    <row r="1007" spans="2:13" x14ac:dyDescent="0.3">
      <c r="B1007" s="4">
        <f t="shared" si="15"/>
        <v>1004</v>
      </c>
      <c r="C1007" s="5">
        <v>46181</v>
      </c>
      <c r="D1007" s="10" t="str" cm="1">
        <f t="array" ref="D1007">_xlfn.XLOOKUP(Table4[[#This Row],[Malın kodu]],Table1[[#All],[Malın kodu]],Table1[[#All],[Malın adı]],"xəta",0)</f>
        <v>Metrə / 30m / ruletka N69</v>
      </c>
      <c r="E1007" s="8" t="s">
        <v>2363</v>
      </c>
      <c r="F1007" s="4" t="s">
        <v>920</v>
      </c>
      <c r="G1007" s="4">
        <v>1</v>
      </c>
      <c r="H1007" s="4">
        <v>3.5</v>
      </c>
      <c r="I1007" s="4">
        <f>Table4[[#This Row],[Malın miqdarı]]*Table4[[#This Row],[Vahidin qiyməti]]</f>
        <v>3.5</v>
      </c>
      <c r="J1007" s="4" t="s">
        <v>1905</v>
      </c>
      <c r="K1007" s="4" t="s">
        <v>1992</v>
      </c>
      <c r="L1007" s="4" t="str">
        <f>_xlfn.XLOOKUP(Table4[[#This Row],[Kontragentin adı]],Table2[Kontragentin adı],Table2[Müqavilə nömrəsi],"Xəta",0)</f>
        <v>№ 24-060</v>
      </c>
      <c r="M1007" s="4" t="s">
        <v>2350</v>
      </c>
    </row>
    <row r="1008" spans="2:13" x14ac:dyDescent="0.3">
      <c r="B1008" s="4">
        <f t="shared" si="15"/>
        <v>1005</v>
      </c>
      <c r="C1008" s="5">
        <v>46181</v>
      </c>
      <c r="D1008" s="10" t="str" cm="1">
        <f t="array" ref="D1008">_xlfn.XLOOKUP(Table4[[#This Row],[Malın kodu]],Table1[[#All],[Malın kodu]],Table1[[#All],[Malın adı]],"xəta",0)</f>
        <v>Fənər / 013</v>
      </c>
      <c r="E1008" s="8" t="s">
        <v>2364</v>
      </c>
      <c r="F1008" s="4" t="s">
        <v>920</v>
      </c>
      <c r="G1008" s="4">
        <v>1</v>
      </c>
      <c r="H1008" s="4">
        <v>8</v>
      </c>
      <c r="I1008" s="4">
        <f>Table4[[#This Row],[Malın miqdarı]]*Table4[[#This Row],[Vahidin qiyməti]]</f>
        <v>8</v>
      </c>
      <c r="J1008" s="4" t="s">
        <v>1905</v>
      </c>
      <c r="K1008" s="4" t="s">
        <v>1992</v>
      </c>
      <c r="L1008" s="4" t="str">
        <f>_xlfn.XLOOKUP(Table4[[#This Row],[Kontragentin adı]],Table2[Kontragentin adı],Table2[Müqavilə nömrəsi],"Xəta",0)</f>
        <v>№ 24-060</v>
      </c>
      <c r="M1008" s="4" t="s">
        <v>2350</v>
      </c>
    </row>
    <row r="1009" spans="2:13" x14ac:dyDescent="0.3">
      <c r="B1009" s="4">
        <f t="shared" si="15"/>
        <v>1006</v>
      </c>
      <c r="C1009" s="5">
        <v>46181</v>
      </c>
      <c r="D1009" s="10" t="str" cm="1">
        <f t="array" ref="D1009">_xlfn.XLOOKUP(Table4[[#This Row],[Malın kodu]],Table1[[#All],[Malın kodu]],Table1[[#All],[Malın adı]],"xəta",0)</f>
        <v>Qoruyucu şüşə / qara / kaska üçün</v>
      </c>
      <c r="E1009" s="8" t="s">
        <v>2365</v>
      </c>
      <c r="F1009" s="4" t="s">
        <v>920</v>
      </c>
      <c r="G1009" s="4">
        <v>5</v>
      </c>
      <c r="H1009" s="4">
        <v>0.25</v>
      </c>
      <c r="I1009" s="4">
        <f>Table4[[#This Row],[Malın miqdarı]]*Table4[[#This Row],[Vahidin qiyməti]]</f>
        <v>1.25</v>
      </c>
      <c r="J1009" s="4" t="s">
        <v>1905</v>
      </c>
      <c r="K1009" s="4" t="s">
        <v>1992</v>
      </c>
      <c r="L1009" s="4" t="str">
        <f>_xlfn.XLOOKUP(Table4[[#This Row],[Kontragentin adı]],Table2[Kontragentin adı],Table2[Müqavilə nömrəsi],"Xəta",0)</f>
        <v>№ 24-060</v>
      </c>
      <c r="M1009" s="4" t="s">
        <v>2350</v>
      </c>
    </row>
    <row r="1010" spans="2:13" x14ac:dyDescent="0.3">
      <c r="B1010" s="4">
        <f t="shared" si="15"/>
        <v>1007</v>
      </c>
      <c r="C1010" s="5">
        <v>46181</v>
      </c>
      <c r="D1010" s="10" t="str" cm="1">
        <f t="array" ref="D1010">_xlfn.XLOOKUP(Table4[[#This Row],[Malın kodu]],Table1[[#All],[Malın kodu]],Table1[[#All],[Malın adı]],"xəta",0)</f>
        <v>Lent / təhlükəsizlik / 200m</v>
      </c>
      <c r="E1010" s="8" t="s">
        <v>2366</v>
      </c>
      <c r="F1010" s="4" t="s">
        <v>920</v>
      </c>
      <c r="G1010" s="4">
        <v>5</v>
      </c>
      <c r="H1010" s="4">
        <v>3</v>
      </c>
      <c r="I1010" s="4">
        <f>Table4[[#This Row],[Malın miqdarı]]*Table4[[#This Row],[Vahidin qiyməti]]</f>
        <v>15</v>
      </c>
      <c r="J1010" s="4" t="s">
        <v>1905</v>
      </c>
      <c r="K1010" s="4" t="s">
        <v>1992</v>
      </c>
      <c r="L1010" s="4" t="str">
        <f>_xlfn.XLOOKUP(Table4[[#This Row],[Kontragentin adı]],Table2[Kontragentin adı],Table2[Müqavilə nömrəsi],"Xəta",0)</f>
        <v>№ 24-060</v>
      </c>
      <c r="M1010" s="4" t="s">
        <v>2350</v>
      </c>
    </row>
    <row r="1011" spans="2:13" x14ac:dyDescent="0.3">
      <c r="B1011" s="4">
        <f t="shared" si="15"/>
        <v>1008</v>
      </c>
      <c r="C1011" s="5">
        <v>46183</v>
      </c>
      <c r="D1011" s="10" t="str" cm="1">
        <f t="array" ref="D1011">_xlfn.XLOOKUP(Table4[[#This Row],[Malın kodu]],Table1[[#All],[Malın kodu]],Table1[[#All],[Malın adı]],"xəta",0)</f>
        <v>Disk / cilalayıcı / d 115 mm / lagonda üçün</v>
      </c>
      <c r="E1011" s="8" t="s">
        <v>1129</v>
      </c>
      <c r="F1011" s="4" t="s">
        <v>920</v>
      </c>
      <c r="G1011" s="4">
        <v>10</v>
      </c>
      <c r="H1011" s="4">
        <v>3</v>
      </c>
      <c r="I1011" s="4">
        <f>Table4[[#This Row],[Malın miqdarı]]*Table4[[#This Row],[Vahidin qiyməti]]</f>
        <v>30</v>
      </c>
      <c r="J1011" s="4" t="s">
        <v>1905</v>
      </c>
      <c r="K1011" s="4" t="s">
        <v>1992</v>
      </c>
      <c r="L1011" s="4" t="str">
        <f>_xlfn.XLOOKUP(Table4[[#This Row],[Kontragentin adı]],Table2[Kontragentin adı],Table2[Müqavilə nömrəsi],"Xəta",0)</f>
        <v>№ 24-060</v>
      </c>
      <c r="M1011" s="4" t="s">
        <v>2367</v>
      </c>
    </row>
    <row r="1012" spans="2:13" x14ac:dyDescent="0.3">
      <c r="B1012" s="4">
        <f t="shared" si="15"/>
        <v>1009</v>
      </c>
      <c r="C1012" s="5">
        <v>46183</v>
      </c>
      <c r="D1012" s="10" t="str" cm="1">
        <f t="array" ref="D1012">_xlfn.XLOOKUP(Table4[[#This Row],[Malın kodu]],Table1[[#All],[Malın kodu]],Table1[[#All],[Malın adı]],"xəta",0)</f>
        <v>Fırça / metal / 4 inch / laqonda üçün</v>
      </c>
      <c r="E1012" s="8" t="s">
        <v>1787</v>
      </c>
      <c r="F1012" s="4" t="s">
        <v>920</v>
      </c>
      <c r="G1012" s="4">
        <v>3</v>
      </c>
      <c r="H1012" s="4">
        <v>1.8</v>
      </c>
      <c r="I1012" s="4">
        <f>Table4[[#This Row],[Malın miqdarı]]*Table4[[#This Row],[Vahidin qiyməti]]</f>
        <v>5.4</v>
      </c>
      <c r="J1012" s="4" t="s">
        <v>1905</v>
      </c>
      <c r="K1012" s="4" t="s">
        <v>1992</v>
      </c>
      <c r="L1012" s="4" t="str">
        <f>_xlfn.XLOOKUP(Table4[[#This Row],[Kontragentin adı]],Table2[Kontragentin adı],Table2[Müqavilə nömrəsi],"Xəta",0)</f>
        <v>№ 24-060</v>
      </c>
      <c r="M1012" s="4" t="s">
        <v>2368</v>
      </c>
    </row>
    <row r="1013" spans="2:13" x14ac:dyDescent="0.3">
      <c r="B1013" s="4">
        <f t="shared" si="15"/>
        <v>1010</v>
      </c>
      <c r="C1013" s="5">
        <v>46183</v>
      </c>
      <c r="D1013" s="10" t="str" cm="1">
        <f t="array" ref="D1013">_xlfn.XLOOKUP(Table4[[#This Row],[Malın kodu]],Table1[[#All],[Malın kodu]],Table1[[#All],[Malın adı]],"xəta",0)</f>
        <v>Sayğac / Elektrik / 3*100A LUN23 /LUNA</v>
      </c>
      <c r="E1013" s="8" t="s">
        <v>1912</v>
      </c>
      <c r="F1013" s="4" t="s">
        <v>920</v>
      </c>
      <c r="G1013" s="4">
        <v>1</v>
      </c>
      <c r="H1013" s="4">
        <v>62</v>
      </c>
      <c r="I1013" s="4">
        <f>Table4[[#This Row],[Malın miqdarı]]*Table4[[#This Row],[Vahidin qiyməti]]</f>
        <v>62</v>
      </c>
      <c r="J1013" s="4" t="s">
        <v>1914</v>
      </c>
      <c r="K1013" s="4" t="s">
        <v>1990</v>
      </c>
      <c r="L1013" s="4" t="str">
        <f>_xlfn.XLOOKUP(Table4[[#This Row],[Kontragentin adı]],Table2[Kontragentin adı],Table2[Müqavilə nömrəsi],"Xəta",0)</f>
        <v>№198AMP/2026.</v>
      </c>
      <c r="M1013" s="4" t="s">
        <v>2369</v>
      </c>
    </row>
    <row r="1014" spans="2:13" x14ac:dyDescent="0.3">
      <c r="B1014" s="4">
        <f t="shared" si="15"/>
        <v>1011</v>
      </c>
      <c r="C1014" s="5">
        <v>46183</v>
      </c>
      <c r="D1014" s="10" t="str" cm="1">
        <f t="array" ref="D1014">_xlfn.XLOOKUP(Table4[[#This Row],[Malın kodu]],Table1[[#All],[Malın kodu]],Table1[[#All],[Malın adı]],"xəta",0)</f>
        <v>Qıfıl / VAZ</v>
      </c>
      <c r="E1014" s="8" t="s">
        <v>2078</v>
      </c>
      <c r="F1014" s="4" t="s">
        <v>920</v>
      </c>
      <c r="G1014" s="4">
        <v>1</v>
      </c>
      <c r="H1014" s="4">
        <v>5</v>
      </c>
      <c r="I1014" s="4">
        <f>Table4[[#This Row],[Malın miqdarı]]*Table4[[#This Row],[Vahidin qiyməti]]</f>
        <v>5</v>
      </c>
      <c r="J1014" s="4" t="s">
        <v>1905</v>
      </c>
      <c r="K1014" s="4" t="s">
        <v>1992</v>
      </c>
      <c r="L1014" s="4" t="str">
        <f>_xlfn.XLOOKUP(Table4[[#This Row],[Kontragentin adı]],Table2[Kontragentin adı],Table2[Müqavilə nömrəsi],"Xəta",0)</f>
        <v>№ 24-060</v>
      </c>
      <c r="M1014" s="4" t="s">
        <v>2368</v>
      </c>
    </row>
    <row r="1015" spans="2:13" x14ac:dyDescent="0.3">
      <c r="B1015" s="4">
        <f t="shared" si="15"/>
        <v>1012</v>
      </c>
      <c r="C1015" s="5">
        <v>46183</v>
      </c>
      <c r="D1015" s="10" t="str" cm="1">
        <f t="array" ref="D1015">_xlfn.XLOOKUP(Table4[[#This Row],[Malın kodu]],Table1[[#All],[Malın kodu]],Table1[[#All],[Malın adı]],"xəta",0)</f>
        <v>Elektrik üçlük (kalot) / 3 gözlü</v>
      </c>
      <c r="E1015" s="8" t="s">
        <v>2269</v>
      </c>
      <c r="F1015" s="4" t="s">
        <v>920</v>
      </c>
      <c r="G1015" s="4">
        <v>10</v>
      </c>
      <c r="H1015" s="4">
        <v>3.5</v>
      </c>
      <c r="I1015" s="4">
        <f>Table4[[#This Row],[Malın miqdarı]]*Table4[[#This Row],[Vahidin qiyməti]]</f>
        <v>35</v>
      </c>
      <c r="J1015" s="4" t="s">
        <v>1905</v>
      </c>
      <c r="K1015" s="4" t="s">
        <v>1992</v>
      </c>
      <c r="L1015" s="4" t="str">
        <f>_xlfn.XLOOKUP(Table4[[#This Row],[Kontragentin adı]],Table2[Kontragentin adı],Table2[Müqavilə nömrəsi],"Xəta",0)</f>
        <v>№ 24-060</v>
      </c>
      <c r="M1015" s="4" t="s">
        <v>2368</v>
      </c>
    </row>
    <row r="1016" spans="2:13" x14ac:dyDescent="0.3">
      <c r="B1016" s="4">
        <f t="shared" si="15"/>
        <v>1013</v>
      </c>
      <c r="C1016" s="5">
        <v>46183</v>
      </c>
      <c r="D1016" s="10" t="str" cm="1">
        <f t="array" ref="D1016">_xlfn.XLOOKUP(Table4[[#This Row],[Malın kodu]],Table1[[#All],[Malın kodu]],Table1[[#All],[Malın adı]],"xəta",0)</f>
        <v>Sututucu bant / AK 20/2</v>
      </c>
      <c r="E1016" s="8" t="s">
        <v>2284</v>
      </c>
      <c r="F1016" s="4" t="s">
        <v>925</v>
      </c>
      <c r="G1016" s="4">
        <v>100</v>
      </c>
      <c r="H1016" s="4">
        <v>5.0999999999999996</v>
      </c>
      <c r="I1016" s="4">
        <f>Table4[[#This Row],[Malın miqdarı]]*Table4[[#This Row],[Vahidin qiyməti]]</f>
        <v>509.99999999999994</v>
      </c>
      <c r="J1016" s="4" t="s">
        <v>1905</v>
      </c>
      <c r="K1016" s="4" t="s">
        <v>2281</v>
      </c>
      <c r="L1016" s="4" t="str">
        <f>_xlfn.XLOOKUP(Table4[[#This Row],[Kontragentin adı]],Table2[Kontragentin adı],Table2[Müqavilə nömrəsi],"Xəta",0)</f>
        <v>№21</v>
      </c>
      <c r="M1016" s="4" t="s">
        <v>2370</v>
      </c>
    </row>
    <row r="1017" spans="2:13" x14ac:dyDescent="0.3">
      <c r="B1017" s="4">
        <f t="shared" si="15"/>
        <v>1014</v>
      </c>
      <c r="C1017" s="5">
        <v>46183</v>
      </c>
      <c r="D1017" s="10" t="str" cm="1">
        <f t="array" ref="D1017">_xlfn.XLOOKUP(Table4[[#This Row],[Malın kodu]],Table1[[#All],[Malın kodu]],Table1[[#All],[Malın adı]],"xəta",0)</f>
        <v>Kran / arko / d 15mm / latun</v>
      </c>
      <c r="E1017" s="8" t="s">
        <v>2371</v>
      </c>
      <c r="F1017" s="4" t="s">
        <v>920</v>
      </c>
      <c r="G1017" s="4">
        <v>3</v>
      </c>
      <c r="H1017" s="4">
        <v>3.5</v>
      </c>
      <c r="I1017" s="4">
        <f>Table4[[#This Row],[Malın miqdarı]]*Table4[[#This Row],[Vahidin qiyməti]]</f>
        <v>10.5</v>
      </c>
      <c r="J1017" s="4" t="s">
        <v>1905</v>
      </c>
      <c r="K1017" s="4" t="s">
        <v>1992</v>
      </c>
      <c r="L1017" s="4" t="str">
        <f>_xlfn.XLOOKUP(Table4[[#This Row],[Kontragentin adı]],Table2[Kontragentin adı],Table2[Müqavilə nömrəsi],"Xəta",0)</f>
        <v>№ 24-060</v>
      </c>
      <c r="M1017" s="4" t="str">
        <f>_xlfn.XLOOKUP(Table4[[#This Row],[Kontragentin adı]],Table2[Kontragentin adı],Table2[Müqavilə nömrəsi],"Xəta",0)</f>
        <v>№ 24-060</v>
      </c>
    </row>
    <row r="1018" spans="2:13" x14ac:dyDescent="0.3">
      <c r="B1018" s="4">
        <f t="shared" si="15"/>
        <v>1015</v>
      </c>
      <c r="C1018" s="5">
        <v>46183</v>
      </c>
      <c r="D1018" s="10" t="str" cm="1">
        <f t="array" ref="D1018">_xlfn.XLOOKUP(Table4[[#This Row],[Malın kodu]],Table1[[#All],[Malın kodu]],Table1[[#All],[Malın adı]],"xəta",0)</f>
        <v>Suqarışdırıcı (smesitel) / duş CA 5</v>
      </c>
      <c r="E1018" s="8" t="s">
        <v>2372</v>
      </c>
      <c r="F1018" s="4" t="s">
        <v>920</v>
      </c>
      <c r="G1018" s="4">
        <v>1</v>
      </c>
      <c r="H1018" s="4">
        <v>17</v>
      </c>
      <c r="I1018" s="4">
        <f>Table4[[#This Row],[Malın miqdarı]]*Table4[[#This Row],[Vahidin qiyməti]]</f>
        <v>17</v>
      </c>
      <c r="J1018" s="4" t="s">
        <v>1905</v>
      </c>
      <c r="K1018" s="4" t="s">
        <v>1992</v>
      </c>
      <c r="L1018" s="4" t="str">
        <f>_xlfn.XLOOKUP(Table4[[#This Row],[Kontragentin adı]],Table2[Kontragentin adı],Table2[Müqavilə nömrəsi],"Xəta",0)</f>
        <v>№ 24-060</v>
      </c>
      <c r="M1018" s="4" t="s">
        <v>2368</v>
      </c>
    </row>
    <row r="1019" spans="2:13" x14ac:dyDescent="0.3">
      <c r="B1019" s="4">
        <f t="shared" si="15"/>
        <v>1016</v>
      </c>
      <c r="C1019" s="5">
        <v>46183</v>
      </c>
      <c r="D1019" s="10" t="str" cm="1">
        <f t="array" ref="D1019">_xlfn.XLOOKUP(Table4[[#This Row],[Malın kodu]],Table1[[#All],[Malın kodu]],Table1[[#All],[Malın adı]],"xəta",0)</f>
        <v>Duş sepi / 120 fora</v>
      </c>
      <c r="E1019" s="8" t="s">
        <v>2373</v>
      </c>
      <c r="F1019" s="4" t="s">
        <v>920</v>
      </c>
      <c r="G1019" s="4">
        <v>3</v>
      </c>
      <c r="H1019" s="4">
        <v>4.5</v>
      </c>
      <c r="I1019" s="4">
        <f>Table4[[#This Row],[Malın miqdarı]]*Table4[[#This Row],[Vahidin qiyməti]]</f>
        <v>13.5</v>
      </c>
      <c r="J1019" s="4" t="s">
        <v>1905</v>
      </c>
      <c r="K1019" s="4" t="s">
        <v>1992</v>
      </c>
      <c r="L1019" s="4" t="str">
        <f>_xlfn.XLOOKUP(Table4[[#This Row],[Kontragentin adı]],Table2[Kontragentin adı],Table2[Müqavilə nömrəsi],"Xəta",0)</f>
        <v>№ 24-060</v>
      </c>
      <c r="M1019" s="4" t="s">
        <v>2368</v>
      </c>
    </row>
    <row r="1020" spans="2:13" x14ac:dyDescent="0.3">
      <c r="B1020" s="4">
        <f t="shared" si="15"/>
        <v>1017</v>
      </c>
      <c r="C1020" s="5">
        <v>46183</v>
      </c>
      <c r="D1020" s="10" t="str" cm="1">
        <f t="array" ref="D1020">_xlfn.XLOOKUP(Table4[[#This Row],[Malın kodu]],Table1[[#All],[Malın kodu]],Table1[[#All],[Malın adı]],"xəta",0)</f>
        <v>Şlanq / moyka 60 / ziko</v>
      </c>
      <c r="E1020" s="8" t="s">
        <v>2374</v>
      </c>
      <c r="F1020" s="4" t="s">
        <v>920</v>
      </c>
      <c r="G1020" s="4">
        <v>2</v>
      </c>
      <c r="H1020" s="4">
        <v>1.5</v>
      </c>
      <c r="I1020" s="4">
        <f>Table4[[#This Row],[Malın miqdarı]]*Table4[[#This Row],[Vahidin qiyməti]]</f>
        <v>3</v>
      </c>
      <c r="J1020" s="4" t="s">
        <v>1905</v>
      </c>
      <c r="K1020" s="4" t="s">
        <v>1992</v>
      </c>
      <c r="L1020" s="4" t="str">
        <f>_xlfn.XLOOKUP(Table4[[#This Row],[Kontragentin adı]],Table2[Kontragentin adı],Table2[Müqavilə nömrəsi],"Xəta",0)</f>
        <v>№ 24-060</v>
      </c>
      <c r="M1020" s="4" t="s">
        <v>2368</v>
      </c>
    </row>
    <row r="1021" spans="2:13" x14ac:dyDescent="0.3">
      <c r="B1021" s="4">
        <f t="shared" si="15"/>
        <v>1018</v>
      </c>
      <c r="C1021" s="5">
        <v>46183</v>
      </c>
      <c r="D1021" s="10" t="str" cm="1">
        <f t="array" ref="D1021">_xlfn.XLOOKUP(Table4[[#This Row],[Malın kodu]],Table1[[#All],[Malın kodu]],Table1[[#All],[Malın adı]],"xəta",0)</f>
        <v>Bolt / D-232</v>
      </c>
      <c r="E1021" s="8" t="s">
        <v>2375</v>
      </c>
      <c r="F1021" s="4" t="s">
        <v>920</v>
      </c>
      <c r="G1021" s="4">
        <v>2</v>
      </c>
      <c r="H1021" s="4">
        <v>0.6</v>
      </c>
      <c r="I1021" s="4">
        <f>Table4[[#This Row],[Malın miqdarı]]*Table4[[#This Row],[Vahidin qiyməti]]</f>
        <v>1.2</v>
      </c>
      <c r="J1021" s="4" t="s">
        <v>1905</v>
      </c>
      <c r="K1021" s="4" t="s">
        <v>1992</v>
      </c>
      <c r="L1021" s="4" t="str">
        <f>_xlfn.XLOOKUP(Table4[[#This Row],[Kontragentin adı]],Table2[Kontragentin adı],Table2[Müqavilə nömrəsi],"Xəta",0)</f>
        <v>№ 24-060</v>
      </c>
      <c r="M1021" s="4" t="s">
        <v>2368</v>
      </c>
    </row>
    <row r="1022" spans="2:13" x14ac:dyDescent="0.3">
      <c r="B1022" s="4">
        <f t="shared" si="15"/>
        <v>1019</v>
      </c>
      <c r="C1022" s="5">
        <v>46183</v>
      </c>
      <c r="D1022" s="10" t="str" cm="1">
        <f t="array" ref="D1022">_xlfn.XLOOKUP(Table4[[#This Row],[Malın kodu]],Table1[[#All],[Malın kodu]],Table1[[#All],[Malın adı]],"xəta",0)</f>
        <v>Disk / d 230mm / nerj nazik</v>
      </c>
      <c r="E1022" s="8" t="s">
        <v>2351</v>
      </c>
      <c r="F1022" s="4" t="s">
        <v>920</v>
      </c>
      <c r="G1022" s="4">
        <v>15</v>
      </c>
      <c r="H1022" s="4">
        <v>3.8</v>
      </c>
      <c r="I1022" s="4">
        <f>Table4[[#This Row],[Malın miqdarı]]*Table4[[#This Row],[Vahidin qiyməti]]</f>
        <v>57</v>
      </c>
      <c r="J1022" s="4" t="s">
        <v>1905</v>
      </c>
      <c r="K1022" s="4" t="s">
        <v>1992</v>
      </c>
      <c r="L1022" s="4" t="str">
        <f>_xlfn.XLOOKUP(Table4[[#This Row],[Kontragentin adı]],Table2[Kontragentin adı],Table2[Müqavilə nömrəsi],"Xəta",0)</f>
        <v>№ 24-060</v>
      </c>
      <c r="M1022" s="4" t="s">
        <v>2368</v>
      </c>
    </row>
    <row r="1023" spans="2:13" x14ac:dyDescent="0.3">
      <c r="B1023" s="4">
        <f t="shared" si="15"/>
        <v>1020</v>
      </c>
      <c r="C1023" s="5">
        <v>46183</v>
      </c>
      <c r="D1023" s="10" t="str" cm="1">
        <f t="array" ref="D1023">_xlfn.XLOOKUP(Table4[[#This Row],[Malın kodu]],Table1[[#All],[Malın kodu]],Table1[[#All],[Malın adı]],"xəta",0)</f>
        <v>Fırça / metal / 2.5 inch / laqonda üçün / saçaq</v>
      </c>
      <c r="E1023" s="8" t="s">
        <v>2376</v>
      </c>
      <c r="F1023" s="4" t="s">
        <v>920</v>
      </c>
      <c r="G1023" s="4">
        <v>5</v>
      </c>
      <c r="H1023" s="4">
        <v>1.3</v>
      </c>
      <c r="I1023" s="4">
        <f>Table4[[#This Row],[Malın miqdarı]]*Table4[[#This Row],[Vahidin qiyməti]]</f>
        <v>6.5</v>
      </c>
      <c r="J1023" s="4" t="s">
        <v>1905</v>
      </c>
      <c r="K1023" s="4" t="s">
        <v>1992</v>
      </c>
      <c r="L1023" s="4" t="str">
        <f>_xlfn.XLOOKUP(Table4[[#This Row],[Kontragentin adı]],Table2[Kontragentin adı],Table2[Müqavilə nömrəsi],"Xəta",0)</f>
        <v>№ 24-060</v>
      </c>
      <c r="M1023" s="4" t="s">
        <v>2368</v>
      </c>
    </row>
    <row r="1024" spans="2:13" x14ac:dyDescent="0.3">
      <c r="B1024" s="4">
        <f t="shared" si="15"/>
        <v>1021</v>
      </c>
      <c r="C1024" s="5">
        <v>46183</v>
      </c>
      <c r="D1024" s="10" t="str" cm="1">
        <f t="array" ref="D1024">_xlfn.XLOOKUP(Table4[[#This Row],[Malın kodu]],Table1[[#All],[Malın kodu]],Table1[[#All],[Malın adı]],"xəta",0)</f>
        <v>Fırça / metal / 4 inch / laqonda üçün / cod</v>
      </c>
      <c r="E1024" s="8" t="s">
        <v>2377</v>
      </c>
      <c r="F1024" s="4" t="s">
        <v>920</v>
      </c>
      <c r="G1024" s="4">
        <v>2</v>
      </c>
      <c r="H1024" s="4">
        <v>2</v>
      </c>
      <c r="I1024" s="4">
        <f>Table4[[#This Row],[Malın miqdarı]]*Table4[[#This Row],[Vahidin qiyməti]]</f>
        <v>4</v>
      </c>
      <c r="J1024" s="4" t="s">
        <v>1905</v>
      </c>
      <c r="K1024" s="4" t="s">
        <v>1992</v>
      </c>
      <c r="L1024" s="4" t="str">
        <f>_xlfn.XLOOKUP(Table4[[#This Row],[Kontragentin adı]],Table2[Kontragentin adı],Table2[Müqavilə nömrəsi],"Xəta",0)</f>
        <v>№ 24-060</v>
      </c>
      <c r="M1024" s="4" t="s">
        <v>2368</v>
      </c>
    </row>
    <row r="1025" spans="2:13" x14ac:dyDescent="0.3">
      <c r="B1025" s="4">
        <f t="shared" si="15"/>
        <v>1022</v>
      </c>
      <c r="C1025" s="5">
        <v>46183</v>
      </c>
      <c r="D1025" s="10" t="str" cm="1">
        <f t="array" ref="D1025">_xlfn.XLOOKUP(Table4[[#This Row],[Malın kodu]],Table1[[#All],[Malın kodu]],Table1[[#All],[Malın adı]],"xəta",0)</f>
        <v>Suqarışdırıcı (smesitel) / aftaxa Z62B</v>
      </c>
      <c r="E1025" s="8" t="s">
        <v>2378</v>
      </c>
      <c r="F1025" s="4" t="s">
        <v>920</v>
      </c>
      <c r="G1025" s="4">
        <v>1</v>
      </c>
      <c r="H1025" s="4">
        <v>15</v>
      </c>
      <c r="I1025" s="4">
        <f>Table4[[#This Row],[Malın miqdarı]]*Table4[[#This Row],[Vahidin qiyməti]]</f>
        <v>15</v>
      </c>
      <c r="J1025" s="4" t="s">
        <v>1905</v>
      </c>
      <c r="K1025" s="4" t="s">
        <v>1992</v>
      </c>
      <c r="L1025" s="4" t="str">
        <f>_xlfn.XLOOKUP(Table4[[#This Row],[Kontragentin adı]],Table2[Kontragentin adı],Table2[Müqavilə nömrəsi],"Xəta",0)</f>
        <v>№ 24-060</v>
      </c>
      <c r="M1025" s="4" t="s">
        <v>2368</v>
      </c>
    </row>
    <row r="1026" spans="2:13" x14ac:dyDescent="0.3">
      <c r="B1026" s="4">
        <f t="shared" si="15"/>
        <v>1023</v>
      </c>
      <c r="C1026" s="5">
        <v>46183</v>
      </c>
      <c r="D1026" s="10" t="str" cm="1">
        <f t="array" ref="D1026">_xlfn.XLOOKUP(Table4[[#This Row],[Malın kodu]],Table1[[#All],[Malın kodu]],Table1[[#All],[Malın adı]],"xəta",0)</f>
        <v>EL-Bİ Üst 1R</v>
      </c>
      <c r="E1026" s="8" t="s">
        <v>2379</v>
      </c>
      <c r="F1026" s="4" t="s">
        <v>920</v>
      </c>
      <c r="G1026" s="4">
        <v>1</v>
      </c>
      <c r="H1026" s="4">
        <v>1</v>
      </c>
      <c r="I1026" s="4">
        <f>Table4[[#This Row],[Malın miqdarı]]*Table4[[#This Row],[Vahidin qiyməti]]</f>
        <v>1</v>
      </c>
      <c r="J1026" s="4" t="s">
        <v>1905</v>
      </c>
      <c r="K1026" s="4" t="s">
        <v>1992</v>
      </c>
      <c r="L1026" s="4" t="str">
        <f>_xlfn.XLOOKUP(Table4[[#This Row],[Kontragentin adı]],Table2[Kontragentin adı],Table2[Müqavilə nömrəsi],"Xəta",0)</f>
        <v>№ 24-060</v>
      </c>
      <c r="M1026" s="4" t="s">
        <v>2368</v>
      </c>
    </row>
    <row r="1027" spans="2:13" x14ac:dyDescent="0.3">
      <c r="B1027" s="4">
        <f t="shared" si="15"/>
        <v>1024</v>
      </c>
      <c r="C1027" s="5">
        <v>46183</v>
      </c>
      <c r="D1027" s="10" t="str" cm="1">
        <f t="array" ref="D1027">_xlfn.XLOOKUP(Table4[[#This Row],[Malın kodu]],Table1[[#All],[Malın kodu]],Table1[[#All],[Malın adı]],"xəta",0)</f>
        <v>Lampa / spot tənzimlənən / 3D 24 Vt / ağ / kvadrat</v>
      </c>
      <c r="E1027" s="8" t="s">
        <v>2380</v>
      </c>
      <c r="F1027" s="4" t="s">
        <v>920</v>
      </c>
      <c r="G1027" s="4">
        <v>8</v>
      </c>
      <c r="H1027" s="4">
        <v>3</v>
      </c>
      <c r="I1027" s="4">
        <f>Table4[[#This Row],[Malın miqdarı]]*Table4[[#This Row],[Vahidin qiyməti]]</f>
        <v>24</v>
      </c>
      <c r="J1027" s="4" t="s">
        <v>1905</v>
      </c>
      <c r="K1027" s="4" t="s">
        <v>1992</v>
      </c>
      <c r="L1027" s="4" t="str">
        <f>_xlfn.XLOOKUP(Table4[[#This Row],[Kontragentin adı]],Table2[Kontragentin adı],Table2[Müqavilə nömrəsi],"Xəta",0)</f>
        <v>№ 24-060</v>
      </c>
      <c r="M1027" s="4" t="s">
        <v>2368</v>
      </c>
    </row>
    <row r="1028" spans="2:13" x14ac:dyDescent="0.3">
      <c r="B1028" s="4">
        <f t="shared" ref="B1028:B1091" si="16">ROW()-3</f>
        <v>1025</v>
      </c>
      <c r="C1028" s="5">
        <v>46183</v>
      </c>
      <c r="D1028" s="10" t="str" cm="1">
        <f t="array" ref="D1028">_xlfn.XLOOKUP(Table4[[#This Row],[Malın kodu]],Table1[[#All],[Malın kodu]],Table1[[#All],[Malın adı]],"xəta",0)</f>
        <v>Əl-üz yüyan (Umıvalnik) / orta</v>
      </c>
      <c r="E1028" s="8" t="s">
        <v>2381</v>
      </c>
      <c r="F1028" s="4" t="s">
        <v>920</v>
      </c>
      <c r="G1028" s="4">
        <v>1</v>
      </c>
      <c r="H1028" s="4">
        <v>6</v>
      </c>
      <c r="I1028" s="4">
        <f>Table4[[#This Row],[Malın miqdarı]]*Table4[[#This Row],[Vahidin qiyməti]]</f>
        <v>6</v>
      </c>
      <c r="J1028" s="4" t="s">
        <v>1905</v>
      </c>
      <c r="K1028" s="4" t="s">
        <v>1992</v>
      </c>
      <c r="L1028" s="4" t="str">
        <f>_xlfn.XLOOKUP(Table4[[#This Row],[Kontragentin adı]],Table2[Kontragentin adı],Table2[Müqavilə nömrəsi],"Xəta",0)</f>
        <v>№ 24-060</v>
      </c>
      <c r="M1028" s="4" t="s">
        <v>2368</v>
      </c>
    </row>
    <row r="1029" spans="2:13" x14ac:dyDescent="0.3">
      <c r="B1029" s="4">
        <f t="shared" si="16"/>
        <v>1026</v>
      </c>
      <c r="C1029" s="5">
        <v>46183</v>
      </c>
      <c r="D1029" s="10" t="str" cm="1">
        <f t="array" ref="D1029">_xlfn.XLOOKUP(Table4[[#This Row],[Malın kodu]],Table1[[#All],[Malın kodu]],Table1[[#All],[Malın adı]],"xəta",0)</f>
        <v>Elektrik çəngəli (vilka) / qulplu 258</v>
      </c>
      <c r="E1029" s="8" t="s">
        <v>2382</v>
      </c>
      <c r="F1029" s="4" t="s">
        <v>920</v>
      </c>
      <c r="G1029" s="4">
        <v>5</v>
      </c>
      <c r="H1029" s="4">
        <v>1</v>
      </c>
      <c r="I1029" s="4">
        <f>Table4[[#This Row],[Malın miqdarı]]*Table4[[#This Row],[Vahidin qiyməti]]</f>
        <v>5</v>
      </c>
      <c r="J1029" s="4" t="s">
        <v>1905</v>
      </c>
      <c r="K1029" s="4" t="s">
        <v>1992</v>
      </c>
      <c r="L1029" s="4" t="str">
        <f>_xlfn.XLOOKUP(Table4[[#This Row],[Kontragentin adı]],Table2[Kontragentin adı],Table2[Müqavilə nömrəsi],"Xəta",0)</f>
        <v>№ 24-060</v>
      </c>
      <c r="M1029" s="4" t="s">
        <v>2368</v>
      </c>
    </row>
    <row r="1030" spans="2:13" x14ac:dyDescent="0.3">
      <c r="B1030" s="4">
        <f t="shared" si="16"/>
        <v>1027</v>
      </c>
      <c r="C1030" s="5">
        <v>46183</v>
      </c>
      <c r="D1030" s="10" t="str" cm="1">
        <f t="array" ref="D1030">_xlfn.XLOOKUP(Table4[[#This Row],[Malın kodu]],Table1[[#All],[Malın kodu]],Table1[[#All],[Malın adı]],"xəta",0)</f>
        <v>Elektrik çəngəli (vilka) / qulplu 258</v>
      </c>
      <c r="E1030" s="8" t="s">
        <v>2382</v>
      </c>
      <c r="F1030" s="4" t="s">
        <v>920</v>
      </c>
      <c r="G1030" s="4">
        <v>5</v>
      </c>
      <c r="H1030" s="4">
        <v>1</v>
      </c>
      <c r="I1030" s="4">
        <f>Table4[[#This Row],[Malın miqdarı]]*Table4[[#This Row],[Vahidin qiyməti]]</f>
        <v>5</v>
      </c>
      <c r="J1030" s="4" t="s">
        <v>1905</v>
      </c>
      <c r="K1030" s="4" t="s">
        <v>1992</v>
      </c>
      <c r="L1030" s="4" t="str">
        <f>_xlfn.XLOOKUP(Table4[[#This Row],[Kontragentin adı]],Table2[Kontragentin adı],Table2[Müqavilə nömrəsi],"Xəta",0)</f>
        <v>№ 24-060</v>
      </c>
      <c r="M1030" s="4" t="s">
        <v>2367</v>
      </c>
    </row>
    <row r="1031" spans="2:13" x14ac:dyDescent="0.3">
      <c r="B1031" s="4">
        <f t="shared" si="16"/>
        <v>1028</v>
      </c>
      <c r="C1031" s="5">
        <v>46183</v>
      </c>
      <c r="D1031" s="10" t="str" cm="1">
        <f t="array" ref="D1031">_xlfn.XLOOKUP(Table4[[#This Row],[Malın kodu]],Table1[[#All],[Malın kodu]],Table1[[#All],[Malın adı]],"xəta",0)</f>
        <v>İzolyasiya lenti / 25m / qara</v>
      </c>
      <c r="E1031" s="8" t="s">
        <v>2352</v>
      </c>
      <c r="F1031" s="4" t="s">
        <v>920</v>
      </c>
      <c r="G1031" s="4">
        <v>10</v>
      </c>
      <c r="H1031" s="4">
        <v>0.7</v>
      </c>
      <c r="I1031" s="4">
        <f>Table4[[#This Row],[Malın miqdarı]]*Table4[[#This Row],[Vahidin qiyməti]]</f>
        <v>7</v>
      </c>
      <c r="J1031" s="4" t="s">
        <v>1905</v>
      </c>
      <c r="K1031" s="4" t="s">
        <v>1992</v>
      </c>
      <c r="L1031" s="4" t="str">
        <f>_xlfn.XLOOKUP(Table4[[#This Row],[Kontragentin adı]],Table2[Kontragentin adı],Table2[Müqavilə nömrəsi],"Xəta",0)</f>
        <v>№ 24-060</v>
      </c>
      <c r="M1031" s="4" t="s">
        <v>2368</v>
      </c>
    </row>
    <row r="1032" spans="2:13" x14ac:dyDescent="0.3">
      <c r="B1032" s="4">
        <f t="shared" si="16"/>
        <v>1029</v>
      </c>
      <c r="C1032" s="5">
        <v>46184</v>
      </c>
      <c r="D1032" s="10" t="str" cm="1">
        <f t="array" ref="D1032">_xlfn.XLOOKUP(Table4[[#This Row],[Malın kodu]],Table1[[#All],[Malın kodu]],Table1[[#All],[Malın adı]],"xəta",0)</f>
        <v>Kağız / A4 / 80qr / 500 vərəq / "Assis"</v>
      </c>
      <c r="E1032" s="8" t="s">
        <v>2095</v>
      </c>
      <c r="F1032" s="4" t="s">
        <v>920</v>
      </c>
      <c r="G1032" s="4">
        <v>2</v>
      </c>
      <c r="H1032" s="4">
        <v>5.9</v>
      </c>
      <c r="I1032" s="4">
        <f>Table4[[#This Row],[Malın miqdarı]]*Table4[[#This Row],[Vahidin qiyməti]]</f>
        <v>11.8</v>
      </c>
      <c r="J1032" s="4" t="s">
        <v>1914</v>
      </c>
      <c r="K1032" s="4" t="s">
        <v>2019</v>
      </c>
      <c r="L1032" s="4">
        <f>_xlfn.XLOOKUP(Table4[[#This Row],[Kontragentin adı]],Table2[Kontragentin adı],Table2[Müqavilə nömrəsi],"Xəta",0)</f>
        <v>0</v>
      </c>
      <c r="M1032" s="4">
        <f>_xlfn.XLOOKUP(Table4[[#This Row],[Kontragentin adı]],Table2[Kontragentin adı],Table2[Müqavilə nömrəsi],"Xəta",0)</f>
        <v>0</v>
      </c>
    </row>
    <row r="1033" spans="2:13" x14ac:dyDescent="0.3">
      <c r="B1033" s="4">
        <f t="shared" si="16"/>
        <v>1030</v>
      </c>
      <c r="C1033" s="5">
        <v>46185</v>
      </c>
      <c r="D1033" s="10" t="str" cm="1">
        <f t="array" ref="D1033">_xlfn.XLOOKUP(Table4[[#This Row],[Malın kodu]],Table1[[#All],[Malın kodu]],Table1[[#All],[Malın adı]],"xəta",0)</f>
        <v>Sim / stepler üçün / 58mm / 24/6 / (1000 əd)</v>
      </c>
      <c r="E1033" s="8" t="s">
        <v>2096</v>
      </c>
      <c r="F1033" s="4" t="s">
        <v>920</v>
      </c>
      <c r="G1033" s="4">
        <v>1</v>
      </c>
      <c r="H1033" s="4">
        <v>0.5</v>
      </c>
      <c r="I1033" s="4">
        <f>Table4[[#This Row],[Malın miqdarı]]*Table4[[#This Row],[Vahidin qiyməti]]</f>
        <v>0.5</v>
      </c>
      <c r="J1033" s="4" t="s">
        <v>1914</v>
      </c>
      <c r="K1033" s="4" t="s">
        <v>2019</v>
      </c>
      <c r="L1033" s="4">
        <f>_xlfn.XLOOKUP(Table4[[#This Row],[Kontragentin adı]],Table2[Kontragentin adı],Table2[Müqavilə nömrəsi],"Xəta",0)</f>
        <v>0</v>
      </c>
      <c r="M1033" s="4">
        <f>_xlfn.XLOOKUP(Table4[[#This Row],[Kontragentin adı]],Table2[Kontragentin adı],Table2[Müqavilə nömrəsi],"Xəta",0)</f>
        <v>0</v>
      </c>
    </row>
    <row r="1034" spans="2:13" x14ac:dyDescent="0.3">
      <c r="B1034" s="4">
        <f t="shared" si="16"/>
        <v>1031</v>
      </c>
      <c r="C1034" s="5">
        <v>46186</v>
      </c>
      <c r="D1034" s="10" t="str" cm="1">
        <f t="array" ref="D1034">_xlfn.XLOOKUP(Table4[[#This Row],[Malın kodu]],Table1[[#All],[Malın kodu]],Table1[[#All],[Malın adı]],"xəta",0)</f>
        <v>Çay / 450qr / "Azərçay"</v>
      </c>
      <c r="E1034" s="8" t="s">
        <v>2128</v>
      </c>
      <c r="F1034" s="4" t="s">
        <v>920</v>
      </c>
      <c r="G1034" s="4">
        <v>1</v>
      </c>
      <c r="H1034" s="4">
        <v>10.99</v>
      </c>
      <c r="I1034" s="4">
        <f>Table4[[#This Row],[Malın miqdarı]]*Table4[[#This Row],[Vahidin qiyməti]]</f>
        <v>10.99</v>
      </c>
      <c r="J1034" s="4" t="s">
        <v>1914</v>
      </c>
      <c r="K1034" s="4" t="s">
        <v>2019</v>
      </c>
      <c r="L1034" s="4">
        <f>_xlfn.XLOOKUP(Table4[[#This Row],[Kontragentin adı]],Table2[Kontragentin adı],Table2[Müqavilə nömrəsi],"Xəta",0)</f>
        <v>0</v>
      </c>
      <c r="M1034" s="4" t="s">
        <v>2383</v>
      </c>
    </row>
    <row r="1035" spans="2:13" x14ac:dyDescent="0.3">
      <c r="B1035" s="4">
        <f t="shared" si="16"/>
        <v>1032</v>
      </c>
      <c r="C1035" s="5">
        <v>46186</v>
      </c>
      <c r="D1035" s="10" t="str" cm="1">
        <f t="array" ref="D1035">_xlfn.XLOOKUP(Table4[[#This Row],[Malın kodu]],Table1[[#All],[Malın kodu]],Table1[[#All],[Malın adı]],"xəta",0)</f>
        <v>Qənd / "Azərşəkər"</v>
      </c>
      <c r="E1035" s="8" t="s">
        <v>2129</v>
      </c>
      <c r="F1035" s="4" t="s">
        <v>920</v>
      </c>
      <c r="G1035" s="4">
        <v>1</v>
      </c>
      <c r="H1035" s="4">
        <v>11.76</v>
      </c>
      <c r="I1035" s="4">
        <f>Table4[[#This Row],[Malın miqdarı]]*Table4[[#This Row],[Vahidin qiyməti]]</f>
        <v>11.76</v>
      </c>
      <c r="J1035" s="4" t="s">
        <v>1914</v>
      </c>
      <c r="K1035" s="4" t="s">
        <v>2019</v>
      </c>
      <c r="L1035" s="4">
        <f>_xlfn.XLOOKUP(Table4[[#This Row],[Kontragentin adı]],Table2[Kontragentin adı],Table2[Müqavilə nömrəsi],"Xəta",0)</f>
        <v>0</v>
      </c>
      <c r="M1035" s="4" t="s">
        <v>2383</v>
      </c>
    </row>
    <row r="1036" spans="2:13" x14ac:dyDescent="0.3">
      <c r="B1036" s="4">
        <f t="shared" si="16"/>
        <v>1033</v>
      </c>
      <c r="C1036" s="5">
        <v>46186</v>
      </c>
      <c r="D1036" s="10" t="str" cm="1">
        <f t="array" ref="D1036">_xlfn.XLOOKUP(Table4[[#This Row],[Malın kodu]],Table1[[#All],[Malın kodu]],Table1[[#All],[Malın adı]],"xəta",0)</f>
        <v>Qələm / qara / "Assis"</v>
      </c>
      <c r="E1036" s="8" t="s">
        <v>2130</v>
      </c>
      <c r="F1036" s="4" t="s">
        <v>920</v>
      </c>
      <c r="G1036" s="4">
        <v>2</v>
      </c>
      <c r="H1036" s="4">
        <v>0.14000000000000001</v>
      </c>
      <c r="I1036" s="4">
        <f>Table4[[#This Row],[Malın miqdarı]]*Table4[[#This Row],[Vahidin qiyməti]]</f>
        <v>0.28000000000000003</v>
      </c>
      <c r="J1036" s="4" t="s">
        <v>1914</v>
      </c>
      <c r="K1036" s="4" t="s">
        <v>2019</v>
      </c>
      <c r="L1036" s="4">
        <f>_xlfn.XLOOKUP(Table4[[#This Row],[Kontragentin adı]],Table2[Kontragentin adı],Table2[Müqavilə nömrəsi],"Xəta",0)</f>
        <v>0</v>
      </c>
      <c r="M1036" s="4" t="s">
        <v>2383</v>
      </c>
    </row>
    <row r="1037" spans="2:13" x14ac:dyDescent="0.3">
      <c r="B1037" s="4">
        <f t="shared" si="16"/>
        <v>1034</v>
      </c>
      <c r="C1037" s="5">
        <v>46186</v>
      </c>
      <c r="D1037" s="10" t="str" cm="1">
        <f t="array" ref="D1037">_xlfn.XLOOKUP(Table4[[#This Row],[Malın kodu]],Table1[[#All],[Malın kodu]],Table1[[#All],[Malın adı]],"xəta",0)</f>
        <v>Qələm / qırmızı / "Assis"</v>
      </c>
      <c r="E1037" s="8" t="s">
        <v>2131</v>
      </c>
      <c r="F1037" s="4" t="s">
        <v>920</v>
      </c>
      <c r="G1037" s="4">
        <v>1</v>
      </c>
      <c r="H1037" s="4">
        <v>0.14000000000000001</v>
      </c>
      <c r="I1037" s="4">
        <f>Table4[[#This Row],[Malın miqdarı]]*Table4[[#This Row],[Vahidin qiyməti]]</f>
        <v>0.14000000000000001</v>
      </c>
      <c r="J1037" s="4" t="s">
        <v>1914</v>
      </c>
      <c r="K1037" s="4" t="s">
        <v>2019</v>
      </c>
      <c r="L1037" s="4">
        <f>_xlfn.XLOOKUP(Table4[[#This Row],[Kontragentin adı]],Table2[Kontragentin adı],Table2[Müqavilə nömrəsi],"Xəta",0)</f>
        <v>0</v>
      </c>
      <c r="M1037" s="4" t="s">
        <v>2383</v>
      </c>
    </row>
    <row r="1038" spans="2:13" x14ac:dyDescent="0.3">
      <c r="B1038" s="4">
        <f t="shared" si="16"/>
        <v>1035</v>
      </c>
      <c r="C1038" s="5">
        <v>46186</v>
      </c>
      <c r="D1038" s="10" t="str" cm="1">
        <f t="array" ref="D1038">_xlfn.XLOOKUP(Table4[[#This Row],[Malın kodu]],Table1[[#All],[Malın kodu]],Table1[[#All],[Malın adı]],"xəta",0)</f>
        <v>Qələm / göy / "Assis"</v>
      </c>
      <c r="E1038" s="8" t="s">
        <v>2132</v>
      </c>
      <c r="F1038" s="4" t="s">
        <v>920</v>
      </c>
      <c r="G1038" s="4">
        <v>6</v>
      </c>
      <c r="H1038" s="4">
        <v>0.17</v>
      </c>
      <c r="I1038" s="4">
        <f>Table4[[#This Row],[Malın miqdarı]]*Table4[[#This Row],[Vahidin qiyməti]]</f>
        <v>1.02</v>
      </c>
      <c r="J1038" s="4" t="s">
        <v>1914</v>
      </c>
      <c r="K1038" s="4" t="s">
        <v>2019</v>
      </c>
      <c r="L1038" s="4">
        <f>_xlfn.XLOOKUP(Table4[[#This Row],[Kontragentin adı]],Table2[Kontragentin adı],Table2[Müqavilə nömrəsi],"Xəta",0)</f>
        <v>0</v>
      </c>
      <c r="M1038" s="4" t="s">
        <v>2383</v>
      </c>
    </row>
    <row r="1039" spans="2:13" x14ac:dyDescent="0.3">
      <c r="B1039" s="4">
        <f t="shared" si="16"/>
        <v>1036</v>
      </c>
      <c r="C1039" s="5">
        <v>46186</v>
      </c>
      <c r="D1039" s="10" t="str" cm="1">
        <f t="array" ref="D1039">_xlfn.XLOOKUP(Table4[[#This Row],[Malın kodu]],Table1[[#All],[Malın kodu]],Table1[[#All],[Malın adı]],"xəta",0)</f>
        <v>Qələm / qırmızı / i-9095"Assis"</v>
      </c>
      <c r="E1039" s="8" t="s">
        <v>2133</v>
      </c>
      <c r="F1039" s="4" t="s">
        <v>920</v>
      </c>
      <c r="G1039" s="4">
        <v>1</v>
      </c>
      <c r="H1039" s="4">
        <v>0.21</v>
      </c>
      <c r="I1039" s="4">
        <f>Table4[[#This Row],[Malın miqdarı]]*Table4[[#This Row],[Vahidin qiyməti]]</f>
        <v>0.21</v>
      </c>
      <c r="J1039" s="4" t="s">
        <v>1914</v>
      </c>
      <c r="K1039" s="4" t="s">
        <v>2019</v>
      </c>
      <c r="L1039" s="4">
        <f>_xlfn.XLOOKUP(Table4[[#This Row],[Kontragentin adı]],Table2[Kontragentin adı],Table2[Müqavilə nömrəsi],"Xəta",0)</f>
        <v>0</v>
      </c>
      <c r="M1039" s="4" t="s">
        <v>2383</v>
      </c>
    </row>
    <row r="1040" spans="2:13" x14ac:dyDescent="0.3">
      <c r="B1040" s="4">
        <f t="shared" si="16"/>
        <v>1037</v>
      </c>
      <c r="C1040" s="5">
        <v>46186</v>
      </c>
      <c r="D1040" s="10" t="str" cm="1">
        <f t="array" ref="D1040">_xlfn.XLOOKUP(Table4[[#This Row],[Malın kodu]],Table1[[#All],[Malın kodu]],Table1[[#All],[Malın adı]],"xəta",0)</f>
        <v>Batareya / AAA4 / "Varta" / Superlife</v>
      </c>
      <c r="E1040" s="8" t="s">
        <v>2134</v>
      </c>
      <c r="F1040" s="4" t="s">
        <v>920</v>
      </c>
      <c r="G1040" s="4">
        <v>1</v>
      </c>
      <c r="H1040" s="4">
        <v>2.59</v>
      </c>
      <c r="I1040" s="4">
        <f>Table4[[#This Row],[Malın miqdarı]]*Table4[[#This Row],[Vahidin qiyməti]]</f>
        <v>2.59</v>
      </c>
      <c r="J1040" s="4" t="s">
        <v>1914</v>
      </c>
      <c r="K1040" s="4" t="s">
        <v>2019</v>
      </c>
      <c r="L1040" s="4">
        <f>_xlfn.XLOOKUP(Table4[[#This Row],[Kontragentin adı]],Table2[Kontragentin adı],Table2[Müqavilə nömrəsi],"Xəta",0)</f>
        <v>0</v>
      </c>
      <c r="M1040" s="4" t="s">
        <v>2383</v>
      </c>
    </row>
    <row r="1041" spans="2:13" x14ac:dyDescent="0.3">
      <c r="B1041" s="4">
        <f t="shared" si="16"/>
        <v>1038</v>
      </c>
      <c r="C1041" s="5">
        <v>46186</v>
      </c>
      <c r="D1041" s="10" t="str" cm="1">
        <f t="array" ref="D1041">_xlfn.XLOOKUP(Table4[[#This Row],[Malın kodu]],Table1[[#All],[Malın kodu]],Table1[[#All],[Malın adı]],"xəta",0)</f>
        <v>Marker / mavi / "Oyal"</v>
      </c>
      <c r="E1041" s="8" t="s">
        <v>2135</v>
      </c>
      <c r="F1041" s="4" t="s">
        <v>920</v>
      </c>
      <c r="G1041" s="4">
        <v>10</v>
      </c>
      <c r="H1041" s="4">
        <v>0.54</v>
      </c>
      <c r="I1041" s="4">
        <f>Table4[[#This Row],[Malın miqdarı]]*Table4[[#This Row],[Vahidin qiyməti]]</f>
        <v>5.4</v>
      </c>
      <c r="J1041" s="4" t="s">
        <v>1914</v>
      </c>
      <c r="K1041" s="4" t="s">
        <v>2019</v>
      </c>
      <c r="L1041" s="4">
        <f>_xlfn.XLOOKUP(Table4[[#This Row],[Kontragentin adı]],Table2[Kontragentin adı],Table2[Müqavilə nömrəsi],"Xəta",0)</f>
        <v>0</v>
      </c>
      <c r="M1041" s="4" t="s">
        <v>2383</v>
      </c>
    </row>
    <row r="1042" spans="2:13" x14ac:dyDescent="0.3">
      <c r="B1042" s="4">
        <f t="shared" si="16"/>
        <v>1039</v>
      </c>
      <c r="C1042" s="5">
        <v>46186</v>
      </c>
      <c r="D1042" s="10" t="str" cm="1">
        <f t="array" ref="D1042">_xlfn.XLOOKUP(Table4[[#This Row],[Malın kodu]],Table1[[#All],[Malın kodu]],Table1[[#All],[Malın adı]],"xəta",0)</f>
        <v>Paket / polietilen / extra</v>
      </c>
      <c r="E1042" s="8" t="s">
        <v>2136</v>
      </c>
      <c r="F1042" s="4" t="s">
        <v>920</v>
      </c>
      <c r="G1042" s="4">
        <v>1</v>
      </c>
      <c r="H1042" s="4">
        <v>0.15</v>
      </c>
      <c r="I1042" s="4">
        <f>Table4[[#This Row],[Malın miqdarı]]*Table4[[#This Row],[Vahidin qiyməti]]</f>
        <v>0.15</v>
      </c>
      <c r="J1042" s="4" t="s">
        <v>1914</v>
      </c>
      <c r="K1042" s="4" t="s">
        <v>2019</v>
      </c>
      <c r="L1042" s="4">
        <f>_xlfn.XLOOKUP(Table4[[#This Row],[Kontragentin adı]],Table2[Kontragentin adı],Table2[Müqavilə nömrəsi],"Xəta",0)</f>
        <v>0</v>
      </c>
      <c r="M1042" s="4" t="s">
        <v>2383</v>
      </c>
    </row>
    <row r="1043" spans="2:13" x14ac:dyDescent="0.3">
      <c r="B1043" s="4">
        <f t="shared" si="16"/>
        <v>1040</v>
      </c>
      <c r="C1043" s="5">
        <v>46186</v>
      </c>
      <c r="D1043" s="10" t="str" cm="1">
        <f t="array" ref="D1043">_xlfn.XLOOKUP(Table4[[#This Row],[Malın kodu]],Table1[[#All],[Malın kodu]],Table1[[#All],[Malın adı]],"xəta",0)</f>
        <v>Təmizlik bezi / 20 pic. / "Merry"</v>
      </c>
      <c r="E1043" s="8" t="s">
        <v>2137</v>
      </c>
      <c r="F1043" s="4" t="s">
        <v>920</v>
      </c>
      <c r="G1043" s="4">
        <v>1</v>
      </c>
      <c r="H1043" s="4">
        <v>3.53</v>
      </c>
      <c r="I1043" s="4">
        <f>Table4[[#This Row],[Malın miqdarı]]*Table4[[#This Row],[Vahidin qiyməti]]</f>
        <v>3.53</v>
      </c>
      <c r="J1043" s="4" t="s">
        <v>1914</v>
      </c>
      <c r="K1043" s="4" t="s">
        <v>2019</v>
      </c>
      <c r="L1043" s="4">
        <f>_xlfn.XLOOKUP(Table4[[#This Row],[Kontragentin adı]],Table2[Kontragentin adı],Table2[Müqavilə nömrəsi],"Xəta",0)</f>
        <v>0</v>
      </c>
      <c r="M1043" s="4" t="s">
        <v>2383</v>
      </c>
    </row>
    <row r="1044" spans="2:13" x14ac:dyDescent="0.3">
      <c r="B1044" s="4">
        <f t="shared" si="16"/>
        <v>1041</v>
      </c>
      <c r="C1044" s="5">
        <v>46186</v>
      </c>
      <c r="D1044" s="10" t="str" cm="1">
        <f t="array" ref="D1044">_xlfn.XLOOKUP(Table4[[#This Row],[Malın kodu]],Table1[[#All],[Malın kodu]],Table1[[#All],[Malın adı]],"xəta",0)</f>
        <v>Zərf / 110x220mm / "İnci"</v>
      </c>
      <c r="E1044" s="8" t="s">
        <v>2138</v>
      </c>
      <c r="F1044" s="4" t="s">
        <v>920</v>
      </c>
      <c r="G1044" s="4">
        <v>5</v>
      </c>
      <c r="H1044" s="4">
        <v>0.09</v>
      </c>
      <c r="I1044" s="4">
        <f>Table4[[#This Row],[Malın miqdarı]]*Table4[[#This Row],[Vahidin qiyməti]]</f>
        <v>0.44999999999999996</v>
      </c>
      <c r="J1044" s="4" t="s">
        <v>1914</v>
      </c>
      <c r="K1044" s="4" t="s">
        <v>2019</v>
      </c>
      <c r="L1044" s="4">
        <f>_xlfn.XLOOKUP(Table4[[#This Row],[Kontragentin adı]],Table2[Kontragentin adı],Table2[Müqavilə nömrəsi],"Xəta",0)</f>
        <v>0</v>
      </c>
      <c r="M1044" s="4" t="s">
        <v>2383</v>
      </c>
    </row>
    <row r="1045" spans="2:13" x14ac:dyDescent="0.3">
      <c r="B1045" s="4">
        <f t="shared" si="16"/>
        <v>1042</v>
      </c>
      <c r="C1045" s="5">
        <v>46186</v>
      </c>
      <c r="D1045" s="10" t="str" cm="1">
        <f t="array" ref="D1045">_xlfn.XLOOKUP(Table4[[#This Row],[Malın kodu]],Table1[[#All],[Malın kodu]],Table1[[#All],[Malın adı]],"xəta",0)</f>
        <v>Paket / polietilen</v>
      </c>
      <c r="E1045" s="8" t="s">
        <v>2139</v>
      </c>
      <c r="F1045" s="4" t="s">
        <v>920</v>
      </c>
      <c r="G1045" s="4">
        <v>12</v>
      </c>
      <c r="H1045" s="4">
        <v>7.0000000000000007E-2</v>
      </c>
      <c r="I1045" s="4">
        <f>Table4[[#This Row],[Malın miqdarı]]*Table4[[#This Row],[Vahidin qiyməti]]</f>
        <v>0.84000000000000008</v>
      </c>
      <c r="J1045" s="4" t="s">
        <v>1914</v>
      </c>
      <c r="K1045" s="4" t="s">
        <v>2019</v>
      </c>
      <c r="L1045" s="4">
        <f>_xlfn.XLOOKUP(Table4[[#This Row],[Kontragentin adı]],Table2[Kontragentin adı],Table2[Müqavilə nömrəsi],"Xəta",0)</f>
        <v>0</v>
      </c>
      <c r="M1045" s="4" t="s">
        <v>2383</v>
      </c>
    </row>
    <row r="1046" spans="2:13" x14ac:dyDescent="0.3">
      <c r="B1046" s="4">
        <f t="shared" si="16"/>
        <v>1043</v>
      </c>
      <c r="C1046" s="5">
        <v>46187</v>
      </c>
      <c r="D1046" s="10" t="str" cm="1">
        <f t="array" ref="D1046">_xlfn.XLOOKUP(Table4[[#This Row],[Malın kodu]],Table1[[#All],[Malın kodu]],Table1[[#All],[Malın adı]],"xəta",0)</f>
        <v>Jalyuz / parça</v>
      </c>
      <c r="E1046" s="8" t="s">
        <v>2099</v>
      </c>
      <c r="F1046" s="4" t="s">
        <v>2100</v>
      </c>
      <c r="G1046" s="4">
        <v>1.5</v>
      </c>
      <c r="H1046" s="4">
        <v>20</v>
      </c>
      <c r="I1046" s="4">
        <f>Table4[[#This Row],[Malın miqdarı]]*Table4[[#This Row],[Vahidin qiyməti]]</f>
        <v>30</v>
      </c>
      <c r="J1046" s="4" t="s">
        <v>1914</v>
      </c>
      <c r="K1046" s="4" t="s">
        <v>2019</v>
      </c>
      <c r="L1046" s="4">
        <f>_xlfn.XLOOKUP(Table4[[#This Row],[Kontragentin adı]],Table2[Kontragentin adı],Table2[Müqavilə nömrəsi],"Xəta",0)</f>
        <v>0</v>
      </c>
      <c r="M1046" s="4" t="s">
        <v>2384</v>
      </c>
    </row>
    <row r="1047" spans="2:13" x14ac:dyDescent="0.3">
      <c r="B1047" s="4">
        <f t="shared" si="16"/>
        <v>1044</v>
      </c>
      <c r="C1047" s="5">
        <v>46188</v>
      </c>
      <c r="D1047" s="10" t="str" cm="1">
        <f t="array" ref="D1047">_xlfn.XLOOKUP(Table4[[#This Row],[Malın kodu]],Table1[[#All],[Malın kodu]],Table1[[#All],[Malın adı]],"xəta",0)</f>
        <v>Döşək</v>
      </c>
      <c r="E1047" s="8" t="s">
        <v>1843</v>
      </c>
      <c r="F1047" s="4" t="s">
        <v>920</v>
      </c>
      <c r="G1047" s="4">
        <v>4</v>
      </c>
      <c r="H1047" s="4">
        <v>40</v>
      </c>
      <c r="I1047" s="4">
        <f>Table4[[#This Row],[Malın miqdarı]]*Table4[[#This Row],[Vahidin qiyməti]]</f>
        <v>160</v>
      </c>
      <c r="J1047" s="4" t="s">
        <v>1914</v>
      </c>
      <c r="K1047" s="4" t="s">
        <v>2019</v>
      </c>
      <c r="L1047" s="4">
        <f>_xlfn.XLOOKUP(Table4[[#This Row],[Kontragentin adı]],Table2[Kontragentin adı],Table2[Müqavilə nömrəsi],"Xəta",0)</f>
        <v>0</v>
      </c>
      <c r="M1047" s="4">
        <f>_xlfn.XLOOKUP(Table4[[#This Row],[Kontragentin adı]],Table2[Kontragentin adı],Table2[Müqavilə nömrəsi],"Xəta",0)</f>
        <v>0</v>
      </c>
    </row>
    <row r="1048" spans="2:13" x14ac:dyDescent="0.3">
      <c r="B1048" s="4">
        <f t="shared" si="16"/>
        <v>1045</v>
      </c>
      <c r="C1048" s="5">
        <v>46188</v>
      </c>
      <c r="D1048" s="10" t="str" cm="1">
        <f t="array" ref="D1048">_xlfn.XLOOKUP(Table4[[#This Row],[Malın kodu]],Table1[[#All],[Malın kodu]],Table1[[#All],[Malın adı]],"xəta",0)</f>
        <v>Bolt-qayka / M 20 / L 70 mm</v>
      </c>
      <c r="E1048" s="8" t="s">
        <v>2090</v>
      </c>
      <c r="F1048" s="4" t="s">
        <v>927</v>
      </c>
      <c r="G1048" s="4">
        <v>3.5</v>
      </c>
      <c r="H1048" s="4">
        <v>5</v>
      </c>
      <c r="I1048" s="4">
        <f>Table4[[#This Row],[Malın miqdarı]]*Table4[[#This Row],[Vahidin qiyməti]]</f>
        <v>17.5</v>
      </c>
      <c r="J1048" s="4" t="s">
        <v>1914</v>
      </c>
      <c r="K1048" s="4" t="s">
        <v>2019</v>
      </c>
      <c r="L1048" s="4">
        <f>_xlfn.XLOOKUP(Table4[[#This Row],[Kontragentin adı]],Table2[Kontragentin adı],Table2[Müqavilə nömrəsi],"Xəta",0)</f>
        <v>0</v>
      </c>
      <c r="M1048" s="4" t="s">
        <v>2385</v>
      </c>
    </row>
    <row r="1049" spans="2:13" x14ac:dyDescent="0.3">
      <c r="B1049" s="4">
        <f t="shared" si="16"/>
        <v>1046</v>
      </c>
      <c r="C1049" s="5">
        <v>46188</v>
      </c>
      <c r="D1049" s="10" t="str" cm="1">
        <f t="array" ref="D1049">_xlfn.XLOOKUP(Table4[[#This Row],[Malın kodu]],Table1[[#All],[Malın kodu]],Table1[[#All],[Malın adı]],"xəta",0)</f>
        <v>Bolt / M 10 /L 25 / altıkünc</v>
      </c>
      <c r="E1049" s="8" t="s">
        <v>2091</v>
      </c>
      <c r="F1049" s="4" t="s">
        <v>927</v>
      </c>
      <c r="G1049" s="4">
        <v>1</v>
      </c>
      <c r="H1049" s="4">
        <v>10</v>
      </c>
      <c r="I1049" s="4">
        <f>Table4[[#This Row],[Malın miqdarı]]*Table4[[#This Row],[Vahidin qiyməti]]</f>
        <v>10</v>
      </c>
      <c r="J1049" s="4" t="s">
        <v>1914</v>
      </c>
      <c r="K1049" s="4" t="s">
        <v>2019</v>
      </c>
      <c r="L1049" s="4">
        <f>_xlfn.XLOOKUP(Table4[[#This Row],[Kontragentin adı]],Table2[Kontragentin adı],Table2[Müqavilə nömrəsi],"Xəta",0)</f>
        <v>0</v>
      </c>
      <c r="M1049" s="4" t="s">
        <v>2385</v>
      </c>
    </row>
    <row r="1050" spans="2:13" x14ac:dyDescent="0.3">
      <c r="B1050" s="4">
        <f t="shared" si="16"/>
        <v>1047</v>
      </c>
      <c r="C1050" s="5">
        <v>46188</v>
      </c>
      <c r="D1050" s="10" t="str" cm="1">
        <f t="array" ref="D1050">_xlfn.XLOOKUP(Table4[[#This Row],[Malın kodu]],Table1[[#All],[Malın kodu]],Table1[[#All],[Malın adı]],"xəta",0)</f>
        <v>Pauk / diyircəkli yastıq üçün</v>
      </c>
      <c r="E1050" s="8" t="s">
        <v>2093</v>
      </c>
      <c r="F1050" s="4" t="s">
        <v>920</v>
      </c>
      <c r="G1050" s="4">
        <v>4</v>
      </c>
      <c r="H1050" s="4">
        <v>2</v>
      </c>
      <c r="I1050" s="4">
        <f>Table4[[#This Row],[Malın miqdarı]]*Table4[[#This Row],[Vahidin qiyməti]]</f>
        <v>8</v>
      </c>
      <c r="J1050" s="4" t="s">
        <v>1914</v>
      </c>
      <c r="K1050" s="4" t="s">
        <v>2019</v>
      </c>
      <c r="L1050" s="4">
        <f>_xlfn.XLOOKUP(Table4[[#This Row],[Kontragentin adı]],Table2[Kontragentin adı],Table2[Müqavilə nömrəsi],"Xəta",0)</f>
        <v>0</v>
      </c>
      <c r="M1050" s="4">
        <f>_xlfn.XLOOKUP(Table4[[#This Row],[Kontragentin adı]],Table2[Kontragentin adı],Table2[Müqavilə nömrəsi],"Xəta",0)</f>
        <v>0</v>
      </c>
    </row>
    <row r="1051" spans="2:13" x14ac:dyDescent="0.3">
      <c r="B1051" s="4">
        <f t="shared" si="16"/>
        <v>1048</v>
      </c>
      <c r="C1051" s="5">
        <v>46191</v>
      </c>
      <c r="D1051" s="10" t="str" cm="1">
        <f t="array" ref="D1051">_xlfn.XLOOKUP(Table4[[#This Row],[Malın kodu]],Table1[[#All],[Malın kodu]],Table1[[#All],[Malın adı]],"xəta",0)</f>
        <v>Laqonda / 180/230/2000Vt / "Dingoi" / JB02401</v>
      </c>
      <c r="E1051" s="8" t="s">
        <v>1943</v>
      </c>
      <c r="F1051" s="4" t="s">
        <v>920</v>
      </c>
      <c r="G1051" s="4">
        <v>1</v>
      </c>
      <c r="H1051" s="4">
        <v>110</v>
      </c>
      <c r="I1051" s="4">
        <f>Table4[[#This Row],[Malın miqdarı]]*Table4[[#This Row],[Vahidin qiyməti]]</f>
        <v>110</v>
      </c>
      <c r="J1051" s="4" t="s">
        <v>1905</v>
      </c>
      <c r="K1051" s="4" t="s">
        <v>1991</v>
      </c>
      <c r="L1051" s="4" t="str">
        <f>_xlfn.XLOOKUP(Table4[[#This Row],[Kontragentin adı]],Table2[Kontragentin adı],Table2[Müqavilə nömrəsi],"Xəta",0)</f>
        <v>№72/2026</v>
      </c>
      <c r="M1051" s="4" t="s">
        <v>2386</v>
      </c>
    </row>
    <row r="1052" spans="2:13" x14ac:dyDescent="0.3">
      <c r="B1052" s="4">
        <f t="shared" si="16"/>
        <v>1049</v>
      </c>
      <c r="C1052" s="5">
        <v>46191</v>
      </c>
      <c r="D1052" s="10" t="str" cm="1">
        <f t="array" ref="D1052">_xlfn.XLOOKUP(Table4[[#This Row],[Malın kodu]],Table1[[#All],[Malın kodu]],Table1[[#All],[Malın adı]],"xəta",0)</f>
        <v>Laqonda / 125/1220V / "Dingoi" / 101090</v>
      </c>
      <c r="E1052" s="8" t="s">
        <v>1944</v>
      </c>
      <c r="F1052" s="4" t="s">
        <v>920</v>
      </c>
      <c r="G1052" s="4">
        <v>1</v>
      </c>
      <c r="H1052" s="4">
        <v>60</v>
      </c>
      <c r="I1052" s="4">
        <f>Table4[[#This Row],[Malın miqdarı]]*Table4[[#This Row],[Vahidin qiyməti]]</f>
        <v>60</v>
      </c>
      <c r="J1052" s="4" t="s">
        <v>1905</v>
      </c>
      <c r="K1052" s="4" t="s">
        <v>1991</v>
      </c>
      <c r="L1052" s="4" t="str">
        <f>_xlfn.XLOOKUP(Table4[[#This Row],[Kontragentin adı]],Table2[Kontragentin adı],Table2[Müqavilə nömrəsi],"Xəta",0)</f>
        <v>№72/2026</v>
      </c>
      <c r="M1052" s="4" t="s">
        <v>2386</v>
      </c>
    </row>
    <row r="1053" spans="2:13" x14ac:dyDescent="0.3">
      <c r="B1053" s="4">
        <f t="shared" si="16"/>
        <v>1050</v>
      </c>
      <c r="C1053" s="5">
        <v>46191</v>
      </c>
      <c r="D1053" s="10" t="str" cm="1">
        <f t="array" ref="D1053">_xlfn.XLOOKUP(Table4[[#This Row],[Malın kodu]],Table1[[#All],[Malın kodu]],Table1[[#All],[Malın adı]],"xəta",0)</f>
        <v>Disk / kəsici / d 230 mm / 3.2 / laqonda üçün / "Grassland"</v>
      </c>
      <c r="E1053" s="8" t="s">
        <v>1945</v>
      </c>
      <c r="F1053" s="4" t="s">
        <v>920</v>
      </c>
      <c r="G1053" s="4">
        <v>10</v>
      </c>
      <c r="H1053" s="4">
        <v>2.2000000000000002</v>
      </c>
      <c r="I1053" s="4">
        <f>Table4[[#This Row],[Malın miqdarı]]*Table4[[#This Row],[Vahidin qiyməti]]</f>
        <v>22</v>
      </c>
      <c r="J1053" s="4" t="s">
        <v>1905</v>
      </c>
      <c r="K1053" s="4" t="s">
        <v>1991</v>
      </c>
      <c r="L1053" s="4" t="str">
        <f>_xlfn.XLOOKUP(Table4[[#This Row],[Kontragentin adı]],Table2[Kontragentin adı],Table2[Müqavilə nömrəsi],"Xəta",0)</f>
        <v>№72/2026</v>
      </c>
      <c r="M1053" s="4" t="s">
        <v>2386</v>
      </c>
    </row>
    <row r="1054" spans="2:13" x14ac:dyDescent="0.3">
      <c r="B1054" s="4">
        <f t="shared" si="16"/>
        <v>1051</v>
      </c>
      <c r="C1054" s="5">
        <v>46191</v>
      </c>
      <c r="D1054" s="10" t="str" cm="1">
        <f t="array" ref="D1054">_xlfn.XLOOKUP(Table4[[#This Row],[Malın kodu]],Table1[[#All],[Malın kodu]],Table1[[#All],[Malın adı]],"xəta",0)</f>
        <v>Disk / kəsici / d 125 mm / 2.5 / laqonda üçün / "Grassland"</v>
      </c>
      <c r="E1054" s="8" t="s">
        <v>1946</v>
      </c>
      <c r="F1054" s="4" t="s">
        <v>920</v>
      </c>
      <c r="G1054" s="4">
        <v>10</v>
      </c>
      <c r="H1054" s="4">
        <v>1.2</v>
      </c>
      <c r="I1054" s="4">
        <f>Table4[[#This Row],[Malın miqdarı]]*Table4[[#This Row],[Vahidin qiyməti]]</f>
        <v>12</v>
      </c>
      <c r="J1054" s="4" t="s">
        <v>1905</v>
      </c>
      <c r="K1054" s="4" t="s">
        <v>1991</v>
      </c>
      <c r="L1054" s="4" t="str">
        <f>_xlfn.XLOOKUP(Table4[[#This Row],[Kontragentin adı]],Table2[Kontragentin adı],Table2[Müqavilə nömrəsi],"Xəta",0)</f>
        <v>№72/2026</v>
      </c>
      <c r="M1054" s="4" t="s">
        <v>2386</v>
      </c>
    </row>
    <row r="1055" spans="2:13" x14ac:dyDescent="0.3">
      <c r="B1055" s="4">
        <f t="shared" si="16"/>
        <v>1052</v>
      </c>
      <c r="C1055" s="5">
        <v>46191</v>
      </c>
      <c r="D1055" s="10" t="str" cm="1">
        <f t="array" ref="D1055">_xlfn.XLOOKUP(Table4[[#This Row],[Malın kodu]],Table1[[#All],[Malın kodu]],Table1[[#All],[Malın adı]],"xəta",0)</f>
        <v>Araba / qaynaqlı BM</v>
      </c>
      <c r="E1055" s="8" t="s">
        <v>1947</v>
      </c>
      <c r="F1055" s="4" t="s">
        <v>920</v>
      </c>
      <c r="G1055" s="4">
        <v>1</v>
      </c>
      <c r="H1055" s="4">
        <v>55</v>
      </c>
      <c r="I1055" s="4">
        <f>Table4[[#This Row],[Malın miqdarı]]*Table4[[#This Row],[Vahidin qiyməti]]</f>
        <v>55</v>
      </c>
      <c r="J1055" s="4" t="s">
        <v>1905</v>
      </c>
      <c r="K1055" s="4" t="s">
        <v>1991</v>
      </c>
      <c r="L1055" s="4" t="str">
        <f>_xlfn.XLOOKUP(Table4[[#This Row],[Kontragentin adı]],Table2[Kontragentin adı],Table2[Müqavilə nömrəsi],"Xəta",0)</f>
        <v>№72/2026</v>
      </c>
      <c r="M1055" s="4" t="s">
        <v>2386</v>
      </c>
    </row>
    <row r="1056" spans="2:13" x14ac:dyDescent="0.3">
      <c r="B1056" s="4">
        <f t="shared" si="16"/>
        <v>1053</v>
      </c>
      <c r="C1056" s="5">
        <v>46191</v>
      </c>
      <c r="D1056" s="10" t="str" cm="1">
        <f t="array" ref="D1056">_xlfn.XLOOKUP(Table4[[#This Row],[Malın kodu]],Table1[[#All],[Malın kodu]],Table1[[#All],[Malın adı]],"xəta",0)</f>
        <v>Vedrə / plastik / 14L / BM</v>
      </c>
      <c r="E1056" s="8" t="s">
        <v>1948</v>
      </c>
      <c r="F1056" s="4" t="s">
        <v>920</v>
      </c>
      <c r="G1056" s="4">
        <v>3</v>
      </c>
      <c r="H1056" s="4">
        <v>2</v>
      </c>
      <c r="I1056" s="4">
        <f>Table4[[#This Row],[Malın miqdarı]]*Table4[[#This Row],[Vahidin qiyməti]]</f>
        <v>6</v>
      </c>
      <c r="J1056" s="4" t="s">
        <v>1905</v>
      </c>
      <c r="K1056" s="4" t="s">
        <v>1991</v>
      </c>
      <c r="L1056" s="4" t="str">
        <f>_xlfn.XLOOKUP(Table4[[#This Row],[Kontragentin adı]],Table2[Kontragentin adı],Table2[Müqavilə nömrəsi],"Xəta",0)</f>
        <v>№72/2026</v>
      </c>
      <c r="M1056" s="4" t="s">
        <v>2386</v>
      </c>
    </row>
    <row r="1057" spans="2:13" x14ac:dyDescent="0.3">
      <c r="B1057" s="4">
        <f t="shared" si="16"/>
        <v>1054</v>
      </c>
      <c r="C1057" s="5">
        <v>46191</v>
      </c>
      <c r="D1057" s="10" t="str" cm="1">
        <f t="array" ref="D1057">_xlfn.XLOOKUP(Table4[[#This Row],[Malın kodu]],Table1[[#All],[Malın kodu]],Table1[[#All],[Malın adı]],"xəta",0)</f>
        <v>Jilet / sarı/ sadə</v>
      </c>
      <c r="E1057" s="8" t="s">
        <v>1949</v>
      </c>
      <c r="F1057" s="4" t="s">
        <v>920</v>
      </c>
      <c r="G1057" s="4">
        <v>20</v>
      </c>
      <c r="H1057" s="4">
        <v>1.5</v>
      </c>
      <c r="I1057" s="4">
        <f>Table4[[#This Row],[Malın miqdarı]]*Table4[[#This Row],[Vahidin qiyməti]]</f>
        <v>30</v>
      </c>
      <c r="J1057" s="4" t="s">
        <v>1905</v>
      </c>
      <c r="K1057" s="4" t="s">
        <v>1991</v>
      </c>
      <c r="L1057" s="4" t="str">
        <f>_xlfn.XLOOKUP(Table4[[#This Row],[Kontragentin adı]],Table2[Kontragentin adı],Table2[Müqavilə nömrəsi],"Xəta",0)</f>
        <v>№72/2026</v>
      </c>
      <c r="M1057" s="4" t="s">
        <v>2386</v>
      </c>
    </row>
    <row r="1058" spans="2:13" x14ac:dyDescent="0.3">
      <c r="B1058" s="4">
        <f t="shared" si="16"/>
        <v>1055</v>
      </c>
      <c r="C1058" s="5">
        <v>46191</v>
      </c>
      <c r="D1058" s="10" t="str" cm="1">
        <f t="array" ref="D1058">_xlfn.XLOOKUP(Table4[[#This Row],[Malın kodu]],Table1[[#All],[Malın kodu]],Table1[[#All],[Malın adı]],"xəta",0)</f>
        <v>Çəkmə / qısa boğaz / 40 / "YDS"</v>
      </c>
      <c r="E1058" s="8" t="s">
        <v>1950</v>
      </c>
      <c r="F1058" s="4" t="s">
        <v>924</v>
      </c>
      <c r="G1058" s="4">
        <v>2</v>
      </c>
      <c r="H1058" s="4">
        <v>30</v>
      </c>
      <c r="I1058" s="4">
        <f>Table4[[#This Row],[Malın miqdarı]]*Table4[[#This Row],[Vahidin qiyməti]]</f>
        <v>60</v>
      </c>
      <c r="J1058" s="4" t="s">
        <v>1905</v>
      </c>
      <c r="K1058" s="4" t="s">
        <v>1991</v>
      </c>
      <c r="L1058" s="4" t="str">
        <f>_xlfn.XLOOKUP(Table4[[#This Row],[Kontragentin adı]],Table2[Kontragentin adı],Table2[Müqavilə nömrəsi],"Xəta",0)</f>
        <v>№72/2026</v>
      </c>
      <c r="M1058" s="4" t="s">
        <v>2386</v>
      </c>
    </row>
    <row r="1059" spans="2:13" x14ac:dyDescent="0.3">
      <c r="B1059" s="4">
        <f t="shared" si="16"/>
        <v>1056</v>
      </c>
      <c r="C1059" s="5">
        <v>46191</v>
      </c>
      <c r="D1059" s="10" t="str" cm="1">
        <f t="array" ref="D1059">_xlfn.XLOOKUP(Table4[[#This Row],[Malın kodu]],Table1[[#All],[Malın kodu]],Table1[[#All],[Malın adı]],"xəta",0)</f>
        <v>Çəkmə / qısa boğaz / 44 / "YDS"</v>
      </c>
      <c r="E1059" s="8" t="s">
        <v>1951</v>
      </c>
      <c r="F1059" s="4" t="s">
        <v>924</v>
      </c>
      <c r="G1059" s="4">
        <v>3</v>
      </c>
      <c r="H1059" s="4">
        <v>30</v>
      </c>
      <c r="I1059" s="4">
        <f>Table4[[#This Row],[Malın miqdarı]]*Table4[[#This Row],[Vahidin qiyməti]]</f>
        <v>90</v>
      </c>
      <c r="J1059" s="4" t="s">
        <v>1905</v>
      </c>
      <c r="K1059" s="4" t="s">
        <v>1991</v>
      </c>
      <c r="L1059" s="4" t="str">
        <f>_xlfn.XLOOKUP(Table4[[#This Row],[Kontragentin adı]],Table2[Kontragentin adı],Table2[Müqavilə nömrəsi],"Xəta",0)</f>
        <v>№72/2026</v>
      </c>
      <c r="M1059" s="4" t="s">
        <v>2386</v>
      </c>
    </row>
    <row r="1060" spans="2:13" x14ac:dyDescent="0.3">
      <c r="B1060" s="4">
        <f t="shared" si="16"/>
        <v>1057</v>
      </c>
      <c r="C1060" s="5">
        <v>46191</v>
      </c>
      <c r="D1060" s="10" t="str" cm="1">
        <f t="array" ref="D1060">_xlfn.XLOOKUP(Table4[[#This Row],[Malın kodu]],Table1[[#All],[Malın kodu]],Table1[[#All],[Malın adı]],"xəta",0)</f>
        <v>Çəkmə / qısa boğaz / 44 / "YDS"</v>
      </c>
      <c r="E1060" s="8" t="s">
        <v>1951</v>
      </c>
      <c r="F1060" s="4" t="s">
        <v>924</v>
      </c>
      <c r="G1060" s="4">
        <v>2</v>
      </c>
      <c r="H1060" s="4">
        <v>30</v>
      </c>
      <c r="I1060" s="4">
        <f>Table4[[#This Row],[Malın miqdarı]]*Table4[[#This Row],[Vahidin qiyməti]]</f>
        <v>60</v>
      </c>
      <c r="J1060" s="4" t="s">
        <v>1905</v>
      </c>
      <c r="K1060" s="4" t="s">
        <v>1991</v>
      </c>
      <c r="L1060" s="4" t="str">
        <f>_xlfn.XLOOKUP(Table4[[#This Row],[Kontragentin adı]],Table2[Kontragentin adı],Table2[Müqavilə nömrəsi],"Xəta",0)</f>
        <v>№72/2026</v>
      </c>
      <c r="M1060" s="4" t="s">
        <v>2386</v>
      </c>
    </row>
    <row r="1061" spans="2:13" x14ac:dyDescent="0.3">
      <c r="B1061" s="4">
        <f t="shared" si="16"/>
        <v>1058</v>
      </c>
      <c r="C1061" s="5">
        <v>46191</v>
      </c>
      <c r="D1061" s="10" t="str" cm="1">
        <f t="array" ref="D1061">_xlfn.XLOOKUP(Table4[[#This Row],[Malın kodu]],Table1[[#All],[Malın kodu]],Table1[[#All],[Malın adı]],"xəta",0)</f>
        <v>Çəkmə / qısa boğaz / 42 / "YDS"</v>
      </c>
      <c r="E1061" s="8" t="s">
        <v>1952</v>
      </c>
      <c r="F1061" s="4" t="s">
        <v>924</v>
      </c>
      <c r="G1061" s="4">
        <v>6</v>
      </c>
      <c r="H1061" s="4">
        <v>30</v>
      </c>
      <c r="I1061" s="4">
        <f>Table4[[#This Row],[Malın miqdarı]]*Table4[[#This Row],[Vahidin qiyməti]]</f>
        <v>180</v>
      </c>
      <c r="J1061" s="4" t="s">
        <v>1905</v>
      </c>
      <c r="K1061" s="4" t="s">
        <v>1991</v>
      </c>
      <c r="L1061" s="4" t="str">
        <f>_xlfn.XLOOKUP(Table4[[#This Row],[Kontragentin adı]],Table2[Kontragentin adı],Table2[Müqavilə nömrəsi],"Xəta",0)</f>
        <v>№72/2026</v>
      </c>
      <c r="M1061" s="4" t="s">
        <v>2386</v>
      </c>
    </row>
    <row r="1062" spans="2:13" x14ac:dyDescent="0.3">
      <c r="B1062" s="4">
        <f t="shared" si="16"/>
        <v>1059</v>
      </c>
      <c r="C1062" s="5">
        <v>46191</v>
      </c>
      <c r="D1062" s="10" t="str" cm="1">
        <f t="array" ref="D1062">_xlfn.XLOOKUP(Table4[[#This Row],[Malın kodu]],Table1[[#All],[Malın kodu]],Table1[[#All],[Malın adı]],"xəta",0)</f>
        <v>Çəkmə / qısa boğaz / 43 / "YDS"</v>
      </c>
      <c r="E1062" s="8" t="s">
        <v>1953</v>
      </c>
      <c r="F1062" s="4" t="s">
        <v>924</v>
      </c>
      <c r="G1062" s="4">
        <v>3</v>
      </c>
      <c r="H1062" s="4">
        <v>30</v>
      </c>
      <c r="I1062" s="4">
        <f>Table4[[#This Row],[Malın miqdarı]]*Table4[[#This Row],[Vahidin qiyməti]]</f>
        <v>90</v>
      </c>
      <c r="J1062" s="4" t="s">
        <v>1905</v>
      </c>
      <c r="K1062" s="4" t="s">
        <v>1991</v>
      </c>
      <c r="L1062" s="4" t="str">
        <f>_xlfn.XLOOKUP(Table4[[#This Row],[Kontragentin adı]],Table2[Kontragentin adı],Table2[Müqavilə nömrəsi],"Xəta",0)</f>
        <v>№72/2026</v>
      </c>
      <c r="M1062" s="4" t="s">
        <v>2386</v>
      </c>
    </row>
    <row r="1063" spans="2:13" x14ac:dyDescent="0.3">
      <c r="B1063" s="4">
        <f t="shared" si="16"/>
        <v>1060</v>
      </c>
      <c r="C1063" s="5">
        <v>46191</v>
      </c>
      <c r="D1063" s="10" t="str" cm="1">
        <f t="array" ref="D1063">_xlfn.XLOOKUP(Table4[[#This Row],[Malın kodu]],Table1[[#All],[Malın kodu]],Table1[[#All],[Malın adı]],"xəta",0)</f>
        <v>Ayaqqabı / qısa boğaz / 41 / "Dingoi" 90050141</v>
      </c>
      <c r="E1063" s="8" t="s">
        <v>1954</v>
      </c>
      <c r="F1063" s="4" t="s">
        <v>924</v>
      </c>
      <c r="G1063" s="4">
        <v>2</v>
      </c>
      <c r="H1063" s="4">
        <v>47</v>
      </c>
      <c r="I1063" s="4">
        <f>Table4[[#This Row],[Malın miqdarı]]*Table4[[#This Row],[Vahidin qiyməti]]</f>
        <v>94</v>
      </c>
      <c r="J1063" s="4" t="s">
        <v>1905</v>
      </c>
      <c r="K1063" s="4" t="s">
        <v>1991</v>
      </c>
      <c r="L1063" s="4" t="str">
        <f>_xlfn.XLOOKUP(Table4[[#This Row],[Kontragentin adı]],Table2[Kontragentin adı],Table2[Müqavilə nömrəsi],"Xəta",0)</f>
        <v>№72/2026</v>
      </c>
      <c r="M1063" s="4" t="s">
        <v>2386</v>
      </c>
    </row>
    <row r="1064" spans="2:13" x14ac:dyDescent="0.3">
      <c r="B1064" s="4">
        <f t="shared" si="16"/>
        <v>1061</v>
      </c>
      <c r="C1064" s="5">
        <v>46191</v>
      </c>
      <c r="D1064" s="10" t="str" cm="1">
        <f t="array" ref="D1064">_xlfn.XLOOKUP(Table4[[#This Row],[Malın kodu]],Table1[[#All],[Malın kodu]],Table1[[#All],[Malın adı]],"xəta",0)</f>
        <v>Ayaqqabı / qısa boğaz / 42 / "Dingoi" 90050142</v>
      </c>
      <c r="E1064" s="8" t="s">
        <v>1955</v>
      </c>
      <c r="F1064" s="4" t="s">
        <v>924</v>
      </c>
      <c r="G1064" s="4">
        <v>1</v>
      </c>
      <c r="H1064" s="4">
        <v>47</v>
      </c>
      <c r="I1064" s="4">
        <f>Table4[[#This Row],[Malın miqdarı]]*Table4[[#This Row],[Vahidin qiyməti]]</f>
        <v>47</v>
      </c>
      <c r="J1064" s="4" t="s">
        <v>1905</v>
      </c>
      <c r="K1064" s="4" t="s">
        <v>1991</v>
      </c>
      <c r="L1064" s="4" t="str">
        <f>_xlfn.XLOOKUP(Table4[[#This Row],[Kontragentin adı]],Table2[Kontragentin adı],Table2[Müqavilə nömrəsi],"Xəta",0)</f>
        <v>№72/2026</v>
      </c>
      <c r="M1064" s="4" t="s">
        <v>2386</v>
      </c>
    </row>
    <row r="1065" spans="2:13" x14ac:dyDescent="0.3">
      <c r="B1065" s="4">
        <f t="shared" si="16"/>
        <v>1062</v>
      </c>
      <c r="C1065" s="5">
        <v>46191</v>
      </c>
      <c r="D1065" s="10" t="str" cm="1">
        <f t="array" ref="D1065">_xlfn.XLOOKUP(Table4[[#This Row],[Malın kodu]],Table1[[#All],[Malın kodu]],Table1[[#All],[Malın adı]],"xəta",0)</f>
        <v>Ayaqqabı / 40 / "Dingoi" 95240</v>
      </c>
      <c r="E1065" s="8" t="s">
        <v>1956</v>
      </c>
      <c r="F1065" s="4" t="s">
        <v>924</v>
      </c>
      <c r="G1065" s="4">
        <v>1</v>
      </c>
      <c r="H1065" s="4">
        <v>43</v>
      </c>
      <c r="I1065" s="4">
        <f>Table4[[#This Row],[Malın miqdarı]]*Table4[[#This Row],[Vahidin qiyməti]]</f>
        <v>43</v>
      </c>
      <c r="J1065" s="4" t="s">
        <v>1905</v>
      </c>
      <c r="K1065" s="4" t="s">
        <v>1991</v>
      </c>
      <c r="L1065" s="4" t="str">
        <f>_xlfn.XLOOKUP(Table4[[#This Row],[Kontragentin adı]],Table2[Kontragentin adı],Table2[Müqavilə nömrəsi],"Xəta",0)</f>
        <v>№72/2026</v>
      </c>
      <c r="M1065" s="4" t="s">
        <v>2386</v>
      </c>
    </row>
    <row r="1066" spans="2:13" x14ac:dyDescent="0.3">
      <c r="B1066" s="4">
        <f t="shared" si="16"/>
        <v>1063</v>
      </c>
      <c r="C1066" s="5">
        <v>46191</v>
      </c>
      <c r="D1066" s="10" t="str" cm="1">
        <f t="array" ref="D1066">_xlfn.XLOOKUP(Table4[[#This Row],[Malın kodu]],Table1[[#All],[Malın kodu]],Table1[[#All],[Malın adı]],"xəta",0)</f>
        <v>Eynək / qara / 3M358</v>
      </c>
      <c r="E1066" s="8" t="s">
        <v>1957</v>
      </c>
      <c r="F1066" s="4" t="s">
        <v>920</v>
      </c>
      <c r="G1066" s="4">
        <v>12</v>
      </c>
      <c r="H1066" s="4">
        <v>1</v>
      </c>
      <c r="I1066" s="4">
        <f>Table4[[#This Row],[Malın miqdarı]]*Table4[[#This Row],[Vahidin qiyməti]]</f>
        <v>12</v>
      </c>
      <c r="J1066" s="4" t="s">
        <v>1905</v>
      </c>
      <c r="K1066" s="4" t="s">
        <v>1991</v>
      </c>
      <c r="L1066" s="4" t="str">
        <f>_xlfn.XLOOKUP(Table4[[#This Row],[Kontragentin adı]],Table2[Kontragentin adı],Table2[Müqavilə nömrəsi],"Xəta",0)</f>
        <v>№72/2026</v>
      </c>
      <c r="M1066" s="4" t="s">
        <v>2386</v>
      </c>
    </row>
    <row r="1067" spans="2:13" x14ac:dyDescent="0.3">
      <c r="B1067" s="4">
        <f t="shared" si="16"/>
        <v>1064</v>
      </c>
      <c r="C1067" s="5">
        <v>46191</v>
      </c>
      <c r="D1067" s="10" t="str" cm="1">
        <f t="array" ref="D1067">_xlfn.XLOOKUP(Table4[[#This Row],[Malın kodu]],Table1[[#All],[Malın kodu]],Table1[[#All],[Malın adı]],"xəta",0)</f>
        <v>Eynək / qara / 3M358</v>
      </c>
      <c r="E1067" s="8" t="s">
        <v>1957</v>
      </c>
      <c r="F1067" s="4" t="s">
        <v>920</v>
      </c>
      <c r="G1067" s="4">
        <v>8</v>
      </c>
      <c r="H1067" s="4">
        <v>1</v>
      </c>
      <c r="I1067" s="4">
        <f>Table4[[#This Row],[Malın miqdarı]]*Table4[[#This Row],[Vahidin qiyməti]]</f>
        <v>8</v>
      </c>
      <c r="J1067" s="4" t="s">
        <v>1905</v>
      </c>
      <c r="K1067" s="4" t="s">
        <v>1991</v>
      </c>
      <c r="L1067" s="4" t="str">
        <f>_xlfn.XLOOKUP(Table4[[#This Row],[Kontragentin adı]],Table2[Kontragentin adı],Table2[Müqavilə nömrəsi],"Xəta",0)</f>
        <v>№72/2026</v>
      </c>
      <c r="M1067" s="4" t="s">
        <v>2386</v>
      </c>
    </row>
    <row r="1068" spans="2:13" x14ac:dyDescent="0.3">
      <c r="B1068" s="4">
        <f t="shared" si="16"/>
        <v>1065</v>
      </c>
      <c r="C1068" s="5">
        <v>46191</v>
      </c>
      <c r="D1068" s="10" t="str" cm="1">
        <f t="array" ref="D1068">_xlfn.XLOOKUP(Table4[[#This Row],[Malın kodu]],Table1[[#All],[Malın kodu]],Table1[[#All],[Malın adı]],"xəta",0)</f>
        <v>Jilet / sarı-göy / sepli / mühəndis üçün / XL / "EMİRHAN"</v>
      </c>
      <c r="E1068" s="8" t="s">
        <v>1958</v>
      </c>
      <c r="F1068" s="4" t="s">
        <v>920</v>
      </c>
      <c r="G1068" s="4">
        <v>1</v>
      </c>
      <c r="H1068" s="4">
        <v>8.5</v>
      </c>
      <c r="I1068" s="4">
        <f>Table4[[#This Row],[Malın miqdarı]]*Table4[[#This Row],[Vahidin qiyməti]]</f>
        <v>8.5</v>
      </c>
      <c r="J1068" s="4" t="s">
        <v>1905</v>
      </c>
      <c r="K1068" s="4" t="s">
        <v>1991</v>
      </c>
      <c r="L1068" s="4" t="str">
        <f>_xlfn.XLOOKUP(Table4[[#This Row],[Kontragentin adı]],Table2[Kontragentin adı],Table2[Müqavilə nömrəsi],"Xəta",0)</f>
        <v>№72/2026</v>
      </c>
      <c r="M1068" s="4" t="s">
        <v>2386</v>
      </c>
    </row>
    <row r="1069" spans="2:13" x14ac:dyDescent="0.3">
      <c r="B1069" s="4">
        <f t="shared" si="16"/>
        <v>1066</v>
      </c>
      <c r="C1069" s="5">
        <v>46191</v>
      </c>
      <c r="D1069" s="10" t="str" cm="1">
        <f t="array" ref="D1069">_xlfn.XLOOKUP(Table4[[#This Row],[Malın kodu]],Table1[[#All],[Malın kodu]],Table1[[#All],[Malın adı]],"xəta",0)</f>
        <v>Jilet / sarı-narıncı / briqadir üçün</v>
      </c>
      <c r="E1069" s="8" t="s">
        <v>1959</v>
      </c>
      <c r="F1069" s="4" t="s">
        <v>920</v>
      </c>
      <c r="G1069" s="4">
        <v>1</v>
      </c>
      <c r="H1069" s="4">
        <v>7</v>
      </c>
      <c r="I1069" s="4">
        <f>Table4[[#This Row],[Malın miqdarı]]*Table4[[#This Row],[Vahidin qiyməti]]</f>
        <v>7</v>
      </c>
      <c r="J1069" s="4" t="s">
        <v>1905</v>
      </c>
      <c r="K1069" s="4" t="s">
        <v>1991</v>
      </c>
      <c r="L1069" s="4" t="str">
        <f>_xlfn.XLOOKUP(Table4[[#This Row],[Kontragentin adı]],Table2[Kontragentin adı],Table2[Müqavilə nömrəsi],"Xəta",0)</f>
        <v>№72/2026</v>
      </c>
      <c r="M1069" s="4" t="s">
        <v>2386</v>
      </c>
    </row>
    <row r="1070" spans="2:13" x14ac:dyDescent="0.3">
      <c r="B1070" s="4">
        <f t="shared" si="16"/>
        <v>1067</v>
      </c>
      <c r="C1070" s="5">
        <v>46191</v>
      </c>
      <c r="D1070" s="10" t="str" cm="1">
        <f t="array" ref="D1070">_xlfn.XLOOKUP(Table4[[#This Row],[Malın kodu]],Table1[[#All],[Malın kodu]],Table1[[#All],[Malın adı]],"xəta",0)</f>
        <v>Jilet / sepli</v>
      </c>
      <c r="E1070" s="8" t="s">
        <v>1960</v>
      </c>
      <c r="F1070" s="4" t="s">
        <v>920</v>
      </c>
      <c r="G1070" s="4">
        <v>3</v>
      </c>
      <c r="H1070" s="4">
        <v>5</v>
      </c>
      <c r="I1070" s="4">
        <f>Table4[[#This Row],[Malın miqdarı]]*Table4[[#This Row],[Vahidin qiyməti]]</f>
        <v>15</v>
      </c>
      <c r="J1070" s="4" t="s">
        <v>1905</v>
      </c>
      <c r="K1070" s="4" t="s">
        <v>1991</v>
      </c>
      <c r="L1070" s="4" t="str">
        <f>_xlfn.XLOOKUP(Table4[[#This Row],[Kontragentin adı]],Table2[Kontragentin adı],Table2[Müqavilə nömrəsi],"Xəta",0)</f>
        <v>№72/2026</v>
      </c>
      <c r="M1070" s="4" t="s">
        <v>2386</v>
      </c>
    </row>
    <row r="1071" spans="2:13" x14ac:dyDescent="0.3">
      <c r="B1071" s="4">
        <f t="shared" si="16"/>
        <v>1068</v>
      </c>
      <c r="C1071" s="5">
        <v>46191</v>
      </c>
      <c r="D1071" s="10" t="str" cm="1">
        <f t="array" ref="D1071">_xlfn.XLOOKUP(Table4[[#This Row],[Malın kodu]],Table1[[#All],[Malın kodu]],Table1[[#All],[Malın adı]],"xəta",0)</f>
        <v>Projektor / panel ilə / 120 Vt / AB-T8120</v>
      </c>
      <c r="E1071" s="8" t="s">
        <v>1961</v>
      </c>
      <c r="F1071" s="4" t="s">
        <v>920</v>
      </c>
      <c r="G1071" s="4">
        <v>2</v>
      </c>
      <c r="H1071" s="4">
        <v>66</v>
      </c>
      <c r="I1071" s="4">
        <f>Table4[[#This Row],[Malın miqdarı]]*Table4[[#This Row],[Vahidin qiyməti]]</f>
        <v>132</v>
      </c>
      <c r="J1071" s="4" t="s">
        <v>1905</v>
      </c>
      <c r="K1071" s="4" t="s">
        <v>1991</v>
      </c>
      <c r="L1071" s="4" t="str">
        <f>_xlfn.XLOOKUP(Table4[[#This Row],[Kontragentin adı]],Table2[Kontragentin adı],Table2[Müqavilə nömrəsi],"Xəta",0)</f>
        <v>№72/2026</v>
      </c>
      <c r="M1071" s="4" t="s">
        <v>2386</v>
      </c>
    </row>
    <row r="1072" spans="2:13" x14ac:dyDescent="0.3">
      <c r="B1072" s="4">
        <f t="shared" si="16"/>
        <v>1069</v>
      </c>
      <c r="C1072" s="5">
        <v>46191</v>
      </c>
      <c r="D1072" s="10" t="str" cm="1">
        <f t="array" ref="D1072">_xlfn.XLOOKUP(Table4[[#This Row],[Malın kodu]],Table1[[#All],[Malın kodu]],Table1[[#All],[Malın adı]],"xəta",0)</f>
        <v>Vintaçan / 7 pcs / 68602</v>
      </c>
      <c r="E1072" s="8" t="s">
        <v>1962</v>
      </c>
      <c r="F1072" s="4" t="s">
        <v>921</v>
      </c>
      <c r="G1072" s="4">
        <v>1</v>
      </c>
      <c r="H1072" s="4">
        <v>15</v>
      </c>
      <c r="I1072" s="4">
        <f>Table4[[#This Row],[Malın miqdarı]]*Table4[[#This Row],[Vahidin qiyməti]]</f>
        <v>15</v>
      </c>
      <c r="J1072" s="4" t="s">
        <v>1905</v>
      </c>
      <c r="K1072" s="4" t="s">
        <v>1991</v>
      </c>
      <c r="L1072" s="4" t="str">
        <f>_xlfn.XLOOKUP(Table4[[#This Row],[Kontragentin adı]],Table2[Kontragentin adı],Table2[Müqavilə nömrəsi],"Xəta",0)</f>
        <v>№72/2026</v>
      </c>
      <c r="M1072" s="4" t="s">
        <v>2386</v>
      </c>
    </row>
    <row r="1073" spans="2:13" x14ac:dyDescent="0.3">
      <c r="B1073" s="4">
        <f t="shared" si="16"/>
        <v>1070</v>
      </c>
      <c r="C1073" s="5">
        <v>46191</v>
      </c>
      <c r="D1073" s="10" t="str" cm="1">
        <f t="array" ref="D1073">_xlfn.XLOOKUP(Table4[[#This Row],[Malın kodu]],Table1[[#All],[Malın kodu]],Table1[[#All],[Malın adı]],"xəta",0)</f>
        <v>Külüng sapı</v>
      </c>
      <c r="E1073" s="8" t="s">
        <v>1976</v>
      </c>
      <c r="F1073" s="4" t="s">
        <v>920</v>
      </c>
      <c r="G1073" s="4">
        <v>5</v>
      </c>
      <c r="H1073" s="4">
        <v>2</v>
      </c>
      <c r="I1073" s="4">
        <f>Table4[[#This Row],[Malın miqdarı]]*Table4[[#This Row],[Vahidin qiyməti]]</f>
        <v>10</v>
      </c>
      <c r="J1073" s="4" t="s">
        <v>1905</v>
      </c>
      <c r="K1073" s="4" t="s">
        <v>1992</v>
      </c>
      <c r="L1073" s="4" t="str">
        <f>_xlfn.XLOOKUP(Table4[[#This Row],[Kontragentin adı]],Table2[Kontragentin adı],Table2[Müqavilə nömrəsi],"Xəta",0)</f>
        <v>№ 24-060</v>
      </c>
      <c r="M1073" s="4" t="s">
        <v>2387</v>
      </c>
    </row>
    <row r="1074" spans="2:13" x14ac:dyDescent="0.3">
      <c r="B1074" s="4">
        <f t="shared" si="16"/>
        <v>1071</v>
      </c>
      <c r="C1074" s="5">
        <v>46191</v>
      </c>
      <c r="D1074" s="10" t="str" cm="1">
        <f t="array" ref="D1074">_xlfn.XLOOKUP(Table4[[#This Row],[Malın kodu]],Table1[[#All],[Malın kodu]],Table1[[#All],[Malın adı]],"xəta",0)</f>
        <v>Boya / sprey / qərmızı</v>
      </c>
      <c r="E1074" s="8" t="s">
        <v>1977</v>
      </c>
      <c r="F1074" s="4" t="s">
        <v>920</v>
      </c>
      <c r="G1074" s="4">
        <v>5</v>
      </c>
      <c r="H1074" s="4">
        <v>1.7</v>
      </c>
      <c r="I1074" s="4">
        <f>Table4[[#This Row],[Malın miqdarı]]*Table4[[#This Row],[Vahidin qiyməti]]</f>
        <v>8.5</v>
      </c>
      <c r="J1074" s="4" t="s">
        <v>1905</v>
      </c>
      <c r="K1074" s="4" t="s">
        <v>1992</v>
      </c>
      <c r="L1074" s="4" t="str">
        <f>_xlfn.XLOOKUP(Table4[[#This Row],[Kontragentin adı]],Table2[Kontragentin adı],Table2[Müqavilə nömrəsi],"Xəta",0)</f>
        <v>№ 24-060</v>
      </c>
      <c r="M1074" s="4" t="s">
        <v>2387</v>
      </c>
    </row>
    <row r="1075" spans="2:13" x14ac:dyDescent="0.3">
      <c r="B1075" s="4">
        <f t="shared" si="16"/>
        <v>1072</v>
      </c>
      <c r="C1075" s="5">
        <v>46191</v>
      </c>
      <c r="D1075" s="10" t="str" cm="1">
        <f t="array" ref="D1075">_xlfn.XLOOKUP(Table4[[#This Row],[Malın kodu]],Table1[[#All],[Malın kodu]],Table1[[#All],[Malın adı]],"xəta",0)</f>
        <v>Valik / 25-lik "YAP"</v>
      </c>
      <c r="E1075" s="8" t="s">
        <v>1978</v>
      </c>
      <c r="F1075" s="4" t="s">
        <v>920</v>
      </c>
      <c r="G1075" s="4">
        <v>10</v>
      </c>
      <c r="H1075" s="4">
        <v>2</v>
      </c>
      <c r="I1075" s="4">
        <f>Table4[[#This Row],[Malın miqdarı]]*Table4[[#This Row],[Vahidin qiyməti]]</f>
        <v>20</v>
      </c>
      <c r="J1075" s="4" t="s">
        <v>1905</v>
      </c>
      <c r="K1075" s="4" t="s">
        <v>1992</v>
      </c>
      <c r="L1075" s="4" t="str">
        <f>_xlfn.XLOOKUP(Table4[[#This Row],[Kontragentin adı]],Table2[Kontragentin adı],Table2[Müqavilə nömrəsi],"Xəta",0)</f>
        <v>№ 24-060</v>
      </c>
      <c r="M1075" s="4" t="s">
        <v>2387</v>
      </c>
    </row>
    <row r="1076" spans="2:13" x14ac:dyDescent="0.3">
      <c r="B1076" s="4">
        <f t="shared" si="16"/>
        <v>1073</v>
      </c>
      <c r="C1076" s="5">
        <v>46191</v>
      </c>
      <c r="D1076" s="10" t="str" cm="1">
        <f t="array" ref="D1076">_xlfn.XLOOKUP(Table4[[#This Row],[Malın kodu]],Table1[[#All],[Malın kodu]],Table1[[#All],[Malın adı]],"xəta",0)</f>
        <v>Valik / 20-lik "Defne"</v>
      </c>
      <c r="E1076" s="8" t="s">
        <v>1979</v>
      </c>
      <c r="F1076" s="4" t="s">
        <v>920</v>
      </c>
      <c r="G1076" s="4">
        <v>10</v>
      </c>
      <c r="H1076" s="4">
        <v>1.8</v>
      </c>
      <c r="I1076" s="4">
        <f>Table4[[#This Row],[Malın miqdarı]]*Table4[[#This Row],[Vahidin qiyməti]]</f>
        <v>18</v>
      </c>
      <c r="J1076" s="4" t="s">
        <v>1905</v>
      </c>
      <c r="K1076" s="4" t="s">
        <v>1992</v>
      </c>
      <c r="L1076" s="4" t="str">
        <f>_xlfn.XLOOKUP(Table4[[#This Row],[Kontragentin adı]],Table2[Kontragentin adı],Table2[Müqavilə nömrəsi],"Xəta",0)</f>
        <v>№ 24-060</v>
      </c>
      <c r="M1076" s="4" t="s">
        <v>2387</v>
      </c>
    </row>
    <row r="1077" spans="2:13" x14ac:dyDescent="0.3">
      <c r="B1077" s="4">
        <f t="shared" si="16"/>
        <v>1074</v>
      </c>
      <c r="C1077" s="5">
        <v>46191</v>
      </c>
      <c r="D1077" s="10" t="str" cm="1">
        <f t="array" ref="D1077">_xlfn.XLOOKUP(Table4[[#This Row],[Malın kodu]],Table1[[#All],[Malın kodu]],Table1[[#All],[Malın adı]],"xəta",0)</f>
        <v>Skoç / kağız / 31</v>
      </c>
      <c r="E1077" s="8" t="s">
        <v>1980</v>
      </c>
      <c r="F1077" s="4" t="s">
        <v>920</v>
      </c>
      <c r="G1077" s="4">
        <v>2</v>
      </c>
      <c r="H1077" s="4">
        <v>1.2</v>
      </c>
      <c r="I1077" s="4">
        <f>Table4[[#This Row],[Malın miqdarı]]*Table4[[#This Row],[Vahidin qiyməti]]</f>
        <v>2.4</v>
      </c>
      <c r="J1077" s="4" t="s">
        <v>1905</v>
      </c>
      <c r="K1077" s="4" t="s">
        <v>1992</v>
      </c>
      <c r="L1077" s="4" t="str">
        <f>_xlfn.XLOOKUP(Table4[[#This Row],[Kontragentin adı]],Table2[Kontragentin adı],Table2[Müqavilə nömrəsi],"Xəta",0)</f>
        <v>№ 24-060</v>
      </c>
      <c r="M1077" s="4" t="s">
        <v>2387</v>
      </c>
    </row>
    <row r="1078" spans="2:13" x14ac:dyDescent="0.3">
      <c r="B1078" s="4">
        <f t="shared" si="16"/>
        <v>1075</v>
      </c>
      <c r="C1078" s="5">
        <v>46191</v>
      </c>
      <c r="D1078" s="10" t="str" cm="1">
        <f t="array" ref="D1078">_xlfn.XLOOKUP(Table4[[#This Row],[Malın kodu]],Table1[[#All],[Malın kodu]],Table1[[#All],[Malın adı]],"xəta",0)</f>
        <v>Qaynaq çubuğu (elektrod) / 3 / "Azkaynak"</v>
      </c>
      <c r="E1078" s="8" t="s">
        <v>1981</v>
      </c>
      <c r="F1078" s="4" t="s">
        <v>922</v>
      </c>
      <c r="G1078" s="4">
        <v>2</v>
      </c>
      <c r="H1078" s="4">
        <v>16</v>
      </c>
      <c r="I1078" s="4">
        <f>Table4[[#This Row],[Malın miqdarı]]*Table4[[#This Row],[Vahidin qiyməti]]</f>
        <v>32</v>
      </c>
      <c r="J1078" s="4" t="s">
        <v>1905</v>
      </c>
      <c r="K1078" s="4" t="s">
        <v>1992</v>
      </c>
      <c r="L1078" s="4" t="str">
        <f>_xlfn.XLOOKUP(Table4[[#This Row],[Kontragentin adı]],Table2[Kontragentin adı],Table2[Müqavilə nömrəsi],"Xəta",0)</f>
        <v>№ 24-060</v>
      </c>
      <c r="M1078" s="4" t="s">
        <v>2387</v>
      </c>
    </row>
    <row r="1079" spans="2:13" x14ac:dyDescent="0.3">
      <c r="B1079" s="4">
        <f t="shared" si="16"/>
        <v>1076</v>
      </c>
      <c r="C1079" s="5">
        <v>46191</v>
      </c>
      <c r="D1079" s="10" t="str" cm="1">
        <f t="array" ref="D1079">_xlfn.XLOOKUP(Table4[[#This Row],[Malın kodu]],Table1[[#All],[Malın kodu]],Table1[[#All],[Malın adı]],"xəta",0)</f>
        <v>Əlcək / sarı</v>
      </c>
      <c r="E1079" s="8" t="s">
        <v>1982</v>
      </c>
      <c r="F1079" s="4" t="s">
        <v>920</v>
      </c>
      <c r="G1079" s="4">
        <v>20</v>
      </c>
      <c r="H1079" s="4">
        <v>3.5</v>
      </c>
      <c r="I1079" s="4">
        <f>Table4[[#This Row],[Malın miqdarı]]*Table4[[#This Row],[Vahidin qiyməti]]</f>
        <v>70</v>
      </c>
      <c r="J1079" s="4" t="s">
        <v>1905</v>
      </c>
      <c r="K1079" s="4" t="s">
        <v>1992</v>
      </c>
      <c r="L1079" s="4" t="str">
        <f>_xlfn.XLOOKUP(Table4[[#This Row],[Kontragentin adı]],Table2[Kontragentin adı],Table2[Müqavilə nömrəsi],"Xəta",0)</f>
        <v>№ 24-060</v>
      </c>
      <c r="M1079" s="4" t="s">
        <v>2387</v>
      </c>
    </row>
    <row r="1080" spans="2:13" x14ac:dyDescent="0.3">
      <c r="B1080" s="4">
        <f t="shared" si="16"/>
        <v>1077</v>
      </c>
      <c r="C1080" s="5">
        <v>46191</v>
      </c>
      <c r="D1080" s="10" t="str" cm="1">
        <f t="array" ref="D1080">_xlfn.XLOOKUP(Table4[[#This Row],[Malın kodu]],Table1[[#All],[Malın kodu]],Table1[[#All],[Malın adı]],"xəta",0)</f>
        <v>Fırça / N143 (şotka pas qara)</v>
      </c>
      <c r="E1080" s="8" t="s">
        <v>1983</v>
      </c>
      <c r="F1080" s="4" t="s">
        <v>920</v>
      </c>
      <c r="G1080" s="4">
        <v>5</v>
      </c>
      <c r="H1080" s="4">
        <v>0.8</v>
      </c>
      <c r="I1080" s="4">
        <f>Table4[[#This Row],[Malın miqdarı]]*Table4[[#This Row],[Vahidin qiyməti]]</f>
        <v>4</v>
      </c>
      <c r="J1080" s="4" t="s">
        <v>1905</v>
      </c>
      <c r="K1080" s="4" t="s">
        <v>1992</v>
      </c>
      <c r="L1080" s="4" t="s">
        <v>2067</v>
      </c>
      <c r="M1080" s="4" t="s">
        <v>2387</v>
      </c>
    </row>
    <row r="1081" spans="2:13" x14ac:dyDescent="0.3">
      <c r="B1081" s="4">
        <f t="shared" si="16"/>
        <v>1078</v>
      </c>
      <c r="C1081" s="5">
        <v>46191</v>
      </c>
      <c r="D1081" s="10" t="str" cm="1">
        <f t="array" ref="D1081">_xlfn.XLOOKUP(Table4[[#This Row],[Malın kodu]],Table1[[#All],[Malın kodu]],Table1[[#All],[Malın adı]],"xəta",0)</f>
        <v>Yiyə / üçkünc / böyük</v>
      </c>
      <c r="E1081" s="8" t="s">
        <v>1984</v>
      </c>
      <c r="F1081" s="4" t="s">
        <v>920</v>
      </c>
      <c r="G1081" s="4">
        <v>4</v>
      </c>
      <c r="H1081" s="4">
        <v>1</v>
      </c>
      <c r="I1081" s="4">
        <f>Table4[[#This Row],[Malın miqdarı]]*Table4[[#This Row],[Vahidin qiyməti]]</f>
        <v>4</v>
      </c>
      <c r="J1081" s="4" t="s">
        <v>1905</v>
      </c>
      <c r="K1081" s="4" t="s">
        <v>1992</v>
      </c>
      <c r="L1081" s="4" t="str">
        <f>_xlfn.XLOOKUP(Table4[[#This Row],[Kontragentin adı]],Table2[Kontragentin adı],Table2[Müqavilə nömrəsi],"Xəta",0)</f>
        <v>№ 24-060</v>
      </c>
      <c r="M1081" s="4" t="s">
        <v>2387</v>
      </c>
    </row>
    <row r="1082" spans="2:13" x14ac:dyDescent="0.3">
      <c r="B1082" s="4">
        <f t="shared" si="16"/>
        <v>1079</v>
      </c>
      <c r="C1082" s="5">
        <v>46191</v>
      </c>
      <c r="D1082" s="10" t="str" cm="1">
        <f t="array" ref="D1082">_xlfn.XLOOKUP(Table4[[#This Row],[Malın kodu]],Table1[[#All],[Malın kodu]],Table1[[#All],[Malın adı]],"xəta",0)</f>
        <v>Yiyə / yastı / böyük</v>
      </c>
      <c r="E1082" s="8" t="s">
        <v>1985</v>
      </c>
      <c r="F1082" s="4" t="s">
        <v>920</v>
      </c>
      <c r="G1082" s="4">
        <v>2</v>
      </c>
      <c r="H1082" s="4">
        <v>1.2</v>
      </c>
      <c r="I1082" s="4">
        <f>Table4[[#This Row],[Malın miqdarı]]*Table4[[#This Row],[Vahidin qiyməti]]</f>
        <v>2.4</v>
      </c>
      <c r="J1082" s="4" t="s">
        <v>1905</v>
      </c>
      <c r="K1082" s="4" t="s">
        <v>1992</v>
      </c>
      <c r="L1082" s="4" t="str">
        <f>_xlfn.XLOOKUP(Table4[[#This Row],[Kontragentin adı]],Table2[Kontragentin adı],Table2[Müqavilə nömrəsi],"Xəta",0)</f>
        <v>№ 24-060</v>
      </c>
      <c r="M1082" s="4" t="s">
        <v>2387</v>
      </c>
    </row>
    <row r="1083" spans="2:13" x14ac:dyDescent="0.3">
      <c r="B1083" s="4">
        <f t="shared" si="16"/>
        <v>1080</v>
      </c>
      <c r="C1083" s="5">
        <v>46191</v>
      </c>
      <c r="D1083" s="10" t="str" cm="1">
        <f t="array" ref="D1083">_xlfn.XLOOKUP(Table4[[#This Row],[Malın kodu]],Table1[[#All],[Malın kodu]],Table1[[#All],[Malın adı]],"xəta",0)</f>
        <v>Fırça / 2-lik / (kist)</v>
      </c>
      <c r="E1083" s="8" t="s">
        <v>1986</v>
      </c>
      <c r="F1083" s="4" t="s">
        <v>920</v>
      </c>
      <c r="G1083" s="4">
        <v>3</v>
      </c>
      <c r="H1083" s="4">
        <v>0.7</v>
      </c>
      <c r="I1083" s="4">
        <f>Table4[[#This Row],[Malın miqdarı]]*Table4[[#This Row],[Vahidin qiyməti]]</f>
        <v>2.0999999999999996</v>
      </c>
      <c r="J1083" s="4" t="s">
        <v>1905</v>
      </c>
      <c r="K1083" s="4" t="s">
        <v>1992</v>
      </c>
      <c r="L1083" s="4" t="str">
        <f>_xlfn.XLOOKUP(Table4[[#This Row],[Kontragentin adı]],Table2[Kontragentin adı],Table2[Müqavilə nömrəsi],"Xəta",0)</f>
        <v>№ 24-060</v>
      </c>
      <c r="M1083" s="4" t="s">
        <v>2387</v>
      </c>
    </row>
    <row r="1084" spans="2:13" x14ac:dyDescent="0.3">
      <c r="B1084" s="4">
        <f t="shared" si="16"/>
        <v>1081</v>
      </c>
      <c r="C1084" s="5">
        <v>46191</v>
      </c>
      <c r="D1084" s="10" t="str" cm="1">
        <f t="array" ref="D1084">_xlfn.XLOOKUP(Table4[[#This Row],[Malın kodu]],Table1[[#All],[Malın kodu]],Table1[[#All],[Malın adı]],"xəta",0)</f>
        <v>Fırça / 4-lik / (kist)</v>
      </c>
      <c r="E1084" s="8" t="s">
        <v>1987</v>
      </c>
      <c r="F1084" s="4" t="s">
        <v>920</v>
      </c>
      <c r="G1084" s="4">
        <v>3</v>
      </c>
      <c r="H1084" s="4">
        <v>1.3</v>
      </c>
      <c r="I1084" s="4">
        <f>Table4[[#This Row],[Malın miqdarı]]*Table4[[#This Row],[Vahidin qiyməti]]</f>
        <v>3.9000000000000004</v>
      </c>
      <c r="J1084" s="4" t="s">
        <v>1905</v>
      </c>
      <c r="K1084" s="4" t="s">
        <v>1992</v>
      </c>
      <c r="L1084" s="4" t="str">
        <f>_xlfn.XLOOKUP(Table4[[#This Row],[Kontragentin adı]],Table2[Kontragentin adı],Table2[Müqavilə nömrəsi],"Xəta",0)</f>
        <v>№ 24-060</v>
      </c>
      <c r="M1084" s="4" t="s">
        <v>2387</v>
      </c>
    </row>
    <row r="1085" spans="2:13" x14ac:dyDescent="0.3">
      <c r="B1085" s="4">
        <f t="shared" si="16"/>
        <v>1082</v>
      </c>
      <c r="C1085" s="5">
        <v>46191</v>
      </c>
      <c r="D1085" s="10" t="str" cm="1">
        <f t="array" ref="D1085">_xlfn.XLOOKUP(Table4[[#This Row],[Malın kodu]],Table1[[#All],[Malın kodu]],Table1[[#All],[Malın adı]],"xəta",0)</f>
        <v>Əlcək / qaynaqçı</v>
      </c>
      <c r="E1085" s="8" t="s">
        <v>1988</v>
      </c>
      <c r="F1085" s="4" t="s">
        <v>924</v>
      </c>
      <c r="G1085" s="4">
        <v>1</v>
      </c>
      <c r="H1085" s="4">
        <v>4</v>
      </c>
      <c r="I1085" s="4">
        <f>Table4[[#This Row],[Malın miqdarı]]*Table4[[#This Row],[Vahidin qiyməti]]</f>
        <v>4</v>
      </c>
      <c r="J1085" s="4" t="s">
        <v>1905</v>
      </c>
      <c r="K1085" s="4" t="s">
        <v>1992</v>
      </c>
      <c r="L1085" s="4" t="str">
        <f>_xlfn.XLOOKUP(Table4[[#This Row],[Kontragentin adı]],Table2[Kontragentin adı],Table2[Müqavilə nömrəsi],"Xəta",0)</f>
        <v>№ 24-060</v>
      </c>
      <c r="M1085" s="4" t="s">
        <v>2387</v>
      </c>
    </row>
    <row r="1086" spans="2:13" x14ac:dyDescent="0.3">
      <c r="B1086" s="4">
        <f t="shared" si="16"/>
        <v>1083</v>
      </c>
      <c r="C1086" s="5">
        <v>46191</v>
      </c>
      <c r="D1086" s="10" t="str" cm="1">
        <f t="array" ref="D1086">_xlfn.XLOOKUP(Table4[[#This Row],[Malın kodu]],Table1[[#All],[Malın kodu]],Table1[[#All],[Malın adı]],"xəta",0)</f>
        <v>Elektrik uzadıcı / 5 metr</v>
      </c>
      <c r="E1086" s="8" t="s">
        <v>1989</v>
      </c>
      <c r="F1086" s="4" t="s">
        <v>920</v>
      </c>
      <c r="G1086" s="4">
        <v>1</v>
      </c>
      <c r="H1086" s="4">
        <v>6</v>
      </c>
      <c r="I1086" s="4">
        <f>Table4[[#This Row],[Malın miqdarı]]*Table4[[#This Row],[Vahidin qiyməti]]</f>
        <v>6</v>
      </c>
      <c r="J1086" s="4" t="s">
        <v>1905</v>
      </c>
      <c r="K1086" s="4" t="s">
        <v>1992</v>
      </c>
      <c r="L1086" s="4" t="str">
        <f>_xlfn.XLOOKUP(Table4[[#This Row],[Kontragentin adı]],Table2[Kontragentin adı],Table2[Müqavilə nömrəsi],"Xəta",0)</f>
        <v>№ 24-060</v>
      </c>
      <c r="M1086" s="4" t="s">
        <v>2387</v>
      </c>
    </row>
    <row r="1087" spans="2:13" x14ac:dyDescent="0.3">
      <c r="B1087" s="4">
        <f t="shared" si="16"/>
        <v>1084</v>
      </c>
      <c r="C1087" s="5">
        <v>46191</v>
      </c>
      <c r="D1087" s="10" t="str" cm="1">
        <f t="array" ref="D1087">_xlfn.XLOOKUP(Table4[[#This Row],[Malın kodu]],Table1[[#All],[Malın kodu]],Table1[[#All],[Malın adı]],"xəta",0)</f>
        <v>Boya / sintetik / parlaq / boz / 2.5 kq / "FAB"</v>
      </c>
      <c r="E1087" s="8" t="s">
        <v>2001</v>
      </c>
      <c r="F1087" s="4" t="s">
        <v>920</v>
      </c>
      <c r="G1087" s="4">
        <v>2</v>
      </c>
      <c r="H1087" s="4">
        <v>19.149999999999999</v>
      </c>
      <c r="I1087" s="4">
        <f>Table4[[#This Row],[Malın miqdarı]]*Table4[[#This Row],[Vahidin qiyməti]]</f>
        <v>38.299999999999997</v>
      </c>
      <c r="J1087" s="4" t="s">
        <v>1905</v>
      </c>
      <c r="K1087" s="4" t="s">
        <v>2009</v>
      </c>
      <c r="L1087" s="4">
        <f>_xlfn.XLOOKUP(Table4[[#This Row],[Kontragentin adı]],Table2[Kontragentin adı],Table2[Müqavilə nömrəsi],"Xəta",0)</f>
        <v>0</v>
      </c>
      <c r="M1087" s="4" t="s">
        <v>2010</v>
      </c>
    </row>
    <row r="1088" spans="2:13" x14ac:dyDescent="0.3">
      <c r="B1088" s="4">
        <f t="shared" si="16"/>
        <v>1085</v>
      </c>
      <c r="C1088" s="5">
        <v>46191</v>
      </c>
      <c r="D1088" s="10" t="str" cm="1">
        <f t="array" ref="D1088">_xlfn.XLOOKUP(Table4[[#This Row],[Malın kodu]],Table1[[#All],[Malın kodu]],Table1[[#All],[Malın adı]],"xəta",0)</f>
        <v>Boya / sintetik / parlaq / qırmızı / 2.5 kq / "FAB"</v>
      </c>
      <c r="E1088" s="8" t="s">
        <v>2002</v>
      </c>
      <c r="F1088" s="4" t="s">
        <v>920</v>
      </c>
      <c r="G1088" s="4">
        <v>1</v>
      </c>
      <c r="H1088" s="4">
        <v>19.149999999999999</v>
      </c>
      <c r="I1088" s="4">
        <f>Table4[[#This Row],[Malın miqdarı]]*Table4[[#This Row],[Vahidin qiyməti]]</f>
        <v>19.149999999999999</v>
      </c>
      <c r="J1088" s="4" t="s">
        <v>1905</v>
      </c>
      <c r="K1088" s="4" t="s">
        <v>2009</v>
      </c>
      <c r="L1088" s="4">
        <f>_xlfn.XLOOKUP(Table4[[#This Row],[Kontragentin adı]],Table2[Kontragentin adı],Table2[Müqavilə nömrəsi],"Xəta",0)</f>
        <v>0</v>
      </c>
      <c r="M1088" s="4" t="s">
        <v>2010</v>
      </c>
    </row>
    <row r="1089" spans="2:13" x14ac:dyDescent="0.3">
      <c r="B1089" s="4">
        <f t="shared" si="16"/>
        <v>1086</v>
      </c>
      <c r="C1089" s="5">
        <v>46191</v>
      </c>
      <c r="D1089" s="10" t="str" cm="1">
        <f t="array" ref="D1089">_xlfn.XLOOKUP(Table4[[#This Row],[Malın kodu]],Table1[[#All],[Malın kodu]],Table1[[#All],[Malın adı]],"xəta",0)</f>
        <v>Boya / sintetik / antipas / boz / 23.5 kq / "FAB"</v>
      </c>
      <c r="E1089" s="8" t="s">
        <v>2003</v>
      </c>
      <c r="F1089" s="4" t="s">
        <v>920</v>
      </c>
      <c r="G1089" s="4">
        <v>2</v>
      </c>
      <c r="H1089" s="4">
        <v>81.44</v>
      </c>
      <c r="I1089" s="4">
        <f>Table4[[#This Row],[Malın miqdarı]]*Table4[[#This Row],[Vahidin qiyməti]]</f>
        <v>162.88</v>
      </c>
      <c r="J1089" s="4" t="s">
        <v>1905</v>
      </c>
      <c r="K1089" s="4" t="s">
        <v>2009</v>
      </c>
      <c r="L1089" s="4">
        <f>_xlfn.XLOOKUP(Table4[[#This Row],[Kontragentin adı]],Table2[Kontragentin adı],Table2[Müqavilə nömrəsi],"Xəta",0)</f>
        <v>0</v>
      </c>
      <c r="M1089" s="4" t="s">
        <v>2010</v>
      </c>
    </row>
    <row r="1090" spans="2:13" x14ac:dyDescent="0.3">
      <c r="B1090" s="4">
        <f t="shared" si="16"/>
        <v>1087</v>
      </c>
      <c r="C1090" s="5">
        <v>46191</v>
      </c>
      <c r="D1090" s="10" t="str" cm="1">
        <f t="array" ref="D1090">_xlfn.XLOOKUP(Table4[[#This Row],[Malın kodu]],Table1[[#All],[Malın kodu]],Table1[[#All],[Malın adı]],"xəta",0)</f>
        <v>Boya / sintetik / parlaq / ağ / 2.5 kq / "FAB"</v>
      </c>
      <c r="E1090" s="8" t="s">
        <v>2004</v>
      </c>
      <c r="F1090" s="4" t="s">
        <v>920</v>
      </c>
      <c r="G1090" s="4">
        <v>2</v>
      </c>
      <c r="H1090" s="4">
        <v>20.34</v>
      </c>
      <c r="I1090" s="4">
        <f>Table4[[#This Row],[Malın miqdarı]]*Table4[[#This Row],[Vahidin qiyməti]]</f>
        <v>40.68</v>
      </c>
      <c r="J1090" s="4" t="s">
        <v>1905</v>
      </c>
      <c r="K1090" s="4" t="s">
        <v>2009</v>
      </c>
      <c r="L1090" s="4">
        <f>_xlfn.XLOOKUP(Table4[[#This Row],[Kontragentin adı]],Table2[Kontragentin adı],Table2[Müqavilə nömrəsi],"Xəta",0)</f>
        <v>0</v>
      </c>
      <c r="M1090" s="4" t="s">
        <v>2010</v>
      </c>
    </row>
    <row r="1091" spans="2:13" x14ac:dyDescent="0.3">
      <c r="B1091" s="4">
        <f t="shared" si="16"/>
        <v>1088</v>
      </c>
      <c r="C1091" s="5">
        <v>46191</v>
      </c>
      <c r="D1091" s="10" t="str" cm="1">
        <f t="array" ref="D1091">_xlfn.XLOOKUP(Table4[[#This Row],[Malın kodu]],Table1[[#All],[Malın kodu]],Table1[[#All],[Malın adı]],"xəta",0)</f>
        <v>Yapışdırıcı / fabkim standart / 25 kq</v>
      </c>
      <c r="E1091" s="8" t="s">
        <v>2005</v>
      </c>
      <c r="F1091" s="4" t="s">
        <v>920</v>
      </c>
      <c r="G1091" s="4">
        <v>3</v>
      </c>
      <c r="H1091" s="4">
        <v>5</v>
      </c>
      <c r="I1091" s="4">
        <f>Table4[[#This Row],[Malın miqdarı]]*Table4[[#This Row],[Vahidin qiyməti]]</f>
        <v>15</v>
      </c>
      <c r="J1091" s="4" t="s">
        <v>1905</v>
      </c>
      <c r="K1091" s="4" t="s">
        <v>2009</v>
      </c>
      <c r="L1091" s="4">
        <f>_xlfn.XLOOKUP(Table4[[#This Row],[Kontragentin adı]],Table2[Kontragentin adı],Table2[Müqavilə nömrəsi],"Xəta",0)</f>
        <v>0</v>
      </c>
      <c r="M1091" s="4" t="s">
        <v>2010</v>
      </c>
    </row>
    <row r="1092" spans="2:13" x14ac:dyDescent="0.3">
      <c r="B1092" s="4">
        <f t="shared" ref="B1092:B1155" si="17">ROW()-3</f>
        <v>1089</v>
      </c>
      <c r="C1092" s="5">
        <v>46191</v>
      </c>
      <c r="D1092" s="10" t="str" cm="1">
        <f t="array" ref="D1092">_xlfn.XLOOKUP(Table4[[#This Row],[Malın kodu]],Table1[[#All],[Malın kodu]],Table1[[#All],[Malın adı]],"xəta",0)</f>
        <v>Strec / 300 P/6</v>
      </c>
      <c r="E1092" s="8" t="s">
        <v>2006</v>
      </c>
      <c r="F1092" s="4" t="s">
        <v>920</v>
      </c>
      <c r="G1092" s="4">
        <v>2</v>
      </c>
      <c r="H1092" s="4">
        <v>17.71</v>
      </c>
      <c r="I1092" s="4">
        <f>Table4[[#This Row],[Malın miqdarı]]*Table4[[#This Row],[Vahidin qiyməti]]</f>
        <v>35.42</v>
      </c>
      <c r="J1092" s="4" t="s">
        <v>1905</v>
      </c>
      <c r="K1092" s="4" t="s">
        <v>2009</v>
      </c>
      <c r="L1092" s="4">
        <f>_xlfn.XLOOKUP(Table4[[#This Row],[Kontragentin adı]],Table2[Kontragentin adı],Table2[Müqavilə nömrəsi],"Xəta",0)</f>
        <v>0</v>
      </c>
      <c r="M1092" s="4" t="s">
        <v>2010</v>
      </c>
    </row>
    <row r="1093" spans="2:13" x14ac:dyDescent="0.3">
      <c r="B1093" s="4">
        <f t="shared" si="17"/>
        <v>1090</v>
      </c>
      <c r="C1093" s="5">
        <v>46191</v>
      </c>
      <c r="D1093" s="10" t="str" cm="1">
        <f t="array" ref="D1093">_xlfn.XLOOKUP(Table4[[#This Row],[Malın kodu]],Table1[[#All],[Malın kodu]],Table1[[#All],[Malın adı]],"xəta",0)</f>
        <v>Tiner / 2.5 L / "FAB"</v>
      </c>
      <c r="E1093" s="8" t="s">
        <v>2007</v>
      </c>
      <c r="F1093" s="4" t="s">
        <v>920</v>
      </c>
      <c r="G1093" s="4">
        <v>6</v>
      </c>
      <c r="H1093" s="4">
        <v>6.86</v>
      </c>
      <c r="I1093" s="4">
        <f>Table4[[#This Row],[Malın miqdarı]]*Table4[[#This Row],[Vahidin qiyməti]]</f>
        <v>41.160000000000004</v>
      </c>
      <c r="J1093" s="4" t="s">
        <v>1905</v>
      </c>
      <c r="K1093" s="4" t="s">
        <v>2009</v>
      </c>
      <c r="L1093" s="4">
        <f>_xlfn.XLOOKUP(Table4[[#This Row],[Kontragentin adı]],Table2[Kontragentin adı],Table2[Müqavilə nömrəsi],"Xəta",0)</f>
        <v>0</v>
      </c>
      <c r="M1093" s="4" t="s">
        <v>2010</v>
      </c>
    </row>
    <row r="1094" spans="2:13" x14ac:dyDescent="0.3">
      <c r="B1094" s="4">
        <f t="shared" si="17"/>
        <v>1091</v>
      </c>
      <c r="C1094" s="5">
        <v>46191</v>
      </c>
      <c r="D1094" s="10" t="str" cm="1">
        <f t="array" ref="D1094">_xlfn.XLOOKUP(Table4[[#This Row],[Malın kodu]],Table1[[#All],[Malın kodu]],Table1[[#All],[Malın adı]],"xəta",0)</f>
        <v>Boya / sintetik / parlaq / sarı / 17 kq / "FAB"</v>
      </c>
      <c r="E1094" s="8" t="s">
        <v>2008</v>
      </c>
      <c r="F1094" s="4" t="s">
        <v>920</v>
      </c>
      <c r="G1094" s="4">
        <v>1</v>
      </c>
      <c r="H1094" s="4">
        <v>116.8</v>
      </c>
      <c r="I1094" s="4">
        <f>Table4[[#This Row],[Malın miqdarı]]*Table4[[#This Row],[Vahidin qiyməti]]</f>
        <v>116.8</v>
      </c>
      <c r="J1094" s="4" t="s">
        <v>1905</v>
      </c>
      <c r="K1094" s="4" t="s">
        <v>2009</v>
      </c>
      <c r="L1094" s="4">
        <f>_xlfn.XLOOKUP(Table4[[#This Row],[Kontragentin adı]],Table2[Kontragentin adı],Table2[Müqavilə nömrəsi],"Xəta",0)</f>
        <v>0</v>
      </c>
      <c r="M1094" s="4" t="s">
        <v>2010</v>
      </c>
    </row>
    <row r="1095" spans="2:13" x14ac:dyDescent="0.3">
      <c r="B1095" s="4">
        <f t="shared" si="17"/>
        <v>1092</v>
      </c>
      <c r="C1095" s="5">
        <v>46191</v>
      </c>
      <c r="D1095" s="10" t="str" cm="1">
        <f t="array" ref="D1095">_xlfn.XLOOKUP(Table4[[#This Row],[Malın kodu]],Table1[[#All],[Malın kodu]],Table1[[#All],[Malın adı]],"xəta",0)</f>
        <v>Metçik açarı / 10</v>
      </c>
      <c r="E1095" s="8" t="s">
        <v>2014</v>
      </c>
      <c r="F1095" s="4" t="s">
        <v>920</v>
      </c>
      <c r="G1095" s="4">
        <v>1</v>
      </c>
      <c r="H1095" s="4">
        <v>10</v>
      </c>
      <c r="I1095" s="4">
        <f>Table4[[#This Row],[Malın miqdarı]]*Table4[[#This Row],[Vahidin qiyməti]]</f>
        <v>10</v>
      </c>
      <c r="J1095" s="4" t="s">
        <v>1914</v>
      </c>
      <c r="K1095" s="4" t="s">
        <v>2019</v>
      </c>
      <c r="L1095" s="4">
        <f>_xlfn.XLOOKUP(Table4[[#This Row],[Kontragentin adı]],Table2[Kontragentin adı],Table2[Müqavilə nömrəsi],"Xəta",0)</f>
        <v>0</v>
      </c>
      <c r="M1095" s="4" t="s">
        <v>2388</v>
      </c>
    </row>
    <row r="1096" spans="2:13" x14ac:dyDescent="0.3">
      <c r="B1096" s="4">
        <f t="shared" si="17"/>
        <v>1093</v>
      </c>
      <c r="C1096" s="5">
        <v>46191</v>
      </c>
      <c r="D1096" s="10" t="str" cm="1">
        <f t="array" ref="D1096">_xlfn.XLOOKUP(Table4[[#This Row],[Malın kodu]],Table1[[#All],[Malın kodu]],Table1[[#All],[Malın adı]],"xəta",0)</f>
        <v>Metçik açarı / 14</v>
      </c>
      <c r="E1096" s="8" t="s">
        <v>2015</v>
      </c>
      <c r="F1096" s="4" t="s">
        <v>920</v>
      </c>
      <c r="G1096" s="4">
        <v>1</v>
      </c>
      <c r="H1096" s="4">
        <v>13</v>
      </c>
      <c r="I1096" s="4">
        <f>Table4[[#This Row],[Malın miqdarı]]*Table4[[#This Row],[Vahidin qiyməti]]</f>
        <v>13</v>
      </c>
      <c r="J1096" s="4" t="s">
        <v>1914</v>
      </c>
      <c r="K1096" s="4" t="s">
        <v>2019</v>
      </c>
      <c r="L1096" s="4">
        <f>_xlfn.XLOOKUP(Table4[[#This Row],[Kontragentin adı]],Table2[Kontragentin adı],Table2[Müqavilə nömrəsi],"Xəta",0)</f>
        <v>0</v>
      </c>
      <c r="M1096" s="4" t="s">
        <v>2388</v>
      </c>
    </row>
    <row r="1097" spans="2:13" x14ac:dyDescent="0.3">
      <c r="B1097" s="4">
        <f t="shared" si="17"/>
        <v>1094</v>
      </c>
      <c r="C1097" s="5">
        <v>46191</v>
      </c>
      <c r="D1097" s="10" t="str" cm="1">
        <f t="array" ref="D1097">_xlfn.XLOOKUP(Table4[[#This Row],[Malın kodu]],Table1[[#All],[Malın kodu]],Table1[[#All],[Malın adı]],"xəta",0)</f>
        <v>Metçik açarı / 12</v>
      </c>
      <c r="E1097" s="8" t="s">
        <v>2016</v>
      </c>
      <c r="F1097" s="4" t="s">
        <v>920</v>
      </c>
      <c r="G1097" s="4">
        <v>1</v>
      </c>
      <c r="H1097" s="4">
        <v>12</v>
      </c>
      <c r="I1097" s="4">
        <f>Table4[[#This Row],[Malın miqdarı]]*Table4[[#This Row],[Vahidin qiyməti]]</f>
        <v>12</v>
      </c>
      <c r="J1097" s="4" t="s">
        <v>1914</v>
      </c>
      <c r="K1097" s="4" t="s">
        <v>2019</v>
      </c>
      <c r="L1097" s="4">
        <f>_xlfn.XLOOKUP(Table4[[#This Row],[Kontragentin adı]],Table2[Kontragentin adı],Table2[Müqavilə nömrəsi],"Xəta",0)</f>
        <v>0</v>
      </c>
      <c r="M1097" s="4" t="s">
        <v>2388</v>
      </c>
    </row>
    <row r="1098" spans="2:13" x14ac:dyDescent="0.3">
      <c r="B1098" s="4">
        <f t="shared" si="17"/>
        <v>1095</v>
      </c>
      <c r="C1098" s="5">
        <v>46191</v>
      </c>
      <c r="D1098" s="10" t="str" cm="1">
        <f t="array" ref="D1098">_xlfn.XLOOKUP(Table4[[#This Row],[Malın kodu]],Table1[[#All],[Malın kodu]],Table1[[#All],[Malın adı]],"xəta",0)</f>
        <v>Metçik açarı</v>
      </c>
      <c r="E1098" s="8" t="s">
        <v>2017</v>
      </c>
      <c r="F1098" s="4" t="s">
        <v>920</v>
      </c>
      <c r="G1098" s="4">
        <v>1</v>
      </c>
      <c r="H1098" s="4">
        <v>8</v>
      </c>
      <c r="I1098" s="4">
        <f>Table4[[#This Row],[Malın miqdarı]]*Table4[[#This Row],[Vahidin qiyməti]]</f>
        <v>8</v>
      </c>
      <c r="J1098" s="4" t="s">
        <v>1914</v>
      </c>
      <c r="K1098" s="4" t="s">
        <v>2019</v>
      </c>
      <c r="L1098" s="4">
        <f>_xlfn.XLOOKUP(Table4[[#This Row],[Kontragentin adı]],Table2[Kontragentin adı],Table2[Müqavilə nömrəsi],"Xəta",0)</f>
        <v>0</v>
      </c>
      <c r="M1098" s="4" t="s">
        <v>2388</v>
      </c>
    </row>
    <row r="1099" spans="2:13" x14ac:dyDescent="0.3">
      <c r="B1099" s="4">
        <f t="shared" si="17"/>
        <v>1096</v>
      </c>
      <c r="C1099" s="5">
        <v>46191</v>
      </c>
      <c r="D1099" s="10" t="str" cm="1">
        <f t="array" ref="D1099">_xlfn.XLOOKUP(Table4[[#This Row],[Malın kodu]],Table1[[#All],[Malın kodu]],Table1[[#All],[Malın adı]],"xəta",0)</f>
        <v>Bolt / altıkünc / qara / kiçik</v>
      </c>
      <c r="E1099" s="8" t="s">
        <v>2205</v>
      </c>
      <c r="F1099" s="4" t="s">
        <v>927</v>
      </c>
      <c r="G1099" s="4">
        <v>1</v>
      </c>
      <c r="H1099" s="4">
        <v>14</v>
      </c>
      <c r="I1099" s="4">
        <f>Table4[[#This Row],[Malın miqdarı]]*Table4[[#This Row],[Vahidin qiyməti]]</f>
        <v>14</v>
      </c>
      <c r="J1099" s="4" t="s">
        <v>1914</v>
      </c>
      <c r="K1099" s="4" t="s">
        <v>2019</v>
      </c>
      <c r="L1099" s="4">
        <f>_xlfn.XLOOKUP(Table4[[#This Row],[Kontragentin adı]],Table2[Kontragentin adı],Table2[Müqavilə nömrəsi],"Xəta",0)</f>
        <v>0</v>
      </c>
      <c r="M1099" s="4" t="s">
        <v>2389</v>
      </c>
    </row>
    <row r="1100" spans="2:13" x14ac:dyDescent="0.3">
      <c r="B1100" s="4">
        <f t="shared" si="17"/>
        <v>1097</v>
      </c>
      <c r="C1100" s="5">
        <v>46191</v>
      </c>
      <c r="D1100" s="10" t="str" cm="1">
        <f t="array" ref="D1100">_xlfn.XLOOKUP(Table4[[#This Row],[Malın kodu]],Table1[[#All],[Malın kodu]],Table1[[#All],[Malın adı]],"xəta",0)</f>
        <v>Sement / M400 / Norm</v>
      </c>
      <c r="E1100" s="8" t="s">
        <v>2207</v>
      </c>
      <c r="F1100" s="4" t="s">
        <v>920</v>
      </c>
      <c r="G1100" s="4">
        <v>2</v>
      </c>
      <c r="H1100" s="4">
        <v>9</v>
      </c>
      <c r="I1100" s="4">
        <f>Table4[[#This Row],[Malın miqdarı]]*Table4[[#This Row],[Vahidin qiyməti]]</f>
        <v>18</v>
      </c>
      <c r="J1100" s="4" t="s">
        <v>1914</v>
      </c>
      <c r="K1100" s="4" t="s">
        <v>2019</v>
      </c>
      <c r="L1100" s="4">
        <f>_xlfn.XLOOKUP(Table4[[#This Row],[Kontragentin adı]],Table2[Kontragentin adı],Table2[Müqavilə nömrəsi],"Xəta",0)</f>
        <v>0</v>
      </c>
      <c r="M1100" s="4" t="s">
        <v>2388</v>
      </c>
    </row>
    <row r="1101" spans="2:13" x14ac:dyDescent="0.3">
      <c r="B1101" s="4">
        <f t="shared" si="17"/>
        <v>1098</v>
      </c>
      <c r="C1101" s="5">
        <v>46191</v>
      </c>
      <c r="D1101" s="10" t="str" cm="1">
        <f t="array" ref="D1101">_xlfn.XLOOKUP(Table4[[#This Row],[Malın kodu]],Table1[[#All],[Malın kodu]],Table1[[#All],[Malın adı]],"xəta",0)</f>
        <v>Məməcik / yağlama</v>
      </c>
      <c r="E1101" s="8" t="s">
        <v>2209</v>
      </c>
      <c r="F1101" s="4" t="s">
        <v>920</v>
      </c>
      <c r="G1101" s="4">
        <v>50</v>
      </c>
      <c r="H1101" s="4">
        <v>0.2</v>
      </c>
      <c r="I1101" s="4">
        <f>Table4[[#This Row],[Malın miqdarı]]*Table4[[#This Row],[Vahidin qiyməti]]</f>
        <v>10</v>
      </c>
      <c r="J1101" s="4" t="s">
        <v>1914</v>
      </c>
      <c r="K1101" s="4" t="s">
        <v>2019</v>
      </c>
      <c r="L1101" s="4">
        <f>_xlfn.XLOOKUP(Table4[[#This Row],[Kontragentin adı]],Table2[Kontragentin adı],Table2[Müqavilə nömrəsi],"Xəta",0)</f>
        <v>0</v>
      </c>
      <c r="M1101" s="4" t="s">
        <v>2389</v>
      </c>
    </row>
    <row r="1102" spans="2:13" x14ac:dyDescent="0.3">
      <c r="B1102" s="4">
        <f t="shared" si="17"/>
        <v>1099</v>
      </c>
      <c r="C1102" s="5">
        <v>46192</v>
      </c>
      <c r="D1102" s="10" t="str" cm="1">
        <f t="array" ref="D1102">_xlfn.XLOOKUP(Table4[[#This Row],[Malın kodu]],Table1[[#All],[Malın kodu]],Table1[[#All],[Malın adı]],"xəta",0)</f>
        <v>Yağ / 15w40 / 1L / Lubex Primus EC</v>
      </c>
      <c r="E1102" s="8" t="s">
        <v>2211</v>
      </c>
      <c r="F1102" s="4" t="s">
        <v>920</v>
      </c>
      <c r="G1102" s="4">
        <v>3</v>
      </c>
      <c r="H1102" s="4">
        <v>10.5</v>
      </c>
      <c r="I1102" s="4">
        <f>Table4[[#This Row],[Malın miqdarı]]*Table4[[#This Row],[Vahidin qiyməti]]</f>
        <v>31.5</v>
      </c>
      <c r="J1102" s="4" t="s">
        <v>1914</v>
      </c>
      <c r="K1102" s="4" t="s">
        <v>900</v>
      </c>
      <c r="L1102" s="4" t="s">
        <v>901</v>
      </c>
      <c r="M1102" s="4" t="s">
        <v>2390</v>
      </c>
    </row>
    <row r="1103" spans="2:13" x14ac:dyDescent="0.3">
      <c r="B1103" s="4">
        <f t="shared" si="17"/>
        <v>1100</v>
      </c>
      <c r="C1103" s="5">
        <v>46193</v>
      </c>
      <c r="D1103" s="10" t="str" cm="1">
        <f t="array" ref="D1103">_xlfn.XLOOKUP(Table4[[#This Row],[Malın kodu]],Table1[[#All],[Malın kodu]],Table1[[#All],[Malın adı]],"xəta",0)</f>
        <v>Bitum / Rus</v>
      </c>
      <c r="E1103" s="8" t="s">
        <v>2203</v>
      </c>
      <c r="F1103" s="4" t="s">
        <v>920</v>
      </c>
      <c r="G1103" s="4">
        <v>2</v>
      </c>
      <c r="H1103" s="4">
        <v>45</v>
      </c>
      <c r="I1103" s="4">
        <f>Table4[[#This Row],[Malın miqdarı]]*Table4[[#This Row],[Vahidin qiyməti]]</f>
        <v>90</v>
      </c>
      <c r="J1103" s="4" t="s">
        <v>1914</v>
      </c>
      <c r="K1103" s="4" t="s">
        <v>2164</v>
      </c>
      <c r="L1103" s="4">
        <f>_xlfn.XLOOKUP(Table4[[#This Row],[Kontragentin adı]],Table2[Kontragentin adı],Table2[Müqavilə nömrəsi],"Xəta",0)</f>
        <v>0</v>
      </c>
      <c r="M1103" s="4" t="s">
        <v>2391</v>
      </c>
    </row>
    <row r="1104" spans="2:13" x14ac:dyDescent="0.3">
      <c r="B1104" s="4">
        <f t="shared" si="17"/>
        <v>1101</v>
      </c>
      <c r="C1104" s="5">
        <v>46194</v>
      </c>
      <c r="D1104" s="10" t="str" cm="1">
        <f t="array" ref="D1104">_xlfn.XLOOKUP(Table4[[#This Row],[Malın kodu]],Table1[[#All],[Malın kodu]],Table1[[#All],[Malın adı]],"xəta",0)</f>
        <v>Arxiv qovluğu / ensiz / göy</v>
      </c>
      <c r="E1104" s="8" t="s">
        <v>2189</v>
      </c>
      <c r="F1104" s="4" t="s">
        <v>920</v>
      </c>
      <c r="G1104" s="4">
        <v>3</v>
      </c>
      <c r="H1104" s="4">
        <v>3.5</v>
      </c>
      <c r="I1104" s="4">
        <f>Table4[[#This Row],[Malın miqdarı]]*Table4[[#This Row],[Vahidin qiyməti]]</f>
        <v>10.5</v>
      </c>
      <c r="J1104" s="4" t="s">
        <v>1914</v>
      </c>
      <c r="K1104" s="4" t="s">
        <v>1894</v>
      </c>
      <c r="L1104" s="4" t="s">
        <v>1895</v>
      </c>
      <c r="M1104" s="4" t="s">
        <v>2392</v>
      </c>
    </row>
    <row r="1105" spans="2:13" x14ac:dyDescent="0.3">
      <c r="B1105" s="4">
        <f t="shared" si="17"/>
        <v>1102</v>
      </c>
      <c r="C1105" s="5">
        <v>46194</v>
      </c>
      <c r="D1105" s="10" t="str" cm="1">
        <f t="array" ref="D1105">_xlfn.XLOOKUP(Table4[[#This Row],[Malın kodu]],Table1[[#All],[Malın kodu]],Table1[[#All],[Malın adı]],"xəta",0)</f>
        <v>Sənəd rəfi / 3-lü / DG 2001 HF J2</v>
      </c>
      <c r="E1105" s="8" t="s">
        <v>2190</v>
      </c>
      <c r="F1105" s="4" t="s">
        <v>920</v>
      </c>
      <c r="G1105" s="4">
        <v>1</v>
      </c>
      <c r="H1105" s="4">
        <v>17</v>
      </c>
      <c r="I1105" s="4">
        <f>Table4[[#This Row],[Malın miqdarı]]*Table4[[#This Row],[Vahidin qiyməti]]</f>
        <v>17</v>
      </c>
      <c r="J1105" s="4" t="s">
        <v>1914</v>
      </c>
      <c r="K1105" s="4" t="s">
        <v>1894</v>
      </c>
      <c r="L1105" s="4" t="s">
        <v>1895</v>
      </c>
      <c r="M1105" s="4" t="s">
        <v>2392</v>
      </c>
    </row>
    <row r="1106" spans="2:13" x14ac:dyDescent="0.3">
      <c r="B1106" s="4">
        <f t="shared" si="17"/>
        <v>1103</v>
      </c>
      <c r="C1106" s="5">
        <v>46194</v>
      </c>
      <c r="D1106" s="10" t="str" cm="1">
        <f t="array" ref="D1106">_xlfn.XLOOKUP(Table4[[#This Row],[Malın kodu]],Table1[[#All],[Malın kodu]],Table1[[#All],[Malın adı]],"xəta",0)</f>
        <v>Texmarker / A178 / narıncı</v>
      </c>
      <c r="E1106" s="8" t="s">
        <v>2191</v>
      </c>
      <c r="F1106" s="4" t="s">
        <v>920</v>
      </c>
      <c r="G1106" s="4">
        <v>1</v>
      </c>
      <c r="H1106" s="4">
        <v>1.2</v>
      </c>
      <c r="I1106" s="4">
        <f>Table4[[#This Row],[Malın miqdarı]]*Table4[[#This Row],[Vahidin qiyməti]]</f>
        <v>1.2</v>
      </c>
      <c r="J1106" s="4" t="s">
        <v>1914</v>
      </c>
      <c r="K1106" s="4" t="s">
        <v>1894</v>
      </c>
      <c r="L1106" s="4" t="s">
        <v>1895</v>
      </c>
      <c r="M1106" s="4" t="s">
        <v>2392</v>
      </c>
    </row>
    <row r="1107" spans="2:13" x14ac:dyDescent="0.3">
      <c r="B1107" s="4">
        <f t="shared" si="17"/>
        <v>1104</v>
      </c>
      <c r="C1107" s="5">
        <v>46194</v>
      </c>
      <c r="D1107" s="10" t="str" cm="1">
        <f t="array" ref="D1107">_xlfn.XLOOKUP(Table4[[#This Row],[Malın kodu]],Table1[[#All],[Malın kodu]],Table1[[#All],[Malın adı]],"xəta",0)</f>
        <v>Texmarker / A178 / mavi</v>
      </c>
      <c r="E1107" s="8" t="s">
        <v>2192</v>
      </c>
      <c r="F1107" s="4" t="s">
        <v>920</v>
      </c>
      <c r="G1107" s="4">
        <v>1</v>
      </c>
      <c r="H1107" s="4">
        <v>1.2</v>
      </c>
      <c r="I1107" s="4">
        <f>Table4[[#This Row],[Malın miqdarı]]*Table4[[#This Row],[Vahidin qiyməti]]</f>
        <v>1.2</v>
      </c>
      <c r="J1107" s="4" t="s">
        <v>1914</v>
      </c>
      <c r="K1107" s="4" t="s">
        <v>1894</v>
      </c>
      <c r="L1107" s="4" t="s">
        <v>1895</v>
      </c>
      <c r="M1107" s="4" t="s">
        <v>2392</v>
      </c>
    </row>
    <row r="1108" spans="2:13" x14ac:dyDescent="0.3">
      <c r="B1108" s="4">
        <f t="shared" si="17"/>
        <v>1105</v>
      </c>
      <c r="C1108" s="5">
        <v>46194</v>
      </c>
      <c r="D1108" s="10" t="str" cm="1">
        <f t="array" ref="D1108">_xlfn.XLOOKUP(Table4[[#This Row],[Malın kodu]],Table1[[#All],[Malın kodu]],Table1[[#All],[Malın adı]],"xəta",0)</f>
        <v>Texmarker / A178 / yaşıl</v>
      </c>
      <c r="E1108" s="8" t="s">
        <v>2193</v>
      </c>
      <c r="F1108" s="4" t="s">
        <v>920</v>
      </c>
      <c r="G1108" s="4">
        <v>1</v>
      </c>
      <c r="H1108" s="4">
        <v>1.2</v>
      </c>
      <c r="I1108" s="4">
        <f>Table4[[#This Row],[Malın miqdarı]]*Table4[[#This Row],[Vahidin qiyməti]]</f>
        <v>1.2</v>
      </c>
      <c r="J1108" s="4" t="s">
        <v>1914</v>
      </c>
      <c r="K1108" s="4" t="s">
        <v>1894</v>
      </c>
      <c r="L1108" s="4" t="s">
        <v>1895</v>
      </c>
      <c r="M1108" s="4" t="s">
        <v>2392</v>
      </c>
    </row>
    <row r="1109" spans="2:13" x14ac:dyDescent="0.3">
      <c r="B1109" s="4">
        <f t="shared" si="17"/>
        <v>1106</v>
      </c>
      <c r="C1109" s="5">
        <v>46194</v>
      </c>
      <c r="D1109" s="10" t="str" cm="1">
        <f t="array" ref="D1109">_xlfn.XLOOKUP(Table4[[#This Row],[Malın kodu]],Table1[[#All],[Malın kodu]],Table1[[#All],[Malın adı]],"xəta",0)</f>
        <v>Texmarker / A178 / sarı</v>
      </c>
      <c r="E1109" s="8" t="s">
        <v>2194</v>
      </c>
      <c r="F1109" s="4" t="s">
        <v>920</v>
      </c>
      <c r="G1109" s="4">
        <v>1</v>
      </c>
      <c r="H1109" s="4">
        <v>1.2</v>
      </c>
      <c r="I1109" s="4">
        <f>Table4[[#This Row],[Malın miqdarı]]*Table4[[#This Row],[Vahidin qiyməti]]</f>
        <v>1.2</v>
      </c>
      <c r="J1109" s="4" t="s">
        <v>1914</v>
      </c>
      <c r="K1109" s="4" t="s">
        <v>1894</v>
      </c>
      <c r="L1109" s="4" t="s">
        <v>1895</v>
      </c>
      <c r="M1109" s="4" t="s">
        <v>2392</v>
      </c>
    </row>
    <row r="1110" spans="2:13" x14ac:dyDescent="0.3">
      <c r="B1110" s="4">
        <f t="shared" si="17"/>
        <v>1107</v>
      </c>
      <c r="C1110" s="5">
        <v>46194</v>
      </c>
      <c r="D1110" s="10" t="str" cm="1">
        <f t="array" ref="D1110">_xlfn.XLOOKUP(Table4[[#This Row],[Malın kodu]],Table1[[#All],[Malın kodu]],Table1[[#All],[Malın adı]],"xəta",0)</f>
        <v>Delgec / kağızdeşən / A101</v>
      </c>
      <c r="E1110" s="8" t="s">
        <v>2195</v>
      </c>
      <c r="F1110" s="4" t="s">
        <v>920</v>
      </c>
      <c r="G1110" s="4">
        <v>1</v>
      </c>
      <c r="H1110" s="4">
        <v>3.6</v>
      </c>
      <c r="I1110" s="4">
        <f>Table4[[#This Row],[Malın miqdarı]]*Table4[[#This Row],[Vahidin qiyməti]]</f>
        <v>3.6</v>
      </c>
      <c r="J1110" s="4" t="s">
        <v>1914</v>
      </c>
      <c r="K1110" s="4" t="s">
        <v>1894</v>
      </c>
      <c r="L1110" s="4" t="s">
        <v>1895</v>
      </c>
      <c r="M1110" s="4" t="s">
        <v>2392</v>
      </c>
    </row>
    <row r="1111" spans="2:13" x14ac:dyDescent="0.3">
      <c r="B1111" s="4">
        <f t="shared" si="17"/>
        <v>1108</v>
      </c>
      <c r="C1111" s="5">
        <v>46194</v>
      </c>
      <c r="D1111" s="10" t="str" cm="1">
        <f t="array" ref="D1111">_xlfn.XLOOKUP(Table4[[#This Row],[Malın kodu]],Table1[[#All],[Malın kodu]],Table1[[#All],[Malın adı]],"xəta",0)</f>
        <v>Dosya qovluğu / telli / mavi</v>
      </c>
      <c r="E1111" s="8" t="s">
        <v>2196</v>
      </c>
      <c r="F1111" s="4" t="s">
        <v>920</v>
      </c>
      <c r="G1111" s="4">
        <v>3</v>
      </c>
      <c r="H1111" s="4">
        <v>0.4</v>
      </c>
      <c r="I1111" s="4">
        <f>Table4[[#This Row],[Malın miqdarı]]*Table4[[#This Row],[Vahidin qiyməti]]</f>
        <v>1.2000000000000002</v>
      </c>
      <c r="J1111" s="4" t="s">
        <v>1914</v>
      </c>
      <c r="K1111" s="4" t="s">
        <v>1894</v>
      </c>
      <c r="L1111" s="4" t="s">
        <v>1895</v>
      </c>
      <c r="M1111" s="4" t="s">
        <v>2392</v>
      </c>
    </row>
    <row r="1112" spans="2:13" x14ac:dyDescent="0.3">
      <c r="B1112" s="4">
        <f t="shared" si="17"/>
        <v>1109</v>
      </c>
      <c r="C1112" s="5">
        <v>46194</v>
      </c>
      <c r="D1112" s="10" t="str" cm="1">
        <f t="array" ref="D1112">_xlfn.XLOOKUP(Table4[[#This Row],[Malın kodu]],Table1[[#All],[Malın kodu]],Table1[[#All],[Malın adı]],"xəta",0)</f>
        <v>Qısqac / A182</v>
      </c>
      <c r="E1112" s="8" t="s">
        <v>2197</v>
      </c>
      <c r="F1112" s="4" t="s">
        <v>920</v>
      </c>
      <c r="G1112" s="4">
        <v>3</v>
      </c>
      <c r="H1112" s="4">
        <v>0.4</v>
      </c>
      <c r="I1112" s="4">
        <f>Table4[[#This Row],[Malın miqdarı]]*Table4[[#This Row],[Vahidin qiyməti]]</f>
        <v>1.2000000000000002</v>
      </c>
      <c r="J1112" s="4" t="s">
        <v>1914</v>
      </c>
      <c r="K1112" s="4" t="s">
        <v>1894</v>
      </c>
      <c r="L1112" s="4" t="s">
        <v>1895</v>
      </c>
      <c r="M1112" s="4" t="s">
        <v>2392</v>
      </c>
    </row>
    <row r="1113" spans="2:13" x14ac:dyDescent="0.3">
      <c r="B1113" s="4">
        <f t="shared" si="17"/>
        <v>1110</v>
      </c>
      <c r="C1113" s="5">
        <v>46194</v>
      </c>
      <c r="D1113" s="10" t="str" cm="1">
        <f t="array" ref="D1113">_xlfn.XLOOKUP(Table4[[#This Row],[Malın kodu]],Table1[[#All],[Malın kodu]],Table1[[#All],[Malın adı]],"xəta",0)</f>
        <v>Burğu / 22</v>
      </c>
      <c r="E1113" s="8" t="s">
        <v>2198</v>
      </c>
      <c r="F1113" s="4" t="s">
        <v>920</v>
      </c>
      <c r="G1113" s="4">
        <v>1</v>
      </c>
      <c r="H1113" s="4">
        <v>16</v>
      </c>
      <c r="I1113" s="4">
        <f>Table4[[#This Row],[Malın miqdarı]]*Table4[[#This Row],[Vahidin qiyməti]]</f>
        <v>16</v>
      </c>
      <c r="J1113" s="4" t="s">
        <v>1914</v>
      </c>
      <c r="K1113" s="4" t="s">
        <v>2019</v>
      </c>
      <c r="L1113" s="4">
        <f>_xlfn.XLOOKUP(Table4[[#This Row],[Kontragentin adı]],Table2[Kontragentin adı],Table2[Müqavilə nömrəsi],"Xəta",0)</f>
        <v>0</v>
      </c>
      <c r="M1113" s="4" t="s">
        <v>2393</v>
      </c>
    </row>
    <row r="1114" spans="2:13" x14ac:dyDescent="0.3">
      <c r="B1114" s="4">
        <f t="shared" si="17"/>
        <v>1111</v>
      </c>
      <c r="C1114" s="5">
        <v>46194</v>
      </c>
      <c r="D1114" s="10" t="str" cm="1">
        <f t="array" ref="D1114">_xlfn.XLOOKUP(Table4[[#This Row],[Malın kodu]],Table1[[#All],[Malın kodu]],Table1[[#All],[Malın adı]],"xəta",0)</f>
        <v>Burğu / 24</v>
      </c>
      <c r="E1114" s="8" t="s">
        <v>2201</v>
      </c>
      <c r="F1114" s="4" t="s">
        <v>920</v>
      </c>
      <c r="G1114" s="4">
        <v>1</v>
      </c>
      <c r="H1114" s="4">
        <v>20</v>
      </c>
      <c r="I1114" s="4">
        <f>Table4[[#This Row],[Malın miqdarı]]*Table4[[#This Row],[Vahidin qiyməti]]</f>
        <v>20</v>
      </c>
      <c r="J1114" s="4" t="s">
        <v>1914</v>
      </c>
      <c r="K1114" s="4" t="s">
        <v>2019</v>
      </c>
      <c r="L1114" s="4">
        <f>_xlfn.XLOOKUP(Table4[[#This Row],[Kontragentin adı]],Table2[Kontragentin adı],Table2[Müqavilə nömrəsi],"Xəta",0)</f>
        <v>0</v>
      </c>
      <c r="M1114" s="4" t="s">
        <v>2393</v>
      </c>
    </row>
    <row r="1115" spans="2:13" x14ac:dyDescent="0.3">
      <c r="B1115" s="4">
        <f t="shared" si="17"/>
        <v>1112</v>
      </c>
      <c r="C1115" s="5">
        <v>46195</v>
      </c>
      <c r="D1115" s="10" t="str" cm="1">
        <f t="array" ref="D1115">_xlfn.XLOOKUP(Table4[[#This Row],[Malın kodu]],Table1[[#All],[Malın kodu]],Table1[[#All],[Malın adı]],"xəta",0)</f>
        <v>Profil / 4x4 / metal</v>
      </c>
      <c r="E1115" s="8" t="s">
        <v>2038</v>
      </c>
      <c r="F1115" s="4" t="s">
        <v>920</v>
      </c>
      <c r="G1115" s="4">
        <v>12</v>
      </c>
      <c r="H1115" s="4">
        <v>4.5</v>
      </c>
      <c r="I1115" s="4">
        <f>Table4[[#This Row],[Malın miqdarı]]*Table4[[#This Row],[Vahidin qiyməti]]</f>
        <v>54</v>
      </c>
      <c r="J1115" s="4" t="s">
        <v>1905</v>
      </c>
      <c r="K1115" s="4" t="s">
        <v>2277</v>
      </c>
      <c r="L1115" s="4" t="s">
        <v>2060</v>
      </c>
      <c r="M1115" s="4" t="s">
        <v>2394</v>
      </c>
    </row>
    <row r="1116" spans="2:13" x14ac:dyDescent="0.3">
      <c r="B1116" s="4">
        <f t="shared" si="17"/>
        <v>1113</v>
      </c>
      <c r="C1116" s="5">
        <v>46195</v>
      </c>
      <c r="D1116" s="10" t="str" cm="1">
        <f t="array" ref="D1116">_xlfn.XLOOKUP(Table4[[#This Row],[Malın kodu]],Table1[[#All],[Malın kodu]],Table1[[#All],[Malın adı]],"xəta",0)</f>
        <v>Profil / 2x4 / metal</v>
      </c>
      <c r="E1116" s="8" t="s">
        <v>2039</v>
      </c>
      <c r="F1116" s="4" t="s">
        <v>920</v>
      </c>
      <c r="G1116" s="4">
        <v>24</v>
      </c>
      <c r="H1116" s="4">
        <v>3.5</v>
      </c>
      <c r="I1116" s="4">
        <f>Table4[[#This Row],[Malın miqdarı]]*Table4[[#This Row],[Vahidin qiyməti]]</f>
        <v>84</v>
      </c>
      <c r="J1116" s="4" t="s">
        <v>1905</v>
      </c>
      <c r="K1116" s="4" t="s">
        <v>2277</v>
      </c>
      <c r="L1116" s="4" t="s">
        <v>2060</v>
      </c>
      <c r="M1116" s="4" t="s">
        <v>2394</v>
      </c>
    </row>
    <row r="1117" spans="2:13" x14ac:dyDescent="0.3">
      <c r="B1117" s="4">
        <f t="shared" si="17"/>
        <v>1114</v>
      </c>
      <c r="C1117" s="5">
        <v>46195</v>
      </c>
      <c r="D1117" s="10" t="str" cm="1">
        <f t="array" ref="D1117">_xlfn.XLOOKUP(Table4[[#This Row],[Malın kodu]],Table1[[#All],[Malın kodu]],Table1[[#All],[Malın adı]],"xəta",0)</f>
        <v>Profil / 2x2 / metal</v>
      </c>
      <c r="E1117" s="8" t="s">
        <v>2040</v>
      </c>
      <c r="F1117" s="4" t="s">
        <v>920</v>
      </c>
      <c r="G1117" s="4">
        <v>12</v>
      </c>
      <c r="H1117" s="4">
        <v>2.5</v>
      </c>
      <c r="I1117" s="4">
        <f>Table4[[#This Row],[Malın miqdarı]]*Table4[[#This Row],[Vahidin qiyməti]]</f>
        <v>30</v>
      </c>
      <c r="J1117" s="4" t="s">
        <v>1905</v>
      </c>
      <c r="K1117" s="4" t="s">
        <v>2277</v>
      </c>
      <c r="L1117" s="4" t="s">
        <v>2060</v>
      </c>
      <c r="M1117" s="4" t="s">
        <v>2394</v>
      </c>
    </row>
    <row r="1118" spans="2:13" x14ac:dyDescent="0.3">
      <c r="B1118" s="4">
        <f t="shared" si="17"/>
        <v>1115</v>
      </c>
      <c r="C1118" s="5">
        <v>46195</v>
      </c>
      <c r="D1118" s="10" t="str" cm="1">
        <f t="array" ref="D1118">_xlfn.XLOOKUP(Table4[[#This Row],[Malın kodu]],Table1[[#All],[Malın kodu]],Table1[[#All],[Malın adı]],"xəta",0)</f>
        <v>Valik başlığı</v>
      </c>
      <c r="E1118" s="8" t="s">
        <v>2041</v>
      </c>
      <c r="F1118" s="4" t="s">
        <v>920</v>
      </c>
      <c r="G1118" s="4">
        <v>25</v>
      </c>
      <c r="H1118" s="4">
        <v>1</v>
      </c>
      <c r="I1118" s="4">
        <f>Table4[[#This Row],[Malın miqdarı]]*Table4[[#This Row],[Vahidin qiyməti]]</f>
        <v>25</v>
      </c>
      <c r="J1118" s="4" t="s">
        <v>1905</v>
      </c>
      <c r="K1118" s="4" t="s">
        <v>2277</v>
      </c>
      <c r="L1118" s="4" t="s">
        <v>2060</v>
      </c>
      <c r="M1118" s="4" t="s">
        <v>2394</v>
      </c>
    </row>
    <row r="1119" spans="2:13" x14ac:dyDescent="0.3">
      <c r="B1119" s="4">
        <f t="shared" si="17"/>
        <v>1116</v>
      </c>
      <c r="C1119" s="5">
        <v>46195</v>
      </c>
      <c r="D1119" s="10" t="str" cm="1">
        <f t="array" ref="D1119">_xlfn.XLOOKUP(Table4[[#This Row],[Malın kodu]],Table1[[#All],[Malın kodu]],Table1[[#All],[Malın adı]],"xəta",0)</f>
        <v>Valik / 10sm</v>
      </c>
      <c r="E1119" s="8" t="s">
        <v>2042</v>
      </c>
      <c r="F1119" s="4" t="s">
        <v>920</v>
      </c>
      <c r="G1119" s="4">
        <v>8</v>
      </c>
      <c r="H1119" s="4">
        <v>3</v>
      </c>
      <c r="I1119" s="4">
        <f>Table4[[#This Row],[Malın miqdarı]]*Table4[[#This Row],[Vahidin qiyməti]]</f>
        <v>24</v>
      </c>
      <c r="J1119" s="4" t="s">
        <v>1905</v>
      </c>
      <c r="K1119" s="4" t="s">
        <v>2277</v>
      </c>
      <c r="L1119" s="4" t="s">
        <v>2060</v>
      </c>
      <c r="M1119" s="4" t="s">
        <v>2394</v>
      </c>
    </row>
    <row r="1120" spans="2:13" x14ac:dyDescent="0.3">
      <c r="B1120" s="4">
        <f t="shared" si="17"/>
        <v>1117</v>
      </c>
      <c r="C1120" s="5">
        <v>46195</v>
      </c>
      <c r="D1120" s="10" t="str" cm="1">
        <f t="array" ref="D1120">_xlfn.XLOOKUP(Table4[[#This Row],[Malın kodu]],Table1[[#All],[Malın kodu]],Table1[[#All],[Malın adı]],"xəta",0)</f>
        <v>Cəftə / metal / qapı üçün</v>
      </c>
      <c r="E1120" s="8" t="s">
        <v>2043</v>
      </c>
      <c r="F1120" s="4" t="s">
        <v>920</v>
      </c>
      <c r="G1120" s="4">
        <v>2</v>
      </c>
      <c r="H1120" s="4">
        <v>2</v>
      </c>
      <c r="I1120" s="4">
        <f>Table4[[#This Row],[Malın miqdarı]]*Table4[[#This Row],[Vahidin qiyməti]]</f>
        <v>4</v>
      </c>
      <c r="J1120" s="4" t="s">
        <v>1905</v>
      </c>
      <c r="K1120" s="4" t="s">
        <v>2277</v>
      </c>
      <c r="L1120" s="4" t="s">
        <v>2060</v>
      </c>
      <c r="M1120" s="4" t="s">
        <v>2394</v>
      </c>
    </row>
    <row r="1121" spans="2:13" x14ac:dyDescent="0.3">
      <c r="B1121" s="4">
        <f t="shared" si="17"/>
        <v>1118</v>
      </c>
      <c r="C1121" s="5">
        <v>46195</v>
      </c>
      <c r="D1121" s="10" t="str" cm="1">
        <f t="array" ref="D1121">_xlfn.XLOOKUP(Table4[[#This Row],[Malın kodu]],Table1[[#All],[Malın kodu]],Table1[[#All],[Malın adı]],"xəta",0)</f>
        <v>Qapı qulpu / metal</v>
      </c>
      <c r="E1121" s="8" t="s">
        <v>2044</v>
      </c>
      <c r="F1121" s="4" t="s">
        <v>920</v>
      </c>
      <c r="G1121" s="4">
        <v>2</v>
      </c>
      <c r="H1121" s="4">
        <v>2</v>
      </c>
      <c r="I1121" s="4">
        <f>Table4[[#This Row],[Malın miqdarı]]*Table4[[#This Row],[Vahidin qiyməti]]</f>
        <v>4</v>
      </c>
      <c r="J1121" s="4" t="s">
        <v>1905</v>
      </c>
      <c r="K1121" s="4" t="s">
        <v>2277</v>
      </c>
      <c r="L1121" s="4" t="s">
        <v>2060</v>
      </c>
      <c r="M1121" s="4" t="s">
        <v>2394</v>
      </c>
    </row>
    <row r="1122" spans="2:13" x14ac:dyDescent="0.3">
      <c r="B1122" s="4">
        <f t="shared" si="17"/>
        <v>1119</v>
      </c>
      <c r="C1122" s="5">
        <v>46195</v>
      </c>
      <c r="D1122" s="10" t="str" cm="1">
        <f t="array" ref="D1122">_xlfn.XLOOKUP(Table4[[#This Row],[Malın kodu]],Table1[[#All],[Malın kodu]],Table1[[#All],[Malın adı]],"xəta",0)</f>
        <v>Qapı üzlüyü / iç</v>
      </c>
      <c r="E1122" s="8" t="s">
        <v>2045</v>
      </c>
      <c r="F1122" s="4" t="s">
        <v>920</v>
      </c>
      <c r="G1122" s="4">
        <v>1</v>
      </c>
      <c r="H1122" s="4">
        <v>25</v>
      </c>
      <c r="I1122" s="4">
        <f>Table4[[#This Row],[Malın miqdarı]]*Table4[[#This Row],[Vahidin qiyməti]]</f>
        <v>25</v>
      </c>
      <c r="J1122" s="4" t="s">
        <v>1905</v>
      </c>
      <c r="K1122" s="4" t="s">
        <v>2277</v>
      </c>
      <c r="L1122" s="4" t="s">
        <v>2060</v>
      </c>
      <c r="M1122" s="4" t="s">
        <v>2394</v>
      </c>
    </row>
    <row r="1123" spans="2:13" x14ac:dyDescent="0.3">
      <c r="B1123" s="4">
        <f t="shared" si="17"/>
        <v>1120</v>
      </c>
      <c r="C1123" s="5">
        <v>46195</v>
      </c>
      <c r="D1123" s="10" t="str" cm="1">
        <f t="array" ref="D1123">_xlfn.XLOOKUP(Table4[[#This Row],[Malın kodu]],Table1[[#All],[Malın kodu]],Table1[[#All],[Malın adı]],"xəta",0)</f>
        <v>Şurup / samorez</v>
      </c>
      <c r="E1123" s="8" t="s">
        <v>2046</v>
      </c>
      <c r="F1123" s="4" t="s">
        <v>920</v>
      </c>
      <c r="G1123" s="4">
        <v>1</v>
      </c>
      <c r="H1123" s="4">
        <v>5</v>
      </c>
      <c r="I1123" s="4">
        <f>Table4[[#This Row],[Malın miqdarı]]*Table4[[#This Row],[Vahidin qiyməti]]</f>
        <v>5</v>
      </c>
      <c r="J1123" s="4" t="s">
        <v>1905</v>
      </c>
      <c r="K1123" s="4" t="s">
        <v>2277</v>
      </c>
      <c r="L1123" s="4" t="s">
        <v>2060</v>
      </c>
      <c r="M1123" s="4" t="s">
        <v>2394</v>
      </c>
    </row>
    <row r="1124" spans="2:13" x14ac:dyDescent="0.3">
      <c r="B1124" s="4">
        <f t="shared" si="17"/>
        <v>1121</v>
      </c>
      <c r="C1124" s="5">
        <v>46195</v>
      </c>
      <c r="D1124" s="10" t="str" cm="1">
        <f t="array" ref="D1124">_xlfn.XLOOKUP(Table4[[#This Row],[Malın kodu]],Table1[[#All],[Malın kodu]],Table1[[#All],[Malın adı]],"xəta",0)</f>
        <v>Boya / antipas / 17kq</v>
      </c>
      <c r="E1124" s="8" t="s">
        <v>2047</v>
      </c>
      <c r="F1124" s="4" t="s">
        <v>920</v>
      </c>
      <c r="G1124" s="4">
        <v>5</v>
      </c>
      <c r="H1124" s="4">
        <v>90</v>
      </c>
      <c r="I1124" s="4">
        <f>Table4[[#This Row],[Malın miqdarı]]*Table4[[#This Row],[Vahidin qiyməti]]</f>
        <v>450</v>
      </c>
      <c r="J1124" s="4" t="s">
        <v>1905</v>
      </c>
      <c r="K1124" s="4" t="s">
        <v>2277</v>
      </c>
      <c r="L1124" s="4" t="s">
        <v>2060</v>
      </c>
      <c r="M1124" s="4" t="s">
        <v>2395</v>
      </c>
    </row>
    <row r="1125" spans="2:13" x14ac:dyDescent="0.3">
      <c r="B1125" s="4">
        <f t="shared" si="17"/>
        <v>1122</v>
      </c>
      <c r="C1125" s="5">
        <v>46195</v>
      </c>
      <c r="D1125" s="10" t="str" cm="1">
        <f t="array" ref="D1125">_xlfn.XLOOKUP(Table4[[#This Row],[Malın kodu]],Table1[[#All],[Malın kodu]],Table1[[#All],[Malın adı]],"xəta",0)</f>
        <v>Tiner / 2.5 kq</v>
      </c>
      <c r="E1125" s="8" t="s">
        <v>2048</v>
      </c>
      <c r="F1125" s="4" t="s">
        <v>920</v>
      </c>
      <c r="G1125" s="4">
        <v>22</v>
      </c>
      <c r="H1125" s="4">
        <v>10</v>
      </c>
      <c r="I1125" s="4">
        <f>Table4[[#This Row],[Malın miqdarı]]*Table4[[#This Row],[Vahidin qiyməti]]</f>
        <v>220</v>
      </c>
      <c r="J1125" s="4" t="s">
        <v>1905</v>
      </c>
      <c r="K1125" s="4" t="s">
        <v>2277</v>
      </c>
      <c r="L1125" s="4" t="s">
        <v>2060</v>
      </c>
      <c r="M1125" s="4" t="s">
        <v>2395</v>
      </c>
    </row>
    <row r="1126" spans="2:13" x14ac:dyDescent="0.3">
      <c r="B1126" s="4">
        <f t="shared" si="17"/>
        <v>1123</v>
      </c>
      <c r="C1126" s="5">
        <v>46195</v>
      </c>
      <c r="D1126" s="10" t="str" cm="1">
        <f t="array" ref="D1126">_xlfn.XLOOKUP(Table4[[#This Row],[Malın kodu]],Table1[[#All],[Malın kodu]],Table1[[#All],[Malın adı]],"xəta",0)</f>
        <v>Tutqaç / elektrod üçün</v>
      </c>
      <c r="E1126" s="8" t="s">
        <v>2049</v>
      </c>
      <c r="F1126" s="4" t="s">
        <v>920</v>
      </c>
      <c r="G1126" s="4">
        <v>1</v>
      </c>
      <c r="H1126" s="4">
        <v>3.5</v>
      </c>
      <c r="I1126" s="4">
        <f>Table4[[#This Row],[Malın miqdarı]]*Table4[[#This Row],[Vahidin qiyməti]]</f>
        <v>3.5</v>
      </c>
      <c r="J1126" s="4" t="s">
        <v>1905</v>
      </c>
      <c r="K1126" s="4" t="s">
        <v>2277</v>
      </c>
      <c r="L1126" s="4" t="s">
        <v>2060</v>
      </c>
      <c r="M1126" s="4" t="s">
        <v>2396</v>
      </c>
    </row>
    <row r="1127" spans="2:13" x14ac:dyDescent="0.3">
      <c r="B1127" s="4">
        <f t="shared" si="17"/>
        <v>1124</v>
      </c>
      <c r="C1127" s="5">
        <v>46195</v>
      </c>
      <c r="D1127" s="10" t="str" cm="1">
        <f t="array" ref="D1127">_xlfn.XLOOKUP(Table4[[#This Row],[Malın kodu]],Table1[[#All],[Malın kodu]],Table1[[#All],[Malın adı]],"xəta",0)</f>
        <v>Fırça / 2 / boya</v>
      </c>
      <c r="E1127" s="8" t="s">
        <v>2050</v>
      </c>
      <c r="F1127" s="4" t="s">
        <v>920</v>
      </c>
      <c r="G1127" s="4">
        <v>4</v>
      </c>
      <c r="H1127" s="4">
        <v>2</v>
      </c>
      <c r="I1127" s="4">
        <f>Table4[[#This Row],[Malın miqdarı]]*Table4[[#This Row],[Vahidin qiyməti]]</f>
        <v>8</v>
      </c>
      <c r="J1127" s="4" t="s">
        <v>1905</v>
      </c>
      <c r="K1127" s="4" t="s">
        <v>2277</v>
      </c>
      <c r="L1127" s="4" t="s">
        <v>2060</v>
      </c>
      <c r="M1127" s="4" t="s">
        <v>2396</v>
      </c>
    </row>
    <row r="1128" spans="2:13" x14ac:dyDescent="0.3">
      <c r="B1128" s="4">
        <f t="shared" si="17"/>
        <v>1125</v>
      </c>
      <c r="C1128" s="5">
        <v>46195</v>
      </c>
      <c r="D1128" s="10" t="str" cm="1">
        <f t="array" ref="D1128">_xlfn.XLOOKUP(Table4[[#This Row],[Malın kodu]],Table1[[#All],[Malın kodu]],Table1[[#All],[Malın adı]],"xəta",0)</f>
        <v>Fırça / 3 / boya</v>
      </c>
      <c r="E1128" s="8" t="s">
        <v>2051</v>
      </c>
      <c r="F1128" s="4" t="s">
        <v>920</v>
      </c>
      <c r="G1128" s="4">
        <v>2</v>
      </c>
      <c r="H1128" s="4">
        <v>2.2999999999999998</v>
      </c>
      <c r="I1128" s="4">
        <f>Table4[[#This Row],[Malın miqdarı]]*Table4[[#This Row],[Vahidin qiyməti]]</f>
        <v>4.5999999999999996</v>
      </c>
      <c r="J1128" s="4" t="s">
        <v>1905</v>
      </c>
      <c r="K1128" s="4" t="s">
        <v>2277</v>
      </c>
      <c r="L1128" s="4" t="s">
        <v>2060</v>
      </c>
      <c r="M1128" s="4" t="s">
        <v>2396</v>
      </c>
    </row>
    <row r="1129" spans="2:13" x14ac:dyDescent="0.3">
      <c r="B1129" s="4">
        <f t="shared" si="17"/>
        <v>1126</v>
      </c>
      <c r="C1129" s="5">
        <v>46195</v>
      </c>
      <c r="D1129" s="10" t="str" cm="1">
        <f t="array" ref="D1129">_xlfn.XLOOKUP(Table4[[#This Row],[Malın kodu]],Table1[[#All],[Malın kodu]],Table1[[#All],[Malın adı]],"xəta",0)</f>
        <v>Skoç / kağız</v>
      </c>
      <c r="E1129" s="8" t="s">
        <v>2052</v>
      </c>
      <c r="F1129" s="4" t="s">
        <v>920</v>
      </c>
      <c r="G1129" s="4">
        <v>3</v>
      </c>
      <c r="H1129" s="4">
        <v>3.5</v>
      </c>
      <c r="I1129" s="4">
        <f>Table4[[#This Row],[Malın miqdarı]]*Table4[[#This Row],[Vahidin qiyməti]]</f>
        <v>10.5</v>
      </c>
      <c r="J1129" s="4" t="s">
        <v>1905</v>
      </c>
      <c r="K1129" s="4" t="s">
        <v>2277</v>
      </c>
      <c r="L1129" s="4" t="s">
        <v>2060</v>
      </c>
      <c r="M1129" s="4" t="s">
        <v>2396</v>
      </c>
    </row>
    <row r="1130" spans="2:13" x14ac:dyDescent="0.3">
      <c r="B1130" s="4">
        <f t="shared" si="17"/>
        <v>1127</v>
      </c>
      <c r="C1130" s="5">
        <v>46195</v>
      </c>
      <c r="D1130" s="10" t="str" cm="1">
        <f t="array" ref="D1130">_xlfn.XLOOKUP(Table4[[#This Row],[Malın kodu]],Table1[[#All],[Malın kodu]],Table1[[#All],[Malın adı]],"xəta",0)</f>
        <v>Laqonda / d 115 mm</v>
      </c>
      <c r="E1130" s="8" t="s">
        <v>2053</v>
      </c>
      <c r="F1130" s="4" t="s">
        <v>920</v>
      </c>
      <c r="G1130" s="4">
        <v>1</v>
      </c>
      <c r="H1130" s="4">
        <v>50</v>
      </c>
      <c r="I1130" s="4">
        <f>Table4[[#This Row],[Malın miqdarı]]*Table4[[#This Row],[Vahidin qiyməti]]</f>
        <v>50</v>
      </c>
      <c r="J1130" s="4" t="s">
        <v>1905</v>
      </c>
      <c r="K1130" s="4" t="s">
        <v>2277</v>
      </c>
      <c r="L1130" s="4" t="s">
        <v>2060</v>
      </c>
      <c r="M1130" s="4" t="s">
        <v>2396</v>
      </c>
    </row>
    <row r="1131" spans="2:13" x14ac:dyDescent="0.3">
      <c r="B1131" s="4">
        <f t="shared" si="17"/>
        <v>1128</v>
      </c>
      <c r="C1131" s="5">
        <v>46195</v>
      </c>
      <c r="D1131" s="10" t="str" cm="1">
        <f t="array" ref="D1131">_xlfn.XLOOKUP(Table4[[#This Row],[Malın kodu]],Table1[[#All],[Malın kodu]],Table1[[#All],[Malın adı]],"xəta",0)</f>
        <v>Metrə / 5m</v>
      </c>
      <c r="E1131" s="8" t="s">
        <v>2054</v>
      </c>
      <c r="F1131" s="4" t="s">
        <v>920</v>
      </c>
      <c r="G1131" s="4">
        <v>1</v>
      </c>
      <c r="H1131" s="4">
        <v>4</v>
      </c>
      <c r="I1131" s="4">
        <f>Table4[[#This Row],[Malın miqdarı]]*Table4[[#This Row],[Vahidin qiyməti]]</f>
        <v>4</v>
      </c>
      <c r="J1131" s="4" t="s">
        <v>1905</v>
      </c>
      <c r="K1131" s="4" t="s">
        <v>2277</v>
      </c>
      <c r="L1131" s="4" t="s">
        <v>2060</v>
      </c>
      <c r="M1131" s="4" t="s">
        <v>2396</v>
      </c>
    </row>
    <row r="1132" spans="2:13" x14ac:dyDescent="0.3">
      <c r="B1132" s="4">
        <f t="shared" si="17"/>
        <v>1129</v>
      </c>
      <c r="C1132" s="5">
        <v>46195</v>
      </c>
      <c r="D1132" s="10" t="str" cm="1">
        <f t="array" ref="D1132">_xlfn.XLOOKUP(Table4[[#This Row],[Malın kodu]],Table1[[#All],[Malın kodu]],Table1[[#All],[Malın adı]],"xəta",0)</f>
        <v>Boya / antipas / boz / 2.5 kq</v>
      </c>
      <c r="E1132" s="8" t="s">
        <v>2055</v>
      </c>
      <c r="F1132" s="4" t="s">
        <v>920</v>
      </c>
      <c r="G1132" s="4">
        <v>2</v>
      </c>
      <c r="H1132" s="4">
        <v>18</v>
      </c>
      <c r="I1132" s="4">
        <f>Table4[[#This Row],[Malın miqdarı]]*Table4[[#This Row],[Vahidin qiyməti]]</f>
        <v>36</v>
      </c>
      <c r="J1132" s="4" t="s">
        <v>1905</v>
      </c>
      <c r="K1132" s="4" t="s">
        <v>2277</v>
      </c>
      <c r="L1132" s="4" t="s">
        <v>2060</v>
      </c>
      <c r="M1132" s="4" t="s">
        <v>2396</v>
      </c>
    </row>
    <row r="1133" spans="2:13" x14ac:dyDescent="0.3">
      <c r="B1133" s="4">
        <f t="shared" si="17"/>
        <v>1130</v>
      </c>
      <c r="C1133" s="5">
        <v>46195</v>
      </c>
      <c r="D1133" s="10" t="str" cm="1">
        <f t="array" ref="D1133">_xlfn.XLOOKUP(Table4[[#This Row],[Malın kodu]],Table1[[#All],[Malın kodu]],Table1[[#All],[Malın adı]],"xəta",0)</f>
        <v>Valik / 20sm</v>
      </c>
      <c r="E1133" s="8" t="s">
        <v>2056</v>
      </c>
      <c r="F1133" s="4" t="s">
        <v>920</v>
      </c>
      <c r="G1133" s="4">
        <v>2</v>
      </c>
      <c r="H1133" s="4">
        <v>4</v>
      </c>
      <c r="I1133" s="4">
        <f>Table4[[#This Row],[Malın miqdarı]]*Table4[[#This Row],[Vahidin qiyməti]]</f>
        <v>8</v>
      </c>
      <c r="J1133" s="4" t="s">
        <v>1905</v>
      </c>
      <c r="K1133" s="4" t="s">
        <v>2277</v>
      </c>
      <c r="L1133" s="4" t="s">
        <v>2060</v>
      </c>
      <c r="M1133" s="4" t="s">
        <v>2397</v>
      </c>
    </row>
    <row r="1134" spans="2:13" x14ac:dyDescent="0.3">
      <c r="B1134" s="4">
        <f t="shared" si="17"/>
        <v>1131</v>
      </c>
      <c r="C1134" s="5">
        <v>46195</v>
      </c>
      <c r="D1134" s="10" t="str" cm="1">
        <f t="array" ref="D1134">_xlfn.XLOOKUP(Table4[[#This Row],[Malın kodu]],Table1[[#All],[Malın kodu]],Table1[[#All],[Malın adı]],"xəta",0)</f>
        <v>Bide başlığı</v>
      </c>
      <c r="E1134" s="8" t="s">
        <v>2058</v>
      </c>
      <c r="F1134" s="4" t="s">
        <v>920</v>
      </c>
      <c r="G1134" s="4">
        <v>1</v>
      </c>
      <c r="H1134" s="4">
        <v>3.5</v>
      </c>
      <c r="I1134" s="4">
        <f>Table4[[#This Row],[Malın miqdarı]]*Table4[[#This Row],[Vahidin qiyməti]]</f>
        <v>3.5</v>
      </c>
      <c r="J1134" s="4" t="s">
        <v>1905</v>
      </c>
      <c r="K1134" s="4" t="s">
        <v>2277</v>
      </c>
      <c r="L1134" s="4" t="s">
        <v>2060</v>
      </c>
      <c r="M1134" s="4" t="s">
        <v>2396</v>
      </c>
    </row>
    <row r="1135" spans="2:13" x14ac:dyDescent="0.3">
      <c r="B1135" s="4">
        <f t="shared" si="17"/>
        <v>1132</v>
      </c>
      <c r="C1135" s="5">
        <v>46195</v>
      </c>
      <c r="D1135" s="10" t="str" cm="1">
        <f t="array" ref="D1135">_xlfn.XLOOKUP(Table4[[#This Row],[Malın kodu]],Table1[[#All],[Malın kodu]],Table1[[#All],[Malın adı]],"xəta",0)</f>
        <v>Fırça / 1 / boya</v>
      </c>
      <c r="E1135" s="8" t="s">
        <v>2059</v>
      </c>
      <c r="F1135" s="4" t="s">
        <v>920</v>
      </c>
      <c r="G1135" s="4">
        <v>2</v>
      </c>
      <c r="H1135" s="4">
        <v>1.5</v>
      </c>
      <c r="I1135" s="4">
        <f>Table4[[#This Row],[Malın miqdarı]]*Table4[[#This Row],[Vahidin qiyməti]]</f>
        <v>3</v>
      </c>
      <c r="J1135" s="4" t="s">
        <v>1905</v>
      </c>
      <c r="K1135" s="4" t="s">
        <v>2277</v>
      </c>
      <c r="L1135" s="4" t="s">
        <v>2060</v>
      </c>
      <c r="M1135" s="4" t="s">
        <v>2396</v>
      </c>
    </row>
    <row r="1136" spans="2:13" x14ac:dyDescent="0.3">
      <c r="B1136" s="4">
        <f t="shared" si="17"/>
        <v>1133</v>
      </c>
      <c r="C1136" s="5">
        <v>46195</v>
      </c>
      <c r="D1136" s="10" t="str" cm="1">
        <f t="array" ref="D1136">_xlfn.XLOOKUP(Table4[[#This Row],[Malın kodu]],Table1[[#All],[Malın kodu]],Table1[[#All],[Malın adı]],"xəta",0)</f>
        <v>Boya / qara</v>
      </c>
      <c r="E1136" s="8" t="s">
        <v>2152</v>
      </c>
      <c r="F1136" s="4" t="s">
        <v>920</v>
      </c>
      <c r="G1136" s="4">
        <v>1</v>
      </c>
      <c r="H1136" s="4">
        <v>18</v>
      </c>
      <c r="I1136" s="4">
        <f>Table4[[#This Row],[Malın miqdarı]]*Table4[[#This Row],[Vahidin qiyməti]]</f>
        <v>18</v>
      </c>
      <c r="J1136" s="4" t="s">
        <v>1905</v>
      </c>
      <c r="K1136" s="4" t="s">
        <v>2277</v>
      </c>
      <c r="L1136" s="4" t="s">
        <v>2060</v>
      </c>
      <c r="M1136" s="4" t="s">
        <v>2398</v>
      </c>
    </row>
    <row r="1137" spans="2:13" x14ac:dyDescent="0.3">
      <c r="B1137" s="4">
        <f t="shared" si="17"/>
        <v>1134</v>
      </c>
      <c r="C1137" s="5">
        <v>46195</v>
      </c>
      <c r="D1137" s="10" t="str" cm="1">
        <f t="array" ref="D1137">_xlfn.XLOOKUP(Table4[[#This Row],[Malın kodu]],Table1[[#All],[Malın kodu]],Table1[[#All],[Malın adı]],"xəta",0)</f>
        <v>Boya / 1 L</v>
      </c>
      <c r="E1137" s="8" t="s">
        <v>2153</v>
      </c>
      <c r="F1137" s="4" t="s">
        <v>920</v>
      </c>
      <c r="G1137" s="4">
        <v>2</v>
      </c>
      <c r="H1137" s="4">
        <v>8</v>
      </c>
      <c r="I1137" s="4">
        <f>Table4[[#This Row],[Malın miqdarı]]*Table4[[#This Row],[Vahidin qiyməti]]</f>
        <v>16</v>
      </c>
      <c r="J1137" s="4" t="s">
        <v>1905</v>
      </c>
      <c r="K1137" s="4" t="s">
        <v>2277</v>
      </c>
      <c r="L1137" s="4" t="s">
        <v>2060</v>
      </c>
      <c r="M1137" s="4" t="s">
        <v>2398</v>
      </c>
    </row>
    <row r="1138" spans="2:13" x14ac:dyDescent="0.3">
      <c r="B1138" s="4">
        <f t="shared" si="17"/>
        <v>1135</v>
      </c>
      <c r="C1138" s="5">
        <v>46195</v>
      </c>
      <c r="D1138" s="10" t="str" cm="1">
        <f t="array" ref="D1138">_xlfn.XLOOKUP(Table4[[#This Row],[Malın kodu]],Table1[[#All],[Malın kodu]],Table1[[#All],[Malın adı]],"xəta",0)</f>
        <v>Kömür / laqonda üçün / "Bosch"</v>
      </c>
      <c r="E1138" s="8" t="s">
        <v>2213</v>
      </c>
      <c r="F1138" s="4" t="s">
        <v>920</v>
      </c>
      <c r="G1138" s="4">
        <v>1</v>
      </c>
      <c r="H1138" s="4">
        <v>15</v>
      </c>
      <c r="I1138" s="4">
        <f>Table4[[#This Row],[Malın miqdarı]]*Table4[[#This Row],[Vahidin qiyməti]]</f>
        <v>15</v>
      </c>
      <c r="J1138" s="4" t="s">
        <v>1914</v>
      </c>
      <c r="K1138" s="4" t="s">
        <v>2019</v>
      </c>
      <c r="L1138" s="4">
        <f>_xlfn.XLOOKUP(Table4[[#This Row],[Kontragentin adı]],Table2[Kontragentin adı],Table2[Müqavilə nömrəsi],"Xəta",0)</f>
        <v>0</v>
      </c>
      <c r="M1138" s="4" t="s">
        <v>2214</v>
      </c>
    </row>
    <row r="1139" spans="2:13" x14ac:dyDescent="0.3">
      <c r="B1139" s="4">
        <f t="shared" si="17"/>
        <v>1136</v>
      </c>
      <c r="C1139" s="5">
        <v>46196</v>
      </c>
      <c r="D1139" s="10" t="str" cm="1">
        <f t="array" ref="D1139">_xlfn.XLOOKUP(Table4[[#This Row],[Malın kodu]],Table1[[#All],[Malın kodu]],Table1[[#All],[Malın adı]],"xəta",0)</f>
        <v>Disc / kəsici / d 230mm</v>
      </c>
      <c r="E1139" s="8" t="s">
        <v>2154</v>
      </c>
      <c r="F1139" s="4" t="s">
        <v>920</v>
      </c>
      <c r="G1139" s="4">
        <v>11</v>
      </c>
      <c r="H1139" s="4">
        <v>5.5</v>
      </c>
      <c r="I1139" s="4">
        <f>Table4[[#This Row],[Malın miqdarı]]*Table4[[#This Row],[Vahidin qiyməti]]</f>
        <v>60.5</v>
      </c>
      <c r="J1139" s="4" t="s">
        <v>1905</v>
      </c>
      <c r="K1139" s="4" t="s">
        <v>2277</v>
      </c>
      <c r="L1139" s="4" t="s">
        <v>2060</v>
      </c>
      <c r="M1139" s="4" t="s">
        <v>2399</v>
      </c>
    </row>
    <row r="1140" spans="2:13" x14ac:dyDescent="0.3">
      <c r="B1140" s="4">
        <f t="shared" si="17"/>
        <v>1137</v>
      </c>
      <c r="C1140" s="5">
        <v>46196</v>
      </c>
      <c r="D1140" s="10" t="str" cm="1">
        <f t="array" ref="D1140">_xlfn.XLOOKUP(Table4[[#This Row],[Malın kodu]],Table1[[#All],[Malın kodu]],Table1[[#All],[Malın adı]],"xəta",0)</f>
        <v>Disc / kəsici / d 115mm</v>
      </c>
      <c r="E1140" s="8" t="s">
        <v>2157</v>
      </c>
      <c r="F1140" s="4" t="s">
        <v>920</v>
      </c>
      <c r="G1140" s="4">
        <v>5</v>
      </c>
      <c r="H1140" s="4">
        <v>1.5</v>
      </c>
      <c r="I1140" s="4">
        <f>Table4[[#This Row],[Malın miqdarı]]*Table4[[#This Row],[Vahidin qiyməti]]</f>
        <v>7.5</v>
      </c>
      <c r="J1140" s="4" t="s">
        <v>1905</v>
      </c>
      <c r="K1140" s="4" t="s">
        <v>2277</v>
      </c>
      <c r="L1140" s="4" t="s">
        <v>2060</v>
      </c>
      <c r="M1140" s="4" t="s">
        <v>2399</v>
      </c>
    </row>
    <row r="1141" spans="2:13" x14ac:dyDescent="0.3">
      <c r="B1141" s="4">
        <f t="shared" si="17"/>
        <v>1138</v>
      </c>
      <c r="C1141" s="5">
        <v>46196</v>
      </c>
      <c r="D1141" s="10" t="str" cm="1">
        <f t="array" ref="D1141">_xlfn.XLOOKUP(Table4[[#This Row],[Malın kodu]],Table1[[#All],[Malın kodu]],Table1[[#All],[Malın adı]],"xəta",0)</f>
        <v>Elektrik plitəsi / 2 gözlü</v>
      </c>
      <c r="E1141" s="8" t="s">
        <v>2161</v>
      </c>
      <c r="F1141" s="4" t="s">
        <v>920</v>
      </c>
      <c r="G1141" s="4">
        <v>1</v>
      </c>
      <c r="H1141" s="4">
        <v>28</v>
      </c>
      <c r="I1141" s="4">
        <f>Table4[[#This Row],[Malın miqdarı]]*Table4[[#This Row],[Vahidin qiyməti]]</f>
        <v>28</v>
      </c>
      <c r="J1141" s="4" t="s">
        <v>1905</v>
      </c>
      <c r="K1141" s="4" t="s">
        <v>2277</v>
      </c>
      <c r="L1141" s="4" t="s">
        <v>2060</v>
      </c>
      <c r="M1141" s="4" t="s">
        <v>2399</v>
      </c>
    </row>
    <row r="1142" spans="2:13" x14ac:dyDescent="0.3">
      <c r="B1142" s="4">
        <f t="shared" si="17"/>
        <v>1139</v>
      </c>
      <c r="C1142" s="5">
        <v>46196</v>
      </c>
      <c r="D1142" s="10" t="str" cm="1">
        <f t="array" ref="D1142">_xlfn.XLOOKUP(Table4[[#This Row],[Malın kodu]],Table1[[#All],[Malın kodu]],Table1[[#All],[Malın adı]],"xəta",0)</f>
        <v>Başlıq (nasadka) / cilalayıcı kağız üçün</v>
      </c>
      <c r="E1142" s="8" t="s">
        <v>2162</v>
      </c>
      <c r="F1142" s="4" t="s">
        <v>920</v>
      </c>
      <c r="G1142" s="4">
        <v>1</v>
      </c>
      <c r="H1142" s="4">
        <v>3</v>
      </c>
      <c r="I1142" s="4">
        <f>Table4[[#This Row],[Malın miqdarı]]*Table4[[#This Row],[Vahidin qiyməti]]</f>
        <v>3</v>
      </c>
      <c r="J1142" s="4" t="s">
        <v>1905</v>
      </c>
      <c r="K1142" s="4" t="s">
        <v>2277</v>
      </c>
      <c r="L1142" s="4" t="s">
        <v>2060</v>
      </c>
      <c r="M1142" s="4" t="s">
        <v>2400</v>
      </c>
    </row>
    <row r="1143" spans="2:13" x14ac:dyDescent="0.3">
      <c r="B1143" s="4">
        <f t="shared" si="17"/>
        <v>1140</v>
      </c>
      <c r="C1143" s="5">
        <v>46196</v>
      </c>
      <c r="D1143" s="10" t="str" cm="1">
        <f t="array" ref="D1143">_xlfn.XLOOKUP(Table4[[#This Row],[Malın kodu]],Table1[[#All],[Malın kodu]],Table1[[#All],[Malın adı]],"xəta",0)</f>
        <v>WD 40</v>
      </c>
      <c r="E1143" s="8" t="s">
        <v>2163</v>
      </c>
      <c r="F1143" s="4" t="s">
        <v>920</v>
      </c>
      <c r="G1143" s="4">
        <v>2</v>
      </c>
      <c r="H1143" s="4">
        <v>4</v>
      </c>
      <c r="I1143" s="4">
        <f>Table4[[#This Row],[Malın miqdarı]]*Table4[[#This Row],[Vahidin qiyməti]]</f>
        <v>8</v>
      </c>
      <c r="J1143" s="4" t="s">
        <v>1905</v>
      </c>
      <c r="K1143" s="4" t="s">
        <v>2277</v>
      </c>
      <c r="L1143" s="4" t="s">
        <v>2060</v>
      </c>
      <c r="M1143" s="4" t="s">
        <v>2400</v>
      </c>
    </row>
    <row r="1144" spans="2:13" x14ac:dyDescent="0.3">
      <c r="B1144" s="4">
        <f t="shared" si="17"/>
        <v>1141</v>
      </c>
      <c r="C1144" s="5">
        <v>46197</v>
      </c>
      <c r="D1144" s="10" t="str" cm="1">
        <f t="array" ref="D1144">_xlfn.XLOOKUP(Table4[[#This Row],[Malın kodu]],Table1[[#All],[Malın kodu]],Table1[[#All],[Malın adı]],"xəta",0)</f>
        <v>Fırça / lagonda üçün / 5 inch</v>
      </c>
      <c r="E1144" s="8" t="s">
        <v>1288</v>
      </c>
      <c r="F1144" s="4" t="s">
        <v>920</v>
      </c>
      <c r="G1144" s="4">
        <v>4</v>
      </c>
      <c r="H1144" s="4">
        <v>4.5</v>
      </c>
      <c r="I1144" s="4">
        <f>Table4[[#This Row],[Malın miqdarı]]*Table4[[#This Row],[Vahidin qiyməti]]</f>
        <v>18</v>
      </c>
      <c r="J1144" s="4" t="s">
        <v>1905</v>
      </c>
      <c r="K1144" s="4" t="s">
        <v>2277</v>
      </c>
      <c r="L1144" s="4" t="s">
        <v>2060</v>
      </c>
      <c r="M1144" s="4" t="s">
        <v>2401</v>
      </c>
    </row>
    <row r="1145" spans="2:13" x14ac:dyDescent="0.3">
      <c r="B1145" s="4">
        <f t="shared" si="17"/>
        <v>1142</v>
      </c>
      <c r="C1145" s="5">
        <v>46197</v>
      </c>
      <c r="D1145" s="10" t="str" cm="1">
        <f t="array" ref="D1145">_xlfn.XLOOKUP(Table4[[#This Row],[Malın kodu]],Table1[[#All],[Malın kodu]],Table1[[#All],[Malın adı]],"xəta",0)</f>
        <v>Fırça / laqononda üçün / 3 İnch</v>
      </c>
      <c r="E1145" s="8" t="s">
        <v>1344</v>
      </c>
      <c r="F1145" s="4" t="s">
        <v>920</v>
      </c>
      <c r="G1145" s="4">
        <v>5</v>
      </c>
      <c r="H1145" s="4">
        <v>3</v>
      </c>
      <c r="I1145" s="4">
        <f>Table4[[#This Row],[Malın miqdarı]]*Table4[[#This Row],[Vahidin qiyməti]]</f>
        <v>15</v>
      </c>
      <c r="J1145" s="4" t="s">
        <v>1905</v>
      </c>
      <c r="K1145" s="4" t="s">
        <v>2277</v>
      </c>
      <c r="L1145" s="4" t="s">
        <v>2060</v>
      </c>
      <c r="M1145" s="4" t="s">
        <v>2401</v>
      </c>
    </row>
    <row r="1146" spans="2:13" x14ac:dyDescent="0.3">
      <c r="B1146" s="4">
        <f t="shared" si="17"/>
        <v>1143</v>
      </c>
      <c r="C1146" s="5">
        <v>46199</v>
      </c>
      <c r="D1146" s="10" t="str" cm="1">
        <f t="array" ref="D1146">_xlfn.XLOOKUP(Table4[[#This Row],[Malın kodu]],Table1[[#All],[Malın kodu]],Table1[[#All],[Malın adı]],"xəta",0)</f>
        <v>Disk / kəsici / d 230x1,9 mm</v>
      </c>
      <c r="E1146" s="8" t="s">
        <v>2219</v>
      </c>
      <c r="F1146" s="4" t="s">
        <v>920</v>
      </c>
      <c r="G1146" s="4">
        <v>5</v>
      </c>
      <c r="H1146" s="4">
        <v>2.5</v>
      </c>
      <c r="I1146" s="4">
        <f>Table4[[#This Row],[Malın miqdarı]]*Table4[[#This Row],[Vahidin qiyməti]]</f>
        <v>12.5</v>
      </c>
      <c r="J1146" s="4" t="s">
        <v>1914</v>
      </c>
      <c r="K1146" s="4" t="s">
        <v>2019</v>
      </c>
      <c r="L1146" s="4">
        <f>_xlfn.XLOOKUP(Table4[[#This Row],[Kontragentin adı]],Table2[Kontragentin adı],Table2[Müqavilə nömrəsi],"Xəta",0)</f>
        <v>0</v>
      </c>
      <c r="M1146" s="4">
        <f>_xlfn.XLOOKUP(Table4[[#This Row],[Kontragentin adı]],Table2[Kontragentin adı],Table2[Müqavilə nömrəsi],"Xəta",0)</f>
        <v>0</v>
      </c>
    </row>
    <row r="1147" spans="2:13" x14ac:dyDescent="0.3">
      <c r="B1147" s="4">
        <f t="shared" si="17"/>
        <v>1144</v>
      </c>
      <c r="C1147" s="5">
        <v>46199</v>
      </c>
      <c r="D1147" s="10" t="str" cm="1">
        <f t="array" ref="D1147">_xlfn.XLOOKUP(Table4[[#This Row],[Malın kodu]],Table1[[#All],[Malın kodu]],Table1[[#All],[Malın adı]],"xəta",0)</f>
        <v>Kəndir / alpenist</v>
      </c>
      <c r="E1147" s="8" t="s">
        <v>2220</v>
      </c>
      <c r="F1147" s="4" t="s">
        <v>925</v>
      </c>
      <c r="G1147" s="4">
        <v>30</v>
      </c>
      <c r="H1147" s="4">
        <v>1</v>
      </c>
      <c r="I1147" s="4">
        <f>Table4[[#This Row],[Malın miqdarı]]*Table4[[#This Row],[Vahidin qiyməti]]</f>
        <v>30</v>
      </c>
      <c r="J1147" s="4" t="s">
        <v>1914</v>
      </c>
      <c r="K1147" s="4" t="s">
        <v>2019</v>
      </c>
      <c r="L1147" s="4">
        <f>_xlfn.XLOOKUP(Table4[[#This Row],[Kontragentin adı]],Table2[Kontragentin adı],Table2[Müqavilə nömrəsi],"Xəta",0)</f>
        <v>0</v>
      </c>
      <c r="M1147" s="4">
        <f>_xlfn.XLOOKUP(Table4[[#This Row],[Kontragentin adı]],Table2[Kontragentin adı],Table2[Müqavilə nömrəsi],"Xəta",0)</f>
        <v>0</v>
      </c>
    </row>
    <row r="1148" spans="2:13" x14ac:dyDescent="0.3">
      <c r="B1148" s="4">
        <f t="shared" si="17"/>
        <v>1145</v>
      </c>
      <c r="C1148" s="5">
        <v>46199</v>
      </c>
      <c r="D1148" s="10" t="str" cm="1">
        <f t="array" ref="D1148">_xlfn.XLOOKUP(Table4[[#This Row],[Malın kodu]],Table1[[#All],[Malın kodu]],Table1[[#All],[Malın adı]],"xəta",0)</f>
        <v>İzolent</v>
      </c>
      <c r="E1148" s="8" t="s">
        <v>2221</v>
      </c>
      <c r="F1148" s="4" t="s">
        <v>920</v>
      </c>
      <c r="G1148" s="4">
        <v>3</v>
      </c>
      <c r="H1148" s="4">
        <v>1</v>
      </c>
      <c r="I1148" s="4">
        <f>Table4[[#This Row],[Malın miqdarı]]*Table4[[#This Row],[Vahidin qiyməti]]</f>
        <v>3</v>
      </c>
      <c r="J1148" s="4" t="s">
        <v>1914</v>
      </c>
      <c r="K1148" s="4" t="s">
        <v>2019</v>
      </c>
      <c r="L1148" s="4">
        <f>_xlfn.XLOOKUP(Table4[[#This Row],[Kontragentin adı]],Table2[Kontragentin adı],Table2[Müqavilə nömrəsi],"Xəta",0)</f>
        <v>0</v>
      </c>
      <c r="M1148" s="4">
        <f>_xlfn.XLOOKUP(Table4[[#This Row],[Kontragentin adı]],Table2[Kontragentin adı],Table2[Müqavilə nömrəsi],"Xəta",0)</f>
        <v>0</v>
      </c>
    </row>
    <row r="1149" spans="2:13" x14ac:dyDescent="0.3">
      <c r="B1149" s="4">
        <f t="shared" si="17"/>
        <v>1146</v>
      </c>
      <c r="C1149" s="5">
        <v>46199</v>
      </c>
      <c r="D1149" s="10" t="str" cm="1">
        <f t="array" ref="D1149">_xlfn.XLOOKUP(Table4[[#This Row],[Malın kodu]],Table1[[#All],[Malın kodu]],Table1[[#All],[Malın adı]],"xəta",0)</f>
        <v>İp / göy</v>
      </c>
      <c r="E1149" s="8" t="s">
        <v>2222</v>
      </c>
      <c r="F1149" s="4" t="s">
        <v>920</v>
      </c>
      <c r="G1149" s="4">
        <v>2</v>
      </c>
      <c r="H1149" s="4">
        <v>1</v>
      </c>
      <c r="I1149" s="4">
        <f>Table4[[#This Row],[Malın miqdarı]]*Table4[[#This Row],[Vahidin qiyməti]]</f>
        <v>2</v>
      </c>
      <c r="J1149" s="4" t="s">
        <v>1914</v>
      </c>
      <c r="K1149" s="4" t="s">
        <v>2019</v>
      </c>
      <c r="L1149" s="4">
        <f>_xlfn.XLOOKUP(Table4[[#This Row],[Kontragentin adı]],Table2[Kontragentin adı],Table2[Müqavilə nömrəsi],"Xəta",0)</f>
        <v>0</v>
      </c>
      <c r="M1149" s="4">
        <f>_xlfn.XLOOKUP(Table4[[#This Row],[Kontragentin adı]],Table2[Kontragentin adı],Table2[Müqavilə nömrəsi],"Xəta",0)</f>
        <v>0</v>
      </c>
    </row>
    <row r="1150" spans="2:13" x14ac:dyDescent="0.3">
      <c r="B1150" s="4">
        <f t="shared" si="17"/>
        <v>1147</v>
      </c>
      <c r="C1150" s="5">
        <v>46199</v>
      </c>
      <c r="D1150" s="10" t="str" cm="1">
        <f t="array" ref="D1150">_xlfn.XLOOKUP(Table4[[#This Row],[Malın kodu]],Table1[[#All],[Malın kodu]],Table1[[#All],[Malın adı]],"xəta",0)</f>
        <v>Çəllək (Boçka) / 200 L</v>
      </c>
      <c r="E1150" s="8" t="s">
        <v>2223</v>
      </c>
      <c r="F1150" s="4" t="s">
        <v>920</v>
      </c>
      <c r="G1150" s="4">
        <v>1</v>
      </c>
      <c r="H1150" s="4">
        <v>16</v>
      </c>
      <c r="I1150" s="4">
        <f>Table4[[#This Row],[Malın miqdarı]]*Table4[[#This Row],[Vahidin qiyməti]]</f>
        <v>16</v>
      </c>
      <c r="J1150" s="4" t="s">
        <v>1914</v>
      </c>
      <c r="K1150" s="4" t="s">
        <v>2019</v>
      </c>
      <c r="L1150" s="4">
        <f>_xlfn.XLOOKUP(Table4[[#This Row],[Kontragentin adı]],Table2[Kontragentin adı],Table2[Müqavilə nömrəsi],"Xəta",0)</f>
        <v>0</v>
      </c>
      <c r="M1150" s="4">
        <f>_xlfn.XLOOKUP(Table4[[#This Row],[Kontragentin adı]],Table2[Kontragentin adı],Table2[Müqavilə nömrəsi],"Xəta",0)</f>
        <v>0</v>
      </c>
    </row>
    <row r="1151" spans="2:13" x14ac:dyDescent="0.3">
      <c r="B1151" s="4">
        <f t="shared" si="17"/>
        <v>1148</v>
      </c>
      <c r="C1151" s="5">
        <v>46199</v>
      </c>
      <c r="D1151" s="10" t="str" cm="1">
        <f t="array" ref="D1151">_xlfn.XLOOKUP(Table4[[#This Row],[Malın kodu]],Table1[[#All],[Malın kodu]],Table1[[#All],[Malın adı]],"xəta",0)</f>
        <v>Su pompası / dalğıc / d 76 mm / 1500 Vt / 2860 d/d / 6 metr / "Dingoi" Çin istehsalı</v>
      </c>
      <c r="E1151" s="8" t="s">
        <v>2224</v>
      </c>
      <c r="F1151" s="4" t="s">
        <v>920</v>
      </c>
      <c r="G1151" s="4">
        <v>1</v>
      </c>
      <c r="H1151" s="4">
        <v>180</v>
      </c>
      <c r="I1151" s="4">
        <f>Table4[[#This Row],[Malın miqdarı]]*Table4[[#This Row],[Vahidin qiyməti]]</f>
        <v>180</v>
      </c>
      <c r="J1151" s="4" t="s">
        <v>1905</v>
      </c>
      <c r="K1151" s="4" t="s">
        <v>1991</v>
      </c>
      <c r="L1151" s="4" t="s">
        <v>2061</v>
      </c>
      <c r="M1151" s="4" t="s">
        <v>2402</v>
      </c>
    </row>
    <row r="1152" spans="2:13" x14ac:dyDescent="0.3">
      <c r="B1152" s="4">
        <f t="shared" si="17"/>
        <v>1149</v>
      </c>
      <c r="C1152" s="5">
        <v>46199</v>
      </c>
      <c r="D1152" s="10" t="str" cm="1">
        <f t="array" ref="D1152">_xlfn.XLOOKUP(Table4[[#This Row],[Malın kodu]],Table1[[#All],[Malın kodu]],Table1[[#All],[Malın adı]],"xəta",0)</f>
        <v>Yanğınsöndürmə şlanqı / d 76mm</v>
      </c>
      <c r="E1152" s="8" t="s">
        <v>2247</v>
      </c>
      <c r="F1152" s="4" t="s">
        <v>920</v>
      </c>
      <c r="G1152" s="4">
        <v>1</v>
      </c>
      <c r="H1152" s="4">
        <v>45</v>
      </c>
      <c r="I1152" s="4">
        <f>Table4[[#This Row],[Malın miqdarı]]*Table4[[#This Row],[Vahidin qiyməti]]</f>
        <v>45</v>
      </c>
      <c r="J1152" s="4" t="s">
        <v>1905</v>
      </c>
      <c r="K1152" s="4" t="s">
        <v>1991</v>
      </c>
      <c r="L1152" s="4" t="s">
        <v>2061</v>
      </c>
      <c r="M1152" s="4" t="s">
        <v>2402</v>
      </c>
    </row>
    <row r="1153" spans="2:13" x14ac:dyDescent="0.3">
      <c r="B1153" s="4">
        <f t="shared" si="17"/>
        <v>1150</v>
      </c>
      <c r="C1153" s="5">
        <v>46199</v>
      </c>
      <c r="D1153" s="10" t="str" cm="1">
        <f t="array" ref="D1153">_xlfn.XLOOKUP(Table4[[#This Row],[Malın kodu]],Table1[[#All],[Malın kodu]],Table1[[#All],[Malın adı]],"xəta",0)</f>
        <v>Xomut / plastik / 76x9,2 mm / türk</v>
      </c>
      <c r="E1153" s="8" t="s">
        <v>2248</v>
      </c>
      <c r="F1153" s="4" t="s">
        <v>920</v>
      </c>
      <c r="G1153" s="4">
        <v>2</v>
      </c>
      <c r="H1153" s="4">
        <v>1</v>
      </c>
      <c r="I1153" s="4">
        <f>Table4[[#This Row],[Malın miqdarı]]*Table4[[#This Row],[Vahidin qiyməti]]</f>
        <v>2</v>
      </c>
      <c r="J1153" s="4" t="s">
        <v>1905</v>
      </c>
      <c r="K1153" s="4" t="s">
        <v>1991</v>
      </c>
      <c r="L1153" s="4" t="s">
        <v>2061</v>
      </c>
      <c r="M1153" s="4" t="s">
        <v>2402</v>
      </c>
    </row>
    <row r="1154" spans="2:13" x14ac:dyDescent="0.3">
      <c r="B1154" s="4">
        <f t="shared" si="17"/>
        <v>1151</v>
      </c>
      <c r="C1154" s="5">
        <v>46200</v>
      </c>
      <c r="D1154" s="10" t="str" cm="1">
        <f t="array" ref="D1154">_xlfn.XLOOKUP(Table4[[#This Row],[Malın kodu]],Table1[[#All],[Malın kodu]],Table1[[#All],[Malın adı]],"xəta",0)</f>
        <v>Tiner</v>
      </c>
      <c r="E1154" s="8" t="s">
        <v>1394</v>
      </c>
      <c r="F1154" s="4" t="s">
        <v>920</v>
      </c>
      <c r="G1154" s="4">
        <v>2</v>
      </c>
      <c r="H1154" s="4">
        <v>4</v>
      </c>
      <c r="I1154" s="4">
        <f>Table4[[#This Row],[Malın miqdarı]]*Table4[[#This Row],[Vahidin qiyməti]]</f>
        <v>8</v>
      </c>
      <c r="J1154" s="4" t="s">
        <v>1905</v>
      </c>
      <c r="K1154" s="4" t="s">
        <v>2277</v>
      </c>
      <c r="L1154" s="4" t="s">
        <v>2060</v>
      </c>
      <c r="M1154" s="4" t="s">
        <v>2403</v>
      </c>
    </row>
    <row r="1155" spans="2:13" x14ac:dyDescent="0.3">
      <c r="B1155" s="4">
        <f t="shared" si="17"/>
        <v>1152</v>
      </c>
      <c r="C1155" s="5">
        <v>46200</v>
      </c>
      <c r="D1155" s="10" t="str" cm="1">
        <f t="array" ref="D1155">_xlfn.XLOOKUP(Table4[[#This Row],[Malın kodu]],Table1[[#All],[Malın kodu]],Table1[[#All],[Malın adı]],"xəta",0)</f>
        <v>Valik başlığı</v>
      </c>
      <c r="E1155" s="8" t="s">
        <v>2041</v>
      </c>
      <c r="F1155" s="4" t="s">
        <v>920</v>
      </c>
      <c r="G1155" s="4">
        <v>10</v>
      </c>
      <c r="H1155" s="4">
        <v>1</v>
      </c>
      <c r="I1155" s="4">
        <f>Table4[[#This Row],[Malın miqdarı]]*Table4[[#This Row],[Vahidin qiyməti]]</f>
        <v>10</v>
      </c>
      <c r="J1155" s="4" t="s">
        <v>1905</v>
      </c>
      <c r="K1155" s="4" t="s">
        <v>2277</v>
      </c>
      <c r="L1155" s="4" t="s">
        <v>2060</v>
      </c>
      <c r="M1155" s="4" t="s">
        <v>2403</v>
      </c>
    </row>
    <row r="1156" spans="2:13" x14ac:dyDescent="0.3">
      <c r="B1156" s="4">
        <f t="shared" ref="B1156:B1219" si="18">ROW()-3</f>
        <v>1153</v>
      </c>
      <c r="C1156" s="5">
        <v>46200</v>
      </c>
      <c r="D1156" s="10" t="str" cm="1">
        <f t="array" ref="D1156">_xlfn.XLOOKUP(Table4[[#This Row],[Malın kodu]],Table1[[#All],[Malın kodu]],Table1[[#All],[Malın adı]],"xəta",0)</f>
        <v>Valik / 10sm</v>
      </c>
      <c r="E1156" s="8" t="s">
        <v>2042</v>
      </c>
      <c r="F1156" s="4" t="s">
        <v>920</v>
      </c>
      <c r="G1156" s="4">
        <v>4</v>
      </c>
      <c r="H1156" s="4">
        <v>3</v>
      </c>
      <c r="I1156" s="4">
        <f>Table4[[#This Row],[Malın miqdarı]]*Table4[[#This Row],[Vahidin qiyməti]]</f>
        <v>12</v>
      </c>
      <c r="J1156" s="4" t="s">
        <v>1905</v>
      </c>
      <c r="K1156" s="4" t="s">
        <v>2277</v>
      </c>
      <c r="L1156" s="4" t="s">
        <v>2060</v>
      </c>
      <c r="M1156" s="4" t="s">
        <v>2403</v>
      </c>
    </row>
    <row r="1157" spans="2:13" x14ac:dyDescent="0.3">
      <c r="B1157" s="4">
        <f t="shared" si="18"/>
        <v>1154</v>
      </c>
      <c r="C1157" s="5">
        <v>46200</v>
      </c>
      <c r="D1157" s="10" t="str" cm="1">
        <f t="array" ref="D1157">_xlfn.XLOOKUP(Table4[[#This Row],[Malın kodu]],Table1[[#All],[Malın kodu]],Table1[[#All],[Malın adı]],"xəta",0)</f>
        <v>Boya / antipas / 17kq</v>
      </c>
      <c r="E1157" s="8" t="s">
        <v>2047</v>
      </c>
      <c r="F1157" s="4" t="s">
        <v>920</v>
      </c>
      <c r="G1157" s="4">
        <v>1</v>
      </c>
      <c r="H1157" s="4">
        <v>90</v>
      </c>
      <c r="I1157" s="4">
        <f>Table4[[#This Row],[Malın miqdarı]]*Table4[[#This Row],[Vahidin qiyməti]]</f>
        <v>90</v>
      </c>
      <c r="J1157" s="4" t="s">
        <v>1905</v>
      </c>
      <c r="K1157" s="4" t="s">
        <v>2277</v>
      </c>
      <c r="L1157" s="4" t="s">
        <v>2060</v>
      </c>
      <c r="M1157" s="4" t="s">
        <v>2404</v>
      </c>
    </row>
    <row r="1158" spans="2:13" x14ac:dyDescent="0.3">
      <c r="B1158" s="4">
        <f t="shared" si="18"/>
        <v>1155</v>
      </c>
      <c r="C1158" s="5">
        <v>46200</v>
      </c>
      <c r="D1158" s="10" t="str" cm="1">
        <f t="array" ref="D1158">_xlfn.XLOOKUP(Table4[[#This Row],[Malın kodu]],Table1[[#All],[Malın kodu]],Table1[[#All],[Malın adı]],"xəta",0)</f>
        <v>Skoç / kağız</v>
      </c>
      <c r="E1158" s="8" t="s">
        <v>2052</v>
      </c>
      <c r="F1158" s="4" t="s">
        <v>920</v>
      </c>
      <c r="G1158" s="4">
        <v>1</v>
      </c>
      <c r="H1158" s="4">
        <v>3.5</v>
      </c>
      <c r="I1158" s="4">
        <f>Table4[[#This Row],[Malın miqdarı]]*Table4[[#This Row],[Vahidin qiyməti]]</f>
        <v>3.5</v>
      </c>
      <c r="J1158" s="4" t="s">
        <v>1905</v>
      </c>
      <c r="K1158" s="4" t="s">
        <v>2277</v>
      </c>
      <c r="L1158" s="4" t="s">
        <v>2060</v>
      </c>
      <c r="M1158" s="4" t="s">
        <v>2403</v>
      </c>
    </row>
    <row r="1159" spans="2:13" x14ac:dyDescent="0.3">
      <c r="B1159" s="4">
        <f t="shared" si="18"/>
        <v>1156</v>
      </c>
      <c r="C1159" s="5">
        <v>46200</v>
      </c>
      <c r="D1159" s="10" t="str" cm="1">
        <f t="array" ref="D1159">_xlfn.XLOOKUP(Table4[[#This Row],[Malın kodu]],Table1[[#All],[Malın kodu]],Table1[[#All],[Malın adı]],"xəta",0)</f>
        <v>Boya / 1 L</v>
      </c>
      <c r="E1159" s="8" t="s">
        <v>2153</v>
      </c>
      <c r="F1159" s="4" t="s">
        <v>920</v>
      </c>
      <c r="G1159" s="4">
        <v>2</v>
      </c>
      <c r="H1159" s="4">
        <v>7</v>
      </c>
      <c r="I1159" s="4">
        <f>Table4[[#This Row],[Malın miqdarı]]*Table4[[#This Row],[Vahidin qiyməti]]</f>
        <v>14</v>
      </c>
      <c r="J1159" s="4" t="s">
        <v>1905</v>
      </c>
      <c r="K1159" s="4" t="s">
        <v>2277</v>
      </c>
      <c r="L1159" s="4" t="s">
        <v>2060</v>
      </c>
      <c r="M1159" s="4" t="s">
        <v>2403</v>
      </c>
    </row>
    <row r="1160" spans="2:13" x14ac:dyDescent="0.3">
      <c r="B1160" s="4">
        <f t="shared" si="18"/>
        <v>1157</v>
      </c>
      <c r="C1160" s="5">
        <v>46200</v>
      </c>
      <c r="D1160" s="10" t="str" cm="1">
        <f t="array" ref="D1160">_xlfn.XLOOKUP(Table4[[#This Row],[Malın kodu]],Table1[[#All],[Malın kodu]],Table1[[#All],[Malın adı]],"xəta",0)</f>
        <v>Metrə / 3m</v>
      </c>
      <c r="E1160" s="8" t="s">
        <v>2178</v>
      </c>
      <c r="F1160" s="4" t="s">
        <v>920</v>
      </c>
      <c r="G1160" s="4">
        <v>1</v>
      </c>
      <c r="H1160" s="4">
        <v>4</v>
      </c>
      <c r="I1160" s="4">
        <f>Table4[[#This Row],[Malın miqdarı]]*Table4[[#This Row],[Vahidin qiyməti]]</f>
        <v>4</v>
      </c>
      <c r="J1160" s="4" t="s">
        <v>1905</v>
      </c>
      <c r="K1160" s="4" t="s">
        <v>2277</v>
      </c>
      <c r="L1160" s="4" t="s">
        <v>2060</v>
      </c>
      <c r="M1160" s="4" t="s">
        <v>2403</v>
      </c>
    </row>
    <row r="1161" spans="2:13" x14ac:dyDescent="0.3">
      <c r="B1161" s="4">
        <f t="shared" si="18"/>
        <v>1158</v>
      </c>
      <c r="C1161" s="5">
        <v>46200</v>
      </c>
      <c r="D1161" s="10" t="str" cm="1">
        <f t="array" ref="D1161">_xlfn.XLOOKUP(Table4[[#This Row],[Malın kodu]],Table1[[#All],[Malın kodu]],Table1[[#All],[Malın adı]],"xəta",0)</f>
        <v>Qayka açar dəsti</v>
      </c>
      <c r="E1161" s="8" t="s">
        <v>2227</v>
      </c>
      <c r="F1161" s="4" t="s">
        <v>920</v>
      </c>
      <c r="G1161" s="4">
        <v>1</v>
      </c>
      <c r="H1161" s="4">
        <v>14</v>
      </c>
      <c r="I1161" s="4">
        <f>Table4[[#This Row],[Malın miqdarı]]*Table4[[#This Row],[Vahidin qiyməti]]</f>
        <v>14</v>
      </c>
      <c r="J1161" s="4" t="s">
        <v>1905</v>
      </c>
      <c r="K1161" s="4" t="s">
        <v>2277</v>
      </c>
      <c r="L1161" s="4" t="s">
        <v>2060</v>
      </c>
      <c r="M1161" s="4" t="s">
        <v>2403</v>
      </c>
    </row>
    <row r="1162" spans="2:13" x14ac:dyDescent="0.3">
      <c r="B1162" s="4">
        <f t="shared" si="18"/>
        <v>1159</v>
      </c>
      <c r="C1162" s="5">
        <v>46200</v>
      </c>
      <c r="D1162" s="10" t="str" cm="1">
        <f t="array" ref="D1162">_xlfn.XLOOKUP(Table4[[#This Row],[Malın kodu]],Table1[[#All],[Malın kodu]],Table1[[#All],[Malın adı]],"xəta",0)</f>
        <v>Qayka açarı / 10</v>
      </c>
      <c r="E1162" s="8" t="s">
        <v>2230</v>
      </c>
      <c r="F1162" s="4" t="s">
        <v>920</v>
      </c>
      <c r="G1162" s="4">
        <v>1</v>
      </c>
      <c r="H1162" s="4">
        <v>4</v>
      </c>
      <c r="I1162" s="4">
        <f>Table4[[#This Row],[Malın miqdarı]]*Table4[[#This Row],[Vahidin qiyməti]]</f>
        <v>4</v>
      </c>
      <c r="J1162" s="4" t="s">
        <v>1905</v>
      </c>
      <c r="K1162" s="4" t="s">
        <v>2277</v>
      </c>
      <c r="L1162" s="4" t="s">
        <v>2060</v>
      </c>
      <c r="M1162" s="4" t="s">
        <v>2403</v>
      </c>
    </row>
    <row r="1163" spans="2:13" x14ac:dyDescent="0.3">
      <c r="B1163" s="4">
        <f t="shared" si="18"/>
        <v>1160</v>
      </c>
      <c r="C1163" s="5">
        <v>46200</v>
      </c>
      <c r="D1163" s="10" t="str" cm="1">
        <f t="array" ref="D1163">_xlfn.XLOOKUP(Table4[[#This Row],[Malın kodu]],Table1[[#All],[Malın kodu]],Table1[[#All],[Malın adı]],"xəta",0)</f>
        <v>Qayka açarı / 13</v>
      </c>
      <c r="E1163" s="8" t="s">
        <v>2231</v>
      </c>
      <c r="F1163" s="4" t="s">
        <v>920</v>
      </c>
      <c r="G1163" s="4">
        <v>1</v>
      </c>
      <c r="H1163" s="4">
        <v>6</v>
      </c>
      <c r="I1163" s="4">
        <f>Table4[[#This Row],[Malın miqdarı]]*Table4[[#This Row],[Vahidin qiyməti]]</f>
        <v>6</v>
      </c>
      <c r="J1163" s="4" t="s">
        <v>1905</v>
      </c>
      <c r="K1163" s="4" t="s">
        <v>2277</v>
      </c>
      <c r="L1163" s="4" t="s">
        <v>2060</v>
      </c>
      <c r="M1163" s="4" t="s">
        <v>2403</v>
      </c>
    </row>
    <row r="1164" spans="2:13" x14ac:dyDescent="0.3">
      <c r="B1164" s="4">
        <f t="shared" si="18"/>
        <v>1161</v>
      </c>
      <c r="C1164" s="5">
        <v>46200</v>
      </c>
      <c r="D1164" s="10" t="str" cm="1">
        <f t="array" ref="D1164">_xlfn.XLOOKUP(Table4[[#This Row],[Malın kodu]],Table1[[#All],[Malın kodu]],Table1[[#All],[Malın adı]],"xəta",0)</f>
        <v>Kəlpətin / kəsən</v>
      </c>
      <c r="E1164" s="8" t="s">
        <v>2239</v>
      </c>
      <c r="F1164" s="4" t="s">
        <v>920</v>
      </c>
      <c r="G1164" s="4">
        <v>1</v>
      </c>
      <c r="H1164" s="4">
        <v>9</v>
      </c>
      <c r="I1164" s="4">
        <f>Table4[[#This Row],[Malın miqdarı]]*Table4[[#This Row],[Vahidin qiyməti]]</f>
        <v>9</v>
      </c>
      <c r="J1164" s="4" t="s">
        <v>1905</v>
      </c>
      <c r="K1164" s="4" t="s">
        <v>2277</v>
      </c>
      <c r="L1164" s="4" t="s">
        <v>2060</v>
      </c>
      <c r="M1164" s="4" t="s">
        <v>2403</v>
      </c>
    </row>
    <row r="1165" spans="2:13" x14ac:dyDescent="0.3">
      <c r="B1165" s="4">
        <f t="shared" si="18"/>
        <v>1162</v>
      </c>
      <c r="C1165" s="5">
        <v>46201</v>
      </c>
      <c r="D1165" s="10" t="str" cm="1">
        <f t="array" ref="D1165">_xlfn.XLOOKUP(Table4[[#This Row],[Malın kodu]],Table1[[#All],[Malın kodu]],Table1[[#All],[Malın adı]],"xəta",0)</f>
        <v>Boya / antipas / 17kq</v>
      </c>
      <c r="E1165" s="8" t="s">
        <v>2047</v>
      </c>
      <c r="F1165" s="4" t="s">
        <v>920</v>
      </c>
      <c r="G1165" s="4">
        <v>1</v>
      </c>
      <c r="H1165" s="4">
        <v>90</v>
      </c>
      <c r="I1165" s="4">
        <f>Table4[[#This Row],[Malın miqdarı]]*Table4[[#This Row],[Vahidin qiyməti]]</f>
        <v>90</v>
      </c>
      <c r="J1165" s="4" t="s">
        <v>1905</v>
      </c>
      <c r="K1165" s="4" t="s">
        <v>2277</v>
      </c>
      <c r="L1165" s="4" t="s">
        <v>2060</v>
      </c>
      <c r="M1165" s="4" t="s">
        <v>2405</v>
      </c>
    </row>
    <row r="1166" spans="2:13" x14ac:dyDescent="0.3">
      <c r="B1166" s="4">
        <f t="shared" si="18"/>
        <v>1163</v>
      </c>
      <c r="C1166" s="5">
        <v>46201</v>
      </c>
      <c r="D1166" s="10" t="str" cm="1">
        <f t="array" ref="D1166">_xlfn.XLOOKUP(Table4[[#This Row],[Malın kodu]],Table1[[#All],[Malın kodu]],Table1[[#All],[Malın adı]],"xəta",0)</f>
        <v>Qapı petlyası</v>
      </c>
      <c r="E1166" s="8" t="s">
        <v>2234</v>
      </c>
      <c r="F1166" s="4" t="s">
        <v>920</v>
      </c>
      <c r="G1166" s="4">
        <v>3</v>
      </c>
      <c r="H1166" s="4">
        <v>1.5</v>
      </c>
      <c r="I1166" s="4">
        <f>Table4[[#This Row],[Malın miqdarı]]*Table4[[#This Row],[Vahidin qiyməti]]</f>
        <v>4.5</v>
      </c>
      <c r="J1166" s="4" t="s">
        <v>1905</v>
      </c>
      <c r="K1166" s="4" t="s">
        <v>2277</v>
      </c>
      <c r="L1166" s="4" t="s">
        <v>2060</v>
      </c>
      <c r="M1166" s="4" t="s">
        <v>2405</v>
      </c>
    </row>
    <row r="1167" spans="2:13" x14ac:dyDescent="0.3">
      <c r="B1167" s="4">
        <f t="shared" si="18"/>
        <v>1164</v>
      </c>
      <c r="C1167" s="5">
        <v>46201</v>
      </c>
      <c r="D1167" s="10" t="str" cm="1">
        <f t="array" ref="D1167">_xlfn.XLOOKUP(Table4[[#This Row],[Malın kodu]],Table1[[#All],[Malın kodu]],Table1[[#All],[Malın adı]],"xəta",0)</f>
        <v>Cəftə</v>
      </c>
      <c r="E1167" s="8" t="s">
        <v>2235</v>
      </c>
      <c r="F1167" s="4" t="s">
        <v>920</v>
      </c>
      <c r="G1167" s="4">
        <v>2</v>
      </c>
      <c r="H1167" s="4">
        <v>2</v>
      </c>
      <c r="I1167" s="4">
        <f>Table4[[#This Row],[Malın miqdarı]]*Table4[[#This Row],[Vahidin qiyməti]]</f>
        <v>4</v>
      </c>
      <c r="J1167" s="4" t="s">
        <v>1905</v>
      </c>
      <c r="K1167" s="4" t="s">
        <v>2277</v>
      </c>
      <c r="L1167" s="4" t="s">
        <v>2060</v>
      </c>
      <c r="M1167" s="4" t="s">
        <v>2405</v>
      </c>
    </row>
    <row r="1168" spans="2:13" x14ac:dyDescent="0.3">
      <c r="B1168" s="4">
        <f t="shared" si="18"/>
        <v>1165</v>
      </c>
      <c r="C1168" s="5">
        <v>46201</v>
      </c>
      <c r="D1168" s="10" t="str" cm="1">
        <f t="array" ref="D1168">_xlfn.XLOOKUP(Table4[[#This Row],[Malın kodu]],Table1[[#All],[Malın kodu]],Table1[[#All],[Malın adı]],"xəta",0)</f>
        <v>Bolt</v>
      </c>
      <c r="E1168" s="8" t="s">
        <v>2237</v>
      </c>
      <c r="F1168" s="4" t="s">
        <v>920</v>
      </c>
      <c r="G1168" s="4">
        <v>2</v>
      </c>
      <c r="H1168" s="4">
        <v>0.5</v>
      </c>
      <c r="I1168" s="4">
        <f>Table4[[#This Row],[Malın miqdarı]]*Table4[[#This Row],[Vahidin qiyməti]]</f>
        <v>1</v>
      </c>
      <c r="J1168" s="4" t="s">
        <v>1905</v>
      </c>
      <c r="K1168" s="4" t="s">
        <v>2277</v>
      </c>
      <c r="L1168" s="4" t="s">
        <v>2060</v>
      </c>
      <c r="M1168" s="4" t="s">
        <v>2405</v>
      </c>
    </row>
    <row r="1169" spans="2:13" x14ac:dyDescent="0.3">
      <c r="B1169" s="4">
        <f t="shared" si="18"/>
        <v>1166</v>
      </c>
      <c r="C1169" s="5">
        <v>46203</v>
      </c>
      <c r="D1169" s="10" t="str" cm="1">
        <f t="array" ref="D1169">_xlfn.XLOOKUP(Table4[[#This Row],[Malın kodu]],Table1[[#All],[Malın kodu]],Table1[[#All],[Malın adı]],"xəta",0)</f>
        <v>Metal lövhə / 20 mm / 1500x6000 / Cт3сп</v>
      </c>
      <c r="E1169" s="8" t="s">
        <v>2146</v>
      </c>
      <c r="F1169" s="4" t="s">
        <v>920</v>
      </c>
      <c r="G1169" s="4">
        <v>5</v>
      </c>
      <c r="H1169" s="4">
        <v>2000</v>
      </c>
      <c r="I1169" s="4">
        <f>Table4[[#This Row],[Malın miqdarı]]*Table4[[#This Row],[Vahidin qiyməti]]</f>
        <v>10000</v>
      </c>
      <c r="J1169" s="4" t="s">
        <v>1905</v>
      </c>
      <c r="K1169" s="4" t="s">
        <v>2145</v>
      </c>
      <c r="L1169" s="4" t="s">
        <v>2147</v>
      </c>
      <c r="M1169" s="4" t="s">
        <v>2147</v>
      </c>
    </row>
    <row r="1170" spans="2:13" x14ac:dyDescent="0.3">
      <c r="B1170" s="4">
        <f t="shared" si="18"/>
        <v>1167</v>
      </c>
      <c r="C1170" s="5">
        <v>46203</v>
      </c>
      <c r="D1170" s="10" t="str" cm="1">
        <f t="array" ref="D1170">_xlfn.XLOOKUP(Table4[[#This Row],[Malın kodu]],Table1[[#All],[Malın kodu]],Table1[[#All],[Malın adı]],"xəta",0)</f>
        <v>Bitum / Azmas</v>
      </c>
      <c r="E1170" s="8" t="s">
        <v>2156</v>
      </c>
      <c r="F1170" s="4" t="s">
        <v>920</v>
      </c>
      <c r="G1170" s="4">
        <v>2</v>
      </c>
      <c r="H1170" s="4">
        <v>25</v>
      </c>
      <c r="I1170" s="4">
        <f>Table4[[#This Row],[Malın miqdarı]]*Table4[[#This Row],[Vahidin qiyməti]]</f>
        <v>50</v>
      </c>
      <c r="J1170" s="4" t="s">
        <v>1914</v>
      </c>
      <c r="K1170" s="4" t="s">
        <v>2164</v>
      </c>
      <c r="L1170" s="4">
        <f>_xlfn.XLOOKUP(Table4[[#This Row],[Kontragentin adı]],Table2[Kontragentin adı],Table2[Müqavilə nömrəsi],"Xəta",0)</f>
        <v>0</v>
      </c>
      <c r="M1170" s="4" t="s">
        <v>2406</v>
      </c>
    </row>
    <row r="1171" spans="2:13" x14ac:dyDescent="0.3">
      <c r="B1171" s="4">
        <f t="shared" si="18"/>
        <v>1168</v>
      </c>
      <c r="C1171" s="5">
        <v>46203</v>
      </c>
      <c r="D1171" s="10" t="str" cm="1">
        <f t="array" ref="D1171">_xlfn.XLOOKUP(Table4[[#This Row],[Malın kodu]],Table1[[#All],[Malın kodu]],Table1[[#All],[Malın adı]],"xəta",0)</f>
        <v>Stepler / 14</v>
      </c>
      <c r="E1171" s="8" t="s">
        <v>2173</v>
      </c>
      <c r="F1171" s="4" t="s">
        <v>920</v>
      </c>
      <c r="G1171" s="4">
        <v>1</v>
      </c>
      <c r="H1171" s="4">
        <v>6</v>
      </c>
      <c r="I1171" s="4">
        <f>Table4[[#This Row],[Malın miqdarı]]*Table4[[#This Row],[Vahidin qiyməti]]</f>
        <v>6</v>
      </c>
      <c r="J1171" s="4" t="s">
        <v>1914</v>
      </c>
      <c r="K1171" s="4" t="s">
        <v>2164</v>
      </c>
      <c r="L1171" s="4">
        <f>_xlfn.XLOOKUP(Table4[[#This Row],[Kontragentin adı]],Table2[Kontragentin adı],Table2[Müqavilə nömrəsi],"Xəta",0)</f>
        <v>0</v>
      </c>
      <c r="M1171" s="4" t="s">
        <v>2407</v>
      </c>
    </row>
    <row r="1172" spans="2:13" x14ac:dyDescent="0.3">
      <c r="B1172" s="4">
        <f t="shared" si="18"/>
        <v>1169</v>
      </c>
      <c r="C1172" s="5">
        <v>46203</v>
      </c>
      <c r="D1172" s="10" t="str" cm="1">
        <f t="array" ref="D1172">_xlfn.XLOOKUP(Table4[[#This Row],[Malın kodu]],Table1[[#All],[Malın kodu]],Table1[[#All],[Malın adı]],"xəta",0)</f>
        <v>Stepler simi / 14</v>
      </c>
      <c r="E1172" s="8" t="s">
        <v>2174</v>
      </c>
      <c r="F1172" s="4" t="s">
        <v>920</v>
      </c>
      <c r="G1172" s="4">
        <v>1</v>
      </c>
      <c r="H1172" s="4">
        <v>4</v>
      </c>
      <c r="I1172" s="4">
        <f>Table4[[#This Row],[Malın miqdarı]]*Table4[[#This Row],[Vahidin qiyməti]]</f>
        <v>4</v>
      </c>
      <c r="J1172" s="4" t="s">
        <v>1914</v>
      </c>
      <c r="K1172" s="4" t="s">
        <v>2164</v>
      </c>
      <c r="L1172" s="4">
        <f>_xlfn.XLOOKUP(Table4[[#This Row],[Kontragentin adı]],Table2[Kontragentin adı],Table2[Müqavilə nömrəsi],"Xəta",0)</f>
        <v>0</v>
      </c>
      <c r="M1172" s="4" t="s">
        <v>2408</v>
      </c>
    </row>
    <row r="1173" spans="2:13" x14ac:dyDescent="0.3">
      <c r="B1173" s="4">
        <f t="shared" si="18"/>
        <v>1170</v>
      </c>
      <c r="C1173" s="5">
        <v>46203</v>
      </c>
      <c r="D1173" s="10" t="str" cm="1">
        <f t="array" ref="D1173">_xlfn.XLOOKUP(Table4[[#This Row],[Malın kodu]],Table1[[#All],[Malın kodu]],Table1[[#All],[Malın adı]],"xəta",0)</f>
        <v>Silikon</v>
      </c>
      <c r="E1173" s="8" t="s">
        <v>2175</v>
      </c>
      <c r="F1173" s="4" t="s">
        <v>920</v>
      </c>
      <c r="G1173" s="4">
        <v>1</v>
      </c>
      <c r="H1173" s="4">
        <v>5</v>
      </c>
      <c r="I1173" s="4">
        <f>Table4[[#This Row],[Malın miqdarı]]*Table4[[#This Row],[Vahidin qiyməti]]</f>
        <v>5</v>
      </c>
      <c r="J1173" s="4" t="s">
        <v>1914</v>
      </c>
      <c r="K1173" s="4" t="s">
        <v>2164</v>
      </c>
      <c r="L1173" s="4">
        <f>_xlfn.XLOOKUP(Table4[[#This Row],[Kontragentin adı]],Table2[Kontragentin adı],Table2[Müqavilə nömrəsi],"Xəta",0)</f>
        <v>0</v>
      </c>
      <c r="M1173" s="4" t="s">
        <v>2409</v>
      </c>
    </row>
    <row r="1174" spans="2:13" x14ac:dyDescent="0.3">
      <c r="B1174" s="4">
        <f t="shared" si="18"/>
        <v>1171</v>
      </c>
      <c r="C1174" s="5">
        <v>46203</v>
      </c>
      <c r="D1174" s="10" t="str" cm="1">
        <f t="array" ref="D1174">_xlfn.XLOOKUP(Table4[[#This Row],[Malın kodu]],Table1[[#All],[Malın kodu]],Table1[[#All],[Malın adı]],"xəta",0)</f>
        <v>Silikon tapancası</v>
      </c>
      <c r="E1174" s="8" t="s">
        <v>2176</v>
      </c>
      <c r="F1174" s="4" t="s">
        <v>920</v>
      </c>
      <c r="G1174" s="4">
        <v>1</v>
      </c>
      <c r="H1174" s="4">
        <v>5</v>
      </c>
      <c r="I1174" s="4">
        <f>Table4[[#This Row],[Malın miqdarı]]*Table4[[#This Row],[Vahidin qiyməti]]</f>
        <v>5</v>
      </c>
      <c r="J1174" s="4" t="s">
        <v>1914</v>
      </c>
      <c r="K1174" s="4" t="s">
        <v>2164</v>
      </c>
      <c r="L1174" s="4">
        <f>_xlfn.XLOOKUP(Table4[[#This Row],[Kontragentin adı]],Table2[Kontragentin adı],Table2[Müqavilə nömrəsi],"Xəta",0)</f>
        <v>0</v>
      </c>
      <c r="M1174" s="4" t="s">
        <v>2410</v>
      </c>
    </row>
    <row r="1175" spans="2:13" x14ac:dyDescent="0.3">
      <c r="B1175" s="4">
        <f t="shared" si="18"/>
        <v>1172</v>
      </c>
      <c r="C1175" s="5">
        <v>46203</v>
      </c>
      <c r="D1175" s="10" t="str" cm="1">
        <f t="array" ref="D1175">_xlfn.XLOOKUP(Table4[[#This Row],[Malın kodu]],Table1[[#All],[Malın kodu]],Table1[[#All],[Malın adı]],"xəta",0)</f>
        <v>Yapışdırıcı / kontakt</v>
      </c>
      <c r="E1175" s="8" t="s">
        <v>2177</v>
      </c>
      <c r="F1175" s="4" t="s">
        <v>920</v>
      </c>
      <c r="G1175" s="4">
        <v>1</v>
      </c>
      <c r="H1175" s="4">
        <v>6.5</v>
      </c>
      <c r="I1175" s="4">
        <f>Table4[[#This Row],[Malın miqdarı]]*Table4[[#This Row],[Vahidin qiyməti]]</f>
        <v>6.5</v>
      </c>
      <c r="J1175" s="4" t="s">
        <v>1914</v>
      </c>
      <c r="K1175" s="4" t="s">
        <v>2164</v>
      </c>
      <c r="L1175" s="4">
        <f>_xlfn.XLOOKUP(Table4[[#This Row],[Kontragentin adı]],Table2[Kontragentin adı],Table2[Müqavilə nömrəsi],"Xəta",0)</f>
        <v>0</v>
      </c>
      <c r="M1175" s="4" t="s">
        <v>2411</v>
      </c>
    </row>
    <row r="1176" spans="2:13" x14ac:dyDescent="0.3">
      <c r="B1176" s="4">
        <f t="shared" si="18"/>
        <v>1173</v>
      </c>
      <c r="C1176" s="5">
        <v>46203</v>
      </c>
      <c r="D1176" s="10" t="str" cm="1">
        <f t="array" ref="D1176">_xlfn.XLOOKUP(Table4[[#This Row],[Malın kodu]],Table1[[#All],[Malın kodu]],Table1[[#All],[Malın adı]],"xəta",0)</f>
        <v>Metrə / 3m</v>
      </c>
      <c r="E1176" s="8" t="s">
        <v>2178</v>
      </c>
      <c r="F1176" s="4" t="s">
        <v>920</v>
      </c>
      <c r="G1176" s="4">
        <v>1</v>
      </c>
      <c r="H1176" s="4">
        <v>5</v>
      </c>
      <c r="I1176" s="4">
        <f>Table4[[#This Row],[Malın miqdarı]]*Table4[[#This Row],[Vahidin qiyməti]]</f>
        <v>5</v>
      </c>
      <c r="J1176" s="4" t="s">
        <v>1914</v>
      </c>
      <c r="K1176" s="4" t="s">
        <v>2164</v>
      </c>
      <c r="L1176" s="4">
        <f>_xlfn.XLOOKUP(Table4[[#This Row],[Kontragentin adı]],Table2[Kontragentin adı],Table2[Müqavilə nömrəsi],"Xəta",0)</f>
        <v>0</v>
      </c>
      <c r="M1176" s="4" t="s">
        <v>2412</v>
      </c>
    </row>
    <row r="1177" spans="2:13" x14ac:dyDescent="0.3">
      <c r="B1177" s="4">
        <f t="shared" si="18"/>
        <v>1174</v>
      </c>
      <c r="C1177" s="5">
        <v>46203</v>
      </c>
      <c r="D1177" s="10" t="str" cm="1">
        <f t="array" ref="D1177">_xlfn.XLOOKUP(Table4[[#This Row],[Malın kodu]],Table1[[#All],[Malın kodu]],Table1[[#All],[Malın adı]],"xəta",0)</f>
        <v>Təbaşir</v>
      </c>
      <c r="E1177" s="8" t="s">
        <v>2179</v>
      </c>
      <c r="F1177" s="4" t="s">
        <v>920</v>
      </c>
      <c r="G1177" s="4">
        <v>1</v>
      </c>
      <c r="H1177" s="4">
        <v>6</v>
      </c>
      <c r="I1177" s="4">
        <f>Table4[[#This Row],[Malın miqdarı]]*Table4[[#This Row],[Vahidin qiyməti]]</f>
        <v>6</v>
      </c>
      <c r="J1177" s="4" t="s">
        <v>1914</v>
      </c>
      <c r="K1177" s="4" t="s">
        <v>2164</v>
      </c>
      <c r="L1177" s="4">
        <f>_xlfn.XLOOKUP(Table4[[#This Row],[Kontragentin adı]],Table2[Kontragentin adı],Table2[Müqavilə nömrəsi],"Xəta",0)</f>
        <v>0</v>
      </c>
      <c r="M1177" s="4" t="s">
        <v>2413</v>
      </c>
    </row>
    <row r="1178" spans="2:13" x14ac:dyDescent="0.3">
      <c r="B1178" s="4">
        <f t="shared" si="18"/>
        <v>1175</v>
      </c>
      <c r="C1178" s="5">
        <v>46209</v>
      </c>
      <c r="D1178" s="10" t="str" cm="1">
        <f t="array" ref="D1178">_xlfn.XLOOKUP(Table4[[#This Row],[Malın kodu]],Table1[[#All],[Malın kodu]],Table1[[#All],[Malın adı]],"xəta",0)</f>
        <v>Boya / antipas / 17kq</v>
      </c>
      <c r="E1178" s="8" t="s">
        <v>2047</v>
      </c>
      <c r="F1178" s="4" t="s">
        <v>920</v>
      </c>
      <c r="G1178" s="4">
        <v>1</v>
      </c>
      <c r="H1178" s="4">
        <v>90</v>
      </c>
      <c r="I1178" s="4">
        <f>Table4[[#This Row],[Malın miqdarı]]*Table4[[#This Row],[Vahidin qiyməti]]</f>
        <v>90</v>
      </c>
      <c r="J1178" s="4" t="s">
        <v>1905</v>
      </c>
      <c r="K1178" s="4" t="s">
        <v>2277</v>
      </c>
      <c r="L1178" s="4" t="s">
        <v>2060</v>
      </c>
      <c r="M1178" s="4" t="s">
        <v>2414</v>
      </c>
    </row>
    <row r="1179" spans="2:13" x14ac:dyDescent="0.3">
      <c r="B1179" s="4">
        <f t="shared" si="18"/>
        <v>1176</v>
      </c>
      <c r="C1179" s="5">
        <v>46209</v>
      </c>
      <c r="D1179" s="10" t="str" cm="1">
        <f t="array" ref="D1179">_xlfn.XLOOKUP(Table4[[#This Row],[Malın kodu]],Table1[[#All],[Malın kodu]],Table1[[#All],[Malın adı]],"xəta",0)</f>
        <v>Tiner / 2.5 kq</v>
      </c>
      <c r="E1179" s="8" t="s">
        <v>2048</v>
      </c>
      <c r="F1179" s="4" t="s">
        <v>920</v>
      </c>
      <c r="G1179" s="4">
        <v>3</v>
      </c>
      <c r="H1179" s="4">
        <v>10</v>
      </c>
      <c r="I1179" s="4">
        <f>Table4[[#This Row],[Malın miqdarı]]*Table4[[#This Row],[Vahidin qiyməti]]</f>
        <v>30</v>
      </c>
      <c r="J1179" s="4" t="s">
        <v>1905</v>
      </c>
      <c r="K1179" s="4" t="s">
        <v>2277</v>
      </c>
      <c r="L1179" s="4" t="s">
        <v>2060</v>
      </c>
      <c r="M1179" s="4" t="s">
        <v>2414</v>
      </c>
    </row>
    <row r="1180" spans="2:13" x14ac:dyDescent="0.3">
      <c r="B1180" s="4">
        <f t="shared" si="18"/>
        <v>1177</v>
      </c>
      <c r="C1180" s="5">
        <v>46209</v>
      </c>
      <c r="D1180" s="10" t="str" cm="1">
        <f t="array" ref="D1180">_xlfn.XLOOKUP(Table4[[#This Row],[Malın kodu]],Table1[[#All],[Malın kodu]],Table1[[#All],[Malın adı]],"xəta",0)</f>
        <v>Bitum / Azmas</v>
      </c>
      <c r="E1180" s="8" t="s">
        <v>2156</v>
      </c>
      <c r="F1180" s="4" t="s">
        <v>920</v>
      </c>
      <c r="G1180" s="4">
        <v>1</v>
      </c>
      <c r="H1180" s="4">
        <v>25</v>
      </c>
      <c r="I1180" s="4">
        <f>Table4[[#This Row],[Malın miqdarı]]*Table4[[#This Row],[Vahidin qiyməti]]</f>
        <v>25</v>
      </c>
      <c r="J1180" s="4" t="s">
        <v>1914</v>
      </c>
      <c r="K1180" s="4" t="s">
        <v>2164</v>
      </c>
      <c r="L1180" s="4">
        <f>_xlfn.XLOOKUP(Table4[[#This Row],[Kontragentin adı]],Table2[Kontragentin adı],Table2[Müqavilə nömrəsi],"Xəta",0)</f>
        <v>0</v>
      </c>
      <c r="M1180" s="4" t="s">
        <v>2415</v>
      </c>
    </row>
    <row r="1181" spans="2:13" x14ac:dyDescent="0.3">
      <c r="B1181" s="4">
        <f t="shared" si="18"/>
        <v>1178</v>
      </c>
      <c r="C1181" s="5">
        <v>46209</v>
      </c>
      <c r="D1181" s="10" t="str" cm="1">
        <f t="array" ref="D1181">_xlfn.XLOOKUP(Table4[[#This Row],[Malın kodu]],Table1[[#All],[Malın kodu]],Table1[[#All],[Malın adı]],"xəta",0)</f>
        <v>Boya</v>
      </c>
      <c r="E1181" s="8" t="s">
        <v>2241</v>
      </c>
      <c r="F1181" s="4" t="s">
        <v>920</v>
      </c>
      <c r="G1181" s="4">
        <v>1</v>
      </c>
      <c r="H1181" s="4">
        <v>90</v>
      </c>
      <c r="I1181" s="4">
        <f>Table4[[#This Row],[Malın miqdarı]]*Table4[[#This Row],[Vahidin qiyməti]]</f>
        <v>90</v>
      </c>
      <c r="J1181" s="4" t="s">
        <v>1905</v>
      </c>
      <c r="K1181" s="4" t="s">
        <v>2277</v>
      </c>
      <c r="L1181" s="4" t="s">
        <v>2060</v>
      </c>
      <c r="M1181" s="4" t="s">
        <v>2414</v>
      </c>
    </row>
    <row r="1182" spans="2:13" x14ac:dyDescent="0.3">
      <c r="B1182" s="4">
        <f t="shared" si="18"/>
        <v>1179</v>
      </c>
      <c r="C1182" s="5">
        <v>46209</v>
      </c>
      <c r="D1182" s="10" t="str" cm="1">
        <f t="array" ref="D1182">_xlfn.XLOOKUP(Table4[[#This Row],[Malın kodu]],Table1[[#All],[Malın kodu]],Table1[[#All],[Malın adı]],"xəta",0)</f>
        <v>Elektrik üçlük (kalot)</v>
      </c>
      <c r="E1182" s="8" t="s">
        <v>2243</v>
      </c>
      <c r="F1182" s="4" t="s">
        <v>920</v>
      </c>
      <c r="G1182" s="4">
        <v>1</v>
      </c>
      <c r="H1182" s="4">
        <v>6</v>
      </c>
      <c r="I1182" s="4">
        <f>Table4[[#This Row],[Malın miqdarı]]*Table4[[#This Row],[Vahidin qiyməti]]</f>
        <v>6</v>
      </c>
      <c r="J1182" s="4" t="s">
        <v>1905</v>
      </c>
      <c r="K1182" s="4" t="s">
        <v>2277</v>
      </c>
      <c r="L1182" s="4" t="s">
        <v>2060</v>
      </c>
      <c r="M1182" s="4" t="s">
        <v>2414</v>
      </c>
    </row>
    <row r="1183" spans="2:13" x14ac:dyDescent="0.3">
      <c r="B1183" s="4">
        <f t="shared" si="18"/>
        <v>1180</v>
      </c>
      <c r="C1183" s="5">
        <v>46210</v>
      </c>
      <c r="D1183" s="10" t="str" cm="1">
        <f t="array" ref="D1183">_xlfn.XLOOKUP(Table4[[#This Row],[Malın kodu]],Table1[[#All],[Malın kodu]],Table1[[#All],[Malın adı]],"xəta",0)</f>
        <v>Valik başlığı</v>
      </c>
      <c r="E1183" s="8" t="s">
        <v>2041</v>
      </c>
      <c r="F1183" s="4" t="s">
        <v>920</v>
      </c>
      <c r="G1183" s="4">
        <v>2</v>
      </c>
      <c r="H1183" s="4">
        <v>1.5</v>
      </c>
      <c r="I1183" s="4">
        <f>Table4[[#This Row],[Malın miqdarı]]*Table4[[#This Row],[Vahidin qiyməti]]</f>
        <v>3</v>
      </c>
      <c r="J1183" s="4" t="s">
        <v>1905</v>
      </c>
      <c r="K1183" s="4" t="s">
        <v>2277</v>
      </c>
      <c r="L1183" s="4" t="s">
        <v>2060</v>
      </c>
      <c r="M1183" s="4" t="s">
        <v>2416</v>
      </c>
    </row>
    <row r="1184" spans="2:13" x14ac:dyDescent="0.3">
      <c r="B1184" s="4">
        <f t="shared" si="18"/>
        <v>1181</v>
      </c>
      <c r="C1184" s="5">
        <v>46210</v>
      </c>
      <c r="D1184" s="10" t="str" cm="1">
        <f t="array" ref="D1184">_xlfn.XLOOKUP(Table4[[#This Row],[Malın kodu]],Table1[[#All],[Malın kodu]],Table1[[#All],[Malın adı]],"xəta",0)</f>
        <v>Valik / 10sm</v>
      </c>
      <c r="E1184" s="8" t="s">
        <v>2042</v>
      </c>
      <c r="F1184" s="4" t="s">
        <v>920</v>
      </c>
      <c r="G1184" s="4">
        <v>1</v>
      </c>
      <c r="H1184" s="4">
        <v>3</v>
      </c>
      <c r="I1184" s="4">
        <f>Table4[[#This Row],[Malın miqdarı]]*Table4[[#This Row],[Vahidin qiyməti]]</f>
        <v>3</v>
      </c>
      <c r="J1184" s="4" t="s">
        <v>1905</v>
      </c>
      <c r="K1184" s="4" t="s">
        <v>2277</v>
      </c>
      <c r="L1184" s="4" t="s">
        <v>2060</v>
      </c>
      <c r="M1184" s="4" t="s">
        <v>2416</v>
      </c>
    </row>
    <row r="1185" spans="2:13" x14ac:dyDescent="0.3">
      <c r="B1185" s="4">
        <f t="shared" si="18"/>
        <v>1182</v>
      </c>
      <c r="C1185" s="5">
        <v>46210</v>
      </c>
      <c r="D1185" s="10" t="str" cm="1">
        <f t="array" ref="D1185">_xlfn.XLOOKUP(Table4[[#This Row],[Malın kodu]],Table1[[#All],[Malın kodu]],Table1[[#All],[Malın adı]],"xəta",0)</f>
        <v>Tiner / 2.5 kq</v>
      </c>
      <c r="E1185" s="8" t="s">
        <v>2048</v>
      </c>
      <c r="F1185" s="4" t="s">
        <v>920</v>
      </c>
      <c r="G1185" s="4">
        <v>1</v>
      </c>
      <c r="H1185" s="4">
        <v>10</v>
      </c>
      <c r="I1185" s="4">
        <f>Table4[[#This Row],[Malın miqdarı]]*Table4[[#This Row],[Vahidin qiyməti]]</f>
        <v>10</v>
      </c>
      <c r="J1185" s="4" t="s">
        <v>1905</v>
      </c>
      <c r="K1185" s="4" t="s">
        <v>2277</v>
      </c>
      <c r="L1185" s="4" t="s">
        <v>2060</v>
      </c>
      <c r="M1185" s="4" t="s">
        <v>2416</v>
      </c>
    </row>
    <row r="1186" spans="2:13" x14ac:dyDescent="0.3">
      <c r="B1186" s="4">
        <f t="shared" si="18"/>
        <v>1183</v>
      </c>
      <c r="C1186" s="5">
        <v>46210</v>
      </c>
      <c r="D1186" s="10" t="str" cm="1">
        <f t="array" ref="D1186">_xlfn.XLOOKUP(Table4[[#This Row],[Malın kodu]],Table1[[#All],[Malın kodu]],Table1[[#All],[Malın adı]],"xəta",0)</f>
        <v>Solidol</v>
      </c>
      <c r="E1186" s="8" t="s">
        <v>2275</v>
      </c>
      <c r="F1186" s="4" t="s">
        <v>927</v>
      </c>
      <c r="G1186" s="4">
        <v>1</v>
      </c>
      <c r="H1186" s="4">
        <v>5</v>
      </c>
      <c r="I1186" s="4">
        <f>Table4[[#This Row],[Malın miqdarı]]*Table4[[#This Row],[Vahidin qiyməti]]</f>
        <v>5</v>
      </c>
      <c r="J1186" s="4" t="s">
        <v>1914</v>
      </c>
      <c r="K1186" s="4" t="s">
        <v>2276</v>
      </c>
      <c r="L1186" s="4">
        <f>_xlfn.XLOOKUP(Table4[[#This Row],[Kontragentin adı]],Table2[Kontragentin adı],Table2[Müqavilə nömrəsi],"Xəta",0)</f>
        <v>0</v>
      </c>
      <c r="M1186" s="4">
        <f>_xlfn.XLOOKUP(Table4[[#This Row],[Kontragentin adı]],Table2[Kontragentin adı],Table2[Müqavilə nömrəsi],"Xəta",0)</f>
        <v>0</v>
      </c>
    </row>
    <row r="1187" spans="2:13" x14ac:dyDescent="0.3">
      <c r="B1187" s="4">
        <f t="shared" si="18"/>
        <v>1184</v>
      </c>
      <c r="C1187" s="5">
        <v>46210</v>
      </c>
      <c r="D1187" s="10" t="str" cm="1">
        <f t="array" ref="D1187">_xlfn.XLOOKUP(Table4[[#This Row],[Malın kodu]],Table1[[#All],[Malın kodu]],Table1[[#All],[Malın adı]],"xəta",0)</f>
        <v>Sututucu bant / AK 20/2</v>
      </c>
      <c r="E1187" s="8" t="s">
        <v>2284</v>
      </c>
      <c r="F1187" s="4" t="s">
        <v>925</v>
      </c>
      <c r="G1187" s="4">
        <v>80</v>
      </c>
      <c r="H1187" s="4">
        <v>5.0999999999999996</v>
      </c>
      <c r="I1187" s="4">
        <f>Table4[[#This Row],[Malın miqdarı]]*Table4[[#This Row],[Vahidin qiyməti]]</f>
        <v>408</v>
      </c>
      <c r="J1187" s="4" t="s">
        <v>1905</v>
      </c>
      <c r="K1187" s="4" t="s">
        <v>2281</v>
      </c>
      <c r="L1187" s="4" t="s">
        <v>2282</v>
      </c>
      <c r="M1187" s="4" t="s">
        <v>2417</v>
      </c>
    </row>
    <row r="1188" spans="2:13" x14ac:dyDescent="0.3">
      <c r="B1188" s="4">
        <f t="shared" si="18"/>
        <v>1185</v>
      </c>
      <c r="C1188" s="5">
        <v>46211</v>
      </c>
      <c r="D1188" s="10" t="str" cm="1">
        <f t="array" ref="D1188">_xlfn.XLOOKUP(Table4[[#This Row],[Malın kodu]],Table1[[#All],[Malın kodu]],Table1[[#All],[Malın adı]],"xəta",0)</f>
        <v>Valik / 20-lik "Defne"</v>
      </c>
      <c r="E1188" s="8" t="s">
        <v>1979</v>
      </c>
      <c r="F1188" s="4" t="s">
        <v>920</v>
      </c>
      <c r="G1188" s="4">
        <v>5</v>
      </c>
      <c r="H1188" s="4">
        <v>1.8</v>
      </c>
      <c r="I1188" s="4">
        <f>Table4[[#This Row],[Malın miqdarı]]*Table4[[#This Row],[Vahidin qiyməti]]</f>
        <v>9</v>
      </c>
      <c r="J1188" s="4" t="s">
        <v>1905</v>
      </c>
      <c r="K1188" s="4" t="s">
        <v>1992</v>
      </c>
      <c r="L1188" s="4" t="s">
        <v>2067</v>
      </c>
      <c r="M1188" s="4" t="s">
        <v>2418</v>
      </c>
    </row>
    <row r="1189" spans="2:13" x14ac:dyDescent="0.3">
      <c r="B1189" s="4">
        <f t="shared" si="18"/>
        <v>1186</v>
      </c>
      <c r="C1189" s="5">
        <v>46211</v>
      </c>
      <c r="D1189" s="10" t="str" cm="1">
        <f t="array" ref="D1189">_xlfn.XLOOKUP(Table4[[#This Row],[Malın kodu]],Table1[[#All],[Malın kodu]],Table1[[#All],[Malın adı]],"xəta",0)</f>
        <v>Qaynaq çubuğu (elektrod) / 3 / "Azkaynak"</v>
      </c>
      <c r="E1189" s="8" t="s">
        <v>1981</v>
      </c>
      <c r="F1189" s="4" t="s">
        <v>922</v>
      </c>
      <c r="G1189" s="4">
        <v>8</v>
      </c>
      <c r="H1189" s="4">
        <v>16</v>
      </c>
      <c r="I1189" s="4">
        <f>Table4[[#This Row],[Malın miqdarı]]*Table4[[#This Row],[Vahidin qiyməti]]</f>
        <v>128</v>
      </c>
      <c r="J1189" s="4" t="s">
        <v>1905</v>
      </c>
      <c r="K1189" s="4" t="s">
        <v>1992</v>
      </c>
      <c r="L1189" s="4" t="s">
        <v>2067</v>
      </c>
      <c r="M1189" s="4" t="s">
        <v>2418</v>
      </c>
    </row>
    <row r="1190" spans="2:13" x14ac:dyDescent="0.3">
      <c r="B1190" s="4">
        <f t="shared" si="18"/>
        <v>1187</v>
      </c>
      <c r="C1190" s="5">
        <v>46211</v>
      </c>
      <c r="D1190" s="10" t="str" cm="1">
        <f t="array" ref="D1190">_xlfn.XLOOKUP(Table4[[#This Row],[Malın kodu]],Table1[[#All],[Malın kodu]],Table1[[#All],[Malın adı]],"xəta",0)</f>
        <v>Qaynaq çubuğu (elektrod) / 3 / "Azkaynak"</v>
      </c>
      <c r="E1190" s="8" t="s">
        <v>1981</v>
      </c>
      <c r="F1190" s="4" t="s">
        <v>922</v>
      </c>
      <c r="G1190" s="4">
        <v>4</v>
      </c>
      <c r="H1190" s="4">
        <v>16</v>
      </c>
      <c r="I1190" s="4">
        <f>Table4[[#This Row],[Malın miqdarı]]*Table4[[#This Row],[Vahidin qiyməti]]</f>
        <v>64</v>
      </c>
      <c r="J1190" s="4" t="s">
        <v>1905</v>
      </c>
      <c r="K1190" s="4" t="s">
        <v>1992</v>
      </c>
      <c r="L1190" s="4" t="s">
        <v>2067</v>
      </c>
      <c r="M1190" s="4" t="s">
        <v>2418</v>
      </c>
    </row>
    <row r="1191" spans="2:13" x14ac:dyDescent="0.3">
      <c r="B1191" s="4">
        <f t="shared" si="18"/>
        <v>1188</v>
      </c>
      <c r="C1191" s="5">
        <v>46211</v>
      </c>
      <c r="D1191" s="10" t="str" cm="1">
        <f t="array" ref="D1191">_xlfn.XLOOKUP(Table4[[#This Row],[Malın kodu]],Table1[[#All],[Malın kodu]],Table1[[#All],[Malın adı]],"xəta",0)</f>
        <v>Əlcək / sarı</v>
      </c>
      <c r="E1191" s="8" t="s">
        <v>1982</v>
      </c>
      <c r="F1191" s="4" t="s">
        <v>920</v>
      </c>
      <c r="G1191" s="4">
        <v>50</v>
      </c>
      <c r="H1191" s="4">
        <v>3.5</v>
      </c>
      <c r="I1191" s="4">
        <f>Table4[[#This Row],[Malın miqdarı]]*Table4[[#This Row],[Vahidin qiyməti]]</f>
        <v>175</v>
      </c>
      <c r="J1191" s="4" t="s">
        <v>1905</v>
      </c>
      <c r="K1191" s="4" t="s">
        <v>1992</v>
      </c>
      <c r="L1191" s="4" t="s">
        <v>2067</v>
      </c>
      <c r="M1191" s="4" t="s">
        <v>2418</v>
      </c>
    </row>
    <row r="1192" spans="2:13" x14ac:dyDescent="0.3">
      <c r="B1192" s="4">
        <f t="shared" si="18"/>
        <v>1189</v>
      </c>
      <c r="C1192" s="5">
        <v>46211</v>
      </c>
      <c r="D1192" s="10" t="str" cm="1">
        <f t="array" ref="D1192">_xlfn.XLOOKUP(Table4[[#This Row],[Malın kodu]],Table1[[#All],[Malın kodu]],Table1[[#All],[Malın adı]],"xəta",0)</f>
        <v>Disk / kəsici / d 230x1,9 mm</v>
      </c>
      <c r="E1192" s="8" t="s">
        <v>2219</v>
      </c>
      <c r="F1192" s="4" t="s">
        <v>920</v>
      </c>
      <c r="G1192" s="4">
        <v>40</v>
      </c>
      <c r="H1192" s="4">
        <v>1.5</v>
      </c>
      <c r="I1192" s="4">
        <f>Table4[[#This Row],[Malın miqdarı]]*Table4[[#This Row],[Vahidin qiyməti]]</f>
        <v>60</v>
      </c>
      <c r="J1192" s="4" t="s">
        <v>1905</v>
      </c>
      <c r="K1192" s="4" t="s">
        <v>1992</v>
      </c>
      <c r="L1192" s="4" t="s">
        <v>2067</v>
      </c>
      <c r="M1192" s="4" t="s">
        <v>2418</v>
      </c>
    </row>
    <row r="1193" spans="2:13" x14ac:dyDescent="0.3">
      <c r="B1193" s="4">
        <f t="shared" si="18"/>
        <v>1190</v>
      </c>
      <c r="C1193" s="5">
        <v>46211</v>
      </c>
      <c r="D1193" s="10" t="str" cm="1">
        <f t="array" ref="D1193">_xlfn.XLOOKUP(Table4[[#This Row],[Malın kodu]],Table1[[#All],[Malın kodu]],Table1[[#All],[Malın adı]],"xəta",0)</f>
        <v>Qaynaq çubuğu (elektrod) / 3 / sabit / "Azkaynak"</v>
      </c>
      <c r="E1193" s="8" t="s">
        <v>2249</v>
      </c>
      <c r="F1193" s="4" t="s">
        <v>922</v>
      </c>
      <c r="G1193" s="4">
        <v>6</v>
      </c>
      <c r="H1193" s="4">
        <v>20</v>
      </c>
      <c r="I1193" s="4">
        <f>Table4[[#This Row],[Malın miqdarı]]*Table4[[#This Row],[Vahidin qiyməti]]</f>
        <v>120</v>
      </c>
      <c r="J1193" s="4" t="s">
        <v>1905</v>
      </c>
      <c r="K1193" s="4" t="s">
        <v>1992</v>
      </c>
      <c r="L1193" s="4" t="s">
        <v>2067</v>
      </c>
      <c r="M1193" s="4" t="s">
        <v>2418</v>
      </c>
    </row>
    <row r="1194" spans="2:13" x14ac:dyDescent="0.3">
      <c r="B1194" s="4">
        <f t="shared" si="18"/>
        <v>1191</v>
      </c>
      <c r="C1194" s="5">
        <v>46211</v>
      </c>
      <c r="D1194" s="10" t="str" cm="1">
        <f t="array" ref="D1194">_xlfn.XLOOKUP(Table4[[#This Row],[Malın kodu]],Table1[[#All],[Malın kodu]],Table1[[#All],[Malın adı]],"xəta",0)</f>
        <v>Qaynaq çubuğu (elektrod) / 3 / sabit / "Azkaynak"</v>
      </c>
      <c r="E1194" s="8" t="s">
        <v>2249</v>
      </c>
      <c r="F1194" s="4" t="s">
        <v>922</v>
      </c>
      <c r="G1194" s="4">
        <v>3</v>
      </c>
      <c r="H1194" s="4">
        <v>20</v>
      </c>
      <c r="I1194" s="4">
        <f>Table4[[#This Row],[Malın miqdarı]]*Table4[[#This Row],[Vahidin qiyməti]]</f>
        <v>60</v>
      </c>
      <c r="J1194" s="4" t="s">
        <v>1905</v>
      </c>
      <c r="K1194" s="4" t="s">
        <v>1992</v>
      </c>
      <c r="L1194" s="4" t="s">
        <v>2067</v>
      </c>
      <c r="M1194" s="4" t="s">
        <v>2418</v>
      </c>
    </row>
    <row r="1195" spans="2:13" x14ac:dyDescent="0.3">
      <c r="B1195" s="4">
        <f t="shared" si="18"/>
        <v>1192</v>
      </c>
      <c r="C1195" s="5">
        <v>46211</v>
      </c>
      <c r="D1195" s="10" t="str" cm="1">
        <f t="array" ref="D1195">_xlfn.XLOOKUP(Table4[[#This Row],[Malın kodu]],Table1[[#All],[Malın kodu]],Table1[[#All],[Malın adı]],"xəta",0)</f>
        <v>Disk / cilalayıcı / d 230 mm / lagonda üçün</v>
      </c>
      <c r="E1195" s="8" t="s">
        <v>2251</v>
      </c>
      <c r="F1195" s="4" t="s">
        <v>920</v>
      </c>
      <c r="G1195" s="4">
        <v>5</v>
      </c>
      <c r="H1195" s="4">
        <v>7</v>
      </c>
      <c r="I1195" s="4">
        <f>Table4[[#This Row],[Malın miqdarı]]*Table4[[#This Row],[Vahidin qiyməti]]</f>
        <v>35</v>
      </c>
      <c r="J1195" s="4" t="s">
        <v>1905</v>
      </c>
      <c r="K1195" s="4" t="s">
        <v>1992</v>
      </c>
      <c r="L1195" s="4" t="s">
        <v>2067</v>
      </c>
      <c r="M1195" s="4" t="s">
        <v>2418</v>
      </c>
    </row>
    <row r="1196" spans="2:13" x14ac:dyDescent="0.3">
      <c r="B1196" s="4">
        <f t="shared" si="18"/>
        <v>1193</v>
      </c>
      <c r="C1196" s="5">
        <v>46211</v>
      </c>
      <c r="D1196" s="10" t="str" cm="1">
        <f t="array" ref="D1196">_xlfn.XLOOKUP(Table4[[#This Row],[Malın kodu]],Table1[[#All],[Malın kodu]],Table1[[#All],[Malın adı]],"xəta",0)</f>
        <v>Bel / çalov</v>
      </c>
      <c r="E1196" s="8" t="s">
        <v>2257</v>
      </c>
      <c r="F1196" s="4" t="s">
        <v>920</v>
      </c>
      <c r="G1196" s="4">
        <v>10</v>
      </c>
      <c r="H1196" s="4">
        <v>2.5</v>
      </c>
      <c r="I1196" s="4">
        <f>Table4[[#This Row],[Malın miqdarı]]*Table4[[#This Row],[Vahidin qiyməti]]</f>
        <v>25</v>
      </c>
      <c r="J1196" s="4" t="s">
        <v>1905</v>
      </c>
      <c r="K1196" s="4" t="s">
        <v>1992</v>
      </c>
      <c r="L1196" s="4" t="s">
        <v>2067</v>
      </c>
      <c r="M1196" s="4" t="s">
        <v>2418</v>
      </c>
    </row>
    <row r="1197" spans="2:13" x14ac:dyDescent="0.3">
      <c r="B1197" s="4">
        <f t="shared" si="18"/>
        <v>1194</v>
      </c>
      <c r="C1197" s="5">
        <v>46211</v>
      </c>
      <c r="D1197" s="10" t="str" cm="1">
        <f t="array" ref="D1197">_xlfn.XLOOKUP(Table4[[#This Row],[Malın kodu]],Table1[[#All],[Malın kodu]],Table1[[#All],[Malın adı]],"xəta",0)</f>
        <v>Bel / düz</v>
      </c>
      <c r="E1197" s="8" t="s">
        <v>2258</v>
      </c>
      <c r="F1197" s="4" t="s">
        <v>920</v>
      </c>
      <c r="G1197" s="4">
        <v>5</v>
      </c>
      <c r="H1197" s="4">
        <v>2.5</v>
      </c>
      <c r="I1197" s="4">
        <f>Table4[[#This Row],[Malın miqdarı]]*Table4[[#This Row],[Vahidin qiyməti]]</f>
        <v>12.5</v>
      </c>
      <c r="J1197" s="4" t="s">
        <v>1905</v>
      </c>
      <c r="K1197" s="4" t="s">
        <v>1992</v>
      </c>
      <c r="L1197" s="4" t="s">
        <v>2067</v>
      </c>
      <c r="M1197" s="4" t="s">
        <v>2418</v>
      </c>
    </row>
    <row r="1198" spans="2:13" x14ac:dyDescent="0.3">
      <c r="B1198" s="4">
        <f t="shared" si="18"/>
        <v>1195</v>
      </c>
      <c r="C1198" s="5">
        <v>46211</v>
      </c>
      <c r="D1198" s="10" t="str" cm="1">
        <f t="array" ref="D1198">_xlfn.XLOOKUP(Table4[[#This Row],[Malın kodu]],Table1[[#All],[Malın kodu]],Table1[[#All],[Malın adı]],"xəta",0)</f>
        <v>Bel sapı</v>
      </c>
      <c r="E1198" s="8" t="s">
        <v>2259</v>
      </c>
      <c r="F1198" s="4" t="s">
        <v>920</v>
      </c>
      <c r="G1198" s="4">
        <v>20</v>
      </c>
      <c r="H1198" s="4">
        <v>2</v>
      </c>
      <c r="I1198" s="4">
        <f>Table4[[#This Row],[Malın miqdarı]]*Table4[[#This Row],[Vahidin qiyməti]]</f>
        <v>40</v>
      </c>
      <c r="J1198" s="4" t="s">
        <v>1905</v>
      </c>
      <c r="K1198" s="4" t="s">
        <v>1992</v>
      </c>
      <c r="L1198" s="4" t="s">
        <v>2067</v>
      </c>
      <c r="M1198" s="4" t="s">
        <v>2418</v>
      </c>
    </row>
    <row r="1199" spans="2:13" x14ac:dyDescent="0.3">
      <c r="B1199" s="4">
        <f t="shared" si="18"/>
        <v>1196</v>
      </c>
      <c r="C1199" s="5">
        <v>46211</v>
      </c>
      <c r="D1199" s="10" t="str" cm="1">
        <f t="array" ref="D1199">_xlfn.XLOOKUP(Table4[[#This Row],[Malın kodu]],Table1[[#All],[Malın kodu]],Table1[[#All],[Malın adı]],"xəta",0)</f>
        <v>Çəkic / 1 kq</v>
      </c>
      <c r="E1199" s="8" t="s">
        <v>2260</v>
      </c>
      <c r="F1199" s="4" t="s">
        <v>920</v>
      </c>
      <c r="G1199" s="4">
        <v>1</v>
      </c>
      <c r="H1199" s="4">
        <v>5</v>
      </c>
      <c r="I1199" s="4">
        <f>Table4[[#This Row],[Malın miqdarı]]*Table4[[#This Row],[Vahidin qiyməti]]</f>
        <v>5</v>
      </c>
      <c r="J1199" s="4" t="s">
        <v>1905</v>
      </c>
      <c r="K1199" s="4" t="s">
        <v>1992</v>
      </c>
      <c r="L1199" s="4" t="s">
        <v>2067</v>
      </c>
      <c r="M1199" s="4" t="s">
        <v>2418</v>
      </c>
    </row>
    <row r="1200" spans="2:13" x14ac:dyDescent="0.3">
      <c r="B1200" s="4">
        <f t="shared" si="18"/>
        <v>1197</v>
      </c>
      <c r="C1200" s="5">
        <v>46211</v>
      </c>
      <c r="D1200" s="10" t="str" cm="1">
        <f t="array" ref="D1200">_xlfn.XLOOKUP(Table4[[#This Row],[Malın kodu]],Table1[[#All],[Malın kodu]],Table1[[#All],[Malın adı]],"xəta",0)</f>
        <v>Jilet / fəhlə</v>
      </c>
      <c r="E1200" s="8" t="s">
        <v>2261</v>
      </c>
      <c r="F1200" s="4" t="s">
        <v>920</v>
      </c>
      <c r="G1200" s="4">
        <v>20</v>
      </c>
      <c r="H1200" s="4">
        <v>1.3</v>
      </c>
      <c r="I1200" s="4">
        <f>Table4[[#This Row],[Malın miqdarı]]*Table4[[#This Row],[Vahidin qiyməti]]</f>
        <v>26</v>
      </c>
      <c r="J1200" s="4" t="s">
        <v>1905</v>
      </c>
      <c r="K1200" s="4" t="s">
        <v>1992</v>
      </c>
      <c r="L1200" s="4" t="s">
        <v>2067</v>
      </c>
      <c r="M1200" s="4" t="s">
        <v>2418</v>
      </c>
    </row>
    <row r="1201" spans="2:13" x14ac:dyDescent="0.3">
      <c r="B1201" s="4">
        <f t="shared" si="18"/>
        <v>1198</v>
      </c>
      <c r="C1201" s="5">
        <v>46211</v>
      </c>
      <c r="D1201" s="10" t="str" cm="1">
        <f t="array" ref="D1201">_xlfn.XLOOKUP(Table4[[#This Row],[Malın kodu]],Table1[[#All],[Malın kodu]],Table1[[#All],[Malın adı]],"xəta",0)</f>
        <v>Projektor / led / 100 Vt</v>
      </c>
      <c r="E1201" s="8" t="s">
        <v>2267</v>
      </c>
      <c r="F1201" s="4" t="s">
        <v>920</v>
      </c>
      <c r="G1201" s="4">
        <v>5</v>
      </c>
      <c r="H1201" s="4">
        <v>15</v>
      </c>
      <c r="I1201" s="4">
        <f>Table4[[#This Row],[Malın miqdarı]]*Table4[[#This Row],[Vahidin qiyməti]]</f>
        <v>75</v>
      </c>
      <c r="J1201" s="4" t="s">
        <v>1905</v>
      </c>
      <c r="K1201" s="4" t="s">
        <v>1992</v>
      </c>
      <c r="L1201" s="4" t="s">
        <v>2067</v>
      </c>
      <c r="M1201" s="4" t="s">
        <v>2418</v>
      </c>
    </row>
    <row r="1202" spans="2:13" x14ac:dyDescent="0.3">
      <c r="B1202" s="4">
        <f t="shared" si="18"/>
        <v>1199</v>
      </c>
      <c r="C1202" s="5">
        <v>46211</v>
      </c>
      <c r="D1202" s="10" t="str" cm="1">
        <f t="array" ref="D1202">_xlfn.XLOOKUP(Table4[[#This Row],[Malın kodu]],Table1[[#All],[Malın kodu]],Table1[[#All],[Malın adı]],"xəta",0)</f>
        <v>Projektor / led / 50 Vt</v>
      </c>
      <c r="E1202" s="8" t="s">
        <v>2268</v>
      </c>
      <c r="F1202" s="4" t="s">
        <v>920</v>
      </c>
      <c r="G1202" s="4">
        <v>2</v>
      </c>
      <c r="H1202" s="4">
        <v>8</v>
      </c>
      <c r="I1202" s="4">
        <f>Table4[[#This Row],[Malın miqdarı]]*Table4[[#This Row],[Vahidin qiyməti]]</f>
        <v>16</v>
      </c>
      <c r="J1202" s="4" t="s">
        <v>1905</v>
      </c>
      <c r="K1202" s="4" t="s">
        <v>1992</v>
      </c>
      <c r="L1202" s="4" t="s">
        <v>2067</v>
      </c>
      <c r="M1202" s="4" t="s">
        <v>2418</v>
      </c>
    </row>
    <row r="1203" spans="2:13" x14ac:dyDescent="0.3">
      <c r="B1203" s="4">
        <f t="shared" si="18"/>
        <v>1200</v>
      </c>
      <c r="C1203" s="5">
        <v>46211</v>
      </c>
      <c r="D1203" s="10" t="str" cm="1">
        <f t="array" ref="D1203">_xlfn.XLOOKUP(Table4[[#This Row],[Malın kodu]],Table1[[#All],[Malın kodu]],Table1[[#All],[Malın adı]],"xəta",0)</f>
        <v>Elektrik üçlük (kalot) / 3 gözlü</v>
      </c>
      <c r="E1203" s="8" t="s">
        <v>2269</v>
      </c>
      <c r="F1203" s="4" t="s">
        <v>920</v>
      </c>
      <c r="G1203" s="4">
        <v>15</v>
      </c>
      <c r="H1203" s="4">
        <v>3.2</v>
      </c>
      <c r="I1203" s="4">
        <f>Table4[[#This Row],[Malın miqdarı]]*Table4[[#This Row],[Vahidin qiyməti]]</f>
        <v>48</v>
      </c>
      <c r="J1203" s="4" t="s">
        <v>1905</v>
      </c>
      <c r="K1203" s="4" t="s">
        <v>1992</v>
      </c>
      <c r="L1203" s="4" t="s">
        <v>2067</v>
      </c>
      <c r="M1203" s="4" t="s">
        <v>2418</v>
      </c>
    </row>
    <row r="1204" spans="2:13" x14ac:dyDescent="0.3">
      <c r="B1204" s="4">
        <f t="shared" si="18"/>
        <v>1201</v>
      </c>
      <c r="C1204" s="5">
        <v>46211</v>
      </c>
      <c r="D1204" s="10" t="str" cm="1">
        <f t="array" ref="D1204">_xlfn.XLOOKUP(Table4[[#This Row],[Malın kodu]],Table1[[#All],[Malın kodu]],Table1[[#All],[Malın adı]],"xəta",0)</f>
        <v>İzolent / qara</v>
      </c>
      <c r="E1204" s="8" t="s">
        <v>2270</v>
      </c>
      <c r="F1204" s="4" t="s">
        <v>920</v>
      </c>
      <c r="G1204" s="4">
        <v>10</v>
      </c>
      <c r="H1204" s="4">
        <v>0.7</v>
      </c>
      <c r="I1204" s="4">
        <f>Table4[[#This Row],[Malın miqdarı]]*Table4[[#This Row],[Vahidin qiyməti]]</f>
        <v>7</v>
      </c>
      <c r="J1204" s="4" t="s">
        <v>1905</v>
      </c>
      <c r="K1204" s="4" t="s">
        <v>1992</v>
      </c>
      <c r="L1204" s="4" t="s">
        <v>2067</v>
      </c>
      <c r="M1204" s="4" t="s">
        <v>2418</v>
      </c>
    </row>
    <row r="1205" spans="2:13" x14ac:dyDescent="0.3">
      <c r="B1205" s="4">
        <f t="shared" si="18"/>
        <v>1202</v>
      </c>
      <c r="C1205" s="5">
        <v>46211</v>
      </c>
      <c r="D1205" s="10" t="str" cm="1">
        <f t="array" ref="D1205">_xlfn.XLOOKUP(Table4[[#This Row],[Malın kodu]],Table1[[#All],[Malın kodu]],Table1[[#All],[Malın adı]],"xəta",0)</f>
        <v>Vintaçan dəsti / 4 pcs / N56</v>
      </c>
      <c r="E1205" s="8" t="s">
        <v>2271</v>
      </c>
      <c r="F1205" s="4" t="s">
        <v>920</v>
      </c>
      <c r="G1205" s="4">
        <v>1</v>
      </c>
      <c r="H1205" s="4">
        <v>5</v>
      </c>
      <c r="I1205" s="4">
        <f>Table4[[#This Row],[Malın miqdarı]]*Table4[[#This Row],[Vahidin qiyməti]]</f>
        <v>5</v>
      </c>
      <c r="J1205" s="4" t="s">
        <v>1905</v>
      </c>
      <c r="K1205" s="4" t="s">
        <v>1992</v>
      </c>
      <c r="L1205" s="4" t="s">
        <v>2067</v>
      </c>
      <c r="M1205" s="4" t="s">
        <v>2418</v>
      </c>
    </row>
    <row r="1206" spans="2:13" x14ac:dyDescent="0.3">
      <c r="B1206" s="4">
        <f t="shared" si="18"/>
        <v>1203</v>
      </c>
      <c r="C1206" s="5">
        <v>46211</v>
      </c>
      <c r="D1206" s="10" t="str" cm="1">
        <f t="array" ref="D1206">_xlfn.XLOOKUP(Table4[[#This Row],[Malın kodu]],Table1[[#All],[Malın kodu]],Table1[[#All],[Malın adı]],"xəta",0)</f>
        <v>Elektrik vilka / 702</v>
      </c>
      <c r="E1206" s="8" t="s">
        <v>2273</v>
      </c>
      <c r="F1206" s="4" t="s">
        <v>920</v>
      </c>
      <c r="G1206" s="4">
        <v>15</v>
      </c>
      <c r="H1206" s="4">
        <v>1.1000000000000001</v>
      </c>
      <c r="I1206" s="4">
        <f>Table4[[#This Row],[Malın miqdarı]]*Table4[[#This Row],[Vahidin qiyməti]]</f>
        <v>16.5</v>
      </c>
      <c r="J1206" s="4" t="s">
        <v>1905</v>
      </c>
      <c r="K1206" s="4" t="s">
        <v>1992</v>
      </c>
      <c r="L1206" s="4" t="s">
        <v>2067</v>
      </c>
      <c r="M1206" s="4" t="s">
        <v>2418</v>
      </c>
    </row>
    <row r="1207" spans="2:13" x14ac:dyDescent="0.3">
      <c r="B1207" s="4">
        <f t="shared" si="18"/>
        <v>1204</v>
      </c>
      <c r="C1207" s="5">
        <v>46211</v>
      </c>
      <c r="D1207" s="10" t="str" cm="1">
        <f t="array" ref="D1207">_xlfn.XLOOKUP(Table4[[#This Row],[Malın kodu]],Table1[[#All],[Malın kodu]],Table1[[#All],[Malın adı]],"xəta",0)</f>
        <v>Disk / kəsici / d 230x1,9 mm / "Klingspor"</v>
      </c>
      <c r="E1207" s="8" t="s">
        <v>2280</v>
      </c>
      <c r="F1207" s="4" t="s">
        <v>920</v>
      </c>
      <c r="G1207" s="4">
        <v>3</v>
      </c>
      <c r="H1207" s="4">
        <v>4</v>
      </c>
      <c r="I1207" s="4">
        <f>Table4[[#This Row],[Malın miqdarı]]*Table4[[#This Row],[Vahidin qiyməti]]</f>
        <v>12</v>
      </c>
      <c r="J1207" s="4" t="s">
        <v>1914</v>
      </c>
      <c r="K1207" s="4" t="s">
        <v>2278</v>
      </c>
      <c r="L1207" s="4">
        <f>_xlfn.XLOOKUP(Table4[[#This Row],[Kontragentin adı]],Table2[Kontragentin adı],Table2[Müqavilə nömrəsi],"Xəta",0)</f>
        <v>0</v>
      </c>
      <c r="M1207" s="4" t="s">
        <v>2419</v>
      </c>
    </row>
    <row r="1208" spans="2:13" x14ac:dyDescent="0.3">
      <c r="B1208" s="4">
        <f t="shared" si="18"/>
        <v>1205</v>
      </c>
      <c r="C1208" s="5">
        <v>46212</v>
      </c>
      <c r="D1208" s="10" t="str" cm="1">
        <f t="array" ref="D1208">_xlfn.XLOOKUP(Table4[[#This Row],[Malın kodu]],Table1[[#All],[Malın kodu]],Table1[[#All],[Malın adı]],"xəta",0)</f>
        <v>Əlcək / qaynaqçı</v>
      </c>
      <c r="E1208" s="8" t="s">
        <v>1988</v>
      </c>
      <c r="F1208" s="4" t="s">
        <v>924</v>
      </c>
      <c r="G1208" s="4">
        <v>1</v>
      </c>
      <c r="H1208" s="4">
        <v>5</v>
      </c>
      <c r="I1208" s="4">
        <f>Table4[[#This Row],[Malın miqdarı]]*Table4[[#This Row],[Vahidin qiyməti]]</f>
        <v>5</v>
      </c>
      <c r="J1208" s="4" t="s">
        <v>1905</v>
      </c>
      <c r="K1208" s="4" t="s">
        <v>2277</v>
      </c>
      <c r="L1208" s="4" t="s">
        <v>2060</v>
      </c>
      <c r="M1208" s="4" t="s">
        <v>2420</v>
      </c>
    </row>
    <row r="1209" spans="2:13" x14ac:dyDescent="0.3">
      <c r="B1209" s="4">
        <f t="shared" si="18"/>
        <v>1206</v>
      </c>
      <c r="C1209" s="5">
        <v>46212</v>
      </c>
      <c r="D1209" s="10" t="str" cm="1">
        <f t="array" ref="D1209">_xlfn.XLOOKUP(Table4[[#This Row],[Malın kodu]],Table1[[#All],[Malın kodu]],Table1[[#All],[Malın adı]],"xəta",0)</f>
        <v>Bitum</v>
      </c>
      <c r="E1209" s="8" t="s">
        <v>2328</v>
      </c>
      <c r="F1209" s="4" t="s">
        <v>920</v>
      </c>
      <c r="G1209" s="4">
        <v>6</v>
      </c>
      <c r="H1209" s="4">
        <v>20</v>
      </c>
      <c r="I1209" s="4">
        <f>Table4[[#This Row],[Malın miqdarı]]*Table4[[#This Row],[Vahidin qiyməti]]</f>
        <v>120</v>
      </c>
      <c r="J1209" s="4" t="s">
        <v>1914</v>
      </c>
      <c r="K1209" s="4" t="s">
        <v>2019</v>
      </c>
      <c r="L1209" s="4">
        <f>_xlfn.XLOOKUP(Table4[[#This Row],[Kontragentin adı]],Table2[Kontragentin adı],Table2[Müqavilə nömrəsi],"Xəta",0)</f>
        <v>0</v>
      </c>
      <c r="M1209" s="4" t="s">
        <v>2421</v>
      </c>
    </row>
    <row r="1210" spans="2:13" x14ac:dyDescent="0.3">
      <c r="B1210" s="4">
        <f t="shared" si="18"/>
        <v>1207</v>
      </c>
      <c r="C1210" s="5">
        <v>46212</v>
      </c>
      <c r="D1210" s="10" t="str" cm="1">
        <f t="array" ref="D1210">_xlfn.XLOOKUP(Table4[[#This Row],[Malın kodu]],Table1[[#All],[Malın kodu]],Table1[[#All],[Malın adı]],"xəta",0)</f>
        <v>Disk / kəsən / d 230mm</v>
      </c>
      <c r="E1210" s="8" t="s">
        <v>2293</v>
      </c>
      <c r="F1210" s="4" t="s">
        <v>920</v>
      </c>
      <c r="G1210" s="4">
        <v>10</v>
      </c>
      <c r="H1210" s="4">
        <v>5</v>
      </c>
      <c r="I1210" s="4">
        <f>Table4[[#This Row],[Malın miqdarı]]*Table4[[#This Row],[Vahidin qiyməti]]</f>
        <v>50</v>
      </c>
      <c r="J1210" s="4" t="s">
        <v>1905</v>
      </c>
      <c r="K1210" s="4" t="s">
        <v>2277</v>
      </c>
      <c r="L1210" s="4" t="s">
        <v>2060</v>
      </c>
      <c r="M1210" s="4" t="s">
        <v>2420</v>
      </c>
    </row>
    <row r="1211" spans="2:13" x14ac:dyDescent="0.3">
      <c r="B1211" s="4">
        <f t="shared" si="18"/>
        <v>1208</v>
      </c>
      <c r="C1211" s="5">
        <v>46212</v>
      </c>
      <c r="D1211" s="10" t="str" cm="1">
        <f t="array" ref="D1211">_xlfn.XLOOKUP(Table4[[#This Row],[Malın kodu]],Table1[[#All],[Malın kodu]],Table1[[#All],[Malın adı]],"xəta",0)</f>
        <v>Disk / cilalayıcı / d 230mm</v>
      </c>
      <c r="E1211" s="8" t="s">
        <v>2294</v>
      </c>
      <c r="F1211" s="4" t="s">
        <v>920</v>
      </c>
      <c r="G1211" s="4">
        <v>2</v>
      </c>
      <c r="H1211" s="4">
        <v>8</v>
      </c>
      <c r="I1211" s="4">
        <f>Table4[[#This Row],[Malın miqdarı]]*Table4[[#This Row],[Vahidin qiyməti]]</f>
        <v>16</v>
      </c>
      <c r="J1211" s="4" t="s">
        <v>1905</v>
      </c>
      <c r="K1211" s="4" t="s">
        <v>2277</v>
      </c>
      <c r="L1211" s="4" t="s">
        <v>2060</v>
      </c>
      <c r="M1211" s="4" t="s">
        <v>2420</v>
      </c>
    </row>
    <row r="1212" spans="2:13" x14ac:dyDescent="0.3">
      <c r="B1212" s="4">
        <f t="shared" si="18"/>
        <v>1209</v>
      </c>
      <c r="C1212" s="5">
        <v>46212</v>
      </c>
      <c r="D1212" s="10" t="str" cm="1">
        <f t="array" ref="D1212">_xlfn.XLOOKUP(Table4[[#This Row],[Malın kodu]],Table1[[#All],[Malın kodu]],Table1[[#All],[Malın adı]],"xəta",0)</f>
        <v>Çəkic / 2 kq</v>
      </c>
      <c r="E1212" s="8" t="s">
        <v>2296</v>
      </c>
      <c r="F1212" s="4" t="s">
        <v>920</v>
      </c>
      <c r="G1212" s="4">
        <v>1</v>
      </c>
      <c r="H1212" s="4">
        <v>16</v>
      </c>
      <c r="I1212" s="4">
        <f>Table4[[#This Row],[Malın miqdarı]]*Table4[[#This Row],[Vahidin qiyməti]]</f>
        <v>16</v>
      </c>
      <c r="J1212" s="4" t="s">
        <v>1905</v>
      </c>
      <c r="K1212" s="4" t="s">
        <v>2277</v>
      </c>
      <c r="L1212" s="4" t="s">
        <v>2060</v>
      </c>
      <c r="M1212" s="4" t="s">
        <v>2420</v>
      </c>
    </row>
    <row r="1213" spans="2:13" x14ac:dyDescent="0.3">
      <c r="B1213" s="4">
        <f t="shared" si="18"/>
        <v>1210</v>
      </c>
      <c r="C1213" s="5">
        <v>46212</v>
      </c>
      <c r="D1213" s="10" t="str" cm="1">
        <f t="array" ref="D1213">_xlfn.XLOOKUP(Table4[[#This Row],[Malın kodu]],Table1[[#All],[Malın kodu]],Table1[[#All],[Malın adı]],"xəta",0)</f>
        <v>Qaynaq çubuğu (elektrod) / 4</v>
      </c>
      <c r="E1213" s="8" t="s">
        <v>2327</v>
      </c>
      <c r="F1213" s="4" t="s">
        <v>922</v>
      </c>
      <c r="G1213" s="4">
        <v>6</v>
      </c>
      <c r="H1213" s="4">
        <v>30</v>
      </c>
      <c r="I1213" s="4">
        <f>Table4[[#This Row],[Malın miqdarı]]*Table4[[#This Row],[Vahidin qiyməti]]</f>
        <v>180</v>
      </c>
      <c r="J1213" s="4" t="s">
        <v>1914</v>
      </c>
      <c r="K1213" s="4" t="s">
        <v>2019</v>
      </c>
      <c r="L1213" s="4">
        <f>_xlfn.XLOOKUP(Table4[[#This Row],[Kontragentin adı]],Table2[Kontragentin adı],Table2[Müqavilə nömrəsi],"Xəta",0)</f>
        <v>0</v>
      </c>
      <c r="M1213" s="4" t="s">
        <v>2421</v>
      </c>
    </row>
    <row r="1214" spans="2:13" x14ac:dyDescent="0.3">
      <c r="B1214" s="4">
        <f t="shared" si="18"/>
        <v>1211</v>
      </c>
      <c r="C1214" s="5">
        <v>46213</v>
      </c>
      <c r="D1214" s="10" t="str" cm="1">
        <f t="array" ref="D1214">_xlfn.XLOOKUP(Table4[[#This Row],[Malın kodu]],Table1[[#All],[Malın kodu]],Table1[[#All],[Malın adı]],"xəta",0)</f>
        <v>Tiner / 2.5 kq</v>
      </c>
      <c r="E1214" s="8" t="s">
        <v>2048</v>
      </c>
      <c r="F1214" s="4" t="s">
        <v>920</v>
      </c>
      <c r="G1214" s="4">
        <v>1</v>
      </c>
      <c r="H1214" s="4">
        <v>5</v>
      </c>
      <c r="I1214" s="4">
        <f>Table4[[#This Row],[Malın miqdarı]]*Table4[[#This Row],[Vahidin qiyməti]]</f>
        <v>5</v>
      </c>
      <c r="J1214" s="4" t="s">
        <v>1914</v>
      </c>
      <c r="K1214" s="4" t="s">
        <v>2019</v>
      </c>
      <c r="L1214" s="4">
        <f>_xlfn.XLOOKUP(Table4[[#This Row],[Kontragentin adı]],Table2[Kontragentin adı],Table2[Müqavilə nömrəsi],"Xəta",0)</f>
        <v>0</v>
      </c>
      <c r="M1214" s="4" t="s">
        <v>2422</v>
      </c>
    </row>
    <row r="1215" spans="2:13" x14ac:dyDescent="0.3">
      <c r="B1215" s="4">
        <f t="shared" si="18"/>
        <v>1212</v>
      </c>
      <c r="C1215" s="5">
        <v>46213</v>
      </c>
      <c r="D1215" s="10" t="str" cm="1">
        <f t="array" ref="D1215">_xlfn.XLOOKUP(Table4[[#This Row],[Malın kodu]],Table1[[#All],[Malın kodu]],Table1[[#All],[Malın adı]],"xəta",0)</f>
        <v>Siyirtmə /d 110mm / kürəvi</v>
      </c>
      <c r="E1215" s="8" t="s">
        <v>2286</v>
      </c>
      <c r="F1215" s="4" t="s">
        <v>920</v>
      </c>
      <c r="G1215" s="4">
        <v>1</v>
      </c>
      <c r="H1215" s="4">
        <v>990</v>
      </c>
      <c r="I1215" s="4">
        <f>Table4[[#This Row],[Malın miqdarı]]*Table4[[#This Row],[Vahidin qiyməti]]</f>
        <v>990</v>
      </c>
      <c r="J1215" s="4" t="s">
        <v>1914</v>
      </c>
      <c r="K1215" s="4" t="s">
        <v>2288</v>
      </c>
      <c r="L1215" s="4">
        <f>_xlfn.XLOOKUP(Table4[[#This Row],[Kontragentin adı]],Table2[Kontragentin adı],Table2[Müqavilə nömrəsi],"Xəta",0)</f>
        <v>0</v>
      </c>
      <c r="M1215" s="4" t="s">
        <v>2289</v>
      </c>
    </row>
    <row r="1216" spans="2:13" x14ac:dyDescent="0.3">
      <c r="B1216" s="4">
        <f t="shared" si="18"/>
        <v>1213</v>
      </c>
      <c r="C1216" s="5">
        <v>46213</v>
      </c>
      <c r="D1216" s="10" t="str" cm="1">
        <f t="array" ref="D1216">_xlfn.XLOOKUP(Table4[[#This Row],[Malın kodu]],Table1[[#All],[Malın kodu]],Table1[[#All],[Malın adı]],"xəta",0)</f>
        <v>Tesar/Victaulic bağlantı</v>
      </c>
      <c r="E1216" s="8" t="s">
        <v>2287</v>
      </c>
      <c r="F1216" s="4" t="s">
        <v>920</v>
      </c>
      <c r="G1216" s="4">
        <v>1</v>
      </c>
      <c r="H1216" s="4">
        <v>210</v>
      </c>
      <c r="I1216" s="4">
        <f>Table4[[#This Row],[Malın miqdarı]]*Table4[[#This Row],[Vahidin qiyməti]]</f>
        <v>210</v>
      </c>
      <c r="J1216" s="4" t="s">
        <v>1914</v>
      </c>
      <c r="K1216" s="4" t="s">
        <v>2288</v>
      </c>
      <c r="L1216" s="4">
        <f>_xlfn.XLOOKUP(Table4[[#This Row],[Kontragentin adı]],Table2[Kontragentin adı],Table2[Müqavilə nömrəsi],"Xəta",0)</f>
        <v>0</v>
      </c>
      <c r="M1216" s="4" t="s">
        <v>2289</v>
      </c>
    </row>
    <row r="1217" spans="2:13" x14ac:dyDescent="0.3">
      <c r="B1217" s="4">
        <f t="shared" si="18"/>
        <v>1214</v>
      </c>
      <c r="C1217" s="5">
        <v>46213</v>
      </c>
      <c r="D1217" s="10" t="str" cm="1">
        <f t="array" ref="D1217">_xlfn.XLOOKUP(Table4[[#This Row],[Malın kodu]],Table1[[#All],[Malın kodu]],Table1[[#All],[Malın adı]],"xəta",0)</f>
        <v>Kabel / 3*25+1*16 / "NEXANS" H07VV-F / 0.6/1KV</v>
      </c>
      <c r="E1217" s="8" t="s">
        <v>2311</v>
      </c>
      <c r="F1217" s="4" t="s">
        <v>925</v>
      </c>
      <c r="G1217" s="4">
        <v>25</v>
      </c>
      <c r="H1217" s="4">
        <v>24.5</v>
      </c>
      <c r="I1217" s="4">
        <f>Table4[[#This Row],[Malın miqdarı]]*Table4[[#This Row],[Vahidin qiyməti]]</f>
        <v>612.5</v>
      </c>
      <c r="J1217" s="4" t="s">
        <v>1905</v>
      </c>
      <c r="K1217" s="4" t="s">
        <v>1990</v>
      </c>
      <c r="L1217" s="4" t="s">
        <v>2062</v>
      </c>
      <c r="M1217" s="4" t="s">
        <v>2423</v>
      </c>
    </row>
    <row r="1218" spans="2:13" x14ac:dyDescent="0.3">
      <c r="B1218" s="4">
        <f t="shared" si="18"/>
        <v>1215</v>
      </c>
      <c r="C1218" s="5">
        <v>46213</v>
      </c>
      <c r="D1218" s="10" t="str" cm="1">
        <f t="array" ref="D1218">_xlfn.XLOOKUP(Table4[[#This Row],[Malın kodu]],Table1[[#All],[Malın kodu]],Table1[[#All],[Malın adı]],"xəta",0)</f>
        <v>Ucluq / mis / DT25</v>
      </c>
      <c r="E1218" s="8" t="s">
        <v>2312</v>
      </c>
      <c r="F1218" s="4" t="s">
        <v>920</v>
      </c>
      <c r="G1218" s="4">
        <v>8</v>
      </c>
      <c r="H1218" s="4">
        <v>1</v>
      </c>
      <c r="I1218" s="4">
        <f>Table4[[#This Row],[Malın miqdarı]]*Table4[[#This Row],[Vahidin qiyməti]]</f>
        <v>8</v>
      </c>
      <c r="J1218" s="4" t="s">
        <v>1905</v>
      </c>
      <c r="K1218" s="4" t="s">
        <v>1990</v>
      </c>
      <c r="L1218" s="4" t="s">
        <v>2062</v>
      </c>
      <c r="M1218" s="4" t="s">
        <v>2423</v>
      </c>
    </row>
    <row r="1219" spans="2:13" x14ac:dyDescent="0.3">
      <c r="B1219" s="4">
        <f t="shared" si="18"/>
        <v>1216</v>
      </c>
      <c r="C1219" s="5">
        <v>46213</v>
      </c>
      <c r="D1219" s="10" t="str" cm="1">
        <f t="array" ref="D1219">_xlfn.XLOOKUP(Table4[[#This Row],[Malın kodu]],Table1[[#All],[Malın kodu]],Table1[[#All],[Malın adı]],"xəta",0)</f>
        <v>Reduktor / oksiqen / "Yıldız" 5401SR</v>
      </c>
      <c r="E1219" s="8" t="s">
        <v>2313</v>
      </c>
      <c r="F1219" s="4" t="s">
        <v>920</v>
      </c>
      <c r="G1219" s="4">
        <v>3</v>
      </c>
      <c r="H1219" s="4">
        <v>94.13</v>
      </c>
      <c r="I1219" s="4">
        <f>Table4[[#This Row],[Malın miqdarı]]*Table4[[#This Row],[Vahidin qiyməti]]</f>
        <v>282.39</v>
      </c>
      <c r="J1219" s="4" t="s">
        <v>1905</v>
      </c>
      <c r="K1219" s="4" t="s">
        <v>1990</v>
      </c>
      <c r="L1219" s="4" t="s">
        <v>2062</v>
      </c>
      <c r="M1219" s="4" t="s">
        <v>2423</v>
      </c>
    </row>
    <row r="1220" spans="2:13" x14ac:dyDescent="0.3">
      <c r="B1220" s="4">
        <f t="shared" ref="B1220:B1258" si="19">ROW()-3</f>
        <v>1217</v>
      </c>
      <c r="C1220" s="5">
        <v>46213</v>
      </c>
      <c r="D1220" s="10" t="str" cm="1">
        <f t="array" ref="D1220">_xlfn.XLOOKUP(Table4[[#This Row],[Malın kodu]],Table1[[#All],[Malın kodu]],Table1[[#All],[Malın adı]],"xəta",0)</f>
        <v>Reduktor / propan / "Yıldız" 5120</v>
      </c>
      <c r="E1220" s="8" t="s">
        <v>2314</v>
      </c>
      <c r="F1220" s="4" t="s">
        <v>920</v>
      </c>
      <c r="G1220" s="4">
        <v>3</v>
      </c>
      <c r="H1220" s="4">
        <v>60</v>
      </c>
      <c r="I1220" s="4">
        <f>Table4[[#This Row],[Malın miqdarı]]*Table4[[#This Row],[Vahidin qiyməti]]</f>
        <v>180</v>
      </c>
      <c r="J1220" s="4" t="s">
        <v>1905</v>
      </c>
      <c r="K1220" s="4" t="s">
        <v>1990</v>
      </c>
      <c r="L1220" s="4" t="s">
        <v>2062</v>
      </c>
      <c r="M1220" s="4" t="s">
        <v>2423</v>
      </c>
    </row>
    <row r="1221" spans="2:13" x14ac:dyDescent="0.3">
      <c r="B1221" s="4">
        <f t="shared" si="19"/>
        <v>1218</v>
      </c>
      <c r="C1221" s="5">
        <v>46213</v>
      </c>
      <c r="D1221" s="10" t="str" cm="1">
        <f t="array" ref="D1221">_xlfn.XLOOKUP(Table4[[#This Row],[Malın kodu]],Table1[[#All],[Malın kodu]],Table1[[#All],[Malın adı]],"xəta",0)</f>
        <v>Odla kəsici (Rezak) / "Yıldız" 4512-460</v>
      </c>
      <c r="E1221" s="8" t="s">
        <v>2315</v>
      </c>
      <c r="F1221" s="4" t="s">
        <v>920</v>
      </c>
      <c r="G1221" s="4">
        <v>1</v>
      </c>
      <c r="H1221" s="4">
        <v>180</v>
      </c>
      <c r="I1221" s="4">
        <f>Table4[[#This Row],[Malın miqdarı]]*Table4[[#This Row],[Vahidin qiyməti]]</f>
        <v>180</v>
      </c>
      <c r="J1221" s="4" t="s">
        <v>1905</v>
      </c>
      <c r="K1221" s="4" t="s">
        <v>1990</v>
      </c>
      <c r="L1221" s="4" t="s">
        <v>2062</v>
      </c>
      <c r="M1221" s="4" t="s">
        <v>2423</v>
      </c>
    </row>
    <row r="1222" spans="2:13" x14ac:dyDescent="0.3">
      <c r="B1222" s="4">
        <f t="shared" si="19"/>
        <v>1219</v>
      </c>
      <c r="C1222" s="5">
        <v>46213</v>
      </c>
      <c r="D1222" s="10" t="str" cm="1">
        <f t="array" ref="D1222">_xlfn.XLOOKUP(Table4[[#This Row],[Malın kodu]],Table1[[#All],[Malın kodu]],Table1[[#All],[Malın adı]],"xəta",0)</f>
        <v>Əks klapan / oksiqen / "Yıldız" 1030</v>
      </c>
      <c r="E1222" s="8" t="s">
        <v>2316</v>
      </c>
      <c r="F1222" s="4" t="s">
        <v>920</v>
      </c>
      <c r="G1222" s="4">
        <v>3</v>
      </c>
      <c r="H1222" s="4">
        <v>24</v>
      </c>
      <c r="I1222" s="4">
        <f>Table4[[#This Row],[Malın miqdarı]]*Table4[[#This Row],[Vahidin qiyməti]]</f>
        <v>72</v>
      </c>
      <c r="J1222" s="4" t="s">
        <v>1905</v>
      </c>
      <c r="K1222" s="4" t="s">
        <v>1990</v>
      </c>
      <c r="L1222" s="4" t="s">
        <v>2062</v>
      </c>
      <c r="M1222" s="4" t="s">
        <v>2423</v>
      </c>
    </row>
    <row r="1223" spans="2:13" x14ac:dyDescent="0.3">
      <c r="B1223" s="4">
        <f t="shared" si="19"/>
        <v>1220</v>
      </c>
      <c r="C1223" s="5">
        <v>46213</v>
      </c>
      <c r="D1223" s="10" t="str" cm="1">
        <f t="array" ref="D1223">_xlfn.XLOOKUP(Table4[[#This Row],[Malın kodu]],Table1[[#All],[Malın kodu]],Table1[[#All],[Malın adı]],"xəta",0)</f>
        <v>Əks klapan / propan / "Yıldız" 1130</v>
      </c>
      <c r="E1223" s="8" t="s">
        <v>2317</v>
      </c>
      <c r="F1223" s="4" t="s">
        <v>920</v>
      </c>
      <c r="G1223" s="4">
        <v>3</v>
      </c>
      <c r="H1223" s="4">
        <v>35</v>
      </c>
      <c r="I1223" s="4">
        <f>Table4[[#This Row],[Malın miqdarı]]*Table4[[#This Row],[Vahidin qiyməti]]</f>
        <v>105</v>
      </c>
      <c r="J1223" s="4" t="s">
        <v>1905</v>
      </c>
      <c r="K1223" s="4" t="s">
        <v>1990</v>
      </c>
      <c r="L1223" s="4" t="s">
        <v>2062</v>
      </c>
      <c r="M1223" s="4" t="s">
        <v>2423</v>
      </c>
    </row>
    <row r="1224" spans="2:13" x14ac:dyDescent="0.3">
      <c r="B1224" s="4">
        <f t="shared" si="19"/>
        <v>1221</v>
      </c>
      <c r="C1224" s="5">
        <v>46213</v>
      </c>
      <c r="D1224" s="10" t="str" cm="1">
        <f t="array" ref="D1224">_xlfn.XLOOKUP(Table4[[#This Row],[Malın kodu]],Table1[[#All],[Malın kodu]],Table1[[#All],[Malın adı]],"xəta",0)</f>
        <v>Kıapan / LPG / "Yıldız" 1118</v>
      </c>
      <c r="E1224" s="8" t="s">
        <v>2318</v>
      </c>
      <c r="F1224" s="4" t="s">
        <v>920</v>
      </c>
      <c r="G1224" s="4">
        <v>1</v>
      </c>
      <c r="H1224" s="4">
        <v>25</v>
      </c>
      <c r="I1224" s="4">
        <f>Table4[[#This Row],[Malın miqdarı]]*Table4[[#This Row],[Vahidin qiyməti]]</f>
        <v>25</v>
      </c>
      <c r="J1224" s="4" t="s">
        <v>1905</v>
      </c>
      <c r="K1224" s="4" t="s">
        <v>1990</v>
      </c>
      <c r="L1224" s="4" t="s">
        <v>2062</v>
      </c>
      <c r="M1224" s="4" t="s">
        <v>2423</v>
      </c>
    </row>
    <row r="1225" spans="2:13" x14ac:dyDescent="0.3">
      <c r="B1225" s="4">
        <f t="shared" si="19"/>
        <v>1222</v>
      </c>
      <c r="C1225" s="5">
        <v>46213</v>
      </c>
      <c r="D1225" s="10" t="str" cm="1">
        <f t="array" ref="D1225">_xlfn.XLOOKUP(Table4[[#This Row],[Malın kodu]],Table1[[#All],[Malın kodu]],Table1[[#All],[Malın adı]],"xəta",0)</f>
        <v>Kıapan / oksiqen / "Yıldız" 1128</v>
      </c>
      <c r="E1225" s="8" t="s">
        <v>2319</v>
      </c>
      <c r="F1225" s="4" t="s">
        <v>920</v>
      </c>
      <c r="G1225" s="4">
        <v>1</v>
      </c>
      <c r="H1225" s="4">
        <v>25</v>
      </c>
      <c r="I1225" s="4">
        <f>Table4[[#This Row],[Malın miqdarı]]*Table4[[#This Row],[Vahidin qiyməti]]</f>
        <v>25</v>
      </c>
      <c r="J1225" s="4" t="s">
        <v>1905</v>
      </c>
      <c r="K1225" s="4" t="s">
        <v>1990</v>
      </c>
      <c r="L1225" s="4" t="s">
        <v>2062</v>
      </c>
      <c r="M1225" s="4" t="s">
        <v>2423</v>
      </c>
    </row>
    <row r="1226" spans="2:13" x14ac:dyDescent="0.3">
      <c r="B1226" s="4">
        <f t="shared" si="19"/>
        <v>1223</v>
      </c>
      <c r="C1226" s="5">
        <v>46213</v>
      </c>
      <c r="D1226" s="10" t="str" cm="1">
        <f t="array" ref="D1226">_xlfn.XLOOKUP(Table4[[#This Row],[Malın kodu]],Table1[[#All],[Malın kodu]],Table1[[#All],[Malın adı]],"xəta",0)</f>
        <v>Kabel / 1*35 KQ / H07RR-F /450/750V</v>
      </c>
      <c r="E1226" s="8" t="s">
        <v>2320</v>
      </c>
      <c r="F1226" s="4" t="s">
        <v>925</v>
      </c>
      <c r="G1226" s="4">
        <v>30</v>
      </c>
      <c r="H1226" s="4">
        <v>6</v>
      </c>
      <c r="I1226" s="4">
        <f>Table4[[#This Row],[Malın miqdarı]]*Table4[[#This Row],[Vahidin qiyməti]]</f>
        <v>180</v>
      </c>
      <c r="J1226" s="4" t="s">
        <v>1905</v>
      </c>
      <c r="K1226" s="4" t="s">
        <v>1990</v>
      </c>
      <c r="L1226" s="4" t="s">
        <v>2062</v>
      </c>
      <c r="M1226" s="4" t="s">
        <v>2424</v>
      </c>
    </row>
    <row r="1227" spans="2:13" x14ac:dyDescent="0.3">
      <c r="B1227" s="4">
        <f t="shared" si="19"/>
        <v>1224</v>
      </c>
      <c r="C1227" s="5">
        <v>46213</v>
      </c>
      <c r="D1227" s="10" t="str" cm="1">
        <f t="array" ref="D1227">_xlfn.XLOOKUP(Table4[[#This Row],[Malın kodu]],Table1[[#All],[Malın kodu]],Table1[[#All],[Malın adı]],"xəta",0)</f>
        <v>Maska / sadə / şüşəli</v>
      </c>
      <c r="E1227" s="8" t="s">
        <v>2321</v>
      </c>
      <c r="F1227" s="4" t="s">
        <v>920</v>
      </c>
      <c r="G1227" s="4">
        <v>1</v>
      </c>
      <c r="H1227" s="4">
        <v>6</v>
      </c>
      <c r="I1227" s="4">
        <f>Table4[[#This Row],[Malın miqdarı]]*Table4[[#This Row],[Vahidin qiyməti]]</f>
        <v>6</v>
      </c>
      <c r="J1227" s="4" t="s">
        <v>1905</v>
      </c>
      <c r="K1227" s="4" t="s">
        <v>1990</v>
      </c>
      <c r="L1227" s="4" t="s">
        <v>2062</v>
      </c>
      <c r="M1227" s="4" t="s">
        <v>2424</v>
      </c>
    </row>
    <row r="1228" spans="2:13" x14ac:dyDescent="0.3">
      <c r="B1228" s="4">
        <f t="shared" si="19"/>
        <v>1225</v>
      </c>
      <c r="C1228" s="5">
        <v>46213</v>
      </c>
      <c r="D1228" s="10" t="str" cm="1">
        <f t="array" ref="D1228">_xlfn.XLOOKUP(Table4[[#This Row],[Malın kodu]],Table1[[#All],[Malın kodu]],Table1[[#All],[Malın adı]],"xəta",0)</f>
        <v>Tutucu (Derjatel) / model : 600A</v>
      </c>
      <c r="E1228" s="8" t="s">
        <v>2322</v>
      </c>
      <c r="F1228" s="4" t="s">
        <v>920</v>
      </c>
      <c r="G1228" s="4">
        <v>1</v>
      </c>
      <c r="H1228" s="4">
        <v>15</v>
      </c>
      <c r="I1228" s="4">
        <f>Table4[[#This Row],[Malın miqdarı]]*Table4[[#This Row],[Vahidin qiyməti]]</f>
        <v>15</v>
      </c>
      <c r="J1228" s="4" t="s">
        <v>1905</v>
      </c>
      <c r="K1228" s="4" t="s">
        <v>1990</v>
      </c>
      <c r="L1228" s="4" t="s">
        <v>2062</v>
      </c>
      <c r="M1228" s="4" t="s">
        <v>2424</v>
      </c>
    </row>
    <row r="1229" spans="2:13" x14ac:dyDescent="0.3">
      <c r="B1229" s="4">
        <f t="shared" si="19"/>
        <v>1226</v>
      </c>
      <c r="C1229" s="5">
        <v>46213</v>
      </c>
      <c r="D1229" s="10" t="str" cm="1">
        <f t="array" ref="D1229">_xlfn.XLOOKUP(Table4[[#This Row],[Malın kodu]],Table1[[#All],[Malın kodu]],Table1[[#All],[Malın adı]],"xəta",0)</f>
        <v>Qaynaq razyomu / 35-50mm</v>
      </c>
      <c r="E1229" s="8" t="s">
        <v>2323</v>
      </c>
      <c r="F1229" s="4" t="s">
        <v>920</v>
      </c>
      <c r="G1229" s="4">
        <v>1</v>
      </c>
      <c r="H1229" s="4">
        <v>10</v>
      </c>
      <c r="I1229" s="4">
        <f>Table4[[#This Row],[Malın miqdarı]]*Table4[[#This Row],[Vahidin qiyməti]]</f>
        <v>10</v>
      </c>
      <c r="J1229" s="4" t="s">
        <v>1905</v>
      </c>
      <c r="K1229" s="4" t="s">
        <v>1990</v>
      </c>
      <c r="L1229" s="4" t="s">
        <v>2062</v>
      </c>
      <c r="M1229" s="4" t="s">
        <v>2424</v>
      </c>
    </row>
    <row r="1230" spans="2:13" x14ac:dyDescent="0.3">
      <c r="B1230" s="4">
        <f t="shared" si="19"/>
        <v>1227</v>
      </c>
      <c r="C1230" s="5">
        <v>46213</v>
      </c>
      <c r="D1230" s="10" t="str" cm="1">
        <f t="array" ref="D1230">_xlfn.XLOOKUP(Table4[[#This Row],[Malın kodu]],Table1[[#All],[Malın kodu]],Table1[[#All],[Malın adı]],"xəta",0)</f>
        <v>Boya / antipas / 1 kq</v>
      </c>
      <c r="E1230" s="8" t="s">
        <v>2325</v>
      </c>
      <c r="F1230" s="4" t="s">
        <v>920</v>
      </c>
      <c r="G1230" s="4">
        <v>2</v>
      </c>
      <c r="H1230" s="4">
        <v>5</v>
      </c>
      <c r="I1230" s="4">
        <f>Table4[[#This Row],[Malın miqdarı]]*Table4[[#This Row],[Vahidin qiyməti]]</f>
        <v>10</v>
      </c>
      <c r="J1230" s="4" t="s">
        <v>1914</v>
      </c>
      <c r="K1230" s="4" t="s">
        <v>2019</v>
      </c>
      <c r="L1230" s="4">
        <f>_xlfn.XLOOKUP(Table4[[#This Row],[Kontragentin adı]],Table2[Kontragentin adı],Table2[Müqavilə nömrəsi],"Xəta",0)</f>
        <v>0</v>
      </c>
      <c r="M1230" s="4" t="s">
        <v>2422</v>
      </c>
    </row>
    <row r="1231" spans="2:13" x14ac:dyDescent="0.3">
      <c r="B1231" s="4">
        <f t="shared" si="19"/>
        <v>1228</v>
      </c>
      <c r="C1231" s="5">
        <v>46214</v>
      </c>
      <c r="D1231" s="10" t="str" cm="1">
        <f t="array" ref="D1231">_xlfn.XLOOKUP(Table4[[#This Row],[Malın kodu]],Table1[[#All],[Malın kodu]],Table1[[#All],[Malın adı]],"xəta",0)</f>
        <v>Bolt-qayka / M 20 / L 70 mm</v>
      </c>
      <c r="E1231" s="8" t="s">
        <v>2090</v>
      </c>
      <c r="F1231" s="4" t="s">
        <v>927</v>
      </c>
      <c r="G1231" s="4">
        <v>6</v>
      </c>
      <c r="H1231" s="4">
        <v>2</v>
      </c>
      <c r="I1231" s="4">
        <f>Table4[[#This Row],[Malın miqdarı]]*Table4[[#This Row],[Vahidin qiyməti]]</f>
        <v>12</v>
      </c>
      <c r="J1231" s="4" t="s">
        <v>1914</v>
      </c>
      <c r="K1231" s="4" t="s">
        <v>2425</v>
      </c>
      <c r="L1231" s="4">
        <f>_xlfn.XLOOKUP(Table4[[#This Row],[Kontragentin adı]],Table2[Kontragentin adı],Table2[Müqavilə nömrəsi],"Xəta",0)</f>
        <v>0</v>
      </c>
      <c r="M1231" s="4" t="s">
        <v>2426</v>
      </c>
    </row>
    <row r="1232" spans="2:13" x14ac:dyDescent="0.3">
      <c r="B1232" s="4">
        <f t="shared" si="19"/>
        <v>1229</v>
      </c>
      <c r="C1232" s="5">
        <v>46214</v>
      </c>
      <c r="D1232" s="10" t="str" cm="1">
        <f t="array" ref="D1232">_xlfn.XLOOKUP(Table4[[#This Row],[Malın kodu]],Table1[[#All],[Malın kodu]],Table1[[#All],[Malın adı]],"xəta",0)</f>
        <v>Diş / orta / JCB mini ekskavator üçün</v>
      </c>
      <c r="E1232" s="8" t="s">
        <v>2427</v>
      </c>
      <c r="F1232" s="4" t="s">
        <v>920</v>
      </c>
      <c r="G1232" s="4">
        <v>3</v>
      </c>
      <c r="H1232" s="4">
        <v>14</v>
      </c>
      <c r="I1232" s="4">
        <f>Table4[[#This Row],[Malın miqdarı]]*Table4[[#This Row],[Vahidin qiyməti]]</f>
        <v>42</v>
      </c>
      <c r="J1232" s="4" t="s">
        <v>1914</v>
      </c>
      <c r="K1232" s="4" t="s">
        <v>2425</v>
      </c>
      <c r="L1232" s="4">
        <f>_xlfn.XLOOKUP(Table4[[#This Row],[Kontragentin adı]],Table2[Kontragentin adı],Table2[Müqavilə nömrəsi],"Xəta",0)</f>
        <v>0</v>
      </c>
      <c r="M1232" s="4" t="s">
        <v>2426</v>
      </c>
    </row>
    <row r="1233" spans="2:13" x14ac:dyDescent="0.3">
      <c r="B1233" s="4">
        <f t="shared" si="19"/>
        <v>1230</v>
      </c>
      <c r="C1233" s="5">
        <v>46215</v>
      </c>
      <c r="D1233" s="10" t="str" cm="1">
        <f t="array" ref="D1233">_xlfn.XLOOKUP(Table4[[#This Row],[Malın kodu]],Table1[[#All],[Malın kodu]],Table1[[#All],[Malın adı]],"xəta",0)</f>
        <v>Kaska / qaynaqçı</v>
      </c>
      <c r="E1233" s="8" t="s">
        <v>2295</v>
      </c>
      <c r="F1233" s="4" t="s">
        <v>920</v>
      </c>
      <c r="G1233" s="4">
        <v>1</v>
      </c>
      <c r="H1233" s="4">
        <v>6</v>
      </c>
      <c r="I1233" s="4">
        <f>Table4[[#This Row],[Malın miqdarı]]*Table4[[#This Row],[Vahidin qiyməti]]</f>
        <v>6</v>
      </c>
      <c r="J1233" s="4" t="s">
        <v>1905</v>
      </c>
      <c r="K1233" s="4" t="s">
        <v>2277</v>
      </c>
      <c r="L1233" s="4" t="s">
        <v>2060</v>
      </c>
      <c r="M1233" s="4" t="s">
        <v>2428</v>
      </c>
    </row>
    <row r="1234" spans="2:13" x14ac:dyDescent="0.3">
      <c r="B1234" s="4">
        <f t="shared" si="19"/>
        <v>1231</v>
      </c>
      <c r="C1234" s="5">
        <v>46215</v>
      </c>
      <c r="D1234" s="10" t="str" cm="1">
        <f t="array" ref="D1234">_xlfn.XLOOKUP(Table4[[#This Row],[Malın kodu]],Table1[[#All],[Malın kodu]],Table1[[#All],[Malın adı]],"xəta",0)</f>
        <v>Qoruyucu şüşə / qaynaqçi kaskası üçün</v>
      </c>
      <c r="E1234" s="8" t="s">
        <v>2297</v>
      </c>
      <c r="F1234" s="4" t="s">
        <v>920</v>
      </c>
      <c r="G1234" s="4">
        <v>2</v>
      </c>
      <c r="H1234" s="4">
        <v>0.5</v>
      </c>
      <c r="I1234" s="4">
        <f>Table4[[#This Row],[Malın miqdarı]]*Table4[[#This Row],[Vahidin qiyməti]]</f>
        <v>1</v>
      </c>
      <c r="J1234" s="4" t="s">
        <v>1905</v>
      </c>
      <c r="K1234" s="4" t="s">
        <v>2277</v>
      </c>
      <c r="L1234" s="4" t="s">
        <v>2060</v>
      </c>
      <c r="M1234" s="4" t="s">
        <v>2428</v>
      </c>
    </row>
    <row r="1235" spans="2:13" x14ac:dyDescent="0.3">
      <c r="B1235" s="4">
        <f t="shared" si="19"/>
        <v>1232</v>
      </c>
      <c r="C1235" s="5">
        <v>46219</v>
      </c>
      <c r="D1235" s="10" t="str" cm="1">
        <f t="array" ref="D1235">_xlfn.XLOOKUP(Table4[[#This Row],[Malın kodu]],Table1[[#All],[Malın kodu]],Table1[[#All],[Malın adı]],"xəta",0)</f>
        <v>Qaynaq çubuğu (elektrod) / 4</v>
      </c>
      <c r="E1235" s="8" t="s">
        <v>2327</v>
      </c>
      <c r="F1235" s="4" t="s">
        <v>922</v>
      </c>
      <c r="G1235" s="4">
        <v>2</v>
      </c>
      <c r="H1235" s="4">
        <v>30</v>
      </c>
      <c r="I1235" s="4">
        <f>Table4[[#This Row],[Malın miqdarı]]*Table4[[#This Row],[Vahidin qiyməti]]</f>
        <v>60</v>
      </c>
      <c r="J1235" s="4" t="s">
        <v>1905</v>
      </c>
      <c r="K1235" s="4" t="s">
        <v>2277</v>
      </c>
      <c r="L1235" s="4" t="s">
        <v>2060</v>
      </c>
      <c r="M1235" s="4" t="s">
        <v>2429</v>
      </c>
    </row>
    <row r="1236" spans="2:13" x14ac:dyDescent="0.3">
      <c r="B1236" s="4">
        <f t="shared" si="19"/>
        <v>1233</v>
      </c>
      <c r="C1236" s="5">
        <v>46220</v>
      </c>
      <c r="D1236" s="10" t="str" cm="1">
        <f t="array" ref="D1236">_xlfn.XLOOKUP(Table4[[#This Row],[Malın kodu]],Table1[[#All],[Malın kodu]],Table1[[#All],[Malın adı]],"xəta",0)</f>
        <v>Tiner</v>
      </c>
      <c r="E1236" s="8" t="s">
        <v>1394</v>
      </c>
      <c r="F1236" s="4" t="s">
        <v>920</v>
      </c>
      <c r="G1236" s="4">
        <v>5</v>
      </c>
      <c r="H1236" s="4">
        <v>5</v>
      </c>
      <c r="I1236" s="4">
        <f>Table4[[#This Row],[Malın miqdarı]]*Table4[[#This Row],[Vahidin qiyməti]]</f>
        <v>25</v>
      </c>
      <c r="J1236" s="4" t="s">
        <v>1905</v>
      </c>
      <c r="K1236" s="4" t="s">
        <v>2430</v>
      </c>
      <c r="L1236" s="4" t="str">
        <f>_xlfn.XLOOKUP(Table4[[#This Row],[Kontragentin adı]],Table2[Kontragentin adı],Table2[Müqavilə nömrəsi],"Xəta",0)</f>
        <v>№M08077/26</v>
      </c>
      <c r="M1236" s="4" t="s">
        <v>2431</v>
      </c>
    </row>
    <row r="1237" spans="2:13" x14ac:dyDescent="0.3">
      <c r="B1237" s="4">
        <f t="shared" si="19"/>
        <v>1234</v>
      </c>
      <c r="C1237" s="5">
        <v>46220</v>
      </c>
      <c r="D1237" s="10" t="str" cm="1">
        <f t="array" ref="D1237">_xlfn.XLOOKUP(Table4[[#This Row],[Malın kodu]],Table1[[#All],[Malın kodu]],Table1[[#All],[Malın adı]],"xəta",0)</f>
        <v>Valik / 10-luq</v>
      </c>
      <c r="E1237" s="8" t="s">
        <v>1653</v>
      </c>
      <c r="F1237" s="4" t="s">
        <v>920</v>
      </c>
      <c r="G1237" s="4">
        <v>5</v>
      </c>
      <c r="H1237" s="4">
        <v>2.5</v>
      </c>
      <c r="I1237" s="4">
        <f>Table4[[#This Row],[Malın miqdarı]]*Table4[[#This Row],[Vahidin qiyməti]]</f>
        <v>12.5</v>
      </c>
      <c r="J1237" s="4" t="s">
        <v>1905</v>
      </c>
      <c r="K1237" s="4" t="s">
        <v>2430</v>
      </c>
      <c r="L1237" s="4" t="str">
        <f>_xlfn.XLOOKUP(Table4[[#This Row],[Kontragentin adı]],Table2[Kontragentin adı],Table2[Müqavilə nömrəsi],"Xəta",0)</f>
        <v>№M08077/26</v>
      </c>
      <c r="M1237" s="4" t="s">
        <v>2431</v>
      </c>
    </row>
    <row r="1238" spans="2:13" x14ac:dyDescent="0.3">
      <c r="B1238" s="4">
        <f t="shared" si="19"/>
        <v>1235</v>
      </c>
      <c r="C1238" s="5">
        <v>46220</v>
      </c>
      <c r="D1238" s="10" t="str" cm="1">
        <f t="array" ref="D1238">_xlfn.XLOOKUP(Table4[[#This Row],[Malın kodu]],Table1[[#All],[Malın kodu]],Table1[[#All],[Malın adı]],"xəta",0)</f>
        <v>Disc / kəsici / d 230mm</v>
      </c>
      <c r="E1238" s="8" t="s">
        <v>2154</v>
      </c>
      <c r="F1238" s="4" t="s">
        <v>920</v>
      </c>
      <c r="G1238" s="4">
        <v>25</v>
      </c>
      <c r="H1238" s="4">
        <v>4</v>
      </c>
      <c r="I1238" s="4">
        <f>Table4[[#This Row],[Malın miqdarı]]*Table4[[#This Row],[Vahidin qiyməti]]</f>
        <v>100</v>
      </c>
      <c r="J1238" s="4" t="s">
        <v>1905</v>
      </c>
      <c r="K1238" s="4" t="s">
        <v>2430</v>
      </c>
      <c r="L1238" s="4" t="str">
        <f>_xlfn.XLOOKUP(Table4[[#This Row],[Kontragentin adı]],Table2[Kontragentin adı],Table2[Müqavilə nömrəsi],"Xəta",0)</f>
        <v>№M08077/26</v>
      </c>
      <c r="M1238" s="4" t="s">
        <v>2431</v>
      </c>
    </row>
    <row r="1239" spans="2:13" x14ac:dyDescent="0.3">
      <c r="B1239" s="4">
        <f t="shared" si="19"/>
        <v>1236</v>
      </c>
      <c r="C1239" s="5">
        <v>46220</v>
      </c>
      <c r="D1239" s="10" t="str" cm="1">
        <f t="array" ref="D1239">_xlfn.XLOOKUP(Table4[[#This Row],[Malın kodu]],Table1[[#All],[Malın kodu]],Table1[[#All],[Malın adı]],"xəta",0)</f>
        <v>Qaynaq çubuğu (elektrod) / 4</v>
      </c>
      <c r="E1239" s="8" t="s">
        <v>2327</v>
      </c>
      <c r="F1239" s="4" t="s">
        <v>922</v>
      </c>
      <c r="G1239" s="4">
        <v>6</v>
      </c>
      <c r="H1239" s="4">
        <v>30</v>
      </c>
      <c r="I1239" s="4">
        <f>Table4[[#This Row],[Malın miqdarı]]*Table4[[#This Row],[Vahidin qiyməti]]</f>
        <v>180</v>
      </c>
      <c r="J1239" s="4" t="s">
        <v>1905</v>
      </c>
      <c r="K1239" s="4" t="s">
        <v>2430</v>
      </c>
      <c r="L1239" s="4" t="str">
        <f>_xlfn.XLOOKUP(Table4[[#This Row],[Kontragentin adı]],Table2[Kontragentin adı],Table2[Müqavilə nömrəsi],"Xəta",0)</f>
        <v>№M08077/26</v>
      </c>
      <c r="M1239" s="4" t="s">
        <v>2431</v>
      </c>
    </row>
    <row r="1240" spans="2:13" x14ac:dyDescent="0.3">
      <c r="B1240" s="4">
        <f t="shared" si="19"/>
        <v>1237</v>
      </c>
      <c r="C1240" s="5">
        <v>46220</v>
      </c>
      <c r="D1240" s="10" t="str" cm="1">
        <f t="array" ref="D1240">_xlfn.XLOOKUP(Table4[[#This Row],[Malın kodu]],Table1[[#All],[Malın kodu]],Table1[[#All],[Malın adı]],"xəta",0)</f>
        <v>Köpük / montaj</v>
      </c>
      <c r="E1240" s="8" t="s">
        <v>2432</v>
      </c>
      <c r="F1240" s="4" t="s">
        <v>920</v>
      </c>
      <c r="G1240" s="4">
        <v>3</v>
      </c>
      <c r="H1240" s="4">
        <v>7</v>
      </c>
      <c r="I1240" s="4">
        <f>Table4[[#This Row],[Malın miqdarı]]*Table4[[#This Row],[Vahidin qiyməti]]</f>
        <v>21</v>
      </c>
      <c r="J1240" s="4" t="s">
        <v>1905</v>
      </c>
      <c r="K1240" s="4" t="s">
        <v>2430</v>
      </c>
      <c r="L1240" s="4" t="str">
        <f>_xlfn.XLOOKUP(Table4[[#This Row],[Kontragentin adı]],Table2[Kontragentin adı],Table2[Müqavilə nömrəsi],"Xəta",0)</f>
        <v>№M08077/26</v>
      </c>
      <c r="M1240" s="4" t="s">
        <v>2431</v>
      </c>
    </row>
    <row r="1241" spans="2:13" x14ac:dyDescent="0.3">
      <c r="B1241" s="4">
        <f t="shared" si="19"/>
        <v>1238</v>
      </c>
      <c r="C1241" s="5">
        <v>46220</v>
      </c>
      <c r="D1241" s="10" t="str" cm="1">
        <f t="array" ref="D1241">_xlfn.XLOOKUP(Table4[[#This Row],[Malın kodu]],Table1[[#All],[Malın kodu]],Table1[[#All],[Malın adı]],"xəta",0)</f>
        <v>Boya / antipas / ağ</v>
      </c>
      <c r="E1241" s="8" t="s">
        <v>2433</v>
      </c>
      <c r="F1241" s="4" t="s">
        <v>920</v>
      </c>
      <c r="G1241" s="4">
        <v>1</v>
      </c>
      <c r="H1241" s="4">
        <v>65</v>
      </c>
      <c r="I1241" s="4">
        <f>Table4[[#This Row],[Malın miqdarı]]*Table4[[#This Row],[Vahidin qiyməti]]</f>
        <v>65</v>
      </c>
      <c r="J1241" s="4" t="s">
        <v>1905</v>
      </c>
      <c r="K1241" s="4" t="s">
        <v>2430</v>
      </c>
      <c r="L1241" s="4" t="str">
        <f>_xlfn.XLOOKUP(Table4[[#This Row],[Kontragentin adı]],Table2[Kontragentin adı],Table2[Müqavilə nömrəsi],"Xəta",0)</f>
        <v>№M08077/26</v>
      </c>
      <c r="M1241" s="4" t="s">
        <v>2431</v>
      </c>
    </row>
    <row r="1242" spans="2:13" x14ac:dyDescent="0.3">
      <c r="B1242" s="4">
        <f t="shared" si="19"/>
        <v>1239</v>
      </c>
      <c r="C1242" s="5">
        <v>46220</v>
      </c>
      <c r="D1242" s="10" t="str" cm="1">
        <f t="array" ref="D1242">_xlfn.XLOOKUP(Table4[[#This Row],[Malın kodu]],Table1[[#All],[Malın kodu]],Table1[[#All],[Malın adı]],"xəta",0)</f>
        <v>Boya / antipas / boz</v>
      </c>
      <c r="E1242" s="8" t="s">
        <v>2434</v>
      </c>
      <c r="F1242" s="4" t="s">
        <v>920</v>
      </c>
      <c r="G1242" s="4">
        <v>1</v>
      </c>
      <c r="H1242" s="4">
        <v>50</v>
      </c>
      <c r="I1242" s="4">
        <f>Table4[[#This Row],[Malın miqdarı]]*Table4[[#This Row],[Vahidin qiyməti]]</f>
        <v>50</v>
      </c>
      <c r="J1242" s="4" t="s">
        <v>1905</v>
      </c>
      <c r="K1242" s="4" t="s">
        <v>2430</v>
      </c>
      <c r="L1242" s="4" t="str">
        <f>_xlfn.XLOOKUP(Table4[[#This Row],[Kontragentin adı]],Table2[Kontragentin adı],Table2[Müqavilə nömrəsi],"Xəta",0)</f>
        <v>№M08077/26</v>
      </c>
      <c r="M1242" s="4" t="s">
        <v>2431</v>
      </c>
    </row>
    <row r="1243" spans="2:13" x14ac:dyDescent="0.3">
      <c r="B1243" s="4">
        <f t="shared" si="19"/>
        <v>1240</v>
      </c>
      <c r="C1243" s="5">
        <v>46220</v>
      </c>
      <c r="D1243" s="10" t="str" cm="1">
        <f t="array" ref="D1243">_xlfn.XLOOKUP(Table4[[#This Row],[Malın kodu]],Table1[[#All],[Malın kodu]],Table1[[#All],[Malın adı]],"xəta",0)</f>
        <v>Kəndir</v>
      </c>
      <c r="E1243" s="8" t="s">
        <v>2435</v>
      </c>
      <c r="F1243" s="4" t="s">
        <v>925</v>
      </c>
      <c r="G1243" s="4">
        <v>20</v>
      </c>
      <c r="H1243" s="4">
        <v>0.5</v>
      </c>
      <c r="I1243" s="4">
        <f>Table4[[#This Row],[Malın miqdarı]]*Table4[[#This Row],[Vahidin qiyməti]]</f>
        <v>10</v>
      </c>
      <c r="J1243" s="4" t="s">
        <v>1905</v>
      </c>
      <c r="K1243" s="4" t="s">
        <v>2430</v>
      </c>
      <c r="L1243" s="4" t="str">
        <f>_xlfn.XLOOKUP(Table4[[#This Row],[Kontragentin adı]],Table2[Kontragentin adı],Table2[Müqavilə nömrəsi],"Xəta",0)</f>
        <v>№M08077/26</v>
      </c>
      <c r="M1243" s="4" t="s">
        <v>2431</v>
      </c>
    </row>
    <row r="1244" spans="2:13" x14ac:dyDescent="0.3">
      <c r="B1244" s="4">
        <f t="shared" si="19"/>
        <v>1241</v>
      </c>
      <c r="C1244" s="5">
        <v>46220</v>
      </c>
      <c r="D1244" s="10" t="str" cm="1">
        <f t="array" ref="D1244">_xlfn.XLOOKUP(Table4[[#This Row],[Malın kodu]],Table1[[#All],[Malın kodu]],Table1[[#All],[Malın adı]],"xəta",0)</f>
        <v>Şveller / 80</v>
      </c>
      <c r="E1244" s="8" t="s">
        <v>2436</v>
      </c>
      <c r="F1244" s="4" t="s">
        <v>925</v>
      </c>
      <c r="G1244" s="4">
        <v>6</v>
      </c>
      <c r="H1244" s="4">
        <v>7.5</v>
      </c>
      <c r="I1244" s="4">
        <f>Table4[[#This Row],[Malın miqdarı]]*Table4[[#This Row],[Vahidin qiyməti]]</f>
        <v>45</v>
      </c>
      <c r="J1244" s="4" t="s">
        <v>1905</v>
      </c>
      <c r="K1244" s="4" t="s">
        <v>2145</v>
      </c>
      <c r="L1244" s="4" t="str">
        <f>_xlfn.XLOOKUP(Table4[[#This Row],[Kontragentin adı]],Table2[Kontragentin adı],Table2[Müqavilə nömrəsi],"Xəta",0)</f>
        <v>№ 26-052</v>
      </c>
      <c r="M1244" s="4" t="s">
        <v>2437</v>
      </c>
    </row>
    <row r="1245" spans="2:13" x14ac:dyDescent="0.3">
      <c r="B1245" s="4">
        <f t="shared" si="19"/>
        <v>1242</v>
      </c>
      <c r="C1245" s="5">
        <v>46222</v>
      </c>
      <c r="D1245" s="10" t="str" cm="1">
        <f t="array" ref="D1245">_xlfn.XLOOKUP(Table4[[#This Row],[Malın kodu]],Table1[[#All],[Malın kodu]],Table1[[#All],[Malın adı]],"xəta",0)</f>
        <v>Açar / krokodil tipli</v>
      </c>
      <c r="E1245" s="8" t="s">
        <v>2438</v>
      </c>
      <c r="F1245" s="4" t="s">
        <v>920</v>
      </c>
      <c r="G1245" s="4">
        <v>1</v>
      </c>
      <c r="H1245" s="4">
        <v>25</v>
      </c>
      <c r="I1245" s="4">
        <f>Table4[[#This Row],[Malın miqdarı]]*Table4[[#This Row],[Vahidin qiyməti]]</f>
        <v>25</v>
      </c>
      <c r="J1245" s="4" t="s">
        <v>1914</v>
      </c>
      <c r="K1245" s="4" t="s">
        <v>2019</v>
      </c>
      <c r="L1245" s="4"/>
      <c r="M1245" s="4" t="s">
        <v>2439</v>
      </c>
    </row>
    <row r="1246" spans="2:13" x14ac:dyDescent="0.3">
      <c r="B1246" s="4">
        <f t="shared" si="19"/>
        <v>1243</v>
      </c>
      <c r="C1246" s="5">
        <v>46222</v>
      </c>
      <c r="D1246" s="10" t="str" cm="1">
        <f t="array" ref="D1246">_xlfn.XLOOKUP(Table4[[#This Row],[Malın kodu]],Table1[[#All],[Malın kodu]],Table1[[#All],[Malın adı]],"xəta",0)</f>
        <v>Keçid (perexod)</v>
      </c>
      <c r="E1246" s="8" t="s">
        <v>2440</v>
      </c>
      <c r="F1246" s="4" t="s">
        <v>920</v>
      </c>
      <c r="G1246" s="4">
        <v>3</v>
      </c>
      <c r="H1246" s="4">
        <v>20</v>
      </c>
      <c r="I1246" s="4">
        <f>Table4[[#This Row],[Malın miqdarı]]*Table4[[#This Row],[Vahidin qiyməti]]</f>
        <v>60</v>
      </c>
      <c r="J1246" s="4" t="s">
        <v>1914</v>
      </c>
      <c r="K1246" s="4" t="s">
        <v>2019</v>
      </c>
      <c r="L1246" s="4"/>
      <c r="M1246" s="4" t="s">
        <v>2441</v>
      </c>
    </row>
    <row r="1247" spans="2:13" x14ac:dyDescent="0.3">
      <c r="B1247" s="4">
        <f t="shared" si="19"/>
        <v>1244</v>
      </c>
      <c r="C1247" s="5">
        <v>46222</v>
      </c>
      <c r="D1247" s="10" t="str" cm="1">
        <f t="array" ref="D1247">_xlfn.XLOOKUP(Table4[[#This Row],[Malın kodu]],Table1[[#All],[Malın kodu]],Table1[[#All],[Malın adı]],"xəta",0)</f>
        <v>Ştuser / 32</v>
      </c>
      <c r="E1247" s="8" t="s">
        <v>2442</v>
      </c>
      <c r="F1247" s="4" t="s">
        <v>920</v>
      </c>
      <c r="G1247" s="4">
        <v>3</v>
      </c>
      <c r="H1247" s="4">
        <v>10</v>
      </c>
      <c r="I1247" s="4">
        <f>Table4[[#This Row],[Malın miqdarı]]*Table4[[#This Row],[Vahidin qiyməti]]</f>
        <v>30</v>
      </c>
      <c r="J1247" s="4" t="s">
        <v>1914</v>
      </c>
      <c r="K1247" s="4" t="s">
        <v>2019</v>
      </c>
      <c r="L1247" s="4"/>
      <c r="M1247" s="4" t="s">
        <v>2441</v>
      </c>
    </row>
    <row r="1248" spans="2:13" x14ac:dyDescent="0.3">
      <c r="B1248" s="4">
        <f t="shared" si="19"/>
        <v>1245</v>
      </c>
      <c r="C1248" s="5">
        <v>46222</v>
      </c>
      <c r="D1248" s="10" t="str" cm="1">
        <f t="array" ref="D1248">_xlfn.XLOOKUP(Table4[[#This Row],[Malın kodu]],Table1[[#All],[Malın kodu]],Table1[[#All],[Malın adı]],"xəta",0)</f>
        <v>Künclük (uqolnik)</v>
      </c>
      <c r="E1248" s="8" t="s">
        <v>2443</v>
      </c>
      <c r="F1248" s="4" t="s">
        <v>920</v>
      </c>
      <c r="G1248" s="4">
        <v>8</v>
      </c>
      <c r="H1248" s="4">
        <v>8</v>
      </c>
      <c r="I1248" s="4">
        <f>Table4[[#This Row],[Malın miqdarı]]*Table4[[#This Row],[Vahidin qiyməti]]</f>
        <v>64</v>
      </c>
      <c r="J1248" s="4" t="s">
        <v>1914</v>
      </c>
      <c r="K1248" s="4" t="s">
        <v>2019</v>
      </c>
      <c r="L1248" s="4"/>
      <c r="M1248" s="4" t="s">
        <v>2441</v>
      </c>
    </row>
    <row r="1249" spans="2:13" x14ac:dyDescent="0.3">
      <c r="B1249" s="4">
        <f t="shared" si="19"/>
        <v>1246</v>
      </c>
      <c r="C1249" s="5">
        <v>46222</v>
      </c>
      <c r="D1249" s="10" t="str" cm="1">
        <f t="array" ref="D1249">_xlfn.XLOOKUP(Table4[[#This Row],[Malın kodu]],Table1[[#All],[Malın kodu]],Table1[[#All],[Malın adı]],"xəta",0)</f>
        <v>Ştuser / 19</v>
      </c>
      <c r="E1249" s="8" t="s">
        <v>2444</v>
      </c>
      <c r="F1249" s="4" t="s">
        <v>920</v>
      </c>
      <c r="G1249" s="4">
        <v>8</v>
      </c>
      <c r="H1249" s="4">
        <v>5</v>
      </c>
      <c r="I1249" s="4">
        <f>Table4[[#This Row],[Malın miqdarı]]*Table4[[#This Row],[Vahidin qiyməti]]</f>
        <v>40</v>
      </c>
      <c r="J1249" s="4" t="s">
        <v>1914</v>
      </c>
      <c r="K1249" s="4" t="s">
        <v>2019</v>
      </c>
      <c r="L1249" s="4"/>
      <c r="M1249" s="4" t="s">
        <v>2441</v>
      </c>
    </row>
    <row r="1250" spans="2:13" x14ac:dyDescent="0.3">
      <c r="B1250" s="4">
        <f t="shared" si="19"/>
        <v>1247</v>
      </c>
      <c r="C1250" s="5">
        <v>46222</v>
      </c>
      <c r="D1250" s="10" t="str" cm="1">
        <f t="array" ref="D1250">_xlfn.XLOOKUP(Table4[[#This Row],[Malın kodu]],Table1[[#All],[Malın kodu]],Table1[[#All],[Malın adı]],"xəta",0)</f>
        <v>R15-12 3609M</v>
      </c>
      <c r="E1250" s="8" t="s">
        <v>2445</v>
      </c>
      <c r="F1250" s="4" t="s">
        <v>920</v>
      </c>
      <c r="G1250" s="4">
        <v>165</v>
      </c>
      <c r="H1250" s="4">
        <v>2</v>
      </c>
      <c r="I1250" s="4">
        <f>Table4[[#This Row],[Malın miqdarı]]*Table4[[#This Row],[Vahidin qiyməti]]</f>
        <v>330</v>
      </c>
      <c r="J1250" s="4" t="s">
        <v>1914</v>
      </c>
      <c r="K1250" s="4" t="s">
        <v>2019</v>
      </c>
      <c r="L1250" s="4"/>
      <c r="M1250" s="4" t="s">
        <v>2446</v>
      </c>
    </row>
    <row r="1251" spans="2:13" x14ac:dyDescent="0.3">
      <c r="B1251" s="4">
        <f t="shared" si="19"/>
        <v>1248</v>
      </c>
      <c r="C1251" s="5">
        <v>46222</v>
      </c>
      <c r="D1251" s="10" t="str" cm="1">
        <f t="array" ref="D1251">_xlfn.XLOOKUP(Table4[[#This Row],[Malın kodu]],Table1[[#All],[Malın kodu]],Table1[[#All],[Malın adı]],"xəta",0)</f>
        <v>R15-12 2009M</v>
      </c>
      <c r="E1251" s="8" t="s">
        <v>2447</v>
      </c>
      <c r="F1251" s="4" t="s">
        <v>920</v>
      </c>
      <c r="G1251" s="4">
        <v>110</v>
      </c>
      <c r="H1251" s="4">
        <v>2</v>
      </c>
      <c r="I1251" s="4">
        <f>Table4[[#This Row],[Malın miqdarı]]*Table4[[#This Row],[Vahidin qiyməti]]</f>
        <v>220</v>
      </c>
      <c r="J1251" s="4" t="s">
        <v>1914</v>
      </c>
      <c r="K1251" s="4" t="s">
        <v>2019</v>
      </c>
      <c r="L1251" s="4"/>
      <c r="M1251" s="4" t="s">
        <v>2446</v>
      </c>
    </row>
    <row r="1252" spans="2:13" x14ac:dyDescent="0.3">
      <c r="B1252" s="4">
        <f t="shared" si="19"/>
        <v>1249</v>
      </c>
      <c r="C1252" s="5">
        <v>46222</v>
      </c>
      <c r="D1252" s="10" t="str" cm="1">
        <f t="array" ref="D1252">_xlfn.XLOOKUP(Table4[[#This Row],[Malın kodu]],Table1[[#All],[Malın kodu]],Table1[[#All],[Malın adı]],"xəta",0)</f>
        <v>R15-12 1159M</v>
      </c>
      <c r="E1252" s="8" t="s">
        <v>2448</v>
      </c>
      <c r="F1252" s="4" t="s">
        <v>920</v>
      </c>
      <c r="G1252" s="4">
        <v>80</v>
      </c>
      <c r="H1252" s="4">
        <v>4</v>
      </c>
      <c r="I1252" s="4">
        <f>Table4[[#This Row],[Malın miqdarı]]*Table4[[#This Row],[Vahidin qiyməti]]</f>
        <v>320</v>
      </c>
      <c r="J1252" s="4" t="s">
        <v>1914</v>
      </c>
      <c r="K1252" s="4" t="s">
        <v>2019</v>
      </c>
      <c r="L1252" s="4"/>
      <c r="M1252" s="4" t="s">
        <v>2446</v>
      </c>
    </row>
    <row r="1253" spans="2:13" x14ac:dyDescent="0.3">
      <c r="B1253" s="4">
        <f t="shared" si="19"/>
        <v>1250</v>
      </c>
      <c r="C1253" s="5">
        <v>46222</v>
      </c>
      <c r="D1253" s="10" t="str" cm="1">
        <f t="array" ref="D1253">_xlfn.XLOOKUP(Table4[[#This Row],[Malın kodu]],Table1[[#All],[Malın kodu]],Table1[[#All],[Malın adı]],"xəta",0)</f>
        <v>Boru / d 25 mm</v>
      </c>
      <c r="E1253" s="8" t="s">
        <v>2449</v>
      </c>
      <c r="F1253" s="4" t="s">
        <v>925</v>
      </c>
      <c r="G1253" s="4">
        <v>1.6</v>
      </c>
      <c r="H1253" s="4">
        <v>25</v>
      </c>
      <c r="I1253" s="4">
        <f>Table4[[#This Row],[Malın miqdarı]]*Table4[[#This Row],[Vahidin qiyməti]]</f>
        <v>40</v>
      </c>
      <c r="J1253" s="4" t="s">
        <v>1914</v>
      </c>
      <c r="K1253" s="4" t="s">
        <v>2019</v>
      </c>
      <c r="L1253" s="4"/>
      <c r="M1253" s="4" t="s">
        <v>2446</v>
      </c>
    </row>
    <row r="1254" spans="2:13" x14ac:dyDescent="0.3">
      <c r="B1254" s="4">
        <f t="shared" si="19"/>
        <v>1251</v>
      </c>
      <c r="C1254" s="5">
        <v>46222</v>
      </c>
      <c r="D1254" s="10" t="str" cm="1">
        <f t="array" ref="D1254">_xlfn.XLOOKUP(Table4[[#This Row],[Malın kodu]],Table1[[#All],[Malın kodu]],Table1[[#All],[Malın adı]],"xəta",0)</f>
        <v>S25 mma</v>
      </c>
      <c r="E1254" s="8" t="s">
        <v>2450</v>
      </c>
      <c r="F1254" s="4" t="s">
        <v>920</v>
      </c>
      <c r="G1254" s="4">
        <v>25</v>
      </c>
      <c r="H1254" s="4">
        <v>4</v>
      </c>
      <c r="I1254" s="4">
        <f>Table4[[#This Row],[Malın miqdarı]]*Table4[[#This Row],[Vahidin qiyməti]]</f>
        <v>100</v>
      </c>
      <c r="J1254" s="4" t="s">
        <v>1914</v>
      </c>
      <c r="K1254" s="4" t="s">
        <v>2019</v>
      </c>
      <c r="L1254" s="4"/>
      <c r="M1254" s="4" t="s">
        <v>2446</v>
      </c>
    </row>
    <row r="1255" spans="2:13" x14ac:dyDescent="0.3">
      <c r="B1255" s="4">
        <f t="shared" si="19"/>
        <v>1252</v>
      </c>
      <c r="C1255" s="5">
        <v>46222</v>
      </c>
      <c r="D1255" s="10" t="str" cm="1">
        <f t="array" ref="D1255">_xlfn.XLOOKUP(Table4[[#This Row],[Malın kodu]],Table1[[#All],[Malın kodu]],Table1[[#All],[Malın adı]],"xəta",0)</f>
        <v>Qayka / S25</v>
      </c>
      <c r="E1255" s="8" t="s">
        <v>2451</v>
      </c>
      <c r="F1255" s="4" t="s">
        <v>920</v>
      </c>
      <c r="G1255" s="4">
        <v>10</v>
      </c>
      <c r="H1255" s="4">
        <v>8</v>
      </c>
      <c r="I1255" s="4">
        <f>Table4[[#This Row],[Malın miqdarı]]*Table4[[#This Row],[Vahidin qiyməti]]</f>
        <v>80</v>
      </c>
      <c r="J1255" s="4" t="s">
        <v>1914</v>
      </c>
      <c r="K1255" s="4" t="s">
        <v>2019</v>
      </c>
      <c r="L1255" s="4"/>
      <c r="M1255" s="4" t="s">
        <v>2446</v>
      </c>
    </row>
    <row r="1256" spans="2:13" x14ac:dyDescent="0.3">
      <c r="B1256" s="4">
        <f t="shared" si="19"/>
        <v>1253</v>
      </c>
      <c r="C1256" s="5">
        <v>46222</v>
      </c>
      <c r="D1256" s="10" t="str" cm="1">
        <f t="array" ref="D1256">_xlfn.XLOOKUP(Table4[[#This Row],[Malın kodu]],Table1[[#All],[Malın kodu]],Table1[[#All],[Malın adı]],"xəta",0)</f>
        <v>L12</v>
      </c>
      <c r="E1256" s="8" t="s">
        <v>2452</v>
      </c>
      <c r="F1256" s="4" t="s">
        <v>920</v>
      </c>
      <c r="G1256" s="4">
        <v>12</v>
      </c>
      <c r="H1256" s="4">
        <v>8</v>
      </c>
      <c r="I1256" s="4">
        <f>Table4[[#This Row],[Malın miqdarı]]*Table4[[#This Row],[Vahidin qiyməti]]</f>
        <v>96</v>
      </c>
      <c r="J1256" s="4" t="s">
        <v>1914</v>
      </c>
      <c r="K1256" s="4" t="s">
        <v>2019</v>
      </c>
      <c r="L1256" s="4"/>
      <c r="M1256" s="4" t="s">
        <v>2446</v>
      </c>
    </row>
    <row r="1257" spans="2:13" x14ac:dyDescent="0.3">
      <c r="B1257" s="4">
        <f t="shared" si="19"/>
        <v>1254</v>
      </c>
      <c r="C1257" s="5">
        <v>46222</v>
      </c>
      <c r="D1257" s="10" t="str" cm="1">
        <f t="array" ref="D1257">_xlfn.XLOOKUP(Table4[[#This Row],[Malın kodu]],Table1[[#All],[Malın kodu]],Table1[[#All],[Malın adı]],"xəta",0)</f>
        <v>R15-12 1159M / 2-ci</v>
      </c>
      <c r="E1257" s="8" t="s">
        <v>2453</v>
      </c>
      <c r="F1257" s="4" t="s">
        <v>920</v>
      </c>
      <c r="G1257" s="4">
        <v>80</v>
      </c>
      <c r="H1257" s="4">
        <v>2.6749999999999998</v>
      </c>
      <c r="I1257" s="4">
        <f>Table4[[#This Row],[Malın miqdarı]]*Table4[[#This Row],[Vahidin qiyməti]]</f>
        <v>214</v>
      </c>
      <c r="J1257" s="4" t="s">
        <v>1914</v>
      </c>
      <c r="K1257" s="4" t="s">
        <v>2019</v>
      </c>
      <c r="L1257" s="4"/>
      <c r="M1257" s="4" t="s">
        <v>2446</v>
      </c>
    </row>
    <row r="1258" spans="2:13" x14ac:dyDescent="0.3">
      <c r="B1258" s="4">
        <f t="shared" si="19"/>
        <v>1255</v>
      </c>
      <c r="C1258" s="5">
        <v>46223</v>
      </c>
      <c r="D1258" s="10" t="str" cm="1">
        <f t="array" ref="D1258">_xlfn.XLOOKUP(Table4[[#This Row],[Malın kodu]],Table1[[#All],[Malın kodu]],Table1[[#All],[Malın adı]],"xəta",0)</f>
        <v>Açar / qayka / 50 x 55</v>
      </c>
      <c r="E1258" s="8" t="s">
        <v>2454</v>
      </c>
      <c r="F1258" s="4" t="s">
        <v>920</v>
      </c>
      <c r="G1258" s="4">
        <v>2</v>
      </c>
      <c r="H1258" s="4">
        <v>10</v>
      </c>
      <c r="I1258" s="4">
        <f>Table4[[#This Row],[Malın miqdarı]]*Table4[[#This Row],[Vahidin qiyməti]]</f>
        <v>20</v>
      </c>
      <c r="J1258" s="4" t="s">
        <v>1914</v>
      </c>
      <c r="K1258" s="4" t="s">
        <v>2019</v>
      </c>
      <c r="L1258" s="4"/>
      <c r="M1258" s="4"/>
    </row>
    <row r="1259" spans="2:13" x14ac:dyDescent="0.3">
      <c r="B1259" s="4">
        <f>ROW()-3</f>
        <v>1256</v>
      </c>
      <c r="C1259" s="5">
        <v>46183</v>
      </c>
      <c r="D1259" s="10" t="str" cm="1">
        <f t="array" ref="D1259">_xlfn.XLOOKUP(Table4[[#This Row],[Malın kodu]],Table1[[#All],[Malın kodu]],Table1[[#All],[Malın adı]],"xəta",0)</f>
        <v>Fırça / metal / 4 inch / laqonda üçün / saçaq</v>
      </c>
      <c r="E1259" s="8" t="s">
        <v>2599</v>
      </c>
      <c r="F1259" s="4" t="s">
        <v>920</v>
      </c>
      <c r="G1259" s="4">
        <v>3</v>
      </c>
      <c r="H1259" s="4">
        <v>1.8</v>
      </c>
      <c r="I1259" s="4">
        <f>Table4[[#This Row],[Malın miqdarı]]*Table4[[#This Row],[Vahidin qiyməti]]</f>
        <v>5.4</v>
      </c>
      <c r="J1259" s="4" t="s">
        <v>1905</v>
      </c>
      <c r="K1259" s="4" t="s">
        <v>1992</v>
      </c>
      <c r="L1259" s="4" t="str">
        <f>_xlfn.XLOOKUP(Table4[[#This Row],[Kontragentin adı]],Table2[Kontragentin adı],Table2[Müqavilə nömrəsi],"Xəta",0)</f>
        <v>№ 24-060</v>
      </c>
      <c r="M1259" s="4">
        <v>4550</v>
      </c>
    </row>
    <row r="1260" spans="2:13" x14ac:dyDescent="0.3">
      <c r="B1260" s="4">
        <f>ROW()-3</f>
        <v>1257</v>
      </c>
      <c r="C1260" s="5">
        <v>46181</v>
      </c>
      <c r="D1260" s="10" t="str" cm="1">
        <f t="array" ref="D1260">_xlfn.XLOOKUP(Table4[[#This Row],[Malın kodu]],Table1[[#All],[Malın kodu]],Table1[[#All],[Malın adı]],"xəta",0)</f>
        <v>Metrə / 5m / rezin N89</v>
      </c>
      <c r="E1260" s="8" t="s">
        <v>2600</v>
      </c>
      <c r="F1260" s="4" t="s">
        <v>920</v>
      </c>
      <c r="G1260" s="4">
        <v>3</v>
      </c>
      <c r="H1260" s="4">
        <v>2</v>
      </c>
      <c r="I1260" s="4">
        <f>Table4[[#This Row],[Malın miqdarı]]*Table4[[#This Row],[Vahidin qiyməti]]</f>
        <v>6</v>
      </c>
      <c r="J1260" s="4" t="s">
        <v>1905</v>
      </c>
      <c r="K1260" s="4" t="s">
        <v>1992</v>
      </c>
      <c r="L1260" s="4" t="str">
        <f>_xlfn.XLOOKUP(Table4[[#This Row],[Kontragentin adı]],Table2[Kontragentin adı],Table2[Müqavilə nömrəsi],"Xəta",0)</f>
        <v>№ 24-060</v>
      </c>
      <c r="M1260" s="4">
        <v>4466</v>
      </c>
    </row>
    <row r="1261" spans="2:13" x14ac:dyDescent="0.3">
      <c r="B1261" s="4">
        <f>ROW()-3</f>
        <v>1258</v>
      </c>
      <c r="C1261" s="5">
        <v>46181</v>
      </c>
      <c r="D1261" s="10" t="str" cm="1">
        <f t="array" ref="D1261">_xlfn.XLOOKUP(Table4[[#This Row],[Malın kodu]],Table1[[#All],[Malın kodu]],Table1[[#All],[Malın adı]],"xəta",0)</f>
        <v>Burğu / 8 x 210 mm</v>
      </c>
      <c r="E1261" s="8" t="s">
        <v>2601</v>
      </c>
      <c r="F1261" s="4" t="s">
        <v>920</v>
      </c>
      <c r="G1261" s="4">
        <v>1</v>
      </c>
      <c r="H1261" s="4">
        <v>1</v>
      </c>
      <c r="I1261" s="4">
        <f>Table4[[#This Row],[Malın miqdarı]]*Table4[[#This Row],[Vahidin qiyməti]]</f>
        <v>1</v>
      </c>
      <c r="J1261" s="4" t="s">
        <v>1905</v>
      </c>
      <c r="K1261" s="4" t="s">
        <v>1992</v>
      </c>
      <c r="L1261" s="4" t="str">
        <f>_xlfn.XLOOKUP(Table4[[#This Row],[Kontragentin adı]],Table2[Kontragentin adı],Table2[Müqavilə nömrəsi],"Xəta",0)</f>
        <v>№ 24-060</v>
      </c>
      <c r="M1261" s="4">
        <v>4466</v>
      </c>
    </row>
    <row r="1262" spans="2:13" x14ac:dyDescent="0.3">
      <c r="B1262" s="4">
        <f>ROW()-3</f>
        <v>1259</v>
      </c>
      <c r="C1262" s="5">
        <v>46214</v>
      </c>
      <c r="D1262" s="10" t="str" cm="1">
        <f t="array" ref="D1262">_xlfn.XLOOKUP(Table4[[#This Row],[Malın kodu]],Table1[[#All],[Malın kodu]],Table1[[#All],[Malın adı]],"xəta",0)</f>
        <v>Bolt-qayka / JCB üçün</v>
      </c>
      <c r="E1262" s="8" t="s">
        <v>2602</v>
      </c>
      <c r="F1262" s="4" t="s">
        <v>920</v>
      </c>
      <c r="G1262" s="4">
        <v>6</v>
      </c>
      <c r="H1262" s="4">
        <v>2</v>
      </c>
      <c r="I1262" s="4">
        <f>Table4[[#This Row],[Malın miqdarı]]*Table4[[#This Row],[Vahidin qiyməti]]</f>
        <v>12</v>
      </c>
      <c r="J1262" s="4" t="s">
        <v>1905</v>
      </c>
      <c r="K1262" s="4" t="s">
        <v>2425</v>
      </c>
      <c r="L1262" s="4"/>
      <c r="M1262" s="4">
        <v>5350</v>
      </c>
    </row>
    <row r="1263" spans="2:13" x14ac:dyDescent="0.3">
      <c r="B1263" s="4">
        <f>ROW()-3</f>
        <v>1260</v>
      </c>
      <c r="C1263" s="5">
        <v>46223</v>
      </c>
      <c r="D1263" s="10" t="str" cm="1">
        <f t="array" ref="D1263">_xlfn.XLOOKUP(Table4[[#This Row],[Malın kodu]],Table1[[#All],[Malın kodu]],Table1[[#All],[Malın adı]],"xəta",0)</f>
        <v>Yağ / hidravlik / HLP68</v>
      </c>
      <c r="E1263" s="8" t="s">
        <v>2604</v>
      </c>
      <c r="F1263" s="4" t="s">
        <v>2605</v>
      </c>
      <c r="G1263" s="4">
        <v>390</v>
      </c>
      <c r="H1263" s="4">
        <v>8.6</v>
      </c>
      <c r="I1263" s="4">
        <f>Table4[[#This Row],[Malın miqdarı]]*Table4[[#This Row],[Vahidin qiyməti]]</f>
        <v>3354</v>
      </c>
      <c r="J1263" s="4" t="s">
        <v>1905</v>
      </c>
      <c r="K1263" s="4" t="s">
        <v>2585</v>
      </c>
      <c r="L1263" s="4" t="str">
        <f>_xlfn.XLOOKUP(Table4[[#This Row],[Kontragentin adı]],Table2[Kontragentin adı],Table2[Müqavilə nömrəsi],"Xəta",0)</f>
        <v>TSN/XH/SA/07-26/006</v>
      </c>
      <c r="M1263" s="4">
        <v>41238</v>
      </c>
    </row>
    <row r="1264" spans="2:13" x14ac:dyDescent="0.3">
      <c r="B1264" s="4">
        <f t="shared" ref="B1264:B1269" si="20">ROW()-3</f>
        <v>1261</v>
      </c>
      <c r="C1264" s="5">
        <v>46224</v>
      </c>
      <c r="D1264" s="10" t="str" cm="1">
        <f t="array" ref="D1264">_xlfn.XLOOKUP(Table4[[#This Row],[Malın kodu]],Table1[[#All],[Malın kodu]],Table1[[#All],[Malın adı]],"xəta",0)</f>
        <v>Klema başlığı / T038</v>
      </c>
      <c r="E1264" s="8" t="s">
        <v>2612</v>
      </c>
      <c r="F1264" s="4" t="s">
        <v>920</v>
      </c>
      <c r="G1264" s="4">
        <v>2</v>
      </c>
      <c r="H1264" s="4">
        <v>5</v>
      </c>
      <c r="I1264" s="4">
        <f>Table4[[#This Row],[Malın miqdarı]]*Table4[[#This Row],[Vahidin qiyməti]]</f>
        <v>10</v>
      </c>
      <c r="J1264" s="4" t="s">
        <v>1914</v>
      </c>
      <c r="K1264" s="4" t="s">
        <v>900</v>
      </c>
      <c r="L1264" s="4" t="str">
        <f>_xlfn.XLOOKUP(Table4[[#This Row],[Kontragentin adı]],Table2[Kontragentin adı],Table2[Müqavilə nömrəsi],"Xəta",0)</f>
        <v>LG-150/26</v>
      </c>
      <c r="M1264" s="4">
        <v>24090</v>
      </c>
    </row>
    <row r="1265" spans="2:13" x14ac:dyDescent="0.3">
      <c r="B1265" s="4">
        <f t="shared" si="20"/>
        <v>1262</v>
      </c>
      <c r="C1265" s="5">
        <v>46225</v>
      </c>
      <c r="D1265" s="10" t="str" cm="1">
        <f t="array" ref="D1265">_xlfn.XLOOKUP(Table4[[#This Row],[Malın kodu]],Table1[[#All],[Malın kodu]],Table1[[#All],[Malın adı]],"xəta",0)</f>
        <v>Əks klapan / hidravlik</v>
      </c>
      <c r="E1265" s="8" t="s">
        <v>2613</v>
      </c>
      <c r="F1265" s="4" t="s">
        <v>920</v>
      </c>
      <c r="G1265" s="4">
        <v>1</v>
      </c>
      <c r="H1265" s="4">
        <v>45</v>
      </c>
      <c r="I1265" s="4">
        <f>Table4[[#This Row],[Malın miqdarı]]*Table4[[#This Row],[Vahidin qiyməti]]</f>
        <v>45</v>
      </c>
      <c r="J1265" s="4" t="s">
        <v>1914</v>
      </c>
      <c r="K1265" s="4" t="s">
        <v>2019</v>
      </c>
      <c r="L1265" s="4"/>
      <c r="M1265" s="4"/>
    </row>
    <row r="1266" spans="2:13" x14ac:dyDescent="0.3">
      <c r="B1266" s="4">
        <f t="shared" si="20"/>
        <v>1263</v>
      </c>
      <c r="C1266" s="5">
        <v>46225</v>
      </c>
      <c r="D1266" s="10" t="str" cm="1">
        <f t="array" ref="D1266">_xlfn.XLOOKUP(Table4[[#This Row],[Malın kodu]],Table1[[#All],[Malın kodu]],Table1[[#All],[Malın adı]],"xəta",0)</f>
        <v>Filtr / hidravlik</v>
      </c>
      <c r="E1266" s="8" t="s">
        <v>2614</v>
      </c>
      <c r="F1266" s="4" t="s">
        <v>920</v>
      </c>
      <c r="G1266" s="4">
        <v>1</v>
      </c>
      <c r="H1266" s="4">
        <v>60</v>
      </c>
      <c r="I1266" s="4">
        <f>Table4[[#This Row],[Malın miqdarı]]*Table4[[#This Row],[Vahidin qiyməti]]</f>
        <v>60</v>
      </c>
      <c r="J1266" s="4" t="s">
        <v>1914</v>
      </c>
      <c r="K1266" s="4" t="s">
        <v>2019</v>
      </c>
      <c r="L1266" s="4"/>
      <c r="M1266" s="4"/>
    </row>
    <row r="1267" spans="2:13" x14ac:dyDescent="0.3">
      <c r="B1267" s="4">
        <f t="shared" si="20"/>
        <v>1264</v>
      </c>
      <c r="C1267" s="5">
        <v>46225</v>
      </c>
      <c r="D1267" s="10" t="str" cm="1">
        <f t="array" ref="D1267">_xlfn.XLOOKUP(Table4[[#This Row],[Malın kodu]],Table1[[#All],[Malın kodu]],Table1[[#All],[Malın adı]],"xəta",0)</f>
        <v>Pəstah / kauçuk</v>
      </c>
      <c r="E1267" s="8" t="s">
        <v>2615</v>
      </c>
      <c r="F1267" s="4" t="s">
        <v>920</v>
      </c>
      <c r="G1267" s="4">
        <v>1</v>
      </c>
      <c r="H1267" s="4">
        <v>8.5</v>
      </c>
      <c r="I1267" s="4">
        <f>Table4[[#This Row],[Malın miqdarı]]*Table4[[#This Row],[Vahidin qiyməti]]</f>
        <v>8.5</v>
      </c>
      <c r="J1267" s="4" t="s">
        <v>1914</v>
      </c>
      <c r="K1267" s="4" t="s">
        <v>2019</v>
      </c>
      <c r="L1267" s="4"/>
      <c r="M1267" s="4"/>
    </row>
    <row r="1268" spans="2:13" x14ac:dyDescent="0.3">
      <c r="B1268" s="4">
        <f t="shared" si="20"/>
        <v>1265</v>
      </c>
      <c r="C1268" s="5">
        <v>46225</v>
      </c>
      <c r="D1268" s="10" t="str" cm="1">
        <f t="array" ref="D1268">_xlfn.XLOOKUP(Table4[[#This Row],[Malın kodu]],Table1[[#All],[Malın kodu]],Table1[[#All],[Malın adı]],"xəta",0)</f>
        <v>Araqatı (salnik)</v>
      </c>
      <c r="E1268" s="8" t="s">
        <v>2616</v>
      </c>
      <c r="F1268" s="4" t="s">
        <v>920</v>
      </c>
      <c r="G1268" s="4">
        <v>1</v>
      </c>
      <c r="H1268" s="4">
        <v>3</v>
      </c>
      <c r="I1268" s="4">
        <f>Table4[[#This Row],[Malın miqdarı]]*Table4[[#This Row],[Vahidin qiyməti]]</f>
        <v>3</v>
      </c>
      <c r="J1268" s="4" t="s">
        <v>1914</v>
      </c>
      <c r="K1268" s="4" t="s">
        <v>2019</v>
      </c>
      <c r="L1268" s="4"/>
      <c r="M1268" s="4"/>
    </row>
    <row r="1269" spans="2:13" x14ac:dyDescent="0.3">
      <c r="B1269" s="4">
        <f t="shared" si="20"/>
        <v>1266</v>
      </c>
      <c r="C1269" s="5">
        <v>46225</v>
      </c>
      <c r="D1269" s="10" t="str" cm="1">
        <f t="array" ref="D1269">_xlfn.XLOOKUP(Table4[[#This Row],[Malın kodu]],Table1[[#All],[Malın kodu]],Table1[[#All],[Malın adı]],"xəta",0)</f>
        <v>Profil / metal / 2x4mm</v>
      </c>
      <c r="E1269" s="8" t="s">
        <v>2617</v>
      </c>
      <c r="F1269" s="4" t="s">
        <v>920</v>
      </c>
      <c r="G1269" s="4">
        <v>2</v>
      </c>
      <c r="H1269" s="4">
        <v>3</v>
      </c>
      <c r="I1269" s="4">
        <f>Table4[[#This Row],[Malın miqdarı]]*Table4[[#This Row],[Vahidin qiyməti]]</f>
        <v>6</v>
      </c>
      <c r="J1269" s="4" t="s">
        <v>1914</v>
      </c>
      <c r="K1269" s="4" t="s">
        <v>2019</v>
      </c>
      <c r="L1269" s="4"/>
      <c r="M1269" s="4"/>
    </row>
    <row r="1270" spans="2:13" x14ac:dyDescent="0.3">
      <c r="B1270" s="4">
        <f t="shared" ref="B1270:B1273" si="21">ROW()-3</f>
        <v>1267</v>
      </c>
      <c r="C1270" s="5">
        <v>46181</v>
      </c>
      <c r="D1270" s="10" t="str" cm="1">
        <f t="array" ref="D1270">_xlfn.XLOOKUP(Table4[[#This Row],[Malın kodu]],Table1[[#All],[Malın kodu]],Table1[[#All],[Malın adı]],"xəta",0)</f>
        <v>Armatur / F10, L-12, A500</v>
      </c>
      <c r="E1270" s="8" t="s">
        <v>2622</v>
      </c>
      <c r="F1270" s="4" t="s">
        <v>2626</v>
      </c>
      <c r="G1270" s="4">
        <v>0.5</v>
      </c>
      <c r="H1270" s="4">
        <v>1120</v>
      </c>
      <c r="I1270" s="4">
        <f>Table4[[#This Row],[Malın miqdarı]]*Table4[[#This Row],[Vahidin qiyməti]]</f>
        <v>560</v>
      </c>
      <c r="J1270" s="4" t="s">
        <v>1905</v>
      </c>
      <c r="K1270" s="4" t="s">
        <v>2627</v>
      </c>
      <c r="L1270" s="4">
        <f>_xlfn.XLOOKUP(Table4[[#This Row],[Kontragentin adı]],Table2[Kontragentin adı],Table2[Müqavilə nömrəsi],"Xəta",0)</f>
        <v>0</v>
      </c>
      <c r="M1270" s="4" t="s">
        <v>2628</v>
      </c>
    </row>
    <row r="1271" spans="2:13" x14ac:dyDescent="0.3">
      <c r="B1271" s="4">
        <f t="shared" si="21"/>
        <v>1268</v>
      </c>
      <c r="C1271" s="5">
        <v>46181</v>
      </c>
      <c r="D1271" s="10" t="str" cm="1">
        <f t="array" ref="D1271">_xlfn.XLOOKUP(Table4[[#This Row],[Malın kodu]],Table1[[#All],[Malın kodu]],Table1[[#All],[Malın adı]],"xəta",0)</f>
        <v>Armatur / F14, L-12, A500</v>
      </c>
      <c r="E1271" s="8" t="s">
        <v>2623</v>
      </c>
      <c r="F1271" s="4" t="s">
        <v>2626</v>
      </c>
      <c r="G1271" s="4">
        <v>5.9649999999999999</v>
      </c>
      <c r="H1271" s="4">
        <v>1050</v>
      </c>
      <c r="I1271" s="4">
        <f>Table4[[#This Row],[Malın miqdarı]]*Table4[[#This Row],[Vahidin qiyməti]]</f>
        <v>6263.25</v>
      </c>
      <c r="J1271" s="4" t="s">
        <v>1905</v>
      </c>
      <c r="K1271" s="4" t="s">
        <v>2627</v>
      </c>
      <c r="L1271" s="4">
        <f>_xlfn.XLOOKUP(Table4[[#This Row],[Kontragentin adı]],Table2[Kontragentin adı],Table2[Müqavilə nömrəsi],"Xəta",0)</f>
        <v>0</v>
      </c>
      <c r="M1271" s="4" t="s">
        <v>2628</v>
      </c>
    </row>
    <row r="1272" spans="2:13" x14ac:dyDescent="0.3">
      <c r="B1272" s="4">
        <f t="shared" si="21"/>
        <v>1269</v>
      </c>
      <c r="C1272" s="5">
        <v>46181</v>
      </c>
      <c r="D1272" s="10" t="str" cm="1">
        <f t="array" ref="D1272">_xlfn.XLOOKUP(Table4[[#This Row],[Malın kodu]],Table1[[#All],[Malın kodu]],Table1[[#All],[Malın adı]],"xəta",0)</f>
        <v>Armatur / F16, L-12, A500</v>
      </c>
      <c r="E1272" s="8" t="s">
        <v>2624</v>
      </c>
      <c r="F1272" s="4" t="s">
        <v>2626</v>
      </c>
      <c r="G1272" s="4">
        <v>9.9550000000000001</v>
      </c>
      <c r="H1272" s="4">
        <v>1050</v>
      </c>
      <c r="I1272" s="4">
        <f>Table4[[#This Row],[Malın miqdarı]]*Table4[[#This Row],[Vahidin qiyməti]]</f>
        <v>10452.75</v>
      </c>
      <c r="J1272" s="4" t="s">
        <v>1905</v>
      </c>
      <c r="K1272" s="4" t="s">
        <v>2627</v>
      </c>
      <c r="L1272" s="4">
        <f>_xlfn.XLOOKUP(Table4[[#This Row],[Kontragentin adı]],Table2[Kontragentin adı],Table2[Müqavilə nömrəsi],"Xəta",0)</f>
        <v>0</v>
      </c>
      <c r="M1272" s="4" t="s">
        <v>2628</v>
      </c>
    </row>
    <row r="1273" spans="2:13" x14ac:dyDescent="0.3">
      <c r="B1273" s="4">
        <f t="shared" si="21"/>
        <v>1270</v>
      </c>
      <c r="C1273" s="5">
        <v>46181</v>
      </c>
      <c r="D1273" s="10" t="str" cm="1">
        <f t="array" ref="D1273">_xlfn.XLOOKUP(Table4[[#This Row],[Malın kodu]],Table1[[#All],[Malın kodu]],Table1[[#All],[Malın adı]],"xəta",0)</f>
        <v>Armatur / F20, L-12, A500</v>
      </c>
      <c r="E1273" s="8" t="s">
        <v>2625</v>
      </c>
      <c r="F1273" s="4" t="s">
        <v>2626</v>
      </c>
      <c r="G1273" s="4">
        <v>6.48</v>
      </c>
      <c r="H1273" s="4">
        <v>1050</v>
      </c>
      <c r="I1273" s="4">
        <f>Table4[[#This Row],[Malın miqdarı]]*Table4[[#This Row],[Vahidin qiyməti]]</f>
        <v>6804</v>
      </c>
      <c r="J1273" s="4" t="s">
        <v>1905</v>
      </c>
      <c r="K1273" s="4" t="s">
        <v>2627</v>
      </c>
      <c r="L1273" s="4">
        <f>_xlfn.XLOOKUP(Table4[[#This Row],[Kontragentin adı]],Table2[Kontragentin adı],Table2[Müqavilə nömrəsi],"Xəta",0)</f>
        <v>0</v>
      </c>
      <c r="M1273" s="4" t="s">
        <v>2628</v>
      </c>
    </row>
    <row r="1274" spans="2:13" x14ac:dyDescent="0.3">
      <c r="B1274" s="4">
        <f t="shared" ref="B1274:B1275" si="22">ROW()-3</f>
        <v>1271</v>
      </c>
      <c r="C1274" s="5">
        <v>46223</v>
      </c>
      <c r="D1274" s="10" t="str" cm="1">
        <f t="array" ref="D1274">_xlfn.XLOOKUP(Table4[[#This Row],[Malın kodu]],Table1[[#All],[Malın kodu]],Table1[[#All],[Malın adı]],"xəta",0)</f>
        <v>Metrik / TE-O.B</v>
      </c>
      <c r="E1274" s="8" t="s">
        <v>2631</v>
      </c>
      <c r="F1274" s="4" t="s">
        <v>920</v>
      </c>
      <c r="G1274" s="4">
        <v>7</v>
      </c>
      <c r="H1274" s="4">
        <v>35</v>
      </c>
      <c r="I1274" s="4">
        <f>Table4[[#This Row],[Malın miqdarı]]*Table4[[#This Row],[Vahidin qiyməti]]</f>
        <v>245</v>
      </c>
      <c r="J1274" s="4" t="s">
        <v>1914</v>
      </c>
      <c r="K1274" s="4" t="s">
        <v>2019</v>
      </c>
      <c r="L1274" s="4">
        <f>_xlfn.XLOOKUP(Table4[[#This Row],[Kontragentin adı]],Table2[Kontragentin adı],Table2[Müqavilə nömrəsi],"Xəta",0)</f>
        <v>0</v>
      </c>
      <c r="M1274" s="4">
        <v>14744</v>
      </c>
    </row>
    <row r="1275" spans="2:13" x14ac:dyDescent="0.3">
      <c r="B1275" s="4">
        <f t="shared" si="22"/>
        <v>1272</v>
      </c>
      <c r="C1275" s="5">
        <v>46223</v>
      </c>
      <c r="D1275" s="10" t="str" cm="1">
        <f t="array" ref="D1275">_xlfn.XLOOKUP(Table4[[#This Row],[Malın kodu]],Table1[[#All],[Malın kodu]],Table1[[#All],[Malın adı]],"xəta",0)</f>
        <v>Metrik / BSP</v>
      </c>
      <c r="E1275" s="8" t="s">
        <v>2632</v>
      </c>
      <c r="F1275" s="4" t="s">
        <v>920</v>
      </c>
      <c r="G1275" s="4">
        <v>1</v>
      </c>
      <c r="H1275" s="4">
        <v>10</v>
      </c>
      <c r="I1275" s="4">
        <f>Table4[[#This Row],[Malın miqdarı]]*Table4[[#This Row],[Vahidin qiyməti]]</f>
        <v>10</v>
      </c>
      <c r="J1275" s="4" t="s">
        <v>1914</v>
      </c>
      <c r="K1275" s="4" t="s">
        <v>2019</v>
      </c>
      <c r="L1275" s="4">
        <f>_xlfn.XLOOKUP(Table4[[#This Row],[Kontragentin adı]],Table2[Kontragentin adı],Table2[Müqavilə nömrəsi],"Xəta",0)</f>
        <v>0</v>
      </c>
      <c r="M1275" s="4">
        <v>14744</v>
      </c>
    </row>
    <row r="1276" spans="2:13" x14ac:dyDescent="0.3">
      <c r="B1276" s="4">
        <f>ROW()-3</f>
        <v>1273</v>
      </c>
      <c r="C1276" s="5">
        <v>46174</v>
      </c>
      <c r="D1276" s="10" t="str" cm="1">
        <f t="array" ref="D1276">_xlfn.XLOOKUP(Table4[[#This Row],[Malın kodu]],Table1[[#All],[Malın kodu]],Table1[[#All],[Malın adı]],"xəta",0)</f>
        <v>Generator / 205 kVA / "Genpower"</v>
      </c>
      <c r="E1276" s="8" t="s">
        <v>2634</v>
      </c>
      <c r="F1276" s="4" t="s">
        <v>920</v>
      </c>
      <c r="G1276" s="4">
        <v>1</v>
      </c>
      <c r="H1276" s="4">
        <v>0</v>
      </c>
      <c r="I1276" s="4">
        <f>Table4[[#This Row],[Malın miqdarı]]*Table4[[#This Row],[Vahidin qiyməti]]</f>
        <v>0</v>
      </c>
      <c r="J1276" s="4" t="s">
        <v>899</v>
      </c>
      <c r="K1276" s="4" t="s">
        <v>893</v>
      </c>
      <c r="L1276" s="4">
        <f>_xlfn.XLOOKUP(Table4[[#This Row],[Kontragentin adı]],Table2[Kontragentin adı],Table2[Müqavilə nömrəsi],"Xəta",0)</f>
        <v>0</v>
      </c>
      <c r="M1276" s="4">
        <f>_xlfn.XLOOKUP(Table4[[#This Row],[Kontragentin adı]],Table2[Kontragentin adı],Table2[Müqavilə nömrəsi],"Xəta",0)</f>
        <v>0</v>
      </c>
    </row>
    <row r="1277" spans="2:13" x14ac:dyDescent="0.3">
      <c r="B1277" s="4">
        <f t="shared" ref="B1277:B1278" si="23">ROW()-3</f>
        <v>1274</v>
      </c>
      <c r="C1277" s="5">
        <v>46226</v>
      </c>
      <c r="D1277" s="10" t="str" cm="1">
        <f t="array" ref="D1277">_xlfn.XLOOKUP(Table4[[#This Row],[Malın kodu]],Table1[[#All],[Malın kodu]],Table1[[#All],[Malın adı]],"xəta",0)</f>
        <v>Karot ucu / perforator üçün / 40mm</v>
      </c>
      <c r="E1277" s="8" t="s">
        <v>2637</v>
      </c>
      <c r="F1277" s="4" t="s">
        <v>920</v>
      </c>
      <c r="G1277" s="4">
        <v>1</v>
      </c>
      <c r="H1277" s="4">
        <v>5</v>
      </c>
      <c r="I1277" s="4">
        <f>Table4[[#This Row],[Malın miqdarı]]*Table4[[#This Row],[Vahidin qiyməti]]</f>
        <v>5</v>
      </c>
      <c r="J1277" s="4" t="s">
        <v>1914</v>
      </c>
      <c r="K1277" s="4" t="s">
        <v>2019</v>
      </c>
      <c r="L1277" s="4">
        <f>_xlfn.XLOOKUP(Table4[[#This Row],[Kontragentin adı]],Table2[Kontragentin adı],Table2[Müqavilə nömrəsi],"Xəta",0)</f>
        <v>0</v>
      </c>
      <c r="M1277" s="4">
        <f>_xlfn.XLOOKUP(Table4[[#This Row],[Kontragentin adı]],Table2[Kontragentin adı],Table2[Müqavilə nömrəsi],"Xəta",0)</f>
        <v>0</v>
      </c>
    </row>
    <row r="1278" spans="2:13" x14ac:dyDescent="0.3">
      <c r="B1278" s="4">
        <f t="shared" si="23"/>
        <v>1275</v>
      </c>
      <c r="C1278" s="5">
        <v>46226</v>
      </c>
      <c r="D1278" s="10" t="str" cm="1">
        <f t="array" ref="D1278">_xlfn.XLOOKUP(Table4[[#This Row],[Malın kodu]],Table1[[#All],[Malın kodu]],Table1[[#All],[Malın adı]],"xəta",0)</f>
        <v>Su pompası / d 76mm / 6.6 kVt / H 28metr / "Grindex" / 0940147</v>
      </c>
      <c r="E1278" s="8" t="s">
        <v>2638</v>
      </c>
      <c r="F1278" s="4" t="s">
        <v>920</v>
      </c>
      <c r="G1278" s="4">
        <v>1</v>
      </c>
      <c r="H1278" s="4">
        <v>3300</v>
      </c>
      <c r="I1278" s="4">
        <f>Table4[[#This Row],[Malın miqdarı]]*Table4[[#This Row],[Vahidin qiyməti]]</f>
        <v>3300</v>
      </c>
      <c r="J1278" s="4" t="s">
        <v>1914</v>
      </c>
      <c r="K1278" s="4" t="s">
        <v>2019</v>
      </c>
      <c r="L1278" s="4">
        <f>_xlfn.XLOOKUP(Table4[[#This Row],[Kontragentin adı]],Table2[Kontragentin adı],Table2[Müqavilə nömrəsi],"Xəta",0)</f>
        <v>0</v>
      </c>
      <c r="M1278" s="4">
        <f>_xlfn.XLOOKUP(Table4[[#This Row],[Kontragentin adı]],Table2[Kontragentin adı],Table2[Müqavilə nömrəsi],"Xəta",0)</f>
        <v>0</v>
      </c>
    </row>
  </sheetData>
  <phoneticPr fontId="3" type="noConversion"/>
  <dataValidations count="3">
    <dataValidation type="list" allowBlank="1" showInputMessage="1" showErrorMessage="1" sqref="D4:D1192" xr:uid="{650634EE-11EA-4D45-BDA4-1DE7F91ACEE0}">
      <formula1>INDIRECT("Table1[Malın adı]")</formula1>
    </dataValidation>
    <dataValidation type="list" allowBlank="1" showInputMessage="1" showErrorMessage="1" sqref="K4:K1192" xr:uid="{D4F2D49D-B22A-43B7-82C1-208F786AAA05}">
      <formula1>INDIRECT("Table2[Kontragentin adı]")</formula1>
    </dataValidation>
    <dataValidation type="list" allowBlank="1" showInputMessage="1" showErrorMessage="1" sqref="J4:J1192" xr:uid="{0C0983E2-AF6F-4ED6-8860-520F2C3BD7DF}">
      <formula1>"Əvvələ qalıq,Nağd,Köçürmə"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FC7D-5589-493C-9BA5-8EF33B01EEFA}">
  <sheetPr>
    <tabColor rgb="FF002060"/>
  </sheetPr>
  <dimension ref="A1:U1934"/>
  <sheetViews>
    <sheetView tabSelected="1" zoomScaleNormal="100" workbookViewId="0">
      <pane ySplit="1" topLeftCell="A2" activePane="bottomLeft" state="frozen"/>
      <selection pane="bottomLeft" activeCell="B18" sqref="B4:B1332"/>
      <pivotSelection pane="topRight" showHeader="1" axis="axisRow" dimension="1" activeRow="17" activeCol="1" previousRow="17" previousCol="1" click="1" r:id="rId1">
        <pivotArea dataOnly="0" labelOnly="1" outline="0" fieldPosition="0">
          <references count="1">
            <reference field="3" count="0"/>
          </references>
        </pivotArea>
      </pivotSelection>
    </sheetView>
  </sheetViews>
  <sheetFormatPr defaultRowHeight="15" x14ac:dyDescent="0.25"/>
  <cols>
    <col min="1" max="1" width="17.5546875" style="3" customWidth="1"/>
    <col min="2" max="2" width="98.5546875" style="3" customWidth="1"/>
    <col min="3" max="3" width="19.88671875" style="3" bestFit="1" customWidth="1"/>
    <col min="4" max="4" width="18.44140625" style="3" bestFit="1" customWidth="1"/>
    <col min="5" max="5" width="14.88671875" style="3" bestFit="1" customWidth="1"/>
    <col min="6" max="6" width="15.109375" style="3" bestFit="1" customWidth="1"/>
    <col min="7" max="7" width="22.6640625" style="3" customWidth="1"/>
    <col min="8" max="8" width="28.88671875" style="3" bestFit="1" customWidth="1"/>
    <col min="9" max="9" width="11.5546875" style="3" bestFit="1" customWidth="1"/>
    <col min="10" max="16384" width="8.88671875" style="3"/>
  </cols>
  <sheetData>
    <row r="1" spans="1:21" s="2" customFormat="1" ht="15.6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spans="1:21" ht="15.6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 spans="1:21" ht="15.6" x14ac:dyDescent="0.3">
      <c r="A3" s="37" t="s">
        <v>1917</v>
      </c>
      <c r="B3" s="38" t="s">
        <v>1</v>
      </c>
      <c r="C3" s="38" t="s">
        <v>2</v>
      </c>
      <c r="D3" s="39" t="s">
        <v>916</v>
      </c>
      <c r="E3" s="40" t="s">
        <v>917</v>
      </c>
      <c r="F3" s="41" t="s">
        <v>918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spans="1:21" ht="15.6" x14ac:dyDescent="0.3">
      <c r="A4" s="42" t="s">
        <v>915</v>
      </c>
      <c r="B4" s="42" t="s">
        <v>404</v>
      </c>
      <c r="C4" s="42" t="s">
        <v>1359</v>
      </c>
      <c r="D4" s="61">
        <v>1</v>
      </c>
      <c r="E4" s="62">
        <v>0</v>
      </c>
      <c r="F4" s="63">
        <v>1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1:21" ht="15.6" x14ac:dyDescent="0.3">
      <c r="A5" s="43" t="s">
        <v>915</v>
      </c>
      <c r="B5" s="42" t="s">
        <v>2106</v>
      </c>
      <c r="C5" s="42" t="s">
        <v>2115</v>
      </c>
      <c r="D5" s="61">
        <v>20</v>
      </c>
      <c r="E5" s="62">
        <v>0</v>
      </c>
      <c r="F5" s="63">
        <v>20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 spans="1:21" ht="15.6" x14ac:dyDescent="0.3">
      <c r="A6" s="43" t="s">
        <v>915</v>
      </c>
      <c r="B6" s="42" t="s">
        <v>2285</v>
      </c>
      <c r="C6" s="42" t="s">
        <v>2287</v>
      </c>
      <c r="D6" s="61">
        <v>1</v>
      </c>
      <c r="E6" s="62">
        <v>0</v>
      </c>
      <c r="F6" s="63">
        <v>1</v>
      </c>
      <c r="G6"/>
    </row>
    <row r="7" spans="1:21" ht="15.6" x14ac:dyDescent="0.3">
      <c r="A7" s="43" t="s">
        <v>915</v>
      </c>
      <c r="B7" s="42" t="s">
        <v>2105</v>
      </c>
      <c r="C7" s="42" t="s">
        <v>2114</v>
      </c>
      <c r="D7" s="61">
        <v>10</v>
      </c>
      <c r="E7" s="62">
        <v>0</v>
      </c>
      <c r="F7" s="63">
        <v>10</v>
      </c>
      <c r="G7"/>
    </row>
    <row r="8" spans="1:21" ht="15.6" x14ac:dyDescent="0.3">
      <c r="A8" s="43" t="s">
        <v>915</v>
      </c>
      <c r="B8" s="42" t="s">
        <v>328</v>
      </c>
      <c r="C8" s="42" t="s">
        <v>1273</v>
      </c>
      <c r="D8" s="61">
        <v>1</v>
      </c>
      <c r="E8" s="62">
        <v>0</v>
      </c>
      <c r="F8" s="63">
        <v>1</v>
      </c>
      <c r="G8"/>
    </row>
    <row r="9" spans="1:21" ht="15.6" x14ac:dyDescent="0.3">
      <c r="A9" s="43" t="s">
        <v>915</v>
      </c>
      <c r="B9" s="42" t="s">
        <v>318</v>
      </c>
      <c r="C9" s="42" t="s">
        <v>1262</v>
      </c>
      <c r="D9" s="61">
        <v>1</v>
      </c>
      <c r="E9" s="62">
        <v>0</v>
      </c>
      <c r="F9" s="63">
        <v>1</v>
      </c>
      <c r="G9"/>
    </row>
    <row r="10" spans="1:21" ht="15.6" x14ac:dyDescent="0.3">
      <c r="A10" s="43" t="s">
        <v>915</v>
      </c>
      <c r="B10" s="42" t="s">
        <v>2636</v>
      </c>
      <c r="C10" s="42" t="s">
        <v>2638</v>
      </c>
      <c r="D10" s="61">
        <v>1</v>
      </c>
      <c r="E10" s="62">
        <v>0</v>
      </c>
      <c r="F10" s="63">
        <v>1</v>
      </c>
      <c r="G10"/>
    </row>
    <row r="11" spans="1:21" ht="15.6" x14ac:dyDescent="0.3">
      <c r="A11" s="43" t="s">
        <v>915</v>
      </c>
      <c r="B11" s="42" t="s">
        <v>2524</v>
      </c>
      <c r="C11" s="42" t="s">
        <v>2286</v>
      </c>
      <c r="D11" s="61">
        <v>1</v>
      </c>
      <c r="E11" s="62">
        <v>0</v>
      </c>
      <c r="F11" s="63">
        <v>1</v>
      </c>
      <c r="G11"/>
    </row>
    <row r="12" spans="1:21" ht="15.6" x14ac:dyDescent="0.3">
      <c r="A12" s="43" t="s">
        <v>915</v>
      </c>
      <c r="B12" s="42" t="s">
        <v>2108</v>
      </c>
      <c r="C12" s="42" t="s">
        <v>2117</v>
      </c>
      <c r="D12" s="61">
        <v>10</v>
      </c>
      <c r="E12" s="62">
        <v>0</v>
      </c>
      <c r="F12" s="63">
        <v>10</v>
      </c>
      <c r="G12"/>
    </row>
    <row r="13" spans="1:21" ht="15.6" x14ac:dyDescent="0.3">
      <c r="A13" s="43" t="s">
        <v>915</v>
      </c>
      <c r="B13" s="42" t="s">
        <v>155</v>
      </c>
      <c r="C13" s="42" t="s">
        <v>1089</v>
      </c>
      <c r="D13" s="61">
        <v>1</v>
      </c>
      <c r="E13" s="62">
        <v>0</v>
      </c>
      <c r="F13" s="63">
        <v>1</v>
      </c>
      <c r="G13"/>
    </row>
    <row r="14" spans="1:21" ht="15.6" x14ac:dyDescent="0.3">
      <c r="A14" s="43" t="s">
        <v>915</v>
      </c>
      <c r="B14" s="42" t="s">
        <v>2107</v>
      </c>
      <c r="C14" s="42" t="s">
        <v>2116</v>
      </c>
      <c r="D14" s="61">
        <v>1</v>
      </c>
      <c r="E14" s="62">
        <v>0</v>
      </c>
      <c r="F14" s="63">
        <v>1</v>
      </c>
      <c r="G14"/>
    </row>
    <row r="15" spans="1:21" ht="15.6" x14ac:dyDescent="0.3">
      <c r="A15" s="43" t="s">
        <v>915</v>
      </c>
      <c r="B15" s="42" t="s">
        <v>2101</v>
      </c>
      <c r="C15" s="42" t="s">
        <v>2110</v>
      </c>
      <c r="D15" s="61">
        <v>20</v>
      </c>
      <c r="E15" s="62">
        <v>0</v>
      </c>
      <c r="F15" s="63">
        <v>20</v>
      </c>
      <c r="G15"/>
    </row>
    <row r="16" spans="1:21" ht="15.6" x14ac:dyDescent="0.3">
      <c r="A16" s="43" t="s">
        <v>915</v>
      </c>
      <c r="B16" s="42" t="s">
        <v>2109</v>
      </c>
      <c r="C16" s="42" t="s">
        <v>2118</v>
      </c>
      <c r="D16" s="61">
        <v>20</v>
      </c>
      <c r="E16" s="62">
        <v>0</v>
      </c>
      <c r="F16" s="63">
        <v>20</v>
      </c>
      <c r="G16"/>
    </row>
    <row r="17" spans="1:7" ht="15.6" x14ac:dyDescent="0.3">
      <c r="A17" s="43" t="s">
        <v>915</v>
      </c>
      <c r="B17" s="42" t="s">
        <v>875</v>
      </c>
      <c r="C17" s="42" t="s">
        <v>1872</v>
      </c>
      <c r="D17" s="61">
        <v>2</v>
      </c>
      <c r="E17" s="62">
        <v>0</v>
      </c>
      <c r="F17" s="63">
        <v>2</v>
      </c>
      <c r="G17"/>
    </row>
    <row r="18" spans="1:7" ht="15.6" x14ac:dyDescent="0.3">
      <c r="A18" s="43" t="s">
        <v>915</v>
      </c>
      <c r="B18" s="42" t="s">
        <v>861</v>
      </c>
      <c r="C18" s="42" t="s">
        <v>1856</v>
      </c>
      <c r="D18" s="61">
        <v>1</v>
      </c>
      <c r="E18" s="62">
        <v>0</v>
      </c>
      <c r="F18" s="63">
        <v>1</v>
      </c>
      <c r="G18"/>
    </row>
    <row r="19" spans="1:7" ht="15.6" x14ac:dyDescent="0.3">
      <c r="A19" s="43" t="s">
        <v>915</v>
      </c>
      <c r="B19" s="42" t="s">
        <v>322</v>
      </c>
      <c r="C19" s="42" t="s">
        <v>1267</v>
      </c>
      <c r="D19" s="61">
        <v>1</v>
      </c>
      <c r="E19" s="62">
        <v>0</v>
      </c>
      <c r="F19" s="63">
        <v>1</v>
      </c>
      <c r="G19"/>
    </row>
    <row r="20" spans="1:7" ht="15.6" x14ac:dyDescent="0.3">
      <c r="A20" s="43" t="s">
        <v>915</v>
      </c>
      <c r="B20" s="42" t="s">
        <v>2102</v>
      </c>
      <c r="C20" s="42" t="s">
        <v>2111</v>
      </c>
      <c r="D20" s="61">
        <v>4</v>
      </c>
      <c r="E20" s="62">
        <v>0</v>
      </c>
      <c r="F20" s="63">
        <v>4</v>
      </c>
      <c r="G20"/>
    </row>
    <row r="21" spans="1:7" ht="15.6" x14ac:dyDescent="0.3">
      <c r="A21" s="43" t="s">
        <v>915</v>
      </c>
      <c r="B21" s="42" t="s">
        <v>331</v>
      </c>
      <c r="C21" s="42" t="s">
        <v>1276</v>
      </c>
      <c r="D21" s="61">
        <v>1</v>
      </c>
      <c r="E21" s="62">
        <v>0</v>
      </c>
      <c r="F21" s="63">
        <v>1</v>
      </c>
      <c r="G21"/>
    </row>
    <row r="22" spans="1:7" ht="15.6" x14ac:dyDescent="0.3">
      <c r="A22" s="43" t="s">
        <v>915</v>
      </c>
      <c r="B22" s="42" t="s">
        <v>2077</v>
      </c>
      <c r="C22" s="42" t="s">
        <v>2085</v>
      </c>
      <c r="D22" s="61">
        <v>1</v>
      </c>
      <c r="E22" s="62">
        <v>0</v>
      </c>
      <c r="F22" s="63">
        <v>1</v>
      </c>
      <c r="G22"/>
    </row>
    <row r="23" spans="1:7" ht="15.6" x14ac:dyDescent="0.3">
      <c r="A23" s="43" t="s">
        <v>915</v>
      </c>
      <c r="B23" s="42" t="s">
        <v>578</v>
      </c>
      <c r="C23" s="42" t="s">
        <v>1542</v>
      </c>
      <c r="D23" s="61">
        <v>1</v>
      </c>
      <c r="E23" s="62">
        <v>0</v>
      </c>
      <c r="F23" s="63">
        <v>1</v>
      </c>
      <c r="G23"/>
    </row>
    <row r="24" spans="1:7" ht="15.6" x14ac:dyDescent="0.3">
      <c r="A24" s="43" t="s">
        <v>915</v>
      </c>
      <c r="B24" s="42" t="s">
        <v>152</v>
      </c>
      <c r="C24" s="42" t="s">
        <v>1086</v>
      </c>
      <c r="D24" s="61">
        <v>5</v>
      </c>
      <c r="E24" s="62">
        <v>0</v>
      </c>
      <c r="F24" s="63">
        <v>5</v>
      </c>
      <c r="G24"/>
    </row>
    <row r="25" spans="1:7" ht="15.6" x14ac:dyDescent="0.3">
      <c r="A25" s="43" t="s">
        <v>915</v>
      </c>
      <c r="B25" s="42" t="s">
        <v>2635</v>
      </c>
      <c r="C25" s="42" t="s">
        <v>2637</v>
      </c>
      <c r="D25" s="61">
        <v>1</v>
      </c>
      <c r="E25" s="62">
        <v>0</v>
      </c>
      <c r="F25" s="63">
        <v>1</v>
      </c>
      <c r="G25"/>
    </row>
    <row r="26" spans="1:7" ht="15.6" x14ac:dyDescent="0.3">
      <c r="A26" s="43" t="s">
        <v>915</v>
      </c>
      <c r="B26" s="42" t="s">
        <v>2104</v>
      </c>
      <c r="C26" s="42" t="s">
        <v>2113</v>
      </c>
      <c r="D26" s="61">
        <v>100</v>
      </c>
      <c r="E26" s="62">
        <v>0</v>
      </c>
      <c r="F26" s="63">
        <v>100</v>
      </c>
      <c r="G26"/>
    </row>
    <row r="27" spans="1:7" ht="15.6" x14ac:dyDescent="0.3">
      <c r="A27" s="43" t="s">
        <v>915</v>
      </c>
      <c r="B27" s="42" t="s">
        <v>2103</v>
      </c>
      <c r="C27" s="42" t="s">
        <v>2112</v>
      </c>
      <c r="D27" s="61">
        <v>100</v>
      </c>
      <c r="E27" s="62">
        <v>0</v>
      </c>
      <c r="F27" s="63">
        <v>100</v>
      </c>
      <c r="G27"/>
    </row>
    <row r="28" spans="1:7" ht="15.6" x14ac:dyDescent="0.3">
      <c r="A28" s="43" t="s">
        <v>915</v>
      </c>
      <c r="B28" s="42" t="s">
        <v>1939</v>
      </c>
      <c r="C28" s="42" t="s">
        <v>1959</v>
      </c>
      <c r="D28" s="61">
        <v>1</v>
      </c>
      <c r="E28" s="62">
        <v>0</v>
      </c>
      <c r="F28" s="63">
        <v>1</v>
      </c>
      <c r="G28"/>
    </row>
    <row r="29" spans="1:7" ht="15.6" x14ac:dyDescent="0.3">
      <c r="A29" s="43" t="s">
        <v>915</v>
      </c>
      <c r="B29" s="42" t="s">
        <v>2512</v>
      </c>
      <c r="C29" s="42" t="s">
        <v>1949</v>
      </c>
      <c r="D29" s="61">
        <v>20</v>
      </c>
      <c r="E29" s="62">
        <v>0</v>
      </c>
      <c r="F29" s="63">
        <v>20</v>
      </c>
      <c r="G29"/>
    </row>
    <row r="30" spans="1:7" ht="15.6" x14ac:dyDescent="0.3">
      <c r="A30" s="43" t="s">
        <v>915</v>
      </c>
      <c r="B30" s="42" t="s">
        <v>2346</v>
      </c>
      <c r="C30" s="42" t="s">
        <v>1352</v>
      </c>
      <c r="D30" s="61">
        <v>1</v>
      </c>
      <c r="E30" s="62">
        <v>0</v>
      </c>
      <c r="F30" s="63">
        <v>1</v>
      </c>
      <c r="G30"/>
    </row>
    <row r="31" spans="1:7" ht="15.6" x14ac:dyDescent="0.3">
      <c r="A31" s="43" t="s">
        <v>915</v>
      </c>
      <c r="B31" s="42" t="s">
        <v>575</v>
      </c>
      <c r="C31" s="42" t="s">
        <v>1539</v>
      </c>
      <c r="D31" s="61">
        <v>1</v>
      </c>
      <c r="E31" s="62">
        <v>1</v>
      </c>
      <c r="F31" s="63">
        <v>0</v>
      </c>
      <c r="G31"/>
    </row>
    <row r="32" spans="1:7" ht="15.6" x14ac:dyDescent="0.3">
      <c r="A32" s="43" t="s">
        <v>915</v>
      </c>
      <c r="B32" s="42" t="s">
        <v>560</v>
      </c>
      <c r="C32" s="42" t="s">
        <v>1524</v>
      </c>
      <c r="D32" s="61">
        <v>1</v>
      </c>
      <c r="E32" s="62">
        <v>0</v>
      </c>
      <c r="F32" s="63">
        <v>1</v>
      </c>
      <c r="G32"/>
    </row>
    <row r="33" spans="1:7" ht="15.6" x14ac:dyDescent="0.3">
      <c r="A33" s="43" t="s">
        <v>915</v>
      </c>
      <c r="B33" s="42" t="s">
        <v>2633</v>
      </c>
      <c r="C33" s="42" t="s">
        <v>2634</v>
      </c>
      <c r="D33" s="61">
        <v>1</v>
      </c>
      <c r="E33" s="62">
        <v>0</v>
      </c>
      <c r="F33" s="63">
        <v>1</v>
      </c>
      <c r="G33"/>
    </row>
    <row r="34" spans="1:7" ht="15.6" x14ac:dyDescent="0.3">
      <c r="A34" s="43" t="s">
        <v>915</v>
      </c>
      <c r="B34" s="42" t="s">
        <v>569</v>
      </c>
      <c r="C34" s="42" t="s">
        <v>1533</v>
      </c>
      <c r="D34" s="61">
        <v>1</v>
      </c>
      <c r="E34" s="62">
        <v>0</v>
      </c>
      <c r="F34" s="63">
        <v>1</v>
      </c>
      <c r="G34"/>
    </row>
    <row r="35" spans="1:7" ht="15.6" x14ac:dyDescent="0.3">
      <c r="A35" s="43" t="s">
        <v>915</v>
      </c>
      <c r="B35" s="42" t="s">
        <v>1969</v>
      </c>
      <c r="C35" s="42" t="s">
        <v>1983</v>
      </c>
      <c r="D35" s="61">
        <v>3</v>
      </c>
      <c r="E35" s="62">
        <v>0</v>
      </c>
      <c r="F35" s="63">
        <v>3</v>
      </c>
      <c r="G35"/>
    </row>
    <row r="36" spans="1:7" ht="15.6" x14ac:dyDescent="0.3">
      <c r="A36" s="43" t="s">
        <v>915</v>
      </c>
      <c r="B36" s="42" t="s">
        <v>2471</v>
      </c>
      <c r="C36" s="42" t="s">
        <v>1286</v>
      </c>
      <c r="D36" s="61">
        <v>10</v>
      </c>
      <c r="E36" s="62">
        <v>0</v>
      </c>
      <c r="F36" s="63">
        <v>10</v>
      </c>
      <c r="G36"/>
    </row>
    <row r="37" spans="1:7" ht="15.6" x14ac:dyDescent="0.3">
      <c r="A37" s="43" t="s">
        <v>915</v>
      </c>
      <c r="B37" s="42" t="s">
        <v>1931</v>
      </c>
      <c r="C37" s="42" t="s">
        <v>1951</v>
      </c>
      <c r="D37" s="61">
        <v>3</v>
      </c>
      <c r="E37" s="62">
        <v>0</v>
      </c>
      <c r="F37" s="63">
        <v>3</v>
      </c>
      <c r="G37"/>
    </row>
    <row r="38" spans="1:7" ht="15.6" x14ac:dyDescent="0.3">
      <c r="A38" s="43" t="s">
        <v>915</v>
      </c>
      <c r="B38" s="42" t="s">
        <v>1932</v>
      </c>
      <c r="C38" s="42" t="s">
        <v>1952</v>
      </c>
      <c r="D38" s="61">
        <v>6</v>
      </c>
      <c r="E38" s="62">
        <v>0</v>
      </c>
      <c r="F38" s="63">
        <v>6</v>
      </c>
      <c r="G38"/>
    </row>
    <row r="39" spans="1:7" ht="15.6" x14ac:dyDescent="0.3">
      <c r="A39" s="43" t="s">
        <v>915</v>
      </c>
      <c r="B39" s="42" t="s">
        <v>151</v>
      </c>
      <c r="C39" s="42" t="s">
        <v>1085</v>
      </c>
      <c r="D39" s="61">
        <v>1</v>
      </c>
      <c r="E39" s="62">
        <v>0</v>
      </c>
      <c r="F39" s="63">
        <v>1</v>
      </c>
      <c r="G39"/>
    </row>
    <row r="40" spans="1:7" ht="15.6" x14ac:dyDescent="0.3">
      <c r="A40" s="43" t="s">
        <v>915</v>
      </c>
      <c r="B40" s="42" t="s">
        <v>150</v>
      </c>
      <c r="C40" s="42" t="s">
        <v>1084</v>
      </c>
      <c r="D40" s="61">
        <v>2</v>
      </c>
      <c r="E40" s="62">
        <v>0</v>
      </c>
      <c r="F40" s="63">
        <v>2</v>
      </c>
      <c r="G40"/>
    </row>
    <row r="41" spans="1:7" ht="15.6" x14ac:dyDescent="0.3">
      <c r="A41" s="43" t="s">
        <v>915</v>
      </c>
      <c r="B41" s="42" t="s">
        <v>2070</v>
      </c>
      <c r="C41" s="42" t="s">
        <v>2069</v>
      </c>
      <c r="D41" s="61">
        <v>2</v>
      </c>
      <c r="E41" s="62">
        <v>0</v>
      </c>
      <c r="F41" s="63">
        <v>2</v>
      </c>
      <c r="G41"/>
    </row>
    <row r="42" spans="1:7" ht="15.6" x14ac:dyDescent="0.3">
      <c r="A42" s="43" t="s">
        <v>915</v>
      </c>
      <c r="B42" s="42" t="s">
        <v>1935</v>
      </c>
      <c r="C42" s="42" t="s">
        <v>1955</v>
      </c>
      <c r="D42" s="61">
        <v>1</v>
      </c>
      <c r="E42" s="62">
        <v>0</v>
      </c>
      <c r="F42" s="63">
        <v>1</v>
      </c>
      <c r="G42"/>
    </row>
    <row r="43" spans="1:7" ht="15.6" x14ac:dyDescent="0.3">
      <c r="A43" s="43" t="s">
        <v>915</v>
      </c>
      <c r="B43" s="42" t="s">
        <v>576</v>
      </c>
      <c r="C43" s="42" t="s">
        <v>1540</v>
      </c>
      <c r="D43" s="61">
        <v>1</v>
      </c>
      <c r="E43" s="62">
        <v>0</v>
      </c>
      <c r="F43" s="63">
        <v>1</v>
      </c>
      <c r="G43"/>
    </row>
    <row r="44" spans="1:7" ht="15.6" x14ac:dyDescent="0.3">
      <c r="A44" s="43" t="s">
        <v>915</v>
      </c>
      <c r="B44" s="42" t="s">
        <v>729</v>
      </c>
      <c r="C44" s="42" t="s">
        <v>1706</v>
      </c>
      <c r="D44" s="61">
        <v>1</v>
      </c>
      <c r="E44" s="62">
        <v>0</v>
      </c>
      <c r="F44" s="63">
        <v>1</v>
      </c>
      <c r="G44"/>
    </row>
    <row r="45" spans="1:7" ht="15.6" x14ac:dyDescent="0.3">
      <c r="A45" s="42" t="s">
        <v>914</v>
      </c>
      <c r="B45" s="42" t="s">
        <v>2475</v>
      </c>
      <c r="C45" s="42" t="s">
        <v>1438</v>
      </c>
      <c r="D45" s="61">
        <v>1</v>
      </c>
      <c r="E45" s="62">
        <v>0</v>
      </c>
      <c r="F45" s="63">
        <v>1</v>
      </c>
      <c r="G45"/>
    </row>
    <row r="46" spans="1:7" ht="15.6" x14ac:dyDescent="0.3">
      <c r="A46" s="43" t="s">
        <v>914</v>
      </c>
      <c r="B46" s="42" t="s">
        <v>2477</v>
      </c>
      <c r="C46" s="42" t="s">
        <v>1440</v>
      </c>
      <c r="D46" s="61">
        <v>1</v>
      </c>
      <c r="E46" s="62">
        <v>0</v>
      </c>
      <c r="F46" s="63">
        <v>1</v>
      </c>
      <c r="G46"/>
    </row>
    <row r="47" spans="1:7" ht="15.6" x14ac:dyDescent="0.3">
      <c r="A47" s="43" t="s">
        <v>914</v>
      </c>
      <c r="B47" s="42" t="s">
        <v>265</v>
      </c>
      <c r="C47" s="42" t="s">
        <v>1205</v>
      </c>
      <c r="D47" s="61">
        <v>3</v>
      </c>
      <c r="E47" s="62">
        <v>0</v>
      </c>
      <c r="F47" s="63">
        <v>3</v>
      </c>
      <c r="G47"/>
    </row>
    <row r="48" spans="1:7" ht="15.6" x14ac:dyDescent="0.3">
      <c r="A48" s="43" t="s">
        <v>914</v>
      </c>
      <c r="B48" s="42" t="s">
        <v>685</v>
      </c>
      <c r="C48" s="42" t="s">
        <v>1656</v>
      </c>
      <c r="D48" s="61">
        <v>9</v>
      </c>
      <c r="E48" s="62">
        <v>0</v>
      </c>
      <c r="F48" s="63">
        <v>9</v>
      </c>
      <c r="G48"/>
    </row>
    <row r="49" spans="1:7" ht="15.6" x14ac:dyDescent="0.3">
      <c r="A49" s="43" t="s">
        <v>914</v>
      </c>
      <c r="B49" s="42" t="s">
        <v>686</v>
      </c>
      <c r="C49" s="42" t="s">
        <v>1657</v>
      </c>
      <c r="D49" s="61">
        <v>1</v>
      </c>
      <c r="E49" s="62">
        <v>0</v>
      </c>
      <c r="F49" s="63">
        <v>1</v>
      </c>
      <c r="G49"/>
    </row>
    <row r="50" spans="1:7" ht="15.6" x14ac:dyDescent="0.3">
      <c r="A50" s="43" t="s">
        <v>914</v>
      </c>
      <c r="B50" s="42" t="s">
        <v>684</v>
      </c>
      <c r="C50" s="42" t="s">
        <v>1655</v>
      </c>
      <c r="D50" s="61">
        <v>1</v>
      </c>
      <c r="E50" s="62">
        <v>0</v>
      </c>
      <c r="F50" s="63">
        <v>1</v>
      </c>
      <c r="G50"/>
    </row>
    <row r="51" spans="1:7" ht="15.6" x14ac:dyDescent="0.3">
      <c r="A51" s="43" t="s">
        <v>914</v>
      </c>
      <c r="B51" s="42" t="s">
        <v>1971</v>
      </c>
      <c r="C51" s="42" t="s">
        <v>1985</v>
      </c>
      <c r="D51" s="61">
        <v>2</v>
      </c>
      <c r="E51" s="62">
        <v>0</v>
      </c>
      <c r="F51" s="63">
        <v>2</v>
      </c>
      <c r="G51"/>
    </row>
    <row r="52" spans="1:7" ht="15.6" x14ac:dyDescent="0.3">
      <c r="A52" s="43" t="s">
        <v>914</v>
      </c>
      <c r="B52" s="42" t="s">
        <v>1970</v>
      </c>
      <c r="C52" s="42" t="s">
        <v>1984</v>
      </c>
      <c r="D52" s="61">
        <v>4</v>
      </c>
      <c r="E52" s="62">
        <v>0</v>
      </c>
      <c r="F52" s="63">
        <v>4</v>
      </c>
      <c r="G52"/>
    </row>
    <row r="53" spans="1:7" ht="15.6" x14ac:dyDescent="0.3">
      <c r="A53" s="43" t="s">
        <v>914</v>
      </c>
      <c r="B53" s="42" t="s">
        <v>873</v>
      </c>
      <c r="C53" s="42" t="s">
        <v>1870</v>
      </c>
      <c r="D53" s="61">
        <v>1</v>
      </c>
      <c r="E53" s="62">
        <v>0</v>
      </c>
      <c r="F53" s="63">
        <v>1</v>
      </c>
      <c r="G53"/>
    </row>
    <row r="54" spans="1:7" ht="15.6" x14ac:dyDescent="0.3">
      <c r="A54" s="43" t="s">
        <v>914</v>
      </c>
      <c r="B54" s="42" t="s">
        <v>2503</v>
      </c>
      <c r="C54" s="42" t="s">
        <v>1847</v>
      </c>
      <c r="D54" s="61">
        <v>6</v>
      </c>
      <c r="E54" s="62">
        <v>0</v>
      </c>
      <c r="F54" s="63">
        <v>6</v>
      </c>
      <c r="G54"/>
    </row>
    <row r="55" spans="1:7" ht="15.6" x14ac:dyDescent="0.3">
      <c r="A55" s="43" t="s">
        <v>914</v>
      </c>
      <c r="B55" s="42" t="s">
        <v>851</v>
      </c>
      <c r="C55" s="42" t="s">
        <v>1844</v>
      </c>
      <c r="D55" s="61">
        <v>5</v>
      </c>
      <c r="E55" s="62">
        <v>3</v>
      </c>
      <c r="F55" s="63">
        <v>2</v>
      </c>
      <c r="G55"/>
    </row>
    <row r="56" spans="1:7" ht="15.6" x14ac:dyDescent="0.3">
      <c r="A56" s="43" t="s">
        <v>914</v>
      </c>
      <c r="B56" s="42" t="s">
        <v>166</v>
      </c>
      <c r="C56" s="42" t="s">
        <v>1101</v>
      </c>
      <c r="D56" s="61">
        <v>4</v>
      </c>
      <c r="E56" s="62">
        <v>0</v>
      </c>
      <c r="F56" s="63">
        <v>4</v>
      </c>
      <c r="G56"/>
    </row>
    <row r="57" spans="1:7" ht="15.6" x14ac:dyDescent="0.3">
      <c r="A57" s="43" t="s">
        <v>914</v>
      </c>
      <c r="B57" s="42" t="s">
        <v>137</v>
      </c>
      <c r="C57" s="42" t="s">
        <v>1071</v>
      </c>
      <c r="D57" s="61">
        <v>2</v>
      </c>
      <c r="E57" s="62">
        <v>0</v>
      </c>
      <c r="F57" s="63">
        <v>2</v>
      </c>
      <c r="G57"/>
    </row>
    <row r="58" spans="1:7" ht="15.6" x14ac:dyDescent="0.3">
      <c r="A58" s="43" t="s">
        <v>914</v>
      </c>
      <c r="B58" s="42" t="s">
        <v>439</v>
      </c>
      <c r="C58" s="42" t="s">
        <v>1396</v>
      </c>
      <c r="D58" s="61">
        <v>1</v>
      </c>
      <c r="E58" s="62">
        <v>0</v>
      </c>
      <c r="F58" s="63">
        <v>1</v>
      </c>
      <c r="G58"/>
    </row>
    <row r="59" spans="1:7" ht="15.6" x14ac:dyDescent="0.3">
      <c r="A59" s="43" t="s">
        <v>914</v>
      </c>
      <c r="B59" s="42" t="s">
        <v>138</v>
      </c>
      <c r="C59" s="42" t="s">
        <v>1072</v>
      </c>
      <c r="D59" s="61">
        <v>1</v>
      </c>
      <c r="E59" s="62">
        <v>0</v>
      </c>
      <c r="F59" s="63">
        <v>1</v>
      </c>
      <c r="G59"/>
    </row>
    <row r="60" spans="1:7" ht="15.6" x14ac:dyDescent="0.3">
      <c r="A60" s="43" t="s">
        <v>914</v>
      </c>
      <c r="B60" s="42" t="s">
        <v>2473</v>
      </c>
      <c r="C60" s="42" t="s">
        <v>1348</v>
      </c>
      <c r="D60" s="61">
        <v>3</v>
      </c>
      <c r="E60" s="62">
        <v>0</v>
      </c>
      <c r="F60" s="63">
        <v>3</v>
      </c>
      <c r="G60"/>
    </row>
    <row r="61" spans="1:7" ht="15.6" x14ac:dyDescent="0.3">
      <c r="A61" s="43" t="s">
        <v>914</v>
      </c>
      <c r="B61" s="42" t="s">
        <v>147</v>
      </c>
      <c r="C61" s="42" t="s">
        <v>1081</v>
      </c>
      <c r="D61" s="61">
        <v>1</v>
      </c>
      <c r="E61" s="62">
        <v>0</v>
      </c>
      <c r="F61" s="63">
        <v>1</v>
      </c>
      <c r="G61"/>
    </row>
    <row r="62" spans="1:7" ht="15.6" x14ac:dyDescent="0.3">
      <c r="A62" s="43" t="s">
        <v>914</v>
      </c>
      <c r="B62" s="42" t="s">
        <v>393</v>
      </c>
      <c r="C62" s="42" t="s">
        <v>1346</v>
      </c>
      <c r="D62" s="61">
        <v>10</v>
      </c>
      <c r="E62" s="62">
        <v>0</v>
      </c>
      <c r="F62" s="63">
        <v>10</v>
      </c>
      <c r="G62"/>
    </row>
    <row r="63" spans="1:7" ht="15.6" x14ac:dyDescent="0.3">
      <c r="A63" s="43" t="s">
        <v>914</v>
      </c>
      <c r="B63" s="42" t="s">
        <v>404</v>
      </c>
      <c r="C63" s="42" t="s">
        <v>1359</v>
      </c>
      <c r="D63" s="61">
        <v>1</v>
      </c>
      <c r="E63" s="62">
        <v>1</v>
      </c>
      <c r="F63" s="63">
        <v>0</v>
      </c>
      <c r="G63"/>
    </row>
    <row r="64" spans="1:7" ht="15.6" x14ac:dyDescent="0.3">
      <c r="A64" s="43" t="s">
        <v>914</v>
      </c>
      <c r="B64" s="42" t="s">
        <v>2160</v>
      </c>
      <c r="C64" s="42" t="s">
        <v>2163</v>
      </c>
      <c r="D64" s="61">
        <v>2</v>
      </c>
      <c r="E64" s="62">
        <v>0</v>
      </c>
      <c r="F64" s="63">
        <v>2</v>
      </c>
      <c r="G64"/>
    </row>
    <row r="65" spans="1:7" ht="15.6" x14ac:dyDescent="0.3">
      <c r="A65" s="43" t="s">
        <v>914</v>
      </c>
      <c r="B65" s="42" t="s">
        <v>271</v>
      </c>
      <c r="C65" s="42" t="s">
        <v>1212</v>
      </c>
      <c r="D65" s="61">
        <v>1</v>
      </c>
      <c r="E65" s="62">
        <v>0</v>
      </c>
      <c r="F65" s="63">
        <v>1</v>
      </c>
      <c r="G65"/>
    </row>
    <row r="66" spans="1:7" ht="15.6" x14ac:dyDescent="0.3">
      <c r="A66" s="43" t="s">
        <v>914</v>
      </c>
      <c r="B66" s="42" t="s">
        <v>269</v>
      </c>
      <c r="C66" s="42" t="s">
        <v>1210</v>
      </c>
      <c r="D66" s="61">
        <v>1</v>
      </c>
      <c r="E66" s="62">
        <v>0</v>
      </c>
      <c r="F66" s="63">
        <v>1</v>
      </c>
      <c r="G66"/>
    </row>
    <row r="67" spans="1:7" ht="15.6" x14ac:dyDescent="0.3">
      <c r="A67" s="43" t="s">
        <v>914</v>
      </c>
      <c r="B67" s="42" t="s">
        <v>270</v>
      </c>
      <c r="C67" s="42" t="s">
        <v>1211</v>
      </c>
      <c r="D67" s="61">
        <v>1</v>
      </c>
      <c r="E67" s="62">
        <v>0</v>
      </c>
      <c r="F67" s="63">
        <v>1</v>
      </c>
      <c r="G67"/>
    </row>
    <row r="68" spans="1:7" ht="15.6" x14ac:dyDescent="0.3">
      <c r="A68" s="43" t="s">
        <v>914</v>
      </c>
      <c r="B68" s="42" t="s">
        <v>2343</v>
      </c>
      <c r="C68" s="42" t="s">
        <v>1285</v>
      </c>
      <c r="D68" s="61">
        <v>1</v>
      </c>
      <c r="E68" s="62">
        <v>0</v>
      </c>
      <c r="F68" s="63">
        <v>1</v>
      </c>
      <c r="G68"/>
    </row>
    <row r="69" spans="1:7" ht="15.6" x14ac:dyDescent="0.3">
      <c r="A69" s="43" t="s">
        <v>914</v>
      </c>
      <c r="B69" s="42" t="s">
        <v>2342</v>
      </c>
      <c r="C69" s="42" t="s">
        <v>1209</v>
      </c>
      <c r="D69" s="61">
        <v>1</v>
      </c>
      <c r="E69" s="62">
        <v>0</v>
      </c>
      <c r="F69" s="63">
        <v>1</v>
      </c>
      <c r="G69"/>
    </row>
    <row r="70" spans="1:7" ht="15.6" x14ac:dyDescent="0.3">
      <c r="A70" s="43" t="s">
        <v>914</v>
      </c>
      <c r="B70" s="42" t="s">
        <v>160</v>
      </c>
      <c r="C70" s="42" t="s">
        <v>1095</v>
      </c>
      <c r="D70" s="61">
        <v>1</v>
      </c>
      <c r="E70" s="62">
        <v>0</v>
      </c>
      <c r="F70" s="63">
        <v>1</v>
      </c>
      <c r="G70"/>
    </row>
    <row r="71" spans="1:7" ht="15.6" x14ac:dyDescent="0.3">
      <c r="A71" s="43" t="s">
        <v>914</v>
      </c>
      <c r="B71" s="42" t="s">
        <v>409</v>
      </c>
      <c r="C71" s="42" t="s">
        <v>1365</v>
      </c>
      <c r="D71" s="61">
        <v>1</v>
      </c>
      <c r="E71" s="62">
        <v>0</v>
      </c>
      <c r="F71" s="63">
        <v>1</v>
      </c>
      <c r="G71"/>
    </row>
    <row r="72" spans="1:7" ht="15.6" x14ac:dyDescent="0.3">
      <c r="A72" s="43" t="s">
        <v>914</v>
      </c>
      <c r="B72" s="42" t="s">
        <v>297</v>
      </c>
      <c r="C72" s="42" t="s">
        <v>1240</v>
      </c>
      <c r="D72" s="61">
        <v>4</v>
      </c>
      <c r="E72" s="62">
        <v>1</v>
      </c>
      <c r="F72" s="63">
        <v>3</v>
      </c>
      <c r="G72"/>
    </row>
    <row r="73" spans="1:7" ht="15.6" x14ac:dyDescent="0.3">
      <c r="A73" s="43" t="s">
        <v>914</v>
      </c>
      <c r="B73" s="42" t="s">
        <v>836</v>
      </c>
      <c r="C73" s="42" t="s">
        <v>1827</v>
      </c>
      <c r="D73" s="61">
        <v>1</v>
      </c>
      <c r="E73" s="62">
        <v>0</v>
      </c>
      <c r="F73" s="63">
        <v>1</v>
      </c>
      <c r="G73"/>
    </row>
    <row r="74" spans="1:7" ht="15.6" x14ac:dyDescent="0.3">
      <c r="A74" s="43" t="s">
        <v>914</v>
      </c>
      <c r="B74" s="42" t="s">
        <v>556</v>
      </c>
      <c r="C74" s="42" t="s">
        <v>1520</v>
      </c>
      <c r="D74" s="61">
        <v>2</v>
      </c>
      <c r="E74" s="62">
        <v>0</v>
      </c>
      <c r="F74" s="63">
        <v>2</v>
      </c>
      <c r="G74"/>
    </row>
    <row r="75" spans="1:7" ht="15.6" x14ac:dyDescent="0.3">
      <c r="A75" s="43" t="s">
        <v>914</v>
      </c>
      <c r="B75" s="42" t="s">
        <v>2498</v>
      </c>
      <c r="C75" s="42" t="s">
        <v>1788</v>
      </c>
      <c r="D75" s="61">
        <v>1</v>
      </c>
      <c r="E75" s="62">
        <v>0</v>
      </c>
      <c r="F75" s="63">
        <v>1</v>
      </c>
      <c r="G75"/>
    </row>
    <row r="76" spans="1:7" ht="15.6" x14ac:dyDescent="0.3">
      <c r="A76" s="43" t="s">
        <v>914</v>
      </c>
      <c r="B76" s="42" t="s">
        <v>371</v>
      </c>
      <c r="C76" s="42" t="s">
        <v>1321</v>
      </c>
      <c r="D76" s="61">
        <v>1</v>
      </c>
      <c r="E76" s="62">
        <v>0</v>
      </c>
      <c r="F76" s="63">
        <v>1</v>
      </c>
      <c r="G76"/>
    </row>
    <row r="77" spans="1:7" ht="15.6" x14ac:dyDescent="0.3">
      <c r="A77" s="43" t="s">
        <v>914</v>
      </c>
      <c r="B77" s="42" t="s">
        <v>696</v>
      </c>
      <c r="C77" s="42" t="s">
        <v>1668</v>
      </c>
      <c r="D77" s="61">
        <v>1</v>
      </c>
      <c r="E77" s="62">
        <v>0</v>
      </c>
      <c r="F77" s="63">
        <v>1</v>
      </c>
      <c r="G77"/>
    </row>
    <row r="78" spans="1:7" ht="15.6" x14ac:dyDescent="0.3">
      <c r="A78" s="43" t="s">
        <v>914</v>
      </c>
      <c r="B78" s="42" t="s">
        <v>2489</v>
      </c>
      <c r="C78" s="42" t="s">
        <v>1682</v>
      </c>
      <c r="D78" s="61">
        <v>2</v>
      </c>
      <c r="E78" s="62">
        <v>0</v>
      </c>
      <c r="F78" s="63">
        <v>2</v>
      </c>
      <c r="G78"/>
    </row>
    <row r="79" spans="1:7" ht="15.6" x14ac:dyDescent="0.3">
      <c r="A79" s="43" t="s">
        <v>914</v>
      </c>
      <c r="B79" s="42" t="s">
        <v>2037</v>
      </c>
      <c r="C79" s="42" t="s">
        <v>2041</v>
      </c>
      <c r="D79" s="61">
        <v>37</v>
      </c>
      <c r="E79" s="62">
        <v>0</v>
      </c>
      <c r="F79" s="63">
        <v>37</v>
      </c>
      <c r="G79"/>
    </row>
    <row r="80" spans="1:7" ht="15.6" x14ac:dyDescent="0.3">
      <c r="A80" s="43" t="s">
        <v>914</v>
      </c>
      <c r="B80" s="42" t="s">
        <v>1965</v>
      </c>
      <c r="C80" s="42" t="s">
        <v>1978</v>
      </c>
      <c r="D80" s="61">
        <v>10</v>
      </c>
      <c r="E80" s="62">
        <v>8</v>
      </c>
      <c r="F80" s="63">
        <v>2</v>
      </c>
      <c r="G80"/>
    </row>
    <row r="81" spans="1:7" ht="15.6" x14ac:dyDescent="0.3">
      <c r="A81" s="43" t="s">
        <v>914</v>
      </c>
      <c r="B81" s="42" t="s">
        <v>2036</v>
      </c>
      <c r="C81" s="42" t="s">
        <v>2056</v>
      </c>
      <c r="D81" s="61">
        <v>2</v>
      </c>
      <c r="E81" s="62">
        <v>0</v>
      </c>
      <c r="F81" s="63">
        <v>2</v>
      </c>
      <c r="G81"/>
    </row>
    <row r="82" spans="1:7" ht="15.6" x14ac:dyDescent="0.3">
      <c r="A82" s="43" t="s">
        <v>914</v>
      </c>
      <c r="B82" s="42" t="s">
        <v>1966</v>
      </c>
      <c r="C82" s="42" t="s">
        <v>1979</v>
      </c>
      <c r="D82" s="61">
        <v>10</v>
      </c>
      <c r="E82" s="62">
        <v>6</v>
      </c>
      <c r="F82" s="63">
        <v>4</v>
      </c>
      <c r="G82"/>
    </row>
    <row r="83" spans="1:7" ht="15.6" x14ac:dyDescent="0.3">
      <c r="A83" s="43" t="s">
        <v>914</v>
      </c>
      <c r="B83" s="42" t="s">
        <v>2025</v>
      </c>
      <c r="C83" s="42" t="s">
        <v>2042</v>
      </c>
      <c r="D83" s="61">
        <v>13</v>
      </c>
      <c r="E83" s="62">
        <v>0</v>
      </c>
      <c r="F83" s="63">
        <v>13</v>
      </c>
      <c r="G83"/>
    </row>
    <row r="84" spans="1:7" ht="15.6" x14ac:dyDescent="0.3">
      <c r="A84" s="43" t="s">
        <v>914</v>
      </c>
      <c r="B84" s="42" t="s">
        <v>683</v>
      </c>
      <c r="C84" s="42" t="s">
        <v>1653</v>
      </c>
      <c r="D84" s="61">
        <v>1</v>
      </c>
      <c r="E84" s="62">
        <v>0</v>
      </c>
      <c r="F84" s="63">
        <v>1</v>
      </c>
      <c r="G84"/>
    </row>
    <row r="85" spans="1:7" ht="15.6" x14ac:dyDescent="0.3">
      <c r="A85" s="43" t="s">
        <v>914</v>
      </c>
      <c r="B85" s="42" t="s">
        <v>2484</v>
      </c>
      <c r="C85" s="42" t="s">
        <v>1580</v>
      </c>
      <c r="D85" s="61">
        <v>5</v>
      </c>
      <c r="E85" s="62">
        <v>1</v>
      </c>
      <c r="F85" s="63">
        <v>4</v>
      </c>
      <c r="G85"/>
    </row>
    <row r="86" spans="1:7" ht="15.6" x14ac:dyDescent="0.3">
      <c r="A86" s="43" t="s">
        <v>914</v>
      </c>
      <c r="B86" s="42" t="s">
        <v>384</v>
      </c>
      <c r="C86" s="42" t="s">
        <v>1336</v>
      </c>
      <c r="D86" s="61">
        <v>1</v>
      </c>
      <c r="E86" s="62">
        <v>0</v>
      </c>
      <c r="F86" s="63">
        <v>1</v>
      </c>
      <c r="G86"/>
    </row>
    <row r="87" spans="1:7" ht="15.6" x14ac:dyDescent="0.3">
      <c r="A87" s="43" t="s">
        <v>914</v>
      </c>
      <c r="B87" s="42" t="s">
        <v>97</v>
      </c>
      <c r="C87" s="42" t="s">
        <v>1026</v>
      </c>
      <c r="D87" s="61">
        <v>3</v>
      </c>
      <c r="E87" s="62">
        <v>0</v>
      </c>
      <c r="F87" s="63">
        <v>3</v>
      </c>
      <c r="G87"/>
    </row>
    <row r="88" spans="1:7" ht="15.6" x14ac:dyDescent="0.3">
      <c r="A88" s="43" t="s">
        <v>914</v>
      </c>
      <c r="B88" s="42" t="s">
        <v>774</v>
      </c>
      <c r="C88" s="42" t="s">
        <v>1754</v>
      </c>
      <c r="D88" s="61">
        <v>2</v>
      </c>
      <c r="E88" s="62">
        <v>0</v>
      </c>
      <c r="F88" s="63">
        <v>2</v>
      </c>
      <c r="G88"/>
    </row>
    <row r="89" spans="1:7" ht="15.6" x14ac:dyDescent="0.3">
      <c r="A89" s="43" t="s">
        <v>914</v>
      </c>
      <c r="B89" s="42" t="s">
        <v>771</v>
      </c>
      <c r="C89" s="42" t="s">
        <v>1750</v>
      </c>
      <c r="D89" s="61">
        <v>3</v>
      </c>
      <c r="E89" s="62">
        <v>0</v>
      </c>
      <c r="F89" s="63">
        <v>3</v>
      </c>
      <c r="G89"/>
    </row>
    <row r="90" spans="1:7" ht="15.6" x14ac:dyDescent="0.3">
      <c r="A90" s="43" t="s">
        <v>914</v>
      </c>
      <c r="B90" s="42" t="s">
        <v>773</v>
      </c>
      <c r="C90" s="42" t="s">
        <v>1753</v>
      </c>
      <c r="D90" s="61">
        <v>1</v>
      </c>
      <c r="E90" s="62">
        <v>0</v>
      </c>
      <c r="F90" s="63">
        <v>1</v>
      </c>
      <c r="G90"/>
    </row>
    <row r="91" spans="1:7" ht="15.6" x14ac:dyDescent="0.3">
      <c r="A91" s="43" t="s">
        <v>914</v>
      </c>
      <c r="B91" s="42" t="s">
        <v>99</v>
      </c>
      <c r="C91" s="42" t="s">
        <v>1028</v>
      </c>
      <c r="D91" s="61">
        <v>2</v>
      </c>
      <c r="E91" s="62">
        <v>0</v>
      </c>
      <c r="F91" s="63">
        <v>2</v>
      </c>
      <c r="G91"/>
    </row>
    <row r="92" spans="1:7" ht="15.6" x14ac:dyDescent="0.3">
      <c r="A92" s="43" t="s">
        <v>914</v>
      </c>
      <c r="B92" s="42" t="s">
        <v>776</v>
      </c>
      <c r="C92" s="42" t="s">
        <v>1756</v>
      </c>
      <c r="D92" s="61">
        <v>1</v>
      </c>
      <c r="E92" s="62">
        <v>0</v>
      </c>
      <c r="F92" s="63">
        <v>1</v>
      </c>
      <c r="G92"/>
    </row>
    <row r="93" spans="1:7" ht="15.6" x14ac:dyDescent="0.3">
      <c r="A93" s="43" t="s">
        <v>914</v>
      </c>
      <c r="B93" s="42" t="s">
        <v>94</v>
      </c>
      <c r="C93" s="42" t="s">
        <v>1023</v>
      </c>
      <c r="D93" s="61">
        <v>7</v>
      </c>
      <c r="E93" s="62">
        <v>0</v>
      </c>
      <c r="F93" s="63">
        <v>7</v>
      </c>
      <c r="G93"/>
    </row>
    <row r="94" spans="1:7" ht="15.6" x14ac:dyDescent="0.3">
      <c r="A94" s="43" t="s">
        <v>914</v>
      </c>
      <c r="B94" s="42" t="s">
        <v>101</v>
      </c>
      <c r="C94" s="42" t="s">
        <v>1030</v>
      </c>
      <c r="D94" s="61">
        <v>4</v>
      </c>
      <c r="E94" s="62">
        <v>0</v>
      </c>
      <c r="F94" s="63">
        <v>4</v>
      </c>
      <c r="G94"/>
    </row>
    <row r="95" spans="1:7" ht="15.6" x14ac:dyDescent="0.3">
      <c r="A95" s="43" t="s">
        <v>914</v>
      </c>
      <c r="B95" s="42" t="s">
        <v>2499</v>
      </c>
      <c r="C95" s="42" t="s">
        <v>1790</v>
      </c>
      <c r="D95" s="61">
        <v>3</v>
      </c>
      <c r="E95" s="62">
        <v>0</v>
      </c>
      <c r="F95" s="63">
        <v>3</v>
      </c>
      <c r="G95"/>
    </row>
    <row r="96" spans="1:7" ht="15.6" x14ac:dyDescent="0.3">
      <c r="A96" s="43" t="s">
        <v>914</v>
      </c>
      <c r="B96" s="42" t="s">
        <v>532</v>
      </c>
      <c r="C96" s="42" t="s">
        <v>1494</v>
      </c>
      <c r="D96" s="61">
        <v>1</v>
      </c>
      <c r="E96" s="62">
        <v>0</v>
      </c>
      <c r="F96" s="63">
        <v>1</v>
      </c>
      <c r="G96"/>
    </row>
    <row r="97" spans="1:7" ht="15.6" x14ac:dyDescent="0.3">
      <c r="A97" s="43" t="s">
        <v>914</v>
      </c>
      <c r="B97" s="42" t="s">
        <v>648</v>
      </c>
      <c r="C97" s="42" t="s">
        <v>1616</v>
      </c>
      <c r="D97" s="61">
        <v>1</v>
      </c>
      <c r="E97" s="62">
        <v>0</v>
      </c>
      <c r="F97" s="63">
        <v>1</v>
      </c>
      <c r="G97"/>
    </row>
    <row r="98" spans="1:7" ht="15.6" x14ac:dyDescent="0.3">
      <c r="A98" s="43" t="s">
        <v>914</v>
      </c>
      <c r="B98" s="42" t="s">
        <v>647</v>
      </c>
      <c r="C98" s="42" t="s">
        <v>1615</v>
      </c>
      <c r="D98" s="61">
        <v>1</v>
      </c>
      <c r="E98" s="62">
        <v>0</v>
      </c>
      <c r="F98" s="63">
        <v>1</v>
      </c>
      <c r="G98"/>
    </row>
    <row r="99" spans="1:7" ht="15.6" x14ac:dyDescent="0.3">
      <c r="A99" s="43" t="s">
        <v>914</v>
      </c>
      <c r="B99" s="42" t="s">
        <v>531</v>
      </c>
      <c r="C99" s="42" t="s">
        <v>1493</v>
      </c>
      <c r="D99" s="61">
        <v>1</v>
      </c>
      <c r="E99" s="62">
        <v>0</v>
      </c>
      <c r="F99" s="63">
        <v>1</v>
      </c>
      <c r="G99"/>
    </row>
    <row r="100" spans="1:7" ht="15.6" x14ac:dyDescent="0.3">
      <c r="A100" s="43" t="s">
        <v>914</v>
      </c>
      <c r="B100" s="42" t="s">
        <v>231</v>
      </c>
      <c r="C100" s="42" t="s">
        <v>1170</v>
      </c>
      <c r="D100" s="61">
        <v>1</v>
      </c>
      <c r="E100" s="62">
        <v>0</v>
      </c>
      <c r="F100" s="63">
        <v>1</v>
      </c>
      <c r="G100"/>
    </row>
    <row r="101" spans="1:7" ht="15.6" x14ac:dyDescent="0.3">
      <c r="A101" s="43" t="s">
        <v>914</v>
      </c>
      <c r="B101" s="42" t="s">
        <v>654</v>
      </c>
      <c r="C101" s="42" t="s">
        <v>1623</v>
      </c>
      <c r="D101" s="61">
        <v>1</v>
      </c>
      <c r="E101" s="62">
        <v>0</v>
      </c>
      <c r="F101" s="63">
        <v>1</v>
      </c>
      <c r="G101"/>
    </row>
    <row r="102" spans="1:7" ht="15.6" x14ac:dyDescent="0.3">
      <c r="A102" s="43" t="s">
        <v>914</v>
      </c>
      <c r="B102" s="42" t="s">
        <v>232</v>
      </c>
      <c r="C102" s="42" t="s">
        <v>1171</v>
      </c>
      <c r="D102" s="61">
        <v>8</v>
      </c>
      <c r="E102" s="62">
        <v>0</v>
      </c>
      <c r="F102" s="63">
        <v>8</v>
      </c>
      <c r="G102"/>
    </row>
    <row r="103" spans="1:7" ht="15.6" x14ac:dyDescent="0.3">
      <c r="A103" s="43" t="s">
        <v>914</v>
      </c>
      <c r="B103" s="42" t="s">
        <v>224</v>
      </c>
      <c r="C103" s="42" t="s">
        <v>1163</v>
      </c>
      <c r="D103" s="61">
        <v>1</v>
      </c>
      <c r="E103" s="62">
        <v>0</v>
      </c>
      <c r="F103" s="63">
        <v>1</v>
      </c>
      <c r="G103"/>
    </row>
    <row r="104" spans="1:7" ht="15.6" x14ac:dyDescent="0.3">
      <c r="A104" s="43" t="s">
        <v>914</v>
      </c>
      <c r="B104" s="42" t="s">
        <v>2345</v>
      </c>
      <c r="C104" s="42" t="s">
        <v>1786</v>
      </c>
      <c r="D104" s="61">
        <v>1</v>
      </c>
      <c r="E104" s="62">
        <v>0</v>
      </c>
      <c r="F104" s="63">
        <v>1</v>
      </c>
      <c r="G104"/>
    </row>
    <row r="105" spans="1:7" ht="15.6" x14ac:dyDescent="0.3">
      <c r="A105" s="43" t="s">
        <v>914</v>
      </c>
      <c r="B105" s="42" t="s">
        <v>2344</v>
      </c>
      <c r="C105" s="42" t="s">
        <v>1340</v>
      </c>
      <c r="D105" s="61">
        <v>1</v>
      </c>
      <c r="E105" s="62">
        <v>0</v>
      </c>
      <c r="F105" s="63">
        <v>1</v>
      </c>
      <c r="G105"/>
    </row>
    <row r="106" spans="1:7" ht="15.6" x14ac:dyDescent="0.3">
      <c r="A106" s="43" t="s">
        <v>914</v>
      </c>
      <c r="B106" s="42" t="s">
        <v>506</v>
      </c>
      <c r="C106" s="42" t="s">
        <v>1468</v>
      </c>
      <c r="D106" s="61">
        <v>1</v>
      </c>
      <c r="E106" s="62">
        <v>0</v>
      </c>
      <c r="F106" s="63">
        <v>1</v>
      </c>
      <c r="G106"/>
    </row>
    <row r="107" spans="1:7" ht="15.6" x14ac:dyDescent="0.3">
      <c r="A107" s="43" t="s">
        <v>914</v>
      </c>
      <c r="B107" s="42" t="s">
        <v>223</v>
      </c>
      <c r="C107" s="42" t="s">
        <v>1162</v>
      </c>
      <c r="D107" s="61">
        <v>2</v>
      </c>
      <c r="E107" s="62">
        <v>0</v>
      </c>
      <c r="F107" s="63">
        <v>2</v>
      </c>
      <c r="G107"/>
    </row>
    <row r="108" spans="1:7" ht="15.6" x14ac:dyDescent="0.3">
      <c r="A108" s="43" t="s">
        <v>914</v>
      </c>
      <c r="B108" s="42" t="s">
        <v>529</v>
      </c>
      <c r="C108" s="42" t="s">
        <v>1491</v>
      </c>
      <c r="D108" s="61">
        <v>2</v>
      </c>
      <c r="E108" s="62">
        <v>0</v>
      </c>
      <c r="F108" s="63">
        <v>2</v>
      </c>
      <c r="G108"/>
    </row>
    <row r="109" spans="1:7" ht="15.6" x14ac:dyDescent="0.3">
      <c r="A109" s="43" t="s">
        <v>914</v>
      </c>
      <c r="B109" s="42" t="s">
        <v>383</v>
      </c>
      <c r="C109" s="42" t="s">
        <v>1334</v>
      </c>
      <c r="D109" s="61">
        <v>1</v>
      </c>
      <c r="E109" s="62">
        <v>0</v>
      </c>
      <c r="F109" s="63">
        <v>1</v>
      </c>
      <c r="G109"/>
    </row>
    <row r="110" spans="1:7" ht="15.6" x14ac:dyDescent="0.3">
      <c r="A110" s="43" t="s">
        <v>914</v>
      </c>
      <c r="B110" s="42" t="s">
        <v>495</v>
      </c>
      <c r="C110" s="42" t="s">
        <v>1457</v>
      </c>
      <c r="D110" s="61">
        <v>2</v>
      </c>
      <c r="E110" s="62">
        <v>0</v>
      </c>
      <c r="F110" s="63">
        <v>2</v>
      </c>
      <c r="G110"/>
    </row>
    <row r="111" spans="1:7" ht="15.6" x14ac:dyDescent="0.3">
      <c r="A111" s="43" t="s">
        <v>914</v>
      </c>
      <c r="B111" s="42" t="s">
        <v>372</v>
      </c>
      <c r="C111" s="42" t="s">
        <v>1322</v>
      </c>
      <c r="D111" s="61">
        <v>1</v>
      </c>
      <c r="E111" s="62">
        <v>0</v>
      </c>
      <c r="F111" s="63">
        <v>1</v>
      </c>
      <c r="G111"/>
    </row>
    <row r="112" spans="1:7" ht="15.6" x14ac:dyDescent="0.3">
      <c r="A112" s="43" t="s">
        <v>914</v>
      </c>
      <c r="B112" s="42" t="s">
        <v>373</v>
      </c>
      <c r="C112" s="42" t="s">
        <v>1323</v>
      </c>
      <c r="D112" s="61">
        <v>2</v>
      </c>
      <c r="E112" s="62">
        <v>0</v>
      </c>
      <c r="F112" s="63">
        <v>2</v>
      </c>
      <c r="G112"/>
    </row>
    <row r="113" spans="1:7" ht="15.6" x14ac:dyDescent="0.3">
      <c r="A113" s="43" t="s">
        <v>914</v>
      </c>
      <c r="B113" s="42" t="s">
        <v>499</v>
      </c>
      <c r="C113" s="42" t="s">
        <v>1461</v>
      </c>
      <c r="D113" s="61">
        <v>1</v>
      </c>
      <c r="E113" s="62">
        <v>0</v>
      </c>
      <c r="F113" s="63">
        <v>1</v>
      </c>
      <c r="G113"/>
    </row>
    <row r="114" spans="1:7" ht="15.6" x14ac:dyDescent="0.3">
      <c r="A114" s="43" t="s">
        <v>914</v>
      </c>
      <c r="B114" s="42" t="s">
        <v>496</v>
      </c>
      <c r="C114" s="42" t="s">
        <v>1458</v>
      </c>
      <c r="D114" s="61">
        <v>1</v>
      </c>
      <c r="E114" s="62">
        <v>0</v>
      </c>
      <c r="F114" s="63">
        <v>1</v>
      </c>
      <c r="G114"/>
    </row>
    <row r="115" spans="1:7" ht="15.6" x14ac:dyDescent="0.3">
      <c r="A115" s="43" t="s">
        <v>914</v>
      </c>
      <c r="B115" s="42" t="s">
        <v>667</v>
      </c>
      <c r="C115" s="42" t="s">
        <v>1636</v>
      </c>
      <c r="D115" s="61">
        <v>1</v>
      </c>
      <c r="E115" s="62">
        <v>0</v>
      </c>
      <c r="F115" s="63">
        <v>1</v>
      </c>
      <c r="G115"/>
    </row>
    <row r="116" spans="1:7" ht="15.6" x14ac:dyDescent="0.3">
      <c r="A116" s="43" t="s">
        <v>914</v>
      </c>
      <c r="B116" s="42" t="s">
        <v>668</v>
      </c>
      <c r="C116" s="42" t="s">
        <v>1637</v>
      </c>
      <c r="D116" s="61">
        <v>1</v>
      </c>
      <c r="E116" s="62">
        <v>0</v>
      </c>
      <c r="F116" s="63">
        <v>1</v>
      </c>
      <c r="G116"/>
    </row>
    <row r="117" spans="1:7" ht="15.6" x14ac:dyDescent="0.3">
      <c r="A117" s="43" t="s">
        <v>914</v>
      </c>
      <c r="B117" s="42" t="s">
        <v>642</v>
      </c>
      <c r="C117" s="42" t="s">
        <v>1610</v>
      </c>
      <c r="D117" s="61">
        <v>5</v>
      </c>
      <c r="E117" s="62">
        <v>0</v>
      </c>
      <c r="F117" s="63">
        <v>5</v>
      </c>
      <c r="G117"/>
    </row>
    <row r="118" spans="1:7" ht="15.6" x14ac:dyDescent="0.3">
      <c r="A118" s="43" t="s">
        <v>914</v>
      </c>
      <c r="B118" s="42" t="s">
        <v>500</v>
      </c>
      <c r="C118" s="42" t="s">
        <v>1462</v>
      </c>
      <c r="D118" s="61">
        <v>1</v>
      </c>
      <c r="E118" s="62">
        <v>0</v>
      </c>
      <c r="F118" s="63">
        <v>1</v>
      </c>
      <c r="G118"/>
    </row>
    <row r="119" spans="1:7" ht="15.6" x14ac:dyDescent="0.3">
      <c r="A119" s="43" t="s">
        <v>914</v>
      </c>
      <c r="B119" s="42" t="s">
        <v>365</v>
      </c>
      <c r="C119" s="42" t="s">
        <v>1315</v>
      </c>
      <c r="D119" s="61">
        <v>6</v>
      </c>
      <c r="E119" s="62">
        <v>0</v>
      </c>
      <c r="F119" s="63">
        <v>6</v>
      </c>
      <c r="G119"/>
    </row>
    <row r="120" spans="1:7" ht="15.6" x14ac:dyDescent="0.3">
      <c r="A120" s="43" t="s">
        <v>914</v>
      </c>
      <c r="B120" s="42" t="s">
        <v>188</v>
      </c>
      <c r="C120" s="42" t="s">
        <v>1125</v>
      </c>
      <c r="D120" s="61">
        <v>1</v>
      </c>
      <c r="E120" s="62">
        <v>0</v>
      </c>
      <c r="F120" s="63">
        <v>1</v>
      </c>
      <c r="G120"/>
    </row>
    <row r="121" spans="1:7" ht="15.6" x14ac:dyDescent="0.3">
      <c r="A121" s="43" t="s">
        <v>914</v>
      </c>
      <c r="B121" s="42" t="s">
        <v>187</v>
      </c>
      <c r="C121" s="42" t="s">
        <v>1124</v>
      </c>
      <c r="D121" s="61">
        <v>1</v>
      </c>
      <c r="E121" s="62">
        <v>0</v>
      </c>
      <c r="F121" s="63">
        <v>1</v>
      </c>
      <c r="G121"/>
    </row>
    <row r="122" spans="1:7" ht="15.6" x14ac:dyDescent="0.3">
      <c r="A122" s="43" t="s">
        <v>914</v>
      </c>
      <c r="B122" s="42" t="s">
        <v>118</v>
      </c>
      <c r="C122" s="42" t="s">
        <v>1052</v>
      </c>
      <c r="D122" s="61">
        <v>1</v>
      </c>
      <c r="E122" s="62">
        <v>0</v>
      </c>
      <c r="F122" s="63">
        <v>1</v>
      </c>
      <c r="G122"/>
    </row>
    <row r="123" spans="1:7" ht="15.6" x14ac:dyDescent="0.3">
      <c r="A123" s="43" t="s">
        <v>914</v>
      </c>
      <c r="B123" s="42" t="s">
        <v>2031</v>
      </c>
      <c r="C123" s="42" t="s">
        <v>2049</v>
      </c>
      <c r="D123" s="61">
        <v>1</v>
      </c>
      <c r="E123" s="62">
        <v>0</v>
      </c>
      <c r="F123" s="63">
        <v>1</v>
      </c>
      <c r="G123"/>
    </row>
    <row r="124" spans="1:7" ht="15.6" x14ac:dyDescent="0.3">
      <c r="A124" s="43" t="s">
        <v>914</v>
      </c>
      <c r="B124" s="42" t="s">
        <v>593</v>
      </c>
      <c r="C124" s="42" t="s">
        <v>1556</v>
      </c>
      <c r="D124" s="61">
        <v>29</v>
      </c>
      <c r="E124" s="62">
        <v>20</v>
      </c>
      <c r="F124" s="63">
        <v>9</v>
      </c>
      <c r="G124"/>
    </row>
    <row r="125" spans="1:7" ht="15.6" x14ac:dyDescent="0.3">
      <c r="A125" s="43" t="s">
        <v>914</v>
      </c>
      <c r="B125" s="42" t="s">
        <v>298</v>
      </c>
      <c r="C125" s="42" t="s">
        <v>1241</v>
      </c>
      <c r="D125" s="61">
        <v>1</v>
      </c>
      <c r="E125" s="62">
        <v>0</v>
      </c>
      <c r="F125" s="63">
        <v>1</v>
      </c>
      <c r="G125"/>
    </row>
    <row r="126" spans="1:7" ht="15.6" x14ac:dyDescent="0.3">
      <c r="A126" s="43" t="s">
        <v>914</v>
      </c>
      <c r="B126" s="42" t="s">
        <v>801</v>
      </c>
      <c r="C126" s="42" t="s">
        <v>1784</v>
      </c>
      <c r="D126" s="61">
        <v>1</v>
      </c>
      <c r="E126" s="62">
        <v>0</v>
      </c>
      <c r="F126" s="63">
        <v>1</v>
      </c>
      <c r="G126"/>
    </row>
    <row r="127" spans="1:7" ht="15.6" x14ac:dyDescent="0.3">
      <c r="A127" s="43" t="s">
        <v>914</v>
      </c>
      <c r="B127" s="42" t="s">
        <v>1999</v>
      </c>
      <c r="C127" s="42" t="s">
        <v>2007</v>
      </c>
      <c r="D127" s="61">
        <v>6</v>
      </c>
      <c r="E127" s="62">
        <v>0</v>
      </c>
      <c r="F127" s="63">
        <v>6</v>
      </c>
      <c r="G127"/>
    </row>
    <row r="128" spans="1:7" ht="15.6" x14ac:dyDescent="0.3">
      <c r="A128" s="43" t="s">
        <v>914</v>
      </c>
      <c r="B128" s="42" t="s">
        <v>2030</v>
      </c>
      <c r="C128" s="42" t="s">
        <v>2048</v>
      </c>
      <c r="D128" s="61">
        <v>26</v>
      </c>
      <c r="E128" s="62">
        <v>1</v>
      </c>
      <c r="F128" s="63">
        <v>25</v>
      </c>
      <c r="G128"/>
    </row>
    <row r="129" spans="1:7" ht="15.6" x14ac:dyDescent="0.3">
      <c r="A129" s="43" t="s">
        <v>914</v>
      </c>
      <c r="B129" s="42" t="s">
        <v>437</v>
      </c>
      <c r="C129" s="42" t="s">
        <v>1394</v>
      </c>
      <c r="D129" s="61">
        <v>4</v>
      </c>
      <c r="E129" s="62">
        <v>0</v>
      </c>
      <c r="F129" s="63">
        <v>4</v>
      </c>
      <c r="G129"/>
    </row>
    <row r="130" spans="1:7" ht="15.6" x14ac:dyDescent="0.3">
      <c r="A130" s="43" t="s">
        <v>914</v>
      </c>
      <c r="B130" s="42" t="s">
        <v>724</v>
      </c>
      <c r="C130" s="42" t="s">
        <v>1701</v>
      </c>
      <c r="D130" s="61">
        <v>1</v>
      </c>
      <c r="E130" s="62">
        <v>0</v>
      </c>
      <c r="F130" s="63">
        <v>1</v>
      </c>
      <c r="G130"/>
    </row>
    <row r="131" spans="1:7" ht="15.6" x14ac:dyDescent="0.3">
      <c r="A131" s="43" t="s">
        <v>914</v>
      </c>
      <c r="B131" s="42" t="s">
        <v>2460</v>
      </c>
      <c r="C131" s="42" t="s">
        <v>1037</v>
      </c>
      <c r="D131" s="61">
        <v>4</v>
      </c>
      <c r="E131" s="62">
        <v>0</v>
      </c>
      <c r="F131" s="63">
        <v>4</v>
      </c>
      <c r="G131"/>
    </row>
    <row r="132" spans="1:7" ht="15.6" x14ac:dyDescent="0.3">
      <c r="A132" s="43" t="s">
        <v>914</v>
      </c>
      <c r="B132" s="42" t="s">
        <v>2459</v>
      </c>
      <c r="C132" s="42" t="s">
        <v>1036</v>
      </c>
      <c r="D132" s="61">
        <v>2</v>
      </c>
      <c r="E132" s="62">
        <v>0</v>
      </c>
      <c r="F132" s="63">
        <v>2</v>
      </c>
      <c r="G132"/>
    </row>
    <row r="133" spans="1:7" ht="15.6" x14ac:dyDescent="0.3">
      <c r="A133" s="43" t="s">
        <v>914</v>
      </c>
      <c r="B133" s="42" t="s">
        <v>386</v>
      </c>
      <c r="C133" s="42" t="s">
        <v>1338</v>
      </c>
      <c r="D133" s="61">
        <v>1</v>
      </c>
      <c r="E133" s="62">
        <v>0</v>
      </c>
      <c r="F133" s="63">
        <v>1</v>
      </c>
      <c r="G133"/>
    </row>
    <row r="134" spans="1:7" ht="15.6" x14ac:dyDescent="0.3">
      <c r="A134" s="43" t="s">
        <v>914</v>
      </c>
      <c r="B134" s="42" t="s">
        <v>387</v>
      </c>
      <c r="C134" s="42" t="s">
        <v>1339</v>
      </c>
      <c r="D134" s="61">
        <v>1</v>
      </c>
      <c r="E134" s="62">
        <v>0</v>
      </c>
      <c r="F134" s="63">
        <v>1</v>
      </c>
      <c r="G134"/>
    </row>
    <row r="135" spans="1:7" ht="15.6" x14ac:dyDescent="0.3">
      <c r="A135" s="43" t="s">
        <v>914</v>
      </c>
      <c r="B135" s="42" t="s">
        <v>803</v>
      </c>
      <c r="C135" s="42" t="s">
        <v>1789</v>
      </c>
      <c r="D135" s="61">
        <v>3</v>
      </c>
      <c r="E135" s="62">
        <v>0</v>
      </c>
      <c r="F135" s="63">
        <v>3</v>
      </c>
      <c r="G135"/>
    </row>
    <row r="136" spans="1:7" ht="15.6" x14ac:dyDescent="0.3">
      <c r="A136" s="43" t="s">
        <v>914</v>
      </c>
      <c r="B136" s="42" t="s">
        <v>388</v>
      </c>
      <c r="C136" s="42" t="s">
        <v>1341</v>
      </c>
      <c r="D136" s="61">
        <v>65</v>
      </c>
      <c r="E136" s="62">
        <v>0</v>
      </c>
      <c r="F136" s="63">
        <v>65</v>
      </c>
      <c r="G136"/>
    </row>
    <row r="137" spans="1:7" ht="15.6" x14ac:dyDescent="0.3">
      <c r="A137" s="43" t="s">
        <v>914</v>
      </c>
      <c r="B137" s="42" t="s">
        <v>457</v>
      </c>
      <c r="C137" s="42" t="s">
        <v>1414</v>
      </c>
      <c r="D137" s="61">
        <v>1</v>
      </c>
      <c r="E137" s="62">
        <v>0</v>
      </c>
      <c r="F137" s="63">
        <v>1</v>
      </c>
      <c r="G137"/>
    </row>
    <row r="138" spans="1:7" ht="15.6" x14ac:dyDescent="0.3">
      <c r="A138" s="43" t="s">
        <v>914</v>
      </c>
      <c r="B138" s="42" t="s">
        <v>697</v>
      </c>
      <c r="C138" s="42" t="s">
        <v>1669</v>
      </c>
      <c r="D138" s="61">
        <v>2</v>
      </c>
      <c r="E138" s="62">
        <v>0</v>
      </c>
      <c r="F138" s="63">
        <v>2</v>
      </c>
      <c r="G138"/>
    </row>
    <row r="139" spans="1:7" ht="15.6" x14ac:dyDescent="0.3">
      <c r="A139" s="43" t="s">
        <v>914</v>
      </c>
      <c r="B139" s="42" t="s">
        <v>131</v>
      </c>
      <c r="C139" s="42" t="s">
        <v>1065</v>
      </c>
      <c r="D139" s="61">
        <v>2</v>
      </c>
      <c r="E139" s="62">
        <v>0</v>
      </c>
      <c r="F139" s="63">
        <v>2</v>
      </c>
      <c r="G139"/>
    </row>
    <row r="140" spans="1:7" ht="15.6" x14ac:dyDescent="0.3">
      <c r="A140" s="43" t="s">
        <v>914</v>
      </c>
      <c r="B140" s="42" t="s">
        <v>715</v>
      </c>
      <c r="C140" s="42" t="s">
        <v>1692</v>
      </c>
      <c r="D140" s="61">
        <v>1</v>
      </c>
      <c r="E140" s="62">
        <v>0</v>
      </c>
      <c r="F140" s="63">
        <v>1</v>
      </c>
      <c r="G140"/>
    </row>
    <row r="141" spans="1:7" ht="15.6" x14ac:dyDescent="0.3">
      <c r="A141" s="43" t="s">
        <v>914</v>
      </c>
      <c r="B141" s="42" t="s">
        <v>259</v>
      </c>
      <c r="C141" s="42" t="s">
        <v>1198</v>
      </c>
      <c r="D141" s="61">
        <v>36</v>
      </c>
      <c r="E141" s="62">
        <v>0</v>
      </c>
      <c r="F141" s="63">
        <v>36</v>
      </c>
      <c r="G141"/>
    </row>
    <row r="142" spans="1:7" ht="15.6" x14ac:dyDescent="0.3">
      <c r="A142" s="43" t="s">
        <v>914</v>
      </c>
      <c r="B142" s="42" t="s">
        <v>423</v>
      </c>
      <c r="C142" s="42" t="s">
        <v>1380</v>
      </c>
      <c r="D142" s="61">
        <v>1</v>
      </c>
      <c r="E142" s="62">
        <v>0</v>
      </c>
      <c r="F142" s="63">
        <v>1</v>
      </c>
      <c r="G142"/>
    </row>
    <row r="143" spans="1:7" ht="15.6" x14ac:dyDescent="0.3">
      <c r="A143" s="43" t="s">
        <v>914</v>
      </c>
      <c r="B143" s="42" t="s">
        <v>344</v>
      </c>
      <c r="C143" s="42" t="s">
        <v>1293</v>
      </c>
      <c r="D143" s="61">
        <v>1</v>
      </c>
      <c r="E143" s="62">
        <v>0</v>
      </c>
      <c r="F143" s="63">
        <v>1</v>
      </c>
      <c r="G143"/>
    </row>
    <row r="144" spans="1:7" ht="15.6" x14ac:dyDescent="0.3">
      <c r="A144" s="43" t="s">
        <v>914</v>
      </c>
      <c r="B144" s="42" t="s">
        <v>81</v>
      </c>
      <c r="C144" s="42" t="s">
        <v>1010</v>
      </c>
      <c r="D144" s="61">
        <v>1</v>
      </c>
      <c r="E144" s="62">
        <v>0</v>
      </c>
      <c r="F144" s="63">
        <v>1</v>
      </c>
      <c r="G144"/>
    </row>
    <row r="145" spans="1:7" ht="15.6" x14ac:dyDescent="0.3">
      <c r="A145" s="43" t="s">
        <v>914</v>
      </c>
      <c r="B145" s="42" t="s">
        <v>876</v>
      </c>
      <c r="C145" s="42" t="s">
        <v>1873</v>
      </c>
      <c r="D145" s="61">
        <v>1</v>
      </c>
      <c r="E145" s="62">
        <v>0</v>
      </c>
      <c r="F145" s="63">
        <v>1</v>
      </c>
      <c r="G145"/>
    </row>
    <row r="146" spans="1:7" ht="15.6" x14ac:dyDescent="0.3">
      <c r="A146" s="43" t="s">
        <v>914</v>
      </c>
      <c r="B146" s="42" t="s">
        <v>168</v>
      </c>
      <c r="C146" s="42" t="s">
        <v>1103</v>
      </c>
      <c r="D146" s="61">
        <v>3</v>
      </c>
      <c r="E146" s="62">
        <v>0</v>
      </c>
      <c r="F146" s="63">
        <v>3</v>
      </c>
      <c r="G146"/>
    </row>
    <row r="147" spans="1:7" ht="15.6" x14ac:dyDescent="0.3">
      <c r="A147" s="43" t="s">
        <v>914</v>
      </c>
      <c r="B147" s="42" t="s">
        <v>838</v>
      </c>
      <c r="C147" s="42" t="s">
        <v>1829</v>
      </c>
      <c r="D147" s="61">
        <v>1</v>
      </c>
      <c r="E147" s="62">
        <v>0</v>
      </c>
      <c r="F147" s="63">
        <v>1</v>
      </c>
      <c r="G147"/>
    </row>
    <row r="148" spans="1:7" ht="15.6" x14ac:dyDescent="0.3">
      <c r="A148" s="43" t="s">
        <v>914</v>
      </c>
      <c r="B148" s="42" t="s">
        <v>2086</v>
      </c>
      <c r="C148" s="42" t="s">
        <v>2087</v>
      </c>
      <c r="D148" s="61">
        <v>2</v>
      </c>
      <c r="E148" s="62">
        <v>2</v>
      </c>
      <c r="F148" s="63">
        <v>0</v>
      </c>
      <c r="G148"/>
    </row>
    <row r="149" spans="1:7" ht="15.6" x14ac:dyDescent="0.3">
      <c r="A149" s="43" t="s">
        <v>914</v>
      </c>
      <c r="B149" s="42" t="s">
        <v>261</v>
      </c>
      <c r="C149" s="42" t="s">
        <v>1200</v>
      </c>
      <c r="D149" s="61">
        <v>7</v>
      </c>
      <c r="E149" s="62">
        <v>0</v>
      </c>
      <c r="F149" s="63">
        <v>7</v>
      </c>
      <c r="G149"/>
    </row>
    <row r="150" spans="1:7" ht="15.6" x14ac:dyDescent="0.3">
      <c r="A150" s="43" t="s">
        <v>914</v>
      </c>
      <c r="B150" s="42" t="s">
        <v>260</v>
      </c>
      <c r="C150" s="42" t="s">
        <v>1199</v>
      </c>
      <c r="D150" s="61">
        <v>1</v>
      </c>
      <c r="E150" s="62">
        <v>0</v>
      </c>
      <c r="F150" s="63">
        <v>1</v>
      </c>
      <c r="G150"/>
    </row>
    <row r="151" spans="1:7" ht="15.6" x14ac:dyDescent="0.3">
      <c r="A151" s="43" t="s">
        <v>914</v>
      </c>
      <c r="B151" s="42" t="s">
        <v>2029</v>
      </c>
      <c r="C151" s="42" t="s">
        <v>2046</v>
      </c>
      <c r="D151" s="61">
        <v>1</v>
      </c>
      <c r="E151" s="62">
        <v>0</v>
      </c>
      <c r="F151" s="63">
        <v>1</v>
      </c>
      <c r="G151"/>
    </row>
    <row r="152" spans="1:7" ht="15.6" x14ac:dyDescent="0.3">
      <c r="A152" s="43" t="s">
        <v>914</v>
      </c>
      <c r="B152" s="42" t="s">
        <v>2497</v>
      </c>
      <c r="C152" s="42" t="s">
        <v>1785</v>
      </c>
      <c r="D152" s="61">
        <v>9</v>
      </c>
      <c r="E152" s="62">
        <v>0</v>
      </c>
      <c r="F152" s="63">
        <v>9</v>
      </c>
      <c r="G152"/>
    </row>
    <row r="153" spans="1:7" ht="15.6" x14ac:dyDescent="0.3">
      <c r="A153" s="43" t="s">
        <v>914</v>
      </c>
      <c r="B153" s="42" t="s">
        <v>397</v>
      </c>
      <c r="C153" s="42" t="s">
        <v>1351</v>
      </c>
      <c r="D153" s="61">
        <v>2</v>
      </c>
      <c r="E153" s="62">
        <v>0</v>
      </c>
      <c r="F153" s="63">
        <v>2</v>
      </c>
      <c r="G153"/>
    </row>
    <row r="154" spans="1:7" ht="15.6" x14ac:dyDescent="0.3">
      <c r="A154" s="43" t="s">
        <v>914</v>
      </c>
      <c r="B154" s="42" t="s">
        <v>590</v>
      </c>
      <c r="C154" s="42" t="s">
        <v>1553</v>
      </c>
      <c r="D154" s="61">
        <v>6</v>
      </c>
      <c r="E154" s="62">
        <v>0</v>
      </c>
      <c r="F154" s="63">
        <v>6</v>
      </c>
      <c r="G154"/>
    </row>
    <row r="155" spans="1:7" ht="15.6" x14ac:dyDescent="0.3">
      <c r="A155" s="43" t="s">
        <v>914</v>
      </c>
      <c r="B155" s="42" t="s">
        <v>591</v>
      </c>
      <c r="C155" s="42" t="s">
        <v>1554</v>
      </c>
      <c r="D155" s="61">
        <v>1</v>
      </c>
      <c r="E155" s="62">
        <v>0</v>
      </c>
      <c r="F155" s="63">
        <v>1</v>
      </c>
      <c r="G155"/>
    </row>
    <row r="156" spans="1:7" ht="15.6" x14ac:dyDescent="0.3">
      <c r="A156" s="43" t="s">
        <v>914</v>
      </c>
      <c r="B156" s="42" t="s">
        <v>588</v>
      </c>
      <c r="C156" s="42" t="s">
        <v>1551</v>
      </c>
      <c r="D156" s="61">
        <v>9</v>
      </c>
      <c r="E156" s="62">
        <v>0</v>
      </c>
      <c r="F156" s="63">
        <v>9</v>
      </c>
      <c r="G156"/>
    </row>
    <row r="157" spans="1:7" ht="15.6" x14ac:dyDescent="0.3">
      <c r="A157" s="43" t="s">
        <v>914</v>
      </c>
      <c r="B157" s="42" t="s">
        <v>589</v>
      </c>
      <c r="C157" s="42" t="s">
        <v>1552</v>
      </c>
      <c r="D157" s="61">
        <v>5</v>
      </c>
      <c r="E157" s="62">
        <v>0</v>
      </c>
      <c r="F157" s="63">
        <v>5</v>
      </c>
      <c r="G157"/>
    </row>
    <row r="158" spans="1:7" ht="15.6" x14ac:dyDescent="0.3">
      <c r="A158" s="43" t="s">
        <v>914</v>
      </c>
      <c r="B158" s="42" t="s">
        <v>592</v>
      </c>
      <c r="C158" s="42" t="s">
        <v>1555</v>
      </c>
      <c r="D158" s="61">
        <v>2</v>
      </c>
      <c r="E158" s="62">
        <v>0</v>
      </c>
      <c r="F158" s="63">
        <v>2</v>
      </c>
      <c r="G158"/>
    </row>
    <row r="159" spans="1:7" ht="15.6" x14ac:dyDescent="0.3">
      <c r="A159" s="43" t="s">
        <v>914</v>
      </c>
      <c r="B159" s="42" t="s">
        <v>489</v>
      </c>
      <c r="C159" s="42" t="s">
        <v>1450</v>
      </c>
      <c r="D159" s="61">
        <v>1</v>
      </c>
      <c r="E159" s="62">
        <v>1</v>
      </c>
      <c r="F159" s="63">
        <v>0</v>
      </c>
      <c r="G159"/>
    </row>
    <row r="160" spans="1:7" ht="15.6" x14ac:dyDescent="0.3">
      <c r="A160" s="43" t="s">
        <v>914</v>
      </c>
      <c r="B160" s="42" t="s">
        <v>217</v>
      </c>
      <c r="C160" s="42" t="s">
        <v>1155</v>
      </c>
      <c r="D160" s="61">
        <v>3</v>
      </c>
      <c r="E160" s="62">
        <v>0</v>
      </c>
      <c r="F160" s="63">
        <v>3</v>
      </c>
      <c r="G160"/>
    </row>
    <row r="161" spans="1:7" ht="15.6" x14ac:dyDescent="0.3">
      <c r="A161" s="43" t="s">
        <v>914</v>
      </c>
      <c r="B161" s="42" t="s">
        <v>219</v>
      </c>
      <c r="C161" s="42" t="s">
        <v>1157</v>
      </c>
      <c r="D161" s="61">
        <v>1</v>
      </c>
      <c r="E161" s="62">
        <v>0</v>
      </c>
      <c r="F161" s="63">
        <v>1</v>
      </c>
      <c r="G161"/>
    </row>
    <row r="162" spans="1:7" ht="15.6" x14ac:dyDescent="0.3">
      <c r="A162" s="43" t="s">
        <v>914</v>
      </c>
      <c r="B162" s="42" t="s">
        <v>218</v>
      </c>
      <c r="C162" s="42" t="s">
        <v>1156</v>
      </c>
      <c r="D162" s="61">
        <v>5</v>
      </c>
      <c r="E162" s="62">
        <v>0</v>
      </c>
      <c r="F162" s="63">
        <v>5</v>
      </c>
      <c r="G162"/>
    </row>
    <row r="163" spans="1:7" ht="15.6" x14ac:dyDescent="0.3">
      <c r="A163" s="43" t="s">
        <v>914</v>
      </c>
      <c r="B163" s="42" t="s">
        <v>741</v>
      </c>
      <c r="C163" s="42" t="s">
        <v>1718</v>
      </c>
      <c r="D163" s="61">
        <v>6</v>
      </c>
      <c r="E163" s="62">
        <v>0</v>
      </c>
      <c r="F163" s="63">
        <v>6</v>
      </c>
      <c r="G163"/>
    </row>
    <row r="164" spans="1:7" ht="15.6" x14ac:dyDescent="0.3">
      <c r="A164" s="43" t="s">
        <v>914</v>
      </c>
      <c r="B164" s="42" t="s">
        <v>555</v>
      </c>
      <c r="C164" s="42" t="s">
        <v>1518</v>
      </c>
      <c r="D164" s="61">
        <v>14</v>
      </c>
      <c r="E164" s="62">
        <v>0</v>
      </c>
      <c r="F164" s="63">
        <v>14</v>
      </c>
      <c r="G164"/>
    </row>
    <row r="165" spans="1:7" ht="15.6" x14ac:dyDescent="0.3">
      <c r="A165" s="43" t="s">
        <v>914</v>
      </c>
      <c r="B165" s="42" t="s">
        <v>414</v>
      </c>
      <c r="C165" s="42" t="s">
        <v>1370</v>
      </c>
      <c r="D165" s="61">
        <v>2</v>
      </c>
      <c r="E165" s="62">
        <v>0</v>
      </c>
      <c r="F165" s="63">
        <v>2</v>
      </c>
      <c r="G165"/>
    </row>
    <row r="166" spans="1:7" ht="15.6" x14ac:dyDescent="0.3">
      <c r="A166" s="43" t="s">
        <v>914</v>
      </c>
      <c r="B166" s="42" t="s">
        <v>413</v>
      </c>
      <c r="C166" s="42" t="s">
        <v>1369</v>
      </c>
      <c r="D166" s="61">
        <v>3</v>
      </c>
      <c r="E166" s="62">
        <v>0</v>
      </c>
      <c r="F166" s="63">
        <v>3</v>
      </c>
      <c r="G166"/>
    </row>
    <row r="167" spans="1:7" ht="15.6" x14ac:dyDescent="0.3">
      <c r="A167" s="43" t="s">
        <v>914</v>
      </c>
      <c r="B167" s="42" t="s">
        <v>617</v>
      </c>
      <c r="C167" s="42" t="s">
        <v>1582</v>
      </c>
      <c r="D167" s="61">
        <v>4</v>
      </c>
      <c r="E167" s="62">
        <v>0</v>
      </c>
      <c r="F167" s="63">
        <v>4</v>
      </c>
      <c r="G167"/>
    </row>
    <row r="168" spans="1:7" ht="15.6" x14ac:dyDescent="0.3">
      <c r="A168" s="43" t="s">
        <v>914</v>
      </c>
      <c r="B168" s="42" t="s">
        <v>159</v>
      </c>
      <c r="C168" s="42" t="s">
        <v>1094</v>
      </c>
      <c r="D168" s="61">
        <v>1</v>
      </c>
      <c r="E168" s="62">
        <v>0</v>
      </c>
      <c r="F168" s="63">
        <v>1</v>
      </c>
      <c r="G168"/>
    </row>
    <row r="169" spans="1:7" ht="15.6" x14ac:dyDescent="0.3">
      <c r="A169" s="43" t="s">
        <v>914</v>
      </c>
      <c r="B169" s="42" t="s">
        <v>714</v>
      </c>
      <c r="C169" s="42" t="s">
        <v>1690</v>
      </c>
      <c r="D169" s="61">
        <v>10</v>
      </c>
      <c r="E169" s="62">
        <v>0</v>
      </c>
      <c r="F169" s="63">
        <v>10</v>
      </c>
      <c r="G169"/>
    </row>
    <row r="170" spans="1:7" ht="15.6" x14ac:dyDescent="0.3">
      <c r="A170" s="43" t="s">
        <v>914</v>
      </c>
      <c r="B170" s="42" t="s">
        <v>796</v>
      </c>
      <c r="C170" s="42" t="s">
        <v>1779</v>
      </c>
      <c r="D170" s="61">
        <v>100</v>
      </c>
      <c r="E170" s="62">
        <v>0</v>
      </c>
      <c r="F170" s="63">
        <v>100</v>
      </c>
      <c r="G170"/>
    </row>
    <row r="171" spans="1:7" ht="15.6" x14ac:dyDescent="0.3">
      <c r="A171" s="43" t="s">
        <v>914</v>
      </c>
      <c r="B171" s="42" t="s">
        <v>804</v>
      </c>
      <c r="C171" s="42" t="s">
        <v>1792</v>
      </c>
      <c r="D171" s="61">
        <v>40</v>
      </c>
      <c r="E171" s="62">
        <v>0</v>
      </c>
      <c r="F171" s="63">
        <v>40</v>
      </c>
      <c r="G171"/>
    </row>
    <row r="172" spans="1:7" ht="15.6" x14ac:dyDescent="0.3">
      <c r="A172" s="43" t="s">
        <v>914</v>
      </c>
      <c r="B172" s="42" t="s">
        <v>432</v>
      </c>
      <c r="C172" s="42" t="s">
        <v>1389</v>
      </c>
      <c r="D172" s="61">
        <v>2</v>
      </c>
      <c r="E172" s="62">
        <v>0</v>
      </c>
      <c r="F172" s="63">
        <v>2</v>
      </c>
      <c r="G172"/>
    </row>
    <row r="173" spans="1:7" ht="15.6" x14ac:dyDescent="0.3">
      <c r="A173" s="43" t="s">
        <v>914</v>
      </c>
      <c r="B173" s="42" t="s">
        <v>436</v>
      </c>
      <c r="C173" s="42" t="s">
        <v>1393</v>
      </c>
      <c r="D173" s="61">
        <v>4</v>
      </c>
      <c r="E173" s="62">
        <v>0</v>
      </c>
      <c r="F173" s="63">
        <v>4</v>
      </c>
      <c r="G173"/>
    </row>
    <row r="174" spans="1:7" ht="15.6" x14ac:dyDescent="0.3">
      <c r="A174" s="43" t="s">
        <v>914</v>
      </c>
      <c r="B174" s="42" t="s">
        <v>700</v>
      </c>
      <c r="C174" s="42" t="s">
        <v>1672</v>
      </c>
      <c r="D174" s="61">
        <v>1</v>
      </c>
      <c r="E174" s="62">
        <v>0</v>
      </c>
      <c r="F174" s="63">
        <v>1</v>
      </c>
      <c r="G174"/>
    </row>
    <row r="175" spans="1:7" ht="15.6" x14ac:dyDescent="0.3">
      <c r="A175" s="43" t="s">
        <v>914</v>
      </c>
      <c r="B175" s="42" t="s">
        <v>701</v>
      </c>
      <c r="C175" s="42" t="s">
        <v>1673</v>
      </c>
      <c r="D175" s="61">
        <v>1</v>
      </c>
      <c r="E175" s="62">
        <v>0</v>
      </c>
      <c r="F175" s="63">
        <v>1</v>
      </c>
      <c r="G175"/>
    </row>
    <row r="176" spans="1:7" ht="15.6" x14ac:dyDescent="0.3">
      <c r="A176" s="43" t="s">
        <v>914</v>
      </c>
      <c r="B176" s="42" t="s">
        <v>385</v>
      </c>
      <c r="C176" s="42" t="s">
        <v>1337</v>
      </c>
      <c r="D176" s="61">
        <v>1</v>
      </c>
      <c r="E176" s="62">
        <v>0</v>
      </c>
      <c r="F176" s="63">
        <v>1</v>
      </c>
      <c r="G176"/>
    </row>
    <row r="177" spans="1:7" ht="15.6" x14ac:dyDescent="0.3">
      <c r="A177" s="43" t="s">
        <v>914</v>
      </c>
      <c r="B177" s="42" t="s">
        <v>614</v>
      </c>
      <c r="C177" s="42" t="s">
        <v>1578</v>
      </c>
      <c r="D177" s="61">
        <v>2</v>
      </c>
      <c r="E177" s="62">
        <v>0</v>
      </c>
      <c r="F177" s="63">
        <v>2</v>
      </c>
      <c r="G177"/>
    </row>
    <row r="178" spans="1:7" ht="15.6" x14ac:dyDescent="0.3">
      <c r="A178" s="43" t="s">
        <v>914</v>
      </c>
      <c r="B178" s="42" t="s">
        <v>328</v>
      </c>
      <c r="C178" s="42" t="s">
        <v>1273</v>
      </c>
      <c r="D178" s="61">
        <v>1</v>
      </c>
      <c r="E178" s="62">
        <v>1</v>
      </c>
      <c r="F178" s="63">
        <v>0</v>
      </c>
      <c r="G178"/>
    </row>
    <row r="179" spans="1:7" ht="15.6" x14ac:dyDescent="0.3">
      <c r="A179" s="43" t="s">
        <v>914</v>
      </c>
      <c r="B179" s="42" t="s">
        <v>598</v>
      </c>
      <c r="C179" s="42" t="s">
        <v>1561</v>
      </c>
      <c r="D179" s="61">
        <v>16</v>
      </c>
      <c r="E179" s="62">
        <v>0</v>
      </c>
      <c r="F179" s="63">
        <v>16</v>
      </c>
      <c r="G179"/>
    </row>
    <row r="180" spans="1:7" ht="15.6" x14ac:dyDescent="0.3">
      <c r="A180" s="43" t="s">
        <v>914</v>
      </c>
      <c r="B180" s="42" t="s">
        <v>621</v>
      </c>
      <c r="C180" s="42" t="s">
        <v>1586</v>
      </c>
      <c r="D180" s="61">
        <v>1</v>
      </c>
      <c r="E180" s="62">
        <v>1</v>
      </c>
      <c r="F180" s="63">
        <v>0</v>
      </c>
      <c r="G180"/>
    </row>
    <row r="181" spans="1:7" ht="15.6" x14ac:dyDescent="0.3">
      <c r="A181" s="43" t="s">
        <v>914</v>
      </c>
      <c r="B181" s="42" t="s">
        <v>828</v>
      </c>
      <c r="C181" s="42" t="s">
        <v>1817</v>
      </c>
      <c r="D181" s="61">
        <v>1</v>
      </c>
      <c r="E181" s="62">
        <v>1</v>
      </c>
      <c r="F181" s="63">
        <v>0</v>
      </c>
      <c r="G181"/>
    </row>
    <row r="182" spans="1:7" ht="15.6" x14ac:dyDescent="0.3">
      <c r="A182" s="43" t="s">
        <v>914</v>
      </c>
      <c r="B182" s="42" t="s">
        <v>146</v>
      </c>
      <c r="C182" s="42" t="s">
        <v>1080</v>
      </c>
      <c r="D182" s="61">
        <v>1</v>
      </c>
      <c r="E182" s="62">
        <v>1</v>
      </c>
      <c r="F182" s="63">
        <v>0</v>
      </c>
      <c r="G182"/>
    </row>
    <row r="183" spans="1:7" ht="15.6" x14ac:dyDescent="0.3">
      <c r="A183" s="43" t="s">
        <v>914</v>
      </c>
      <c r="B183" s="42" t="s">
        <v>336</v>
      </c>
      <c r="C183" s="42" t="s">
        <v>1282</v>
      </c>
      <c r="D183" s="61">
        <v>1</v>
      </c>
      <c r="E183" s="62">
        <v>1</v>
      </c>
      <c r="F183" s="63">
        <v>0</v>
      </c>
      <c r="G183"/>
    </row>
    <row r="184" spans="1:7" ht="15.6" x14ac:dyDescent="0.3">
      <c r="A184" s="43" t="s">
        <v>914</v>
      </c>
      <c r="B184" s="42" t="s">
        <v>350</v>
      </c>
      <c r="C184" s="42" t="s">
        <v>1299</v>
      </c>
      <c r="D184" s="61">
        <v>1</v>
      </c>
      <c r="E184" s="62">
        <v>1</v>
      </c>
      <c r="F184" s="63">
        <v>0</v>
      </c>
      <c r="G184"/>
    </row>
    <row r="185" spans="1:7" ht="15.6" x14ac:dyDescent="0.3">
      <c r="A185" s="43" t="s">
        <v>914</v>
      </c>
      <c r="B185" s="42" t="s">
        <v>418</v>
      </c>
      <c r="C185" s="42" t="s">
        <v>1374</v>
      </c>
      <c r="D185" s="61">
        <v>1</v>
      </c>
      <c r="E185" s="62">
        <v>0</v>
      </c>
      <c r="F185" s="63">
        <v>1</v>
      </c>
      <c r="G185"/>
    </row>
    <row r="186" spans="1:7" ht="15.6" x14ac:dyDescent="0.3">
      <c r="A186" s="43" t="s">
        <v>914</v>
      </c>
      <c r="B186" s="42" t="s">
        <v>351</v>
      </c>
      <c r="C186" s="42" t="s">
        <v>1300</v>
      </c>
      <c r="D186" s="61">
        <v>1</v>
      </c>
      <c r="E186" s="62">
        <v>1</v>
      </c>
      <c r="F186" s="63">
        <v>0</v>
      </c>
      <c r="G186"/>
    </row>
    <row r="187" spans="1:7" ht="15.6" x14ac:dyDescent="0.3">
      <c r="A187" s="43" t="s">
        <v>914</v>
      </c>
      <c r="B187" s="42" t="s">
        <v>2492</v>
      </c>
      <c r="C187" s="42" t="s">
        <v>1736</v>
      </c>
      <c r="D187" s="61">
        <v>1</v>
      </c>
      <c r="E187" s="62">
        <v>1</v>
      </c>
      <c r="F187" s="63">
        <v>0</v>
      </c>
      <c r="G187"/>
    </row>
    <row r="188" spans="1:7" ht="15.6" x14ac:dyDescent="0.3">
      <c r="A188" s="43" t="s">
        <v>914</v>
      </c>
      <c r="B188" s="42" t="s">
        <v>319</v>
      </c>
      <c r="C188" s="42" t="s">
        <v>1263</v>
      </c>
      <c r="D188" s="61">
        <v>1</v>
      </c>
      <c r="E188" s="62">
        <v>0</v>
      </c>
      <c r="F188" s="63">
        <v>1</v>
      </c>
      <c r="G188"/>
    </row>
    <row r="189" spans="1:7" ht="15.6" x14ac:dyDescent="0.3">
      <c r="A189" s="43" t="s">
        <v>914</v>
      </c>
      <c r="B189" s="42" t="s">
        <v>757</v>
      </c>
      <c r="C189" s="42" t="s">
        <v>1734</v>
      </c>
      <c r="D189" s="61">
        <v>1</v>
      </c>
      <c r="E189" s="62">
        <v>1</v>
      </c>
      <c r="F189" s="63">
        <v>0</v>
      </c>
      <c r="G189"/>
    </row>
    <row r="190" spans="1:7" ht="15.6" x14ac:dyDescent="0.3">
      <c r="A190" s="43" t="s">
        <v>914</v>
      </c>
      <c r="B190" s="42" t="s">
        <v>417</v>
      </c>
      <c r="C190" s="42" t="s">
        <v>1373</v>
      </c>
      <c r="D190" s="61">
        <v>1</v>
      </c>
      <c r="E190" s="62">
        <v>1</v>
      </c>
      <c r="F190" s="63">
        <v>0</v>
      </c>
      <c r="G190"/>
    </row>
    <row r="191" spans="1:7" ht="15.6" x14ac:dyDescent="0.3">
      <c r="A191" s="43" t="s">
        <v>914</v>
      </c>
      <c r="B191" s="42" t="s">
        <v>318</v>
      </c>
      <c r="C191" s="42" t="s">
        <v>1262</v>
      </c>
      <c r="D191" s="61">
        <v>5</v>
      </c>
      <c r="E191" s="62">
        <v>4</v>
      </c>
      <c r="F191" s="63">
        <v>1</v>
      </c>
      <c r="G191"/>
    </row>
    <row r="192" spans="1:7" ht="15.6" x14ac:dyDescent="0.3">
      <c r="A192" s="43" t="s">
        <v>914</v>
      </c>
      <c r="B192" s="42" t="s">
        <v>821</v>
      </c>
      <c r="C192" s="42" t="s">
        <v>1810</v>
      </c>
      <c r="D192" s="61">
        <v>1</v>
      </c>
      <c r="E192" s="62">
        <v>1</v>
      </c>
      <c r="F192" s="63">
        <v>0</v>
      </c>
      <c r="G192"/>
    </row>
    <row r="193" spans="1:7" ht="15.6" x14ac:dyDescent="0.3">
      <c r="A193" s="43" t="s">
        <v>914</v>
      </c>
      <c r="B193" s="42" t="s">
        <v>782</v>
      </c>
      <c r="C193" s="42" t="s">
        <v>1762</v>
      </c>
      <c r="D193" s="61">
        <v>1</v>
      </c>
      <c r="E193" s="62">
        <v>1</v>
      </c>
      <c r="F193" s="63">
        <v>0</v>
      </c>
      <c r="G193"/>
    </row>
    <row r="194" spans="1:7" ht="15.6" x14ac:dyDescent="0.3">
      <c r="A194" s="43" t="s">
        <v>914</v>
      </c>
      <c r="B194" s="42" t="s">
        <v>820</v>
      </c>
      <c r="C194" s="42" t="s">
        <v>1809</v>
      </c>
      <c r="D194" s="61">
        <v>1</v>
      </c>
      <c r="E194" s="62">
        <v>1</v>
      </c>
      <c r="F194" s="63">
        <v>0</v>
      </c>
      <c r="G194"/>
    </row>
    <row r="195" spans="1:7" ht="15.6" x14ac:dyDescent="0.3">
      <c r="A195" s="43" t="s">
        <v>914</v>
      </c>
      <c r="B195" s="42" t="s">
        <v>805</v>
      </c>
      <c r="C195" s="42" t="s">
        <v>1793</v>
      </c>
      <c r="D195" s="61">
        <v>1</v>
      </c>
      <c r="E195" s="62">
        <v>1</v>
      </c>
      <c r="F195" s="63">
        <v>0</v>
      </c>
      <c r="G195"/>
    </row>
    <row r="196" spans="1:7" ht="15.6" x14ac:dyDescent="0.3">
      <c r="A196" s="43" t="s">
        <v>914</v>
      </c>
      <c r="B196" s="42" t="s">
        <v>758</v>
      </c>
      <c r="C196" s="42" t="s">
        <v>1735</v>
      </c>
      <c r="D196" s="61">
        <v>1</v>
      </c>
      <c r="E196" s="62">
        <v>1</v>
      </c>
      <c r="F196" s="63">
        <v>0</v>
      </c>
      <c r="G196"/>
    </row>
    <row r="197" spans="1:7" ht="15.6" x14ac:dyDescent="0.3">
      <c r="A197" s="43" t="s">
        <v>914</v>
      </c>
      <c r="B197" s="42" t="s">
        <v>739</v>
      </c>
      <c r="C197" s="42" t="s">
        <v>1716</v>
      </c>
      <c r="D197" s="61">
        <v>1</v>
      </c>
      <c r="E197" s="62">
        <v>0</v>
      </c>
      <c r="F197" s="63">
        <v>1</v>
      </c>
      <c r="G197"/>
    </row>
    <row r="198" spans="1:7" ht="15.6" x14ac:dyDescent="0.3">
      <c r="A198" s="43" t="s">
        <v>914</v>
      </c>
      <c r="B198" s="42" t="s">
        <v>296</v>
      </c>
      <c r="C198" s="42" t="s">
        <v>1239</v>
      </c>
      <c r="D198" s="61">
        <v>1</v>
      </c>
      <c r="E198" s="62">
        <v>0</v>
      </c>
      <c r="F198" s="63">
        <v>1</v>
      </c>
      <c r="G198"/>
    </row>
    <row r="199" spans="1:7" ht="15.6" x14ac:dyDescent="0.3">
      <c r="A199" s="43" t="s">
        <v>914</v>
      </c>
      <c r="B199" s="42" t="s">
        <v>860</v>
      </c>
      <c r="C199" s="42" t="s">
        <v>1855</v>
      </c>
      <c r="D199" s="61">
        <v>1</v>
      </c>
      <c r="E199" s="62">
        <v>0</v>
      </c>
      <c r="F199" s="63">
        <v>1</v>
      </c>
      <c r="G199"/>
    </row>
    <row r="200" spans="1:7" ht="15.6" x14ac:dyDescent="0.3">
      <c r="A200" s="43" t="s">
        <v>914</v>
      </c>
      <c r="B200" s="42" t="s">
        <v>877</v>
      </c>
      <c r="C200" s="42" t="s">
        <v>1875</v>
      </c>
      <c r="D200" s="61">
        <v>1</v>
      </c>
      <c r="E200" s="62">
        <v>0</v>
      </c>
      <c r="F200" s="63">
        <v>1</v>
      </c>
      <c r="G200"/>
    </row>
    <row r="201" spans="1:7" ht="15.6" x14ac:dyDescent="0.3">
      <c r="A201" s="43" t="s">
        <v>914</v>
      </c>
      <c r="B201" s="42" t="s">
        <v>695</v>
      </c>
      <c r="C201" s="42" t="s">
        <v>1667</v>
      </c>
      <c r="D201" s="61">
        <v>1</v>
      </c>
      <c r="E201" s="62">
        <v>0</v>
      </c>
      <c r="F201" s="63">
        <v>1</v>
      </c>
      <c r="G201"/>
    </row>
    <row r="202" spans="1:7" ht="15.6" x14ac:dyDescent="0.3">
      <c r="A202" s="43" t="s">
        <v>914</v>
      </c>
      <c r="B202" s="42" t="s">
        <v>314</v>
      </c>
      <c r="C202" s="42" t="s">
        <v>1258</v>
      </c>
      <c r="D202" s="61">
        <v>51</v>
      </c>
      <c r="E202" s="62">
        <v>0</v>
      </c>
      <c r="F202" s="63">
        <v>51</v>
      </c>
      <c r="G202"/>
    </row>
    <row r="203" spans="1:7" ht="15.6" x14ac:dyDescent="0.3">
      <c r="A203" s="43" t="s">
        <v>914</v>
      </c>
      <c r="B203" s="42" t="s">
        <v>315</v>
      </c>
      <c r="C203" s="42" t="s">
        <v>1259</v>
      </c>
      <c r="D203" s="61">
        <v>3</v>
      </c>
      <c r="E203" s="62">
        <v>0</v>
      </c>
      <c r="F203" s="63">
        <v>3</v>
      </c>
      <c r="G203"/>
    </row>
    <row r="204" spans="1:7" ht="15.6" x14ac:dyDescent="0.3">
      <c r="A204" s="43" t="s">
        <v>914</v>
      </c>
      <c r="B204" s="42" t="s">
        <v>2339</v>
      </c>
      <c r="C204" s="42" t="s">
        <v>1311</v>
      </c>
      <c r="D204" s="61">
        <v>53</v>
      </c>
      <c r="E204" s="62">
        <v>0</v>
      </c>
      <c r="F204" s="63">
        <v>53</v>
      </c>
      <c r="G204"/>
    </row>
    <row r="205" spans="1:7" ht="15.6" x14ac:dyDescent="0.3">
      <c r="A205" s="43" t="s">
        <v>914</v>
      </c>
      <c r="B205" s="42" t="s">
        <v>2338</v>
      </c>
      <c r="C205" s="42" t="s">
        <v>1033</v>
      </c>
      <c r="D205" s="61">
        <v>291</v>
      </c>
      <c r="E205" s="62">
        <v>0</v>
      </c>
      <c r="F205" s="63">
        <v>291</v>
      </c>
      <c r="G205"/>
    </row>
    <row r="206" spans="1:7" ht="15.6" x14ac:dyDescent="0.3">
      <c r="A206" s="43" t="s">
        <v>914</v>
      </c>
      <c r="B206" s="42" t="s">
        <v>692</v>
      </c>
      <c r="C206" s="42" t="s">
        <v>1664</v>
      </c>
      <c r="D206" s="61">
        <v>1</v>
      </c>
      <c r="E206" s="62">
        <v>0</v>
      </c>
      <c r="F206" s="63">
        <v>1</v>
      </c>
      <c r="G206"/>
    </row>
    <row r="207" spans="1:7" ht="15.6" x14ac:dyDescent="0.3">
      <c r="A207" s="43" t="s">
        <v>914</v>
      </c>
      <c r="B207" s="42" t="s">
        <v>691</v>
      </c>
      <c r="C207" s="42" t="s">
        <v>1663</v>
      </c>
      <c r="D207" s="61">
        <v>1</v>
      </c>
      <c r="E207" s="62">
        <v>0</v>
      </c>
      <c r="F207" s="63">
        <v>1</v>
      </c>
      <c r="G207"/>
    </row>
    <row r="208" spans="1:7" ht="15.6" x14ac:dyDescent="0.3">
      <c r="A208" s="43" t="s">
        <v>914</v>
      </c>
      <c r="B208" s="42" t="s">
        <v>615</v>
      </c>
      <c r="C208" s="42" t="s">
        <v>1579</v>
      </c>
      <c r="D208" s="61">
        <v>1</v>
      </c>
      <c r="E208" s="62">
        <v>0</v>
      </c>
      <c r="F208" s="63">
        <v>1</v>
      </c>
      <c r="G208"/>
    </row>
    <row r="209" spans="1:7" ht="15.6" x14ac:dyDescent="0.3">
      <c r="A209" s="43" t="s">
        <v>914</v>
      </c>
      <c r="B209" s="42" t="s">
        <v>2476</v>
      </c>
      <c r="C209" s="42" t="s">
        <v>1439</v>
      </c>
      <c r="D209" s="61">
        <v>1</v>
      </c>
      <c r="E209" s="62">
        <v>0</v>
      </c>
      <c r="F209" s="63">
        <v>1</v>
      </c>
      <c r="G209"/>
    </row>
    <row r="210" spans="1:7" ht="15.6" x14ac:dyDescent="0.3">
      <c r="A210" s="43" t="s">
        <v>914</v>
      </c>
      <c r="B210" s="42" t="s">
        <v>1998</v>
      </c>
      <c r="C210" s="42" t="s">
        <v>2006</v>
      </c>
      <c r="D210" s="61">
        <v>2</v>
      </c>
      <c r="E210" s="62">
        <v>1</v>
      </c>
      <c r="F210" s="63">
        <v>1</v>
      </c>
      <c r="G210"/>
    </row>
    <row r="211" spans="1:7" ht="15.6" x14ac:dyDescent="0.3">
      <c r="A211" s="43" t="s">
        <v>914</v>
      </c>
      <c r="B211" s="42" t="s">
        <v>408</v>
      </c>
      <c r="C211" s="42" t="s">
        <v>1364</v>
      </c>
      <c r="D211" s="61">
        <v>1</v>
      </c>
      <c r="E211" s="62">
        <v>0</v>
      </c>
      <c r="F211" s="63">
        <v>1</v>
      </c>
      <c r="G211"/>
    </row>
    <row r="212" spans="1:7" ht="15.6" x14ac:dyDescent="0.3">
      <c r="A212" s="43" t="s">
        <v>914</v>
      </c>
      <c r="B212" s="42" t="s">
        <v>426</v>
      </c>
      <c r="C212" s="42" t="s">
        <v>1383</v>
      </c>
      <c r="D212" s="61">
        <v>1</v>
      </c>
      <c r="E212" s="62">
        <v>0</v>
      </c>
      <c r="F212" s="63">
        <v>1</v>
      </c>
      <c r="G212"/>
    </row>
    <row r="213" spans="1:7" ht="15.6" x14ac:dyDescent="0.3">
      <c r="A213" s="43" t="s">
        <v>914</v>
      </c>
      <c r="B213" s="42" t="s">
        <v>427</v>
      </c>
      <c r="C213" s="42" t="s">
        <v>1384</v>
      </c>
      <c r="D213" s="61">
        <v>1</v>
      </c>
      <c r="E213" s="62">
        <v>0</v>
      </c>
      <c r="F213" s="63">
        <v>1</v>
      </c>
      <c r="G213"/>
    </row>
    <row r="214" spans="1:7" ht="15.6" x14ac:dyDescent="0.3">
      <c r="A214" s="43" t="s">
        <v>914</v>
      </c>
      <c r="B214" s="42" t="s">
        <v>190</v>
      </c>
      <c r="C214" s="42" t="s">
        <v>1127</v>
      </c>
      <c r="D214" s="61">
        <v>1</v>
      </c>
      <c r="E214" s="62">
        <v>0</v>
      </c>
      <c r="F214" s="63">
        <v>1</v>
      </c>
      <c r="G214"/>
    </row>
    <row r="215" spans="1:7" ht="15.6" x14ac:dyDescent="0.3">
      <c r="A215" s="43" t="s">
        <v>914</v>
      </c>
      <c r="B215" s="42" t="s">
        <v>268</v>
      </c>
      <c r="C215" s="42" t="s">
        <v>1208</v>
      </c>
      <c r="D215" s="61">
        <v>3</v>
      </c>
      <c r="E215" s="62">
        <v>0</v>
      </c>
      <c r="F215" s="63">
        <v>3</v>
      </c>
      <c r="G215"/>
    </row>
    <row r="216" spans="1:7" ht="15.6" x14ac:dyDescent="0.3">
      <c r="A216" s="43" t="s">
        <v>914</v>
      </c>
      <c r="B216" s="42" t="s">
        <v>878</v>
      </c>
      <c r="C216" s="42" t="s">
        <v>1876</v>
      </c>
      <c r="D216" s="61">
        <v>1</v>
      </c>
      <c r="E216" s="62">
        <v>0</v>
      </c>
      <c r="F216" s="63">
        <v>1</v>
      </c>
      <c r="G216"/>
    </row>
    <row r="217" spans="1:7" ht="15.6" x14ac:dyDescent="0.3">
      <c r="A217" s="43" t="s">
        <v>914</v>
      </c>
      <c r="B217" s="42" t="s">
        <v>880</v>
      </c>
      <c r="C217" s="42" t="s">
        <v>1878</v>
      </c>
      <c r="D217" s="61">
        <v>1</v>
      </c>
      <c r="E217" s="62">
        <v>0</v>
      </c>
      <c r="F217" s="63">
        <v>1</v>
      </c>
      <c r="G217"/>
    </row>
    <row r="218" spans="1:7" ht="15.6" x14ac:dyDescent="0.3">
      <c r="A218" s="43" t="s">
        <v>914</v>
      </c>
      <c r="B218" s="42" t="s">
        <v>871</v>
      </c>
      <c r="C218" s="42" t="s">
        <v>1868</v>
      </c>
      <c r="D218" s="61">
        <v>1</v>
      </c>
      <c r="E218" s="62">
        <v>0</v>
      </c>
      <c r="F218" s="63">
        <v>1</v>
      </c>
      <c r="G218"/>
    </row>
    <row r="219" spans="1:7" ht="15.6" x14ac:dyDescent="0.3">
      <c r="A219" s="43" t="s">
        <v>914</v>
      </c>
      <c r="B219" s="42" t="s">
        <v>867</v>
      </c>
      <c r="C219" s="42" t="s">
        <v>1863</v>
      </c>
      <c r="D219" s="61">
        <v>1</v>
      </c>
      <c r="E219" s="62">
        <v>0</v>
      </c>
      <c r="F219" s="63">
        <v>1</v>
      </c>
      <c r="G219"/>
    </row>
    <row r="220" spans="1:7" ht="15.6" x14ac:dyDescent="0.3">
      <c r="A220" s="43" t="s">
        <v>914</v>
      </c>
      <c r="B220" s="42" t="s">
        <v>693</v>
      </c>
      <c r="C220" s="42" t="s">
        <v>1665</v>
      </c>
      <c r="D220" s="61">
        <v>1</v>
      </c>
      <c r="E220" s="62">
        <v>0</v>
      </c>
      <c r="F220" s="63">
        <v>1</v>
      </c>
      <c r="G220"/>
    </row>
    <row r="221" spans="1:7" ht="15.6" x14ac:dyDescent="0.3">
      <c r="A221" s="43" t="s">
        <v>914</v>
      </c>
      <c r="B221" s="42" t="s">
        <v>2506</v>
      </c>
      <c r="C221" s="42" t="s">
        <v>1874</v>
      </c>
      <c r="D221" s="61">
        <v>1</v>
      </c>
      <c r="E221" s="62">
        <v>0</v>
      </c>
      <c r="F221" s="63">
        <v>1</v>
      </c>
      <c r="G221"/>
    </row>
    <row r="222" spans="1:7" ht="15.6" x14ac:dyDescent="0.3">
      <c r="A222" s="43" t="s">
        <v>914</v>
      </c>
      <c r="B222" s="42" t="s">
        <v>2274</v>
      </c>
      <c r="C222" s="42" t="s">
        <v>2275</v>
      </c>
      <c r="D222" s="61">
        <v>1</v>
      </c>
      <c r="E222" s="62">
        <v>0</v>
      </c>
      <c r="F222" s="63">
        <v>1</v>
      </c>
      <c r="G222"/>
    </row>
    <row r="223" spans="1:7" ht="15.6" x14ac:dyDescent="0.3">
      <c r="A223" s="43" t="s">
        <v>914</v>
      </c>
      <c r="B223" s="42" t="s">
        <v>879</v>
      </c>
      <c r="C223" s="42" t="s">
        <v>1877</v>
      </c>
      <c r="D223" s="61">
        <v>1</v>
      </c>
      <c r="E223" s="62">
        <v>0</v>
      </c>
      <c r="F223" s="63">
        <v>1</v>
      </c>
      <c r="G223"/>
    </row>
    <row r="224" spans="1:7" ht="15.6" x14ac:dyDescent="0.3">
      <c r="A224" s="43" t="s">
        <v>914</v>
      </c>
      <c r="B224" s="42" t="s">
        <v>842</v>
      </c>
      <c r="C224" s="42" t="s">
        <v>1833</v>
      </c>
      <c r="D224" s="61">
        <v>1</v>
      </c>
      <c r="E224" s="62">
        <v>0</v>
      </c>
      <c r="F224" s="63">
        <v>1</v>
      </c>
      <c r="G224"/>
    </row>
    <row r="225" spans="1:7" ht="15.6" x14ac:dyDescent="0.3">
      <c r="A225" s="43" t="s">
        <v>914</v>
      </c>
      <c r="B225" s="42" t="s">
        <v>1968</v>
      </c>
      <c r="C225" s="42" t="s">
        <v>1980</v>
      </c>
      <c r="D225" s="61">
        <v>2</v>
      </c>
      <c r="E225" s="62">
        <v>1</v>
      </c>
      <c r="F225" s="63">
        <v>1</v>
      </c>
      <c r="G225"/>
    </row>
    <row r="226" spans="1:7" ht="15.6" x14ac:dyDescent="0.3">
      <c r="A226" s="43" t="s">
        <v>914</v>
      </c>
      <c r="B226" s="42" t="s">
        <v>1967</v>
      </c>
      <c r="C226" s="42" t="s">
        <v>2052</v>
      </c>
      <c r="D226" s="61">
        <v>4</v>
      </c>
      <c r="E226" s="62">
        <v>0</v>
      </c>
      <c r="F226" s="63">
        <v>4</v>
      </c>
      <c r="G226"/>
    </row>
    <row r="227" spans="1:7" ht="15.6" x14ac:dyDescent="0.3">
      <c r="A227" s="43" t="s">
        <v>914</v>
      </c>
      <c r="B227" s="42" t="s">
        <v>517</v>
      </c>
      <c r="C227" s="42" t="s">
        <v>1479</v>
      </c>
      <c r="D227" s="61">
        <v>7</v>
      </c>
      <c r="E227" s="62">
        <v>0</v>
      </c>
      <c r="F227" s="63">
        <v>7</v>
      </c>
      <c r="G227"/>
    </row>
    <row r="228" spans="1:7" ht="15.6" x14ac:dyDescent="0.3">
      <c r="A228" s="43" t="s">
        <v>914</v>
      </c>
      <c r="B228" s="42" t="s">
        <v>516</v>
      </c>
      <c r="C228" s="42" t="s">
        <v>1478</v>
      </c>
      <c r="D228" s="61">
        <v>69</v>
      </c>
      <c r="E228" s="62">
        <v>0</v>
      </c>
      <c r="F228" s="63">
        <v>69</v>
      </c>
      <c r="G228"/>
    </row>
    <row r="229" spans="1:7" ht="15.6" x14ac:dyDescent="0.3">
      <c r="A229" s="43" t="s">
        <v>914</v>
      </c>
      <c r="B229" s="42" t="s">
        <v>518</v>
      </c>
      <c r="C229" s="42" t="s">
        <v>1480</v>
      </c>
      <c r="D229" s="61">
        <v>2</v>
      </c>
      <c r="E229" s="62">
        <v>0</v>
      </c>
      <c r="F229" s="63">
        <v>2</v>
      </c>
      <c r="G229"/>
    </row>
    <row r="230" spans="1:7" ht="15.6" x14ac:dyDescent="0.3">
      <c r="A230" s="43" t="s">
        <v>914</v>
      </c>
      <c r="B230" s="42" t="s">
        <v>519</v>
      </c>
      <c r="C230" s="42" t="s">
        <v>1481</v>
      </c>
      <c r="D230" s="61">
        <v>17</v>
      </c>
      <c r="E230" s="62">
        <v>0</v>
      </c>
      <c r="F230" s="63">
        <v>17</v>
      </c>
      <c r="G230"/>
    </row>
    <row r="231" spans="1:7" ht="15.6" x14ac:dyDescent="0.3">
      <c r="A231" s="43" t="s">
        <v>914</v>
      </c>
      <c r="B231" s="42" t="s">
        <v>600</v>
      </c>
      <c r="C231" s="42" t="s">
        <v>1563</v>
      </c>
      <c r="D231" s="61">
        <v>1</v>
      </c>
      <c r="E231" s="62">
        <v>0</v>
      </c>
      <c r="F231" s="63">
        <v>1</v>
      </c>
      <c r="G231"/>
    </row>
    <row r="232" spans="1:7" ht="15.6" x14ac:dyDescent="0.3">
      <c r="A232" s="43" t="s">
        <v>914</v>
      </c>
      <c r="B232" s="42" t="s">
        <v>599</v>
      </c>
      <c r="C232" s="42" t="s">
        <v>1562</v>
      </c>
      <c r="D232" s="61">
        <v>2</v>
      </c>
      <c r="E232" s="62">
        <v>0</v>
      </c>
      <c r="F232" s="63">
        <v>2</v>
      </c>
      <c r="G232"/>
    </row>
    <row r="233" spans="1:7" ht="15.6" x14ac:dyDescent="0.3">
      <c r="A233" s="43" t="s">
        <v>914</v>
      </c>
      <c r="B233" s="42" t="s">
        <v>818</v>
      </c>
      <c r="C233" s="42" t="s">
        <v>1807</v>
      </c>
      <c r="D233" s="61">
        <v>1</v>
      </c>
      <c r="E233" s="62">
        <v>0</v>
      </c>
      <c r="F233" s="63">
        <v>1</v>
      </c>
      <c r="G233"/>
    </row>
    <row r="234" spans="1:7" ht="15.6" x14ac:dyDescent="0.3">
      <c r="A234" s="43" t="s">
        <v>914</v>
      </c>
      <c r="B234" s="42" t="s">
        <v>416</v>
      </c>
      <c r="C234" s="42" t="s">
        <v>1372</v>
      </c>
      <c r="D234" s="61">
        <v>11</v>
      </c>
      <c r="E234" s="62">
        <v>0</v>
      </c>
      <c r="F234" s="63">
        <v>11</v>
      </c>
      <c r="G234"/>
    </row>
    <row r="235" spans="1:7" ht="15.6" x14ac:dyDescent="0.3">
      <c r="A235" s="43" t="s">
        <v>914</v>
      </c>
      <c r="B235" s="42" t="s">
        <v>407</v>
      </c>
      <c r="C235" s="42" t="s">
        <v>1363</v>
      </c>
      <c r="D235" s="61">
        <v>2</v>
      </c>
      <c r="E235" s="62">
        <v>0</v>
      </c>
      <c r="F235" s="63">
        <v>2</v>
      </c>
      <c r="G235"/>
    </row>
    <row r="236" spans="1:7" ht="15.6" x14ac:dyDescent="0.3">
      <c r="A236" s="43" t="s">
        <v>914</v>
      </c>
      <c r="B236" s="42" t="s">
        <v>2462</v>
      </c>
      <c r="C236" s="42" t="s">
        <v>1104</v>
      </c>
      <c r="D236" s="61">
        <v>5</v>
      </c>
      <c r="E236" s="62">
        <v>0</v>
      </c>
      <c r="F236" s="63">
        <v>5</v>
      </c>
      <c r="G236"/>
    </row>
    <row r="237" spans="1:7" ht="15.6" x14ac:dyDescent="0.3">
      <c r="A237" s="43" t="s">
        <v>914</v>
      </c>
      <c r="B237" s="42" t="s">
        <v>434</v>
      </c>
      <c r="C237" s="42" t="s">
        <v>1391</v>
      </c>
      <c r="D237" s="61">
        <v>1</v>
      </c>
      <c r="E237" s="62">
        <v>0</v>
      </c>
      <c r="F237" s="63">
        <v>1</v>
      </c>
      <c r="G237"/>
    </row>
    <row r="238" spans="1:7" ht="15.6" x14ac:dyDescent="0.3">
      <c r="A238" s="43" t="s">
        <v>914</v>
      </c>
      <c r="B238" s="42" t="s">
        <v>827</v>
      </c>
      <c r="C238" s="42" t="s">
        <v>1816</v>
      </c>
      <c r="D238" s="61">
        <v>1</v>
      </c>
      <c r="E238" s="62">
        <v>0</v>
      </c>
      <c r="F238" s="63">
        <v>1</v>
      </c>
      <c r="G238"/>
    </row>
    <row r="239" spans="1:7" ht="15.6" x14ac:dyDescent="0.3">
      <c r="A239" s="43" t="s">
        <v>914</v>
      </c>
      <c r="B239" s="42" t="s">
        <v>737</v>
      </c>
      <c r="C239" s="42" t="s">
        <v>1714</v>
      </c>
      <c r="D239" s="61">
        <v>1</v>
      </c>
      <c r="E239" s="62">
        <v>0</v>
      </c>
      <c r="F239" s="63">
        <v>1</v>
      </c>
      <c r="G239"/>
    </row>
    <row r="240" spans="1:7" ht="15.6" x14ac:dyDescent="0.3">
      <c r="A240" s="43" t="s">
        <v>914</v>
      </c>
      <c r="B240" s="42" t="s">
        <v>276</v>
      </c>
      <c r="C240" s="42" t="s">
        <v>1218</v>
      </c>
      <c r="D240" s="61">
        <v>1</v>
      </c>
      <c r="E240" s="62">
        <v>0</v>
      </c>
      <c r="F240" s="63">
        <v>1</v>
      </c>
      <c r="G240"/>
    </row>
    <row r="241" spans="1:7" ht="15.6" x14ac:dyDescent="0.3">
      <c r="A241" s="43" t="s">
        <v>914</v>
      </c>
      <c r="B241" s="42" t="s">
        <v>277</v>
      </c>
      <c r="C241" s="42" t="s">
        <v>1219</v>
      </c>
      <c r="D241" s="61">
        <v>1</v>
      </c>
      <c r="E241" s="62">
        <v>0</v>
      </c>
      <c r="F241" s="63">
        <v>1</v>
      </c>
      <c r="G241"/>
    </row>
    <row r="242" spans="1:7" ht="15.6" x14ac:dyDescent="0.3">
      <c r="A242" s="43" t="s">
        <v>914</v>
      </c>
      <c r="B242" s="42" t="s">
        <v>258</v>
      </c>
      <c r="C242" s="42" t="s">
        <v>1197</v>
      </c>
      <c r="D242" s="61">
        <v>1</v>
      </c>
      <c r="E242" s="62">
        <v>0</v>
      </c>
      <c r="F242" s="63">
        <v>1</v>
      </c>
      <c r="G242"/>
    </row>
    <row r="243" spans="1:7" ht="15.6" x14ac:dyDescent="0.3">
      <c r="A243" s="43" t="s">
        <v>914</v>
      </c>
      <c r="B243" s="42" t="s">
        <v>238</v>
      </c>
      <c r="C243" s="42" t="s">
        <v>1177</v>
      </c>
      <c r="D243" s="61">
        <v>1</v>
      </c>
      <c r="E243" s="62">
        <v>0</v>
      </c>
      <c r="F243" s="63">
        <v>1</v>
      </c>
      <c r="G243"/>
    </row>
    <row r="244" spans="1:7" ht="15.6" x14ac:dyDescent="0.3">
      <c r="A244" s="43" t="s">
        <v>914</v>
      </c>
      <c r="B244" s="42" t="s">
        <v>255</v>
      </c>
      <c r="C244" s="42" t="s">
        <v>1194</v>
      </c>
      <c r="D244" s="61">
        <v>1</v>
      </c>
      <c r="E244" s="62">
        <v>0</v>
      </c>
      <c r="F244" s="63">
        <v>1</v>
      </c>
      <c r="G244"/>
    </row>
    <row r="245" spans="1:7" ht="15.6" x14ac:dyDescent="0.3">
      <c r="A245" s="43" t="s">
        <v>914</v>
      </c>
      <c r="B245" s="42" t="s">
        <v>251</v>
      </c>
      <c r="C245" s="42" t="s">
        <v>1190</v>
      </c>
      <c r="D245" s="61">
        <v>1</v>
      </c>
      <c r="E245" s="62">
        <v>0</v>
      </c>
      <c r="F245" s="63">
        <v>1</v>
      </c>
      <c r="G245"/>
    </row>
    <row r="246" spans="1:7" ht="15.6" x14ac:dyDescent="0.3">
      <c r="A246" s="43" t="s">
        <v>914</v>
      </c>
      <c r="B246" s="42" t="s">
        <v>237</v>
      </c>
      <c r="C246" s="42" t="s">
        <v>1176</v>
      </c>
      <c r="D246" s="61">
        <v>1</v>
      </c>
      <c r="E246" s="62">
        <v>0</v>
      </c>
      <c r="F246" s="63">
        <v>1</v>
      </c>
      <c r="G246"/>
    </row>
    <row r="247" spans="1:7" ht="15.6" x14ac:dyDescent="0.3">
      <c r="A247" s="43" t="s">
        <v>914</v>
      </c>
      <c r="B247" s="42" t="s">
        <v>247</v>
      </c>
      <c r="C247" s="42" t="s">
        <v>1186</v>
      </c>
      <c r="D247" s="61">
        <v>1</v>
      </c>
      <c r="E247" s="62">
        <v>0</v>
      </c>
      <c r="F247" s="63">
        <v>1</v>
      </c>
      <c r="G247"/>
    </row>
    <row r="248" spans="1:7" ht="15.6" x14ac:dyDescent="0.3">
      <c r="A248" s="43" t="s">
        <v>914</v>
      </c>
      <c r="B248" s="42" t="s">
        <v>244</v>
      </c>
      <c r="C248" s="42" t="s">
        <v>1183</v>
      </c>
      <c r="D248" s="61">
        <v>1</v>
      </c>
      <c r="E248" s="62">
        <v>0</v>
      </c>
      <c r="F248" s="63">
        <v>1</v>
      </c>
      <c r="G248"/>
    </row>
    <row r="249" spans="1:7" ht="15.6" x14ac:dyDescent="0.3">
      <c r="A249" s="43" t="s">
        <v>914</v>
      </c>
      <c r="B249" s="42" t="s">
        <v>242</v>
      </c>
      <c r="C249" s="42" t="s">
        <v>1181</v>
      </c>
      <c r="D249" s="61">
        <v>1</v>
      </c>
      <c r="E249" s="62">
        <v>0</v>
      </c>
      <c r="F249" s="63">
        <v>1</v>
      </c>
      <c r="G249"/>
    </row>
    <row r="250" spans="1:7" ht="15.6" x14ac:dyDescent="0.3">
      <c r="A250" s="43" t="s">
        <v>914</v>
      </c>
      <c r="B250" s="42" t="s">
        <v>245</v>
      </c>
      <c r="C250" s="42" t="s">
        <v>1184</v>
      </c>
      <c r="D250" s="61">
        <v>1</v>
      </c>
      <c r="E250" s="62">
        <v>0</v>
      </c>
      <c r="F250" s="63">
        <v>1</v>
      </c>
      <c r="G250"/>
    </row>
    <row r="251" spans="1:7" ht="15.6" x14ac:dyDescent="0.3">
      <c r="A251" s="43" t="s">
        <v>914</v>
      </c>
      <c r="B251" s="42" t="s">
        <v>248</v>
      </c>
      <c r="C251" s="42" t="s">
        <v>1187</v>
      </c>
      <c r="D251" s="61">
        <v>1</v>
      </c>
      <c r="E251" s="62">
        <v>0</v>
      </c>
      <c r="F251" s="63">
        <v>1</v>
      </c>
      <c r="G251"/>
    </row>
    <row r="252" spans="1:7" ht="15.6" x14ac:dyDescent="0.3">
      <c r="A252" s="43" t="s">
        <v>914</v>
      </c>
      <c r="B252" s="42" t="s">
        <v>252</v>
      </c>
      <c r="C252" s="42" t="s">
        <v>1191</v>
      </c>
      <c r="D252" s="61">
        <v>1</v>
      </c>
      <c r="E252" s="62">
        <v>0</v>
      </c>
      <c r="F252" s="63">
        <v>1</v>
      </c>
      <c r="G252"/>
    </row>
    <row r="253" spans="1:7" ht="15.6" x14ac:dyDescent="0.3">
      <c r="A253" s="43" t="s">
        <v>914</v>
      </c>
      <c r="B253" s="42" t="s">
        <v>243</v>
      </c>
      <c r="C253" s="42" t="s">
        <v>1182</v>
      </c>
      <c r="D253" s="61">
        <v>1</v>
      </c>
      <c r="E253" s="62">
        <v>0</v>
      </c>
      <c r="F253" s="63">
        <v>1</v>
      </c>
      <c r="G253"/>
    </row>
    <row r="254" spans="1:7" ht="15.6" x14ac:dyDescent="0.3">
      <c r="A254" s="43" t="s">
        <v>914</v>
      </c>
      <c r="B254" s="42" t="s">
        <v>256</v>
      </c>
      <c r="C254" s="42" t="s">
        <v>1195</v>
      </c>
      <c r="D254" s="61">
        <v>1</v>
      </c>
      <c r="E254" s="62">
        <v>0</v>
      </c>
      <c r="F254" s="63">
        <v>1</v>
      </c>
      <c r="G254"/>
    </row>
    <row r="255" spans="1:7" ht="15.6" x14ac:dyDescent="0.3">
      <c r="A255" s="43" t="s">
        <v>914</v>
      </c>
      <c r="B255" s="42" t="s">
        <v>257</v>
      </c>
      <c r="C255" s="42" t="s">
        <v>1196</v>
      </c>
      <c r="D255" s="61">
        <v>1</v>
      </c>
      <c r="E255" s="62">
        <v>0</v>
      </c>
      <c r="F255" s="63">
        <v>1</v>
      </c>
      <c r="G255"/>
    </row>
    <row r="256" spans="1:7" ht="15.6" x14ac:dyDescent="0.3">
      <c r="A256" s="43" t="s">
        <v>914</v>
      </c>
      <c r="B256" s="42" t="s">
        <v>240</v>
      </c>
      <c r="C256" s="42" t="s">
        <v>1179</v>
      </c>
      <c r="D256" s="61">
        <v>1</v>
      </c>
      <c r="E256" s="62">
        <v>0</v>
      </c>
      <c r="F256" s="63">
        <v>1</v>
      </c>
      <c r="G256"/>
    </row>
    <row r="257" spans="1:7" ht="15.6" x14ac:dyDescent="0.3">
      <c r="A257" s="43" t="s">
        <v>914</v>
      </c>
      <c r="B257" s="42" t="s">
        <v>250</v>
      </c>
      <c r="C257" s="42" t="s">
        <v>1189</v>
      </c>
      <c r="D257" s="61">
        <v>1</v>
      </c>
      <c r="E257" s="62">
        <v>0</v>
      </c>
      <c r="F257" s="63">
        <v>1</v>
      </c>
      <c r="G257"/>
    </row>
    <row r="258" spans="1:7" ht="15.6" x14ac:dyDescent="0.3">
      <c r="A258" s="43" t="s">
        <v>914</v>
      </c>
      <c r="B258" s="42" t="s">
        <v>253</v>
      </c>
      <c r="C258" s="42" t="s">
        <v>1192</v>
      </c>
      <c r="D258" s="61">
        <v>1</v>
      </c>
      <c r="E258" s="62">
        <v>0</v>
      </c>
      <c r="F258" s="63">
        <v>1</v>
      </c>
      <c r="G258"/>
    </row>
    <row r="259" spans="1:7" ht="15.6" x14ac:dyDescent="0.3">
      <c r="A259" s="43" t="s">
        <v>914</v>
      </c>
      <c r="B259" s="42" t="s">
        <v>239</v>
      </c>
      <c r="C259" s="42" t="s">
        <v>1178</v>
      </c>
      <c r="D259" s="61">
        <v>1</v>
      </c>
      <c r="E259" s="62">
        <v>0</v>
      </c>
      <c r="F259" s="63">
        <v>1</v>
      </c>
      <c r="G259"/>
    </row>
    <row r="260" spans="1:7" ht="15.6" x14ac:dyDescent="0.3">
      <c r="A260" s="43" t="s">
        <v>914</v>
      </c>
      <c r="B260" s="42" t="s">
        <v>249</v>
      </c>
      <c r="C260" s="42" t="s">
        <v>1188</v>
      </c>
      <c r="D260" s="61">
        <v>1</v>
      </c>
      <c r="E260" s="62">
        <v>0</v>
      </c>
      <c r="F260" s="63">
        <v>1</v>
      </c>
      <c r="G260"/>
    </row>
    <row r="261" spans="1:7" ht="15.6" x14ac:dyDescent="0.3">
      <c r="A261" s="43" t="s">
        <v>914</v>
      </c>
      <c r="B261" s="42" t="s">
        <v>236</v>
      </c>
      <c r="C261" s="42" t="s">
        <v>1175</v>
      </c>
      <c r="D261" s="61">
        <v>1</v>
      </c>
      <c r="E261" s="62">
        <v>0</v>
      </c>
      <c r="F261" s="63">
        <v>1</v>
      </c>
      <c r="G261"/>
    </row>
    <row r="262" spans="1:7" ht="15.6" x14ac:dyDescent="0.3">
      <c r="A262" s="43" t="s">
        <v>914</v>
      </c>
      <c r="B262" s="42" t="s">
        <v>241</v>
      </c>
      <c r="C262" s="42" t="s">
        <v>1180</v>
      </c>
      <c r="D262" s="61">
        <v>1</v>
      </c>
      <c r="E262" s="62">
        <v>0</v>
      </c>
      <c r="F262" s="63">
        <v>1</v>
      </c>
      <c r="G262"/>
    </row>
    <row r="263" spans="1:7" ht="15.6" x14ac:dyDescent="0.3">
      <c r="A263" s="43" t="s">
        <v>914</v>
      </c>
      <c r="B263" s="42" t="s">
        <v>254</v>
      </c>
      <c r="C263" s="42" t="s">
        <v>1193</v>
      </c>
      <c r="D263" s="61">
        <v>1</v>
      </c>
      <c r="E263" s="62">
        <v>0</v>
      </c>
      <c r="F263" s="63">
        <v>1</v>
      </c>
      <c r="G263"/>
    </row>
    <row r="264" spans="1:7" ht="15.6" x14ac:dyDescent="0.3">
      <c r="A264" s="43" t="s">
        <v>914</v>
      </c>
      <c r="B264" s="42" t="s">
        <v>235</v>
      </c>
      <c r="C264" s="42" t="s">
        <v>1174</v>
      </c>
      <c r="D264" s="61">
        <v>1</v>
      </c>
      <c r="E264" s="62">
        <v>0</v>
      </c>
      <c r="F264" s="63">
        <v>1</v>
      </c>
      <c r="G264"/>
    </row>
    <row r="265" spans="1:7" ht="15.6" x14ac:dyDescent="0.3">
      <c r="A265" s="43" t="s">
        <v>914</v>
      </c>
      <c r="B265" s="42" t="s">
        <v>246</v>
      </c>
      <c r="C265" s="42" t="s">
        <v>1185</v>
      </c>
      <c r="D265" s="61">
        <v>1</v>
      </c>
      <c r="E265" s="62">
        <v>0</v>
      </c>
      <c r="F265" s="63">
        <v>1</v>
      </c>
      <c r="G265"/>
    </row>
    <row r="266" spans="1:7" ht="15.6" x14ac:dyDescent="0.3">
      <c r="A266" s="43" t="s">
        <v>914</v>
      </c>
      <c r="B266" s="42" t="s">
        <v>300</v>
      </c>
      <c r="C266" s="42" t="s">
        <v>1244</v>
      </c>
      <c r="D266" s="61">
        <v>1</v>
      </c>
      <c r="E266" s="62">
        <v>0</v>
      </c>
      <c r="F266" s="63">
        <v>1</v>
      </c>
      <c r="G266"/>
    </row>
    <row r="267" spans="1:7" ht="15.6" x14ac:dyDescent="0.3">
      <c r="A267" s="43" t="s">
        <v>914</v>
      </c>
      <c r="B267" s="42" t="s">
        <v>698</v>
      </c>
      <c r="C267" s="42" t="s">
        <v>1670</v>
      </c>
      <c r="D267" s="61">
        <v>3</v>
      </c>
      <c r="E267" s="62">
        <v>0</v>
      </c>
      <c r="F267" s="63">
        <v>3</v>
      </c>
      <c r="G267"/>
    </row>
    <row r="268" spans="1:7" ht="15.6" x14ac:dyDescent="0.3">
      <c r="A268" s="43" t="s">
        <v>914</v>
      </c>
      <c r="B268" s="42" t="s">
        <v>447</v>
      </c>
      <c r="C268" s="42" t="s">
        <v>1404</v>
      </c>
      <c r="D268" s="61">
        <v>1</v>
      </c>
      <c r="E268" s="62">
        <v>0</v>
      </c>
      <c r="F268" s="63">
        <v>1</v>
      </c>
      <c r="G268"/>
    </row>
    <row r="269" spans="1:7" ht="15.6" x14ac:dyDescent="0.3">
      <c r="A269" s="43" t="s">
        <v>914</v>
      </c>
      <c r="B269" s="42" t="s">
        <v>859</v>
      </c>
      <c r="C269" s="42" t="s">
        <v>1854</v>
      </c>
      <c r="D269" s="61">
        <v>1</v>
      </c>
      <c r="E269" s="62">
        <v>1</v>
      </c>
      <c r="F269" s="63">
        <v>0</v>
      </c>
      <c r="G269"/>
    </row>
    <row r="270" spans="1:7" ht="15.6" x14ac:dyDescent="0.3">
      <c r="A270" s="43" t="s">
        <v>914</v>
      </c>
      <c r="B270" s="42" t="s">
        <v>618</v>
      </c>
      <c r="C270" s="42" t="s">
        <v>1583</v>
      </c>
      <c r="D270" s="61">
        <v>1</v>
      </c>
      <c r="E270" s="62">
        <v>0</v>
      </c>
      <c r="F270" s="63">
        <v>1</v>
      </c>
      <c r="G270"/>
    </row>
    <row r="271" spans="1:7" ht="15.6" x14ac:dyDescent="0.3">
      <c r="A271" s="43" t="s">
        <v>914</v>
      </c>
      <c r="B271" s="42" t="s">
        <v>631</v>
      </c>
      <c r="C271" s="42" t="s">
        <v>1597</v>
      </c>
      <c r="D271" s="61">
        <v>1</v>
      </c>
      <c r="E271" s="62">
        <v>0</v>
      </c>
      <c r="F271" s="63">
        <v>1</v>
      </c>
      <c r="G271"/>
    </row>
    <row r="272" spans="1:7" ht="15.6" x14ac:dyDescent="0.3">
      <c r="A272" s="43" t="s">
        <v>914</v>
      </c>
      <c r="B272" s="42" t="s">
        <v>636</v>
      </c>
      <c r="C272" s="42" t="s">
        <v>1602</v>
      </c>
      <c r="D272" s="61">
        <v>2</v>
      </c>
      <c r="E272" s="62">
        <v>0</v>
      </c>
      <c r="F272" s="63">
        <v>2</v>
      </c>
      <c r="G272"/>
    </row>
    <row r="273" spans="1:7" ht="15.6" x14ac:dyDescent="0.3">
      <c r="A273" s="43" t="s">
        <v>914</v>
      </c>
      <c r="B273" s="42" t="s">
        <v>635</v>
      </c>
      <c r="C273" s="42" t="s">
        <v>1601</v>
      </c>
      <c r="D273" s="61">
        <v>3</v>
      </c>
      <c r="E273" s="62">
        <v>0</v>
      </c>
      <c r="F273" s="63">
        <v>3</v>
      </c>
      <c r="G273"/>
    </row>
    <row r="274" spans="1:7" ht="15.6" x14ac:dyDescent="0.3">
      <c r="A274" s="43" t="s">
        <v>914</v>
      </c>
      <c r="B274" s="42" t="s">
        <v>632</v>
      </c>
      <c r="C274" s="42" t="s">
        <v>1598</v>
      </c>
      <c r="D274" s="61">
        <v>1</v>
      </c>
      <c r="E274" s="62">
        <v>0</v>
      </c>
      <c r="F274" s="63">
        <v>1</v>
      </c>
      <c r="G274"/>
    </row>
    <row r="275" spans="1:7" ht="15.6" x14ac:dyDescent="0.3">
      <c r="A275" s="43" t="s">
        <v>914</v>
      </c>
      <c r="B275" s="42" t="s">
        <v>633</v>
      </c>
      <c r="C275" s="42" t="s">
        <v>1599</v>
      </c>
      <c r="D275" s="61">
        <v>1</v>
      </c>
      <c r="E275" s="62">
        <v>0</v>
      </c>
      <c r="F275" s="63">
        <v>1</v>
      </c>
      <c r="G275"/>
    </row>
    <row r="276" spans="1:7" ht="15.6" x14ac:dyDescent="0.3">
      <c r="A276" s="43" t="s">
        <v>914</v>
      </c>
      <c r="B276" s="42" t="s">
        <v>634</v>
      </c>
      <c r="C276" s="42" t="s">
        <v>1600</v>
      </c>
      <c r="D276" s="61">
        <v>4</v>
      </c>
      <c r="E276" s="62">
        <v>0</v>
      </c>
      <c r="F276" s="63">
        <v>4</v>
      </c>
      <c r="G276"/>
    </row>
    <row r="277" spans="1:7" ht="15.6" x14ac:dyDescent="0.3">
      <c r="A277" s="43" t="s">
        <v>914</v>
      </c>
      <c r="B277" s="42" t="s">
        <v>637</v>
      </c>
      <c r="C277" s="42" t="s">
        <v>1603</v>
      </c>
      <c r="D277" s="61">
        <v>2</v>
      </c>
      <c r="E277" s="62">
        <v>0</v>
      </c>
      <c r="F277" s="63">
        <v>2</v>
      </c>
      <c r="G277"/>
    </row>
    <row r="278" spans="1:7" ht="15.6" x14ac:dyDescent="0.3">
      <c r="A278" s="43" t="s">
        <v>914</v>
      </c>
      <c r="B278" s="42" t="s">
        <v>630</v>
      </c>
      <c r="C278" s="42" t="s">
        <v>1596</v>
      </c>
      <c r="D278" s="61">
        <v>6</v>
      </c>
      <c r="E278" s="62">
        <v>0</v>
      </c>
      <c r="F278" s="63">
        <v>6</v>
      </c>
      <c r="G278"/>
    </row>
    <row r="279" spans="1:7" ht="15.6" x14ac:dyDescent="0.3">
      <c r="A279" s="43" t="s">
        <v>914</v>
      </c>
      <c r="B279" s="42" t="s">
        <v>629</v>
      </c>
      <c r="C279" s="42" t="s">
        <v>1595</v>
      </c>
      <c r="D279" s="61">
        <v>22</v>
      </c>
      <c r="E279" s="62">
        <v>0</v>
      </c>
      <c r="F279" s="63">
        <v>22</v>
      </c>
      <c r="G279"/>
    </row>
    <row r="280" spans="1:7" ht="15.6" x14ac:dyDescent="0.3">
      <c r="A280" s="43" t="s">
        <v>914</v>
      </c>
      <c r="B280" s="42" t="s">
        <v>628</v>
      </c>
      <c r="C280" s="42" t="s">
        <v>1594</v>
      </c>
      <c r="D280" s="61">
        <v>107</v>
      </c>
      <c r="E280" s="62">
        <v>0</v>
      </c>
      <c r="F280" s="63">
        <v>107</v>
      </c>
      <c r="G280"/>
    </row>
    <row r="281" spans="1:7" ht="15.6" x14ac:dyDescent="0.3">
      <c r="A281" s="43" t="s">
        <v>914</v>
      </c>
      <c r="B281" s="42" t="s">
        <v>1913</v>
      </c>
      <c r="C281" s="42" t="s">
        <v>1912</v>
      </c>
      <c r="D281" s="61">
        <v>1</v>
      </c>
      <c r="E281" s="62">
        <v>1</v>
      </c>
      <c r="F281" s="63">
        <v>0</v>
      </c>
      <c r="G281"/>
    </row>
    <row r="282" spans="1:7" ht="15.6" x14ac:dyDescent="0.3">
      <c r="A282" s="43" t="s">
        <v>914</v>
      </c>
      <c r="B282" s="42" t="s">
        <v>2465</v>
      </c>
      <c r="C282" s="42" t="s">
        <v>1203</v>
      </c>
      <c r="D282" s="61">
        <v>1</v>
      </c>
      <c r="E282" s="62">
        <v>0</v>
      </c>
      <c r="F282" s="63">
        <v>1</v>
      </c>
      <c r="G282"/>
    </row>
    <row r="283" spans="1:7" ht="15.6" x14ac:dyDescent="0.3">
      <c r="A283" s="43" t="s">
        <v>914</v>
      </c>
      <c r="B283" s="42" t="s">
        <v>2511</v>
      </c>
      <c r="C283" s="42" t="s">
        <v>1891</v>
      </c>
      <c r="D283" s="61">
        <v>1</v>
      </c>
      <c r="E283" s="62">
        <v>0</v>
      </c>
      <c r="F283" s="63">
        <v>1</v>
      </c>
      <c r="G283"/>
    </row>
    <row r="284" spans="1:7" ht="15.6" x14ac:dyDescent="0.3">
      <c r="A284" s="43" t="s">
        <v>914</v>
      </c>
      <c r="B284" s="42" t="s">
        <v>841</v>
      </c>
      <c r="C284" s="42" t="s">
        <v>1832</v>
      </c>
      <c r="D284" s="61">
        <v>1</v>
      </c>
      <c r="E284" s="62">
        <v>0</v>
      </c>
      <c r="F284" s="63">
        <v>1</v>
      </c>
      <c r="G284"/>
    </row>
    <row r="285" spans="1:7" ht="15.6" x14ac:dyDescent="0.3">
      <c r="A285" s="43" t="s">
        <v>914</v>
      </c>
      <c r="B285" s="42" t="s">
        <v>563</v>
      </c>
      <c r="C285" s="42" t="s">
        <v>1527</v>
      </c>
      <c r="D285" s="61">
        <v>1</v>
      </c>
      <c r="E285" s="62">
        <v>0</v>
      </c>
      <c r="F285" s="63">
        <v>1</v>
      </c>
      <c r="G285"/>
    </row>
    <row r="286" spans="1:7" ht="15.6" x14ac:dyDescent="0.3">
      <c r="A286" s="43" t="s">
        <v>914</v>
      </c>
      <c r="B286" s="42" t="s">
        <v>887</v>
      </c>
      <c r="C286" s="42" t="s">
        <v>1889</v>
      </c>
      <c r="D286" s="61">
        <v>1</v>
      </c>
      <c r="E286" s="62">
        <v>0</v>
      </c>
      <c r="F286" s="63">
        <v>1</v>
      </c>
      <c r="G286"/>
    </row>
    <row r="287" spans="1:7" ht="15.6" x14ac:dyDescent="0.3">
      <c r="A287" s="43" t="s">
        <v>914</v>
      </c>
      <c r="B287" s="42" t="s">
        <v>800</v>
      </c>
      <c r="C287" s="42" t="s">
        <v>1783</v>
      </c>
      <c r="D287" s="61">
        <v>1</v>
      </c>
      <c r="E287" s="62">
        <v>0</v>
      </c>
      <c r="F287" s="63">
        <v>1</v>
      </c>
      <c r="G287"/>
    </row>
    <row r="288" spans="1:7" ht="15.6" x14ac:dyDescent="0.3">
      <c r="A288" s="43" t="s">
        <v>914</v>
      </c>
      <c r="B288" s="42" t="s">
        <v>429</v>
      </c>
      <c r="C288" s="42" t="s">
        <v>1386</v>
      </c>
      <c r="D288" s="61">
        <v>2</v>
      </c>
      <c r="E288" s="62">
        <v>0</v>
      </c>
      <c r="F288" s="63">
        <v>2</v>
      </c>
      <c r="G288"/>
    </row>
    <row r="289" spans="1:7" ht="15.6" x14ac:dyDescent="0.3">
      <c r="A289" s="43" t="s">
        <v>914</v>
      </c>
      <c r="B289" s="42" t="s">
        <v>466</v>
      </c>
      <c r="C289" s="42" t="s">
        <v>1423</v>
      </c>
      <c r="D289" s="61">
        <v>1</v>
      </c>
      <c r="E289" s="62">
        <v>0</v>
      </c>
      <c r="F289" s="63">
        <v>1</v>
      </c>
      <c r="G289"/>
    </row>
    <row r="290" spans="1:7" ht="15.6" x14ac:dyDescent="0.3">
      <c r="A290" s="43" t="s">
        <v>914</v>
      </c>
      <c r="B290" s="42" t="s">
        <v>755</v>
      </c>
      <c r="C290" s="42" t="s">
        <v>1732</v>
      </c>
      <c r="D290" s="61">
        <v>3</v>
      </c>
      <c r="E290" s="62">
        <v>0</v>
      </c>
      <c r="F290" s="63">
        <v>3</v>
      </c>
      <c r="G290"/>
    </row>
    <row r="291" spans="1:7" ht="15.6" x14ac:dyDescent="0.3">
      <c r="A291" s="43" t="s">
        <v>914</v>
      </c>
      <c r="B291" s="42" t="s">
        <v>537</v>
      </c>
      <c r="C291" s="42" t="s">
        <v>1500</v>
      </c>
      <c r="D291" s="61">
        <v>1</v>
      </c>
      <c r="E291" s="62">
        <v>0</v>
      </c>
      <c r="F291" s="63">
        <v>1</v>
      </c>
      <c r="G291"/>
    </row>
    <row r="292" spans="1:7" ht="15.6" x14ac:dyDescent="0.3">
      <c r="A292" s="43" t="s">
        <v>914</v>
      </c>
      <c r="B292" s="42" t="s">
        <v>864</v>
      </c>
      <c r="C292" s="42" t="s">
        <v>1859</v>
      </c>
      <c r="D292" s="61">
        <v>3</v>
      </c>
      <c r="E292" s="62">
        <v>0</v>
      </c>
      <c r="F292" s="63">
        <v>3</v>
      </c>
      <c r="G292"/>
    </row>
    <row r="293" spans="1:7" ht="15.6" x14ac:dyDescent="0.3">
      <c r="A293" s="43" t="s">
        <v>914</v>
      </c>
      <c r="B293" s="42" t="s">
        <v>480</v>
      </c>
      <c r="C293" s="42" t="s">
        <v>1437</v>
      </c>
      <c r="D293" s="61">
        <v>2</v>
      </c>
      <c r="E293" s="62">
        <v>0</v>
      </c>
      <c r="F293" s="63">
        <v>2</v>
      </c>
      <c r="G293"/>
    </row>
    <row r="294" spans="1:7" ht="15.6" x14ac:dyDescent="0.3">
      <c r="A294" s="43" t="s">
        <v>914</v>
      </c>
      <c r="B294" s="42" t="s">
        <v>119</v>
      </c>
      <c r="C294" s="42" t="s">
        <v>1053</v>
      </c>
      <c r="D294" s="61">
        <v>1</v>
      </c>
      <c r="E294" s="62">
        <v>0</v>
      </c>
      <c r="F294" s="63">
        <v>1</v>
      </c>
      <c r="G294"/>
    </row>
    <row r="295" spans="1:7" ht="15.6" x14ac:dyDescent="0.3">
      <c r="A295" s="43" t="s">
        <v>914</v>
      </c>
      <c r="B295" s="42" t="s">
        <v>2073</v>
      </c>
      <c r="C295" s="42" t="s">
        <v>2080</v>
      </c>
      <c r="D295" s="61">
        <v>3</v>
      </c>
      <c r="E295" s="62">
        <v>0</v>
      </c>
      <c r="F295" s="63">
        <v>3</v>
      </c>
      <c r="G295"/>
    </row>
    <row r="296" spans="1:7" ht="15.6" x14ac:dyDescent="0.3">
      <c r="A296" s="43" t="s">
        <v>914</v>
      </c>
      <c r="B296" s="42" t="s">
        <v>293</v>
      </c>
      <c r="C296" s="42" t="s">
        <v>1236</v>
      </c>
      <c r="D296" s="61">
        <v>13</v>
      </c>
      <c r="E296" s="62">
        <v>0</v>
      </c>
      <c r="F296" s="63">
        <v>13</v>
      </c>
      <c r="G296"/>
    </row>
    <row r="297" spans="1:7" ht="15.6" x14ac:dyDescent="0.3">
      <c r="A297" s="43" t="s">
        <v>914</v>
      </c>
      <c r="B297" s="42" t="s">
        <v>295</v>
      </c>
      <c r="C297" s="42" t="s">
        <v>1238</v>
      </c>
      <c r="D297" s="61">
        <v>1</v>
      </c>
      <c r="E297" s="62">
        <v>0</v>
      </c>
      <c r="F297" s="63">
        <v>1</v>
      </c>
      <c r="G297"/>
    </row>
    <row r="298" spans="1:7" ht="15.6" x14ac:dyDescent="0.3">
      <c r="A298" s="43" t="s">
        <v>914</v>
      </c>
      <c r="B298" s="42" t="s">
        <v>294</v>
      </c>
      <c r="C298" s="42" t="s">
        <v>1237</v>
      </c>
      <c r="D298" s="61">
        <v>1</v>
      </c>
      <c r="E298" s="62">
        <v>0</v>
      </c>
      <c r="F298" s="63">
        <v>1</v>
      </c>
      <c r="G298"/>
    </row>
    <row r="299" spans="1:7" ht="15.6" x14ac:dyDescent="0.3">
      <c r="A299" s="43" t="s">
        <v>914</v>
      </c>
      <c r="B299" s="42" t="s">
        <v>2022</v>
      </c>
      <c r="C299" s="42" t="s">
        <v>2038</v>
      </c>
      <c r="D299" s="61">
        <v>12</v>
      </c>
      <c r="E299" s="62">
        <v>0</v>
      </c>
      <c r="F299" s="63">
        <v>12</v>
      </c>
      <c r="G299"/>
    </row>
    <row r="300" spans="1:7" ht="15.6" x14ac:dyDescent="0.3">
      <c r="A300" s="43" t="s">
        <v>914</v>
      </c>
      <c r="B300" s="42" t="s">
        <v>2023</v>
      </c>
      <c r="C300" s="42" t="s">
        <v>2039</v>
      </c>
      <c r="D300" s="61">
        <v>24</v>
      </c>
      <c r="E300" s="62">
        <v>0</v>
      </c>
      <c r="F300" s="63">
        <v>24</v>
      </c>
      <c r="G300"/>
    </row>
    <row r="301" spans="1:7" ht="15.6" x14ac:dyDescent="0.3">
      <c r="A301" s="43" t="s">
        <v>914</v>
      </c>
      <c r="B301" s="42" t="s">
        <v>2024</v>
      </c>
      <c r="C301" s="42" t="s">
        <v>2040</v>
      </c>
      <c r="D301" s="61">
        <v>12</v>
      </c>
      <c r="E301" s="62">
        <v>0</v>
      </c>
      <c r="F301" s="63">
        <v>12</v>
      </c>
      <c r="G301"/>
    </row>
    <row r="302" spans="1:7" ht="15.6" x14ac:dyDescent="0.3">
      <c r="A302" s="43" t="s">
        <v>914</v>
      </c>
      <c r="B302" s="42" t="s">
        <v>690</v>
      </c>
      <c r="C302" s="42" t="s">
        <v>1662</v>
      </c>
      <c r="D302" s="61">
        <v>17</v>
      </c>
      <c r="E302" s="62">
        <v>0</v>
      </c>
      <c r="F302" s="63">
        <v>17</v>
      </c>
      <c r="G302"/>
    </row>
    <row r="303" spans="1:7" ht="15.6" x14ac:dyDescent="0.3">
      <c r="A303" s="43" t="s">
        <v>914</v>
      </c>
      <c r="B303" s="42" t="s">
        <v>154</v>
      </c>
      <c r="C303" s="42" t="s">
        <v>1088</v>
      </c>
      <c r="D303" s="61">
        <v>1</v>
      </c>
      <c r="E303" s="62">
        <v>0</v>
      </c>
      <c r="F303" s="63">
        <v>1</v>
      </c>
      <c r="G303"/>
    </row>
    <row r="304" spans="1:7" ht="15.6" x14ac:dyDescent="0.3">
      <c r="A304" s="43" t="s">
        <v>914</v>
      </c>
      <c r="B304" s="42" t="s">
        <v>157</v>
      </c>
      <c r="C304" s="42" t="s">
        <v>1092</v>
      </c>
      <c r="D304" s="61">
        <v>1</v>
      </c>
      <c r="E304" s="62">
        <v>0</v>
      </c>
      <c r="F304" s="63">
        <v>1</v>
      </c>
      <c r="G304"/>
    </row>
    <row r="305" spans="1:7" ht="15.6" x14ac:dyDescent="0.3">
      <c r="A305" s="43" t="s">
        <v>914</v>
      </c>
      <c r="B305" s="42" t="s">
        <v>156</v>
      </c>
      <c r="C305" s="42" t="s">
        <v>1091</v>
      </c>
      <c r="D305" s="61">
        <v>1</v>
      </c>
      <c r="E305" s="62">
        <v>0</v>
      </c>
      <c r="F305" s="63">
        <v>1</v>
      </c>
      <c r="G305"/>
    </row>
    <row r="306" spans="1:7" ht="15.6" x14ac:dyDescent="0.3">
      <c r="A306" s="43" t="s">
        <v>914</v>
      </c>
      <c r="B306" s="42" t="s">
        <v>2461</v>
      </c>
      <c r="C306" s="42" t="s">
        <v>1090</v>
      </c>
      <c r="D306" s="61">
        <v>1</v>
      </c>
      <c r="E306" s="62">
        <v>0</v>
      </c>
      <c r="F306" s="63">
        <v>1</v>
      </c>
      <c r="G306"/>
    </row>
    <row r="307" spans="1:7" ht="15.6" x14ac:dyDescent="0.3">
      <c r="A307" s="43" t="s">
        <v>914</v>
      </c>
      <c r="B307" s="42" t="s">
        <v>155</v>
      </c>
      <c r="C307" s="42" t="s">
        <v>1089</v>
      </c>
      <c r="D307" s="61">
        <v>1</v>
      </c>
      <c r="E307" s="62">
        <v>1</v>
      </c>
      <c r="F307" s="63">
        <v>0</v>
      </c>
      <c r="G307"/>
    </row>
    <row r="308" spans="1:7" ht="15.6" x14ac:dyDescent="0.3">
      <c r="A308" s="43" t="s">
        <v>914</v>
      </c>
      <c r="B308" s="42" t="s">
        <v>158</v>
      </c>
      <c r="C308" s="42" t="s">
        <v>1093</v>
      </c>
      <c r="D308" s="61">
        <v>1</v>
      </c>
      <c r="E308" s="62">
        <v>0</v>
      </c>
      <c r="F308" s="63">
        <v>1</v>
      </c>
      <c r="G308"/>
    </row>
    <row r="309" spans="1:7" ht="15.6" x14ac:dyDescent="0.3">
      <c r="A309" s="43" t="s">
        <v>914</v>
      </c>
      <c r="B309" s="42" t="s">
        <v>175</v>
      </c>
      <c r="C309" s="42" t="s">
        <v>1112</v>
      </c>
      <c r="D309" s="61">
        <v>1</v>
      </c>
      <c r="E309" s="62">
        <v>0</v>
      </c>
      <c r="F309" s="63">
        <v>1</v>
      </c>
      <c r="G309"/>
    </row>
    <row r="310" spans="1:7" ht="15.6" x14ac:dyDescent="0.3">
      <c r="A310" s="43" t="s">
        <v>914</v>
      </c>
      <c r="B310" s="42" t="s">
        <v>687</v>
      </c>
      <c r="C310" s="42" t="s">
        <v>1658</v>
      </c>
      <c r="D310" s="61">
        <v>1</v>
      </c>
      <c r="E310" s="62">
        <v>0</v>
      </c>
      <c r="F310" s="63">
        <v>1</v>
      </c>
      <c r="G310"/>
    </row>
    <row r="311" spans="1:7" ht="15.6" x14ac:dyDescent="0.3">
      <c r="A311" s="43" t="s">
        <v>914</v>
      </c>
      <c r="B311" s="42" t="s">
        <v>186</v>
      </c>
      <c r="C311" s="42" t="s">
        <v>1123</v>
      </c>
      <c r="D311" s="61">
        <v>1</v>
      </c>
      <c r="E311" s="62">
        <v>0</v>
      </c>
      <c r="F311" s="63">
        <v>1</v>
      </c>
      <c r="G311"/>
    </row>
    <row r="312" spans="1:7" ht="15.6" x14ac:dyDescent="0.3">
      <c r="A312" s="43" t="s">
        <v>914</v>
      </c>
      <c r="B312" s="42" t="s">
        <v>127</v>
      </c>
      <c r="C312" s="42" t="s">
        <v>1061</v>
      </c>
      <c r="D312" s="61">
        <v>1</v>
      </c>
      <c r="E312" s="62">
        <v>1</v>
      </c>
      <c r="F312" s="63">
        <v>0</v>
      </c>
      <c r="G312"/>
    </row>
    <row r="313" spans="1:7" ht="15.6" x14ac:dyDescent="0.3">
      <c r="A313" s="43" t="s">
        <v>914</v>
      </c>
      <c r="B313" s="42" t="s">
        <v>172</v>
      </c>
      <c r="C313" s="42" t="s">
        <v>1109</v>
      </c>
      <c r="D313" s="61">
        <v>1</v>
      </c>
      <c r="E313" s="62">
        <v>0</v>
      </c>
      <c r="F313" s="63">
        <v>1</v>
      </c>
      <c r="G313"/>
    </row>
    <row r="314" spans="1:7" ht="15.6" x14ac:dyDescent="0.3">
      <c r="A314" s="43" t="s">
        <v>914</v>
      </c>
      <c r="B314" s="42" t="s">
        <v>145</v>
      </c>
      <c r="C314" s="42" t="s">
        <v>1079</v>
      </c>
      <c r="D314" s="61">
        <v>1</v>
      </c>
      <c r="E314" s="62">
        <v>0</v>
      </c>
      <c r="F314" s="63">
        <v>1</v>
      </c>
      <c r="G314"/>
    </row>
    <row r="315" spans="1:7" ht="15.6" x14ac:dyDescent="0.3">
      <c r="A315" s="43" t="s">
        <v>914</v>
      </c>
      <c r="B315" s="42" t="s">
        <v>2488</v>
      </c>
      <c r="C315" s="42" t="s">
        <v>1681</v>
      </c>
      <c r="D315" s="61">
        <v>94</v>
      </c>
      <c r="E315" s="62">
        <v>0</v>
      </c>
      <c r="F315" s="63">
        <v>94</v>
      </c>
      <c r="G315"/>
    </row>
    <row r="316" spans="1:7" ht="15.6" x14ac:dyDescent="0.3">
      <c r="A316" s="43" t="s">
        <v>914</v>
      </c>
      <c r="B316" s="42" t="s">
        <v>811</v>
      </c>
      <c r="C316" s="42" t="s">
        <v>1799</v>
      </c>
      <c r="D316" s="61">
        <v>1</v>
      </c>
      <c r="E316" s="62">
        <v>0</v>
      </c>
      <c r="F316" s="63">
        <v>1</v>
      </c>
      <c r="G316"/>
    </row>
    <row r="317" spans="1:7" ht="15.6" x14ac:dyDescent="0.3">
      <c r="A317" s="43" t="s">
        <v>914</v>
      </c>
      <c r="B317" s="42" t="s">
        <v>2142</v>
      </c>
      <c r="C317" s="42" t="s">
        <v>2143</v>
      </c>
      <c r="D317" s="61">
        <v>1</v>
      </c>
      <c r="E317" s="62">
        <v>1</v>
      </c>
      <c r="F317" s="63">
        <v>0</v>
      </c>
      <c r="G317"/>
    </row>
    <row r="318" spans="1:7" ht="15.6" x14ac:dyDescent="0.3">
      <c r="A318" s="43" t="s">
        <v>914</v>
      </c>
      <c r="B318" s="42" t="s">
        <v>743</v>
      </c>
      <c r="C318" s="42" t="s">
        <v>1720</v>
      </c>
      <c r="D318" s="61">
        <v>10</v>
      </c>
      <c r="E318" s="62">
        <v>0</v>
      </c>
      <c r="F318" s="63">
        <v>10</v>
      </c>
      <c r="G318"/>
    </row>
    <row r="319" spans="1:7" ht="15.6" x14ac:dyDescent="0.3">
      <c r="A319" s="43" t="s">
        <v>914</v>
      </c>
      <c r="B319" s="42" t="s">
        <v>744</v>
      </c>
      <c r="C319" s="42" t="s">
        <v>1721</v>
      </c>
      <c r="D319" s="61">
        <v>8</v>
      </c>
      <c r="E319" s="62">
        <v>0</v>
      </c>
      <c r="F319" s="63">
        <v>8</v>
      </c>
      <c r="G319"/>
    </row>
    <row r="320" spans="1:7" ht="15.6" x14ac:dyDescent="0.3">
      <c r="A320" s="43" t="s">
        <v>914</v>
      </c>
      <c r="B320" s="42" t="s">
        <v>441</v>
      </c>
      <c r="C320" s="42" t="s">
        <v>1398</v>
      </c>
      <c r="D320" s="61">
        <v>1</v>
      </c>
      <c r="E320" s="62">
        <v>0</v>
      </c>
      <c r="F320" s="63">
        <v>1</v>
      </c>
      <c r="G320"/>
    </row>
    <row r="321" spans="1:7" ht="15.6" x14ac:dyDescent="0.3">
      <c r="A321" s="43" t="s">
        <v>914</v>
      </c>
      <c r="B321" s="42" t="s">
        <v>130</v>
      </c>
      <c r="C321" s="42" t="s">
        <v>1064</v>
      </c>
      <c r="D321" s="61">
        <v>8</v>
      </c>
      <c r="E321" s="62">
        <v>4</v>
      </c>
      <c r="F321" s="63">
        <v>4</v>
      </c>
      <c r="G321"/>
    </row>
    <row r="322" spans="1:7" ht="15.6" x14ac:dyDescent="0.3">
      <c r="A322" s="43" t="s">
        <v>914</v>
      </c>
      <c r="B322" s="42" t="s">
        <v>214</v>
      </c>
      <c r="C322" s="42" t="s">
        <v>1152</v>
      </c>
      <c r="D322" s="61">
        <v>3</v>
      </c>
      <c r="E322" s="62">
        <v>0</v>
      </c>
      <c r="F322" s="63">
        <v>3</v>
      </c>
      <c r="G322"/>
    </row>
    <row r="323" spans="1:7" ht="15.6" x14ac:dyDescent="0.3">
      <c r="A323" s="43" t="s">
        <v>914</v>
      </c>
      <c r="B323" s="42" t="s">
        <v>430</v>
      </c>
      <c r="C323" s="42" t="s">
        <v>1387</v>
      </c>
      <c r="D323" s="61">
        <v>1</v>
      </c>
      <c r="E323" s="62">
        <v>0</v>
      </c>
      <c r="F323" s="63">
        <v>1</v>
      </c>
      <c r="G323"/>
    </row>
    <row r="324" spans="1:7" ht="15.6" x14ac:dyDescent="0.3">
      <c r="A324" s="43" t="s">
        <v>914</v>
      </c>
      <c r="B324" s="42" t="s">
        <v>215</v>
      </c>
      <c r="C324" s="42" t="s">
        <v>1153</v>
      </c>
      <c r="D324" s="61">
        <v>1</v>
      </c>
      <c r="E324" s="62">
        <v>0</v>
      </c>
      <c r="F324" s="63">
        <v>1</v>
      </c>
      <c r="G324"/>
    </row>
    <row r="325" spans="1:7" ht="15.6" x14ac:dyDescent="0.3">
      <c r="A325" s="43" t="s">
        <v>914</v>
      </c>
      <c r="B325" s="42" t="s">
        <v>2141</v>
      </c>
      <c r="C325" s="42" t="s">
        <v>1377</v>
      </c>
      <c r="D325" s="61">
        <v>12</v>
      </c>
      <c r="E325" s="62">
        <v>6</v>
      </c>
      <c r="F325" s="63">
        <v>6</v>
      </c>
      <c r="G325"/>
    </row>
    <row r="326" spans="1:7" ht="15.6" x14ac:dyDescent="0.3">
      <c r="A326" s="43" t="s">
        <v>914</v>
      </c>
      <c r="B326" s="42" t="s">
        <v>577</v>
      </c>
      <c r="C326" s="42" t="s">
        <v>1541</v>
      </c>
      <c r="D326" s="61">
        <v>1</v>
      </c>
      <c r="E326" s="62">
        <v>0</v>
      </c>
      <c r="F326" s="63">
        <v>1</v>
      </c>
      <c r="G326"/>
    </row>
    <row r="327" spans="1:7" ht="15.6" x14ac:dyDescent="0.3">
      <c r="A327" s="43" t="s">
        <v>914</v>
      </c>
      <c r="B327" s="42" t="s">
        <v>810</v>
      </c>
      <c r="C327" s="42" t="s">
        <v>1798</v>
      </c>
      <c r="D327" s="61">
        <v>1</v>
      </c>
      <c r="E327" s="62">
        <v>0</v>
      </c>
      <c r="F327" s="63">
        <v>1</v>
      </c>
      <c r="G327"/>
    </row>
    <row r="328" spans="1:7" ht="15.6" x14ac:dyDescent="0.3">
      <c r="A328" s="43" t="s">
        <v>914</v>
      </c>
      <c r="B328" s="42" t="s">
        <v>120</v>
      </c>
      <c r="C328" s="42" t="s">
        <v>1054</v>
      </c>
      <c r="D328" s="61">
        <v>1</v>
      </c>
      <c r="E328" s="62">
        <v>0</v>
      </c>
      <c r="F328" s="63">
        <v>1</v>
      </c>
      <c r="G328"/>
    </row>
    <row r="329" spans="1:7" ht="15.6" x14ac:dyDescent="0.3">
      <c r="A329" s="43" t="s">
        <v>914</v>
      </c>
      <c r="B329" s="42" t="s">
        <v>321</v>
      </c>
      <c r="C329" s="42" t="s">
        <v>1266</v>
      </c>
      <c r="D329" s="61">
        <v>1</v>
      </c>
      <c r="E329" s="62">
        <v>1</v>
      </c>
      <c r="F329" s="63">
        <v>0</v>
      </c>
      <c r="G329"/>
    </row>
    <row r="330" spans="1:7" ht="15.6" x14ac:dyDescent="0.3">
      <c r="A330" s="43" t="s">
        <v>914</v>
      </c>
      <c r="B330" s="42" t="s">
        <v>2469</v>
      </c>
      <c r="C330" s="42" t="s">
        <v>1265</v>
      </c>
      <c r="D330" s="61">
        <v>1</v>
      </c>
      <c r="E330" s="62">
        <v>0</v>
      </c>
      <c r="F330" s="63">
        <v>1</v>
      </c>
      <c r="G330"/>
    </row>
    <row r="331" spans="1:7" ht="15.6" x14ac:dyDescent="0.3">
      <c r="A331" s="43" t="s">
        <v>914</v>
      </c>
      <c r="B331" s="42" t="s">
        <v>316</v>
      </c>
      <c r="C331" s="42" t="s">
        <v>1260</v>
      </c>
      <c r="D331" s="61">
        <v>3</v>
      </c>
      <c r="E331" s="62">
        <v>3</v>
      </c>
      <c r="F331" s="63">
        <v>0</v>
      </c>
      <c r="G331"/>
    </row>
    <row r="332" spans="1:7" ht="15.6" x14ac:dyDescent="0.3">
      <c r="A332" s="43" t="s">
        <v>914</v>
      </c>
      <c r="B332" s="42" t="s">
        <v>317</v>
      </c>
      <c r="C332" s="42" t="s">
        <v>1261</v>
      </c>
      <c r="D332" s="61">
        <v>1</v>
      </c>
      <c r="E332" s="62">
        <v>1</v>
      </c>
      <c r="F332" s="63">
        <v>0</v>
      </c>
      <c r="G332"/>
    </row>
    <row r="333" spans="1:7" ht="15.6" x14ac:dyDescent="0.3">
      <c r="A333" s="43" t="s">
        <v>914</v>
      </c>
      <c r="B333" s="42" t="s">
        <v>129</v>
      </c>
      <c r="C333" s="42" t="s">
        <v>1063</v>
      </c>
      <c r="D333" s="61">
        <v>1</v>
      </c>
      <c r="E333" s="62">
        <v>0</v>
      </c>
      <c r="F333" s="63">
        <v>1</v>
      </c>
      <c r="G333"/>
    </row>
    <row r="334" spans="1:7" ht="15.6" x14ac:dyDescent="0.3">
      <c r="A334" s="43" t="s">
        <v>914</v>
      </c>
      <c r="B334" s="42" t="s">
        <v>719</v>
      </c>
      <c r="C334" s="42" t="s">
        <v>1696</v>
      </c>
      <c r="D334" s="61">
        <v>1</v>
      </c>
      <c r="E334" s="62">
        <v>0</v>
      </c>
      <c r="F334" s="63">
        <v>1</v>
      </c>
      <c r="G334"/>
    </row>
    <row r="335" spans="1:7" ht="15.6" x14ac:dyDescent="0.3">
      <c r="A335" s="43" t="s">
        <v>914</v>
      </c>
      <c r="B335" s="42" t="s">
        <v>2092</v>
      </c>
      <c r="C335" s="42" t="s">
        <v>2093</v>
      </c>
      <c r="D335" s="61">
        <v>4</v>
      </c>
      <c r="E335" s="62">
        <v>0</v>
      </c>
      <c r="F335" s="63">
        <v>4</v>
      </c>
      <c r="G335"/>
    </row>
    <row r="336" spans="1:7" ht="15.6" x14ac:dyDescent="0.3">
      <c r="A336" s="43" t="s">
        <v>914</v>
      </c>
      <c r="B336" s="42" t="s">
        <v>262</v>
      </c>
      <c r="C336" s="42" t="s">
        <v>1201</v>
      </c>
      <c r="D336" s="61">
        <v>2</v>
      </c>
      <c r="E336" s="62">
        <v>0</v>
      </c>
      <c r="F336" s="63">
        <v>2</v>
      </c>
      <c r="G336"/>
    </row>
    <row r="337" spans="1:7" ht="15.6" x14ac:dyDescent="0.3">
      <c r="A337" s="43" t="s">
        <v>914</v>
      </c>
      <c r="B337" s="42" t="s">
        <v>853</v>
      </c>
      <c r="C337" s="42" t="s">
        <v>1846</v>
      </c>
      <c r="D337" s="61">
        <v>1</v>
      </c>
      <c r="E337" s="62">
        <v>0</v>
      </c>
      <c r="F337" s="63">
        <v>1</v>
      </c>
      <c r="G337"/>
    </row>
    <row r="338" spans="1:7" ht="15.6" x14ac:dyDescent="0.3">
      <c r="A338" s="43" t="s">
        <v>914</v>
      </c>
      <c r="B338" s="42" t="s">
        <v>176</v>
      </c>
      <c r="C338" s="42" t="s">
        <v>1113</v>
      </c>
      <c r="D338" s="61">
        <v>1</v>
      </c>
      <c r="E338" s="62">
        <v>0</v>
      </c>
      <c r="F338" s="63">
        <v>1</v>
      </c>
      <c r="G338"/>
    </row>
    <row r="339" spans="1:7" ht="15.6" x14ac:dyDescent="0.3">
      <c r="A339" s="43" t="s">
        <v>914</v>
      </c>
      <c r="B339" s="42" t="s">
        <v>184</v>
      </c>
      <c r="C339" s="42" t="s">
        <v>1121</v>
      </c>
      <c r="D339" s="61">
        <v>1</v>
      </c>
      <c r="E339" s="62">
        <v>0</v>
      </c>
      <c r="F339" s="63">
        <v>1</v>
      </c>
      <c r="G339"/>
    </row>
    <row r="340" spans="1:7" ht="15.6" x14ac:dyDescent="0.3">
      <c r="A340" s="43" t="s">
        <v>914</v>
      </c>
      <c r="B340" s="42" t="s">
        <v>275</v>
      </c>
      <c r="C340" s="42" t="s">
        <v>1217</v>
      </c>
      <c r="D340" s="61">
        <v>1</v>
      </c>
      <c r="E340" s="62">
        <v>0</v>
      </c>
      <c r="F340" s="63">
        <v>1</v>
      </c>
      <c r="G340"/>
    </row>
    <row r="341" spans="1:7" ht="15.6" x14ac:dyDescent="0.3">
      <c r="A341" s="43" t="s">
        <v>914</v>
      </c>
      <c r="B341" s="42" t="s">
        <v>274</v>
      </c>
      <c r="C341" s="42" t="s">
        <v>1216</v>
      </c>
      <c r="D341" s="61">
        <v>1</v>
      </c>
      <c r="E341" s="62">
        <v>0</v>
      </c>
      <c r="F341" s="63">
        <v>1</v>
      </c>
      <c r="G341"/>
    </row>
    <row r="342" spans="1:7" ht="15.6" x14ac:dyDescent="0.3">
      <c r="A342" s="43" t="s">
        <v>914</v>
      </c>
      <c r="B342" s="42" t="s">
        <v>874</v>
      </c>
      <c r="C342" s="42" t="s">
        <v>1871</v>
      </c>
      <c r="D342" s="61">
        <v>6</v>
      </c>
      <c r="E342" s="62">
        <v>0</v>
      </c>
      <c r="F342" s="63">
        <v>6</v>
      </c>
      <c r="G342"/>
    </row>
    <row r="343" spans="1:7" ht="15.6" x14ac:dyDescent="0.3">
      <c r="A343" s="43" t="s">
        <v>914</v>
      </c>
      <c r="B343" s="42" t="s">
        <v>875</v>
      </c>
      <c r="C343" s="42" t="s">
        <v>1872</v>
      </c>
      <c r="D343" s="61">
        <v>2</v>
      </c>
      <c r="E343" s="62">
        <v>2</v>
      </c>
      <c r="F343" s="63">
        <v>0</v>
      </c>
      <c r="G343"/>
    </row>
    <row r="344" spans="1:7" ht="15.6" x14ac:dyDescent="0.3">
      <c r="A344" s="43" t="s">
        <v>914</v>
      </c>
      <c r="B344" s="42" t="s">
        <v>2501</v>
      </c>
      <c r="C344" s="42" t="s">
        <v>1823</v>
      </c>
      <c r="D344" s="61">
        <v>63</v>
      </c>
      <c r="E344" s="62">
        <v>10</v>
      </c>
      <c r="F344" s="63">
        <v>53</v>
      </c>
      <c r="G344"/>
    </row>
    <row r="345" spans="1:7" ht="15.6" x14ac:dyDescent="0.3">
      <c r="A345" s="43" t="s">
        <v>914</v>
      </c>
      <c r="B345" s="42" t="s">
        <v>856</v>
      </c>
      <c r="C345" s="42" t="s">
        <v>1851</v>
      </c>
      <c r="D345" s="61">
        <v>1</v>
      </c>
      <c r="E345" s="62">
        <v>0</v>
      </c>
      <c r="F345" s="63">
        <v>1</v>
      </c>
      <c r="G345"/>
    </row>
    <row r="346" spans="1:7" ht="15.6" x14ac:dyDescent="0.3">
      <c r="A346" s="43" t="s">
        <v>914</v>
      </c>
      <c r="B346" s="42" t="s">
        <v>754</v>
      </c>
      <c r="C346" s="42" t="s">
        <v>1731</v>
      </c>
      <c r="D346" s="61">
        <v>1</v>
      </c>
      <c r="E346" s="62">
        <v>0</v>
      </c>
      <c r="F346" s="63">
        <v>1</v>
      </c>
      <c r="G346"/>
    </row>
    <row r="347" spans="1:7" ht="15.6" x14ac:dyDescent="0.3">
      <c r="A347" s="43" t="s">
        <v>914</v>
      </c>
      <c r="B347" s="42" t="s">
        <v>291</v>
      </c>
      <c r="C347" s="42" t="s">
        <v>1233</v>
      </c>
      <c r="D347" s="61">
        <v>3</v>
      </c>
      <c r="E347" s="62">
        <v>2</v>
      </c>
      <c r="F347" s="63">
        <v>1</v>
      </c>
      <c r="G347"/>
    </row>
    <row r="348" spans="1:7" ht="15.6" x14ac:dyDescent="0.3">
      <c r="A348" s="43" t="s">
        <v>914</v>
      </c>
      <c r="B348" s="42" t="s">
        <v>2500</v>
      </c>
      <c r="C348" s="42" t="s">
        <v>1803</v>
      </c>
      <c r="D348" s="61">
        <v>1</v>
      </c>
      <c r="E348" s="62">
        <v>0</v>
      </c>
      <c r="F348" s="63">
        <v>1</v>
      </c>
      <c r="G348"/>
    </row>
    <row r="349" spans="1:7" ht="15.6" x14ac:dyDescent="0.3">
      <c r="A349" s="43" t="s">
        <v>914</v>
      </c>
      <c r="B349" s="42" t="s">
        <v>289</v>
      </c>
      <c r="C349" s="42" t="s">
        <v>1231</v>
      </c>
      <c r="D349" s="61">
        <v>5</v>
      </c>
      <c r="E349" s="62">
        <v>0</v>
      </c>
      <c r="F349" s="63">
        <v>5</v>
      </c>
      <c r="G349"/>
    </row>
    <row r="350" spans="1:7" ht="15.6" x14ac:dyDescent="0.3">
      <c r="A350" s="43" t="s">
        <v>914</v>
      </c>
      <c r="B350" s="42" t="s">
        <v>424</v>
      </c>
      <c r="C350" s="42" t="s">
        <v>1381</v>
      </c>
      <c r="D350" s="61">
        <v>2</v>
      </c>
      <c r="E350" s="62">
        <v>0</v>
      </c>
      <c r="F350" s="63">
        <v>2</v>
      </c>
      <c r="G350"/>
    </row>
    <row r="351" spans="1:7" ht="15.6" x14ac:dyDescent="0.3">
      <c r="A351" s="43" t="s">
        <v>914</v>
      </c>
      <c r="B351" s="42" t="s">
        <v>862</v>
      </c>
      <c r="C351" s="42" t="s">
        <v>1857</v>
      </c>
      <c r="D351" s="61">
        <v>1</v>
      </c>
      <c r="E351" s="62">
        <v>0</v>
      </c>
      <c r="F351" s="63">
        <v>1</v>
      </c>
      <c r="G351"/>
    </row>
    <row r="352" spans="1:7" ht="15.6" x14ac:dyDescent="0.3">
      <c r="A352" s="43" t="s">
        <v>914</v>
      </c>
      <c r="B352" s="42" t="s">
        <v>2144</v>
      </c>
      <c r="C352" s="42" t="s">
        <v>1292</v>
      </c>
      <c r="D352" s="61">
        <v>2</v>
      </c>
      <c r="E352" s="62">
        <v>1</v>
      </c>
      <c r="F352" s="63">
        <v>1</v>
      </c>
      <c r="G352"/>
    </row>
    <row r="353" spans="1:7" ht="15.6" x14ac:dyDescent="0.3">
      <c r="A353" s="43" t="s">
        <v>914</v>
      </c>
      <c r="B353" s="42" t="s">
        <v>861</v>
      </c>
      <c r="C353" s="42" t="s">
        <v>1856</v>
      </c>
      <c r="D353" s="61">
        <v>2</v>
      </c>
      <c r="E353" s="62">
        <v>1</v>
      </c>
      <c r="F353" s="63">
        <v>1</v>
      </c>
      <c r="G353"/>
    </row>
    <row r="354" spans="1:7" ht="15.6" x14ac:dyDescent="0.3">
      <c r="A354" s="43" t="s">
        <v>914</v>
      </c>
      <c r="B354" s="42" t="s">
        <v>173</v>
      </c>
      <c r="C354" s="42" t="s">
        <v>1110</v>
      </c>
      <c r="D354" s="61">
        <v>1</v>
      </c>
      <c r="E354" s="62">
        <v>0</v>
      </c>
      <c r="F354" s="63">
        <v>1</v>
      </c>
      <c r="G354"/>
    </row>
    <row r="355" spans="1:7" ht="15.6" x14ac:dyDescent="0.3">
      <c r="A355" s="43" t="s">
        <v>914</v>
      </c>
      <c r="B355" s="42" t="s">
        <v>174</v>
      </c>
      <c r="C355" s="42" t="s">
        <v>1111</v>
      </c>
      <c r="D355" s="61">
        <v>1</v>
      </c>
      <c r="E355" s="62">
        <v>0</v>
      </c>
      <c r="F355" s="63">
        <v>1</v>
      </c>
      <c r="G355"/>
    </row>
    <row r="356" spans="1:7" ht="15.6" x14ac:dyDescent="0.3">
      <c r="A356" s="43" t="s">
        <v>914</v>
      </c>
      <c r="B356" s="42" t="s">
        <v>338</v>
      </c>
      <c r="C356" s="42" t="s">
        <v>1284</v>
      </c>
      <c r="D356" s="61">
        <v>1</v>
      </c>
      <c r="E356" s="62">
        <v>0</v>
      </c>
      <c r="F356" s="63">
        <v>1</v>
      </c>
      <c r="G356"/>
    </row>
    <row r="357" spans="1:7" ht="15.6" x14ac:dyDescent="0.3">
      <c r="A357" s="43" t="s">
        <v>914</v>
      </c>
      <c r="B357" s="42" t="s">
        <v>322</v>
      </c>
      <c r="C357" s="42" t="s">
        <v>1267</v>
      </c>
      <c r="D357" s="61">
        <v>1</v>
      </c>
      <c r="E357" s="62">
        <v>1</v>
      </c>
      <c r="F357" s="63">
        <v>0</v>
      </c>
      <c r="G357"/>
    </row>
    <row r="358" spans="1:7" ht="15.6" x14ac:dyDescent="0.3">
      <c r="A358" s="43" t="s">
        <v>914</v>
      </c>
      <c r="B358" s="42" t="s">
        <v>728</v>
      </c>
      <c r="C358" s="42" t="s">
        <v>1705</v>
      </c>
      <c r="D358" s="61">
        <v>1</v>
      </c>
      <c r="E358" s="62">
        <v>0</v>
      </c>
      <c r="F358" s="63">
        <v>1</v>
      </c>
      <c r="G358"/>
    </row>
    <row r="359" spans="1:7" ht="15.6" x14ac:dyDescent="0.3">
      <c r="A359" s="43" t="s">
        <v>914</v>
      </c>
      <c r="B359" s="42" t="s">
        <v>329</v>
      </c>
      <c r="C359" s="42" t="s">
        <v>1274</v>
      </c>
      <c r="D359" s="61">
        <v>2</v>
      </c>
      <c r="E359" s="62">
        <v>0</v>
      </c>
      <c r="F359" s="63">
        <v>2</v>
      </c>
      <c r="G359"/>
    </row>
    <row r="360" spans="1:7" ht="15.6" x14ac:dyDescent="0.3">
      <c r="A360" s="43" t="s">
        <v>914</v>
      </c>
      <c r="B360" s="42" t="s">
        <v>354</v>
      </c>
      <c r="C360" s="42" t="s">
        <v>1303</v>
      </c>
      <c r="D360" s="61">
        <v>4</v>
      </c>
      <c r="E360" s="62">
        <v>0</v>
      </c>
      <c r="F360" s="63">
        <v>4</v>
      </c>
      <c r="G360"/>
    </row>
    <row r="361" spans="1:7" ht="15.6" x14ac:dyDescent="0.3">
      <c r="A361" s="43" t="s">
        <v>914</v>
      </c>
      <c r="B361" s="42" t="s">
        <v>768</v>
      </c>
      <c r="C361" s="42" t="s">
        <v>1747</v>
      </c>
      <c r="D361" s="61">
        <v>14</v>
      </c>
      <c r="E361" s="62">
        <v>0</v>
      </c>
      <c r="F361" s="63">
        <v>14</v>
      </c>
      <c r="G361"/>
    </row>
    <row r="362" spans="1:7" ht="15.6" x14ac:dyDescent="0.3">
      <c r="A362" s="43" t="s">
        <v>914</v>
      </c>
      <c r="B362" s="42" t="s">
        <v>89</v>
      </c>
      <c r="C362" s="42" t="s">
        <v>1018</v>
      </c>
      <c r="D362" s="61">
        <v>21</v>
      </c>
      <c r="E362" s="62">
        <v>0</v>
      </c>
      <c r="F362" s="63">
        <v>21</v>
      </c>
      <c r="G362"/>
    </row>
    <row r="363" spans="1:7" ht="15.6" x14ac:dyDescent="0.3">
      <c r="A363" s="43" t="s">
        <v>914</v>
      </c>
      <c r="B363" s="42" t="s">
        <v>87</v>
      </c>
      <c r="C363" s="42" t="s">
        <v>1016</v>
      </c>
      <c r="D363" s="61">
        <v>8</v>
      </c>
      <c r="E363" s="62">
        <v>0</v>
      </c>
      <c r="F363" s="63">
        <v>8</v>
      </c>
      <c r="G363"/>
    </row>
    <row r="364" spans="1:7" ht="15.6" x14ac:dyDescent="0.3">
      <c r="A364" s="43" t="s">
        <v>914</v>
      </c>
      <c r="B364" s="42" t="s">
        <v>88</v>
      </c>
      <c r="C364" s="42" t="s">
        <v>1017</v>
      </c>
      <c r="D364" s="61">
        <v>16</v>
      </c>
      <c r="E364" s="62">
        <v>0</v>
      </c>
      <c r="F364" s="63">
        <v>16</v>
      </c>
      <c r="G364"/>
    </row>
    <row r="365" spans="1:7" ht="15.6" x14ac:dyDescent="0.3">
      <c r="A365" s="43" t="s">
        <v>914</v>
      </c>
      <c r="B365" s="42" t="s">
        <v>90</v>
      </c>
      <c r="C365" s="42" t="s">
        <v>1019</v>
      </c>
      <c r="D365" s="61">
        <v>9</v>
      </c>
      <c r="E365" s="62">
        <v>0</v>
      </c>
      <c r="F365" s="63">
        <v>9</v>
      </c>
      <c r="G365"/>
    </row>
    <row r="366" spans="1:7" ht="15.6" x14ac:dyDescent="0.3">
      <c r="A366" s="43" t="s">
        <v>914</v>
      </c>
      <c r="B366" s="42" t="s">
        <v>725</v>
      </c>
      <c r="C366" s="42" t="s">
        <v>1702</v>
      </c>
      <c r="D366" s="61">
        <v>10</v>
      </c>
      <c r="E366" s="62">
        <v>0</v>
      </c>
      <c r="F366" s="63">
        <v>10</v>
      </c>
      <c r="G366"/>
    </row>
    <row r="367" spans="1:7" ht="15.6" x14ac:dyDescent="0.3">
      <c r="A367" s="43" t="s">
        <v>914</v>
      </c>
      <c r="B367" s="42" t="s">
        <v>726</v>
      </c>
      <c r="C367" s="42" t="s">
        <v>1703</v>
      </c>
      <c r="D367" s="61">
        <v>94</v>
      </c>
      <c r="E367" s="62">
        <v>0</v>
      </c>
      <c r="F367" s="63">
        <v>94</v>
      </c>
      <c r="G367"/>
    </row>
    <row r="368" spans="1:7" ht="15.6" x14ac:dyDescent="0.3">
      <c r="A368" s="43" t="s">
        <v>914</v>
      </c>
      <c r="B368" s="42" t="s">
        <v>727</v>
      </c>
      <c r="C368" s="42" t="s">
        <v>1704</v>
      </c>
      <c r="D368" s="61">
        <v>50</v>
      </c>
      <c r="E368" s="62">
        <v>0</v>
      </c>
      <c r="F368" s="63">
        <v>50</v>
      </c>
      <c r="G368"/>
    </row>
    <row r="369" spans="1:7" ht="15.6" x14ac:dyDescent="0.3">
      <c r="A369" s="43" t="s">
        <v>914</v>
      </c>
      <c r="B369" s="42" t="s">
        <v>522</v>
      </c>
      <c r="C369" s="42" t="s">
        <v>1484</v>
      </c>
      <c r="D369" s="61">
        <v>1</v>
      </c>
      <c r="E369" s="62">
        <v>0</v>
      </c>
      <c r="F369" s="63">
        <v>1</v>
      </c>
      <c r="G369"/>
    </row>
    <row r="370" spans="1:7" ht="15.6" x14ac:dyDescent="0.3">
      <c r="A370" s="43" t="s">
        <v>914</v>
      </c>
      <c r="B370" s="42" t="s">
        <v>767</v>
      </c>
      <c r="C370" s="42" t="s">
        <v>1746</v>
      </c>
      <c r="D370" s="61">
        <v>10</v>
      </c>
      <c r="E370" s="62">
        <v>0</v>
      </c>
      <c r="F370" s="63">
        <v>10</v>
      </c>
      <c r="G370"/>
    </row>
    <row r="371" spans="1:7" ht="15.6" x14ac:dyDescent="0.3">
      <c r="A371" s="43" t="s">
        <v>914</v>
      </c>
      <c r="B371" s="42" t="s">
        <v>766</v>
      </c>
      <c r="C371" s="42" t="s">
        <v>1745</v>
      </c>
      <c r="D371" s="61">
        <v>94</v>
      </c>
      <c r="E371" s="62">
        <v>0</v>
      </c>
      <c r="F371" s="63">
        <v>94</v>
      </c>
      <c r="G371"/>
    </row>
    <row r="372" spans="1:7" ht="15.6" x14ac:dyDescent="0.3">
      <c r="A372" s="43" t="s">
        <v>914</v>
      </c>
      <c r="B372" s="42" t="s">
        <v>375</v>
      </c>
      <c r="C372" s="42" t="s">
        <v>1325</v>
      </c>
      <c r="D372" s="61">
        <v>2</v>
      </c>
      <c r="E372" s="62">
        <v>0</v>
      </c>
      <c r="F372" s="63">
        <v>2</v>
      </c>
      <c r="G372"/>
    </row>
    <row r="373" spans="1:7" ht="15.6" x14ac:dyDescent="0.3">
      <c r="A373" s="43" t="s">
        <v>914</v>
      </c>
      <c r="B373" s="42" t="s">
        <v>222</v>
      </c>
      <c r="C373" s="42" t="s">
        <v>1161</v>
      </c>
      <c r="D373" s="61">
        <v>3</v>
      </c>
      <c r="E373" s="62">
        <v>0</v>
      </c>
      <c r="F373" s="63">
        <v>3</v>
      </c>
      <c r="G373"/>
    </row>
    <row r="374" spans="1:7" ht="15.6" x14ac:dyDescent="0.3">
      <c r="A374" s="43" t="s">
        <v>914</v>
      </c>
      <c r="B374" s="42" t="s">
        <v>363</v>
      </c>
      <c r="C374" s="42" t="s">
        <v>1313</v>
      </c>
      <c r="D374" s="61">
        <v>15</v>
      </c>
      <c r="E374" s="62">
        <v>0</v>
      </c>
      <c r="F374" s="63">
        <v>15</v>
      </c>
      <c r="G374"/>
    </row>
    <row r="375" spans="1:7" ht="15.6" x14ac:dyDescent="0.3">
      <c r="A375" s="43" t="s">
        <v>914</v>
      </c>
      <c r="B375" s="42" t="s">
        <v>233</v>
      </c>
      <c r="C375" s="42" t="s">
        <v>1172</v>
      </c>
      <c r="D375" s="61">
        <v>5</v>
      </c>
      <c r="E375" s="62">
        <v>0</v>
      </c>
      <c r="F375" s="63">
        <v>5</v>
      </c>
      <c r="G375"/>
    </row>
    <row r="376" spans="1:7" ht="15.6" x14ac:dyDescent="0.3">
      <c r="A376" s="43" t="s">
        <v>914</v>
      </c>
      <c r="B376" s="42" t="s">
        <v>2337</v>
      </c>
      <c r="C376" s="42" t="s">
        <v>1744</v>
      </c>
      <c r="D376" s="61">
        <v>93</v>
      </c>
      <c r="E376" s="62">
        <v>0</v>
      </c>
      <c r="F376" s="63">
        <v>93</v>
      </c>
      <c r="G376"/>
    </row>
    <row r="377" spans="1:7" ht="15.6" x14ac:dyDescent="0.3">
      <c r="A377" s="43" t="s">
        <v>914</v>
      </c>
      <c r="B377" s="42" t="s">
        <v>2336</v>
      </c>
      <c r="C377" s="42" t="s">
        <v>1654</v>
      </c>
      <c r="D377" s="61">
        <v>80</v>
      </c>
      <c r="E377" s="62">
        <v>0</v>
      </c>
      <c r="F377" s="63">
        <v>80</v>
      </c>
      <c r="G377"/>
    </row>
    <row r="378" spans="1:7" ht="15.6" x14ac:dyDescent="0.3">
      <c r="A378" s="43" t="s">
        <v>914</v>
      </c>
      <c r="B378" s="42" t="s">
        <v>2335</v>
      </c>
      <c r="C378" s="42" t="s">
        <v>1332</v>
      </c>
      <c r="D378" s="61">
        <v>1</v>
      </c>
      <c r="E378" s="62">
        <v>0</v>
      </c>
      <c r="F378" s="63">
        <v>1</v>
      </c>
      <c r="G378"/>
    </row>
    <row r="379" spans="1:7" ht="15.6" x14ac:dyDescent="0.3">
      <c r="A379" s="43" t="s">
        <v>914</v>
      </c>
      <c r="B379" s="42" t="s">
        <v>374</v>
      </c>
      <c r="C379" s="42" t="s">
        <v>1324</v>
      </c>
      <c r="D379" s="61">
        <v>10</v>
      </c>
      <c r="E379" s="62">
        <v>0</v>
      </c>
      <c r="F379" s="63">
        <v>10</v>
      </c>
      <c r="G379"/>
    </row>
    <row r="380" spans="1:7" ht="15.6" x14ac:dyDescent="0.3">
      <c r="A380" s="43" t="s">
        <v>914</v>
      </c>
      <c r="B380" s="42" t="s">
        <v>234</v>
      </c>
      <c r="C380" s="42" t="s">
        <v>1173</v>
      </c>
      <c r="D380" s="61">
        <v>1</v>
      </c>
      <c r="E380" s="62">
        <v>0</v>
      </c>
      <c r="F380" s="63">
        <v>1</v>
      </c>
      <c r="G380"/>
    </row>
    <row r="381" spans="1:7" ht="15.6" x14ac:dyDescent="0.3">
      <c r="A381" s="43" t="s">
        <v>914</v>
      </c>
      <c r="B381" s="42" t="s">
        <v>225</v>
      </c>
      <c r="C381" s="42" t="s">
        <v>1164</v>
      </c>
      <c r="D381" s="61">
        <v>1</v>
      </c>
      <c r="E381" s="62">
        <v>0</v>
      </c>
      <c r="F381" s="63">
        <v>1</v>
      </c>
      <c r="G381"/>
    </row>
    <row r="382" spans="1:7" ht="15.6" x14ac:dyDescent="0.3">
      <c r="A382" s="43" t="s">
        <v>914</v>
      </c>
      <c r="B382" s="42" t="s">
        <v>379</v>
      </c>
      <c r="C382" s="42" t="s">
        <v>1329</v>
      </c>
      <c r="D382" s="61">
        <v>1</v>
      </c>
      <c r="E382" s="62">
        <v>0</v>
      </c>
      <c r="F382" s="63">
        <v>1</v>
      </c>
      <c r="G382"/>
    </row>
    <row r="383" spans="1:7" ht="15.6" x14ac:dyDescent="0.3">
      <c r="A383" s="43" t="s">
        <v>914</v>
      </c>
      <c r="B383" s="42" t="s">
        <v>2341</v>
      </c>
      <c r="C383" s="42" t="s">
        <v>1791</v>
      </c>
      <c r="D383" s="61">
        <v>59</v>
      </c>
      <c r="E383" s="62">
        <v>0</v>
      </c>
      <c r="F383" s="63">
        <v>59</v>
      </c>
      <c r="G383"/>
    </row>
    <row r="384" spans="1:7" ht="15.6" x14ac:dyDescent="0.3">
      <c r="A384" s="43" t="s">
        <v>914</v>
      </c>
      <c r="B384" s="42" t="s">
        <v>2340</v>
      </c>
      <c r="C384" s="42" t="s">
        <v>1035</v>
      </c>
      <c r="D384" s="61">
        <v>1</v>
      </c>
      <c r="E384" s="62">
        <v>0</v>
      </c>
      <c r="F384" s="63">
        <v>1</v>
      </c>
      <c r="G384"/>
    </row>
    <row r="385" spans="1:7" ht="15.6" x14ac:dyDescent="0.3">
      <c r="A385" s="43" t="s">
        <v>914</v>
      </c>
      <c r="B385" s="42" t="s">
        <v>122</v>
      </c>
      <c r="C385" s="42" t="s">
        <v>1056</v>
      </c>
      <c r="D385" s="61">
        <v>1</v>
      </c>
      <c r="E385" s="62">
        <v>0</v>
      </c>
      <c r="F385" s="63">
        <v>1</v>
      </c>
      <c r="G385"/>
    </row>
    <row r="386" spans="1:7" ht="15.6" x14ac:dyDescent="0.3">
      <c r="A386" s="43" t="s">
        <v>914</v>
      </c>
      <c r="B386" s="42" t="s">
        <v>113</v>
      </c>
      <c r="C386" s="42" t="s">
        <v>1047</v>
      </c>
      <c r="D386" s="61">
        <v>1</v>
      </c>
      <c r="E386" s="62">
        <v>0</v>
      </c>
      <c r="F386" s="63">
        <v>1</v>
      </c>
      <c r="G386"/>
    </row>
    <row r="387" spans="1:7" ht="15.6" x14ac:dyDescent="0.3">
      <c r="A387" s="43" t="s">
        <v>914</v>
      </c>
      <c r="B387" s="42" t="s">
        <v>114</v>
      </c>
      <c r="C387" s="42" t="s">
        <v>1048</v>
      </c>
      <c r="D387" s="61">
        <v>1</v>
      </c>
      <c r="E387" s="62">
        <v>0</v>
      </c>
      <c r="F387" s="63">
        <v>1</v>
      </c>
      <c r="G387"/>
    </row>
    <row r="388" spans="1:7" ht="15.6" x14ac:dyDescent="0.3">
      <c r="A388" s="43" t="s">
        <v>914</v>
      </c>
      <c r="B388" s="42" t="s">
        <v>115</v>
      </c>
      <c r="C388" s="42" t="s">
        <v>1049</v>
      </c>
      <c r="D388" s="61">
        <v>1</v>
      </c>
      <c r="E388" s="62">
        <v>0</v>
      </c>
      <c r="F388" s="63">
        <v>1</v>
      </c>
      <c r="G388"/>
    </row>
    <row r="389" spans="1:7" ht="15.6" x14ac:dyDescent="0.3">
      <c r="A389" s="43" t="s">
        <v>914</v>
      </c>
      <c r="B389" s="42" t="s">
        <v>165</v>
      </c>
      <c r="C389" s="42" t="s">
        <v>1100</v>
      </c>
      <c r="D389" s="61">
        <v>1</v>
      </c>
      <c r="E389" s="62">
        <v>0</v>
      </c>
      <c r="F389" s="63">
        <v>1</v>
      </c>
      <c r="G389"/>
    </row>
    <row r="390" spans="1:7" ht="15.6" x14ac:dyDescent="0.3">
      <c r="A390" s="43" t="s">
        <v>914</v>
      </c>
      <c r="B390" s="42" t="s">
        <v>116</v>
      </c>
      <c r="C390" s="42" t="s">
        <v>1050</v>
      </c>
      <c r="D390" s="61">
        <v>1</v>
      </c>
      <c r="E390" s="62">
        <v>0</v>
      </c>
      <c r="F390" s="63">
        <v>1</v>
      </c>
      <c r="G390"/>
    </row>
    <row r="391" spans="1:7" ht="15.6" x14ac:dyDescent="0.3">
      <c r="A391" s="43" t="s">
        <v>914</v>
      </c>
      <c r="B391" s="42" t="s">
        <v>117</v>
      </c>
      <c r="C391" s="42" t="s">
        <v>1051</v>
      </c>
      <c r="D391" s="61">
        <v>1</v>
      </c>
      <c r="E391" s="62">
        <v>0</v>
      </c>
      <c r="F391" s="63">
        <v>1</v>
      </c>
      <c r="G391"/>
    </row>
    <row r="392" spans="1:7" ht="15.6" x14ac:dyDescent="0.3">
      <c r="A392" s="43" t="s">
        <v>914</v>
      </c>
      <c r="B392" s="42" t="s">
        <v>133</v>
      </c>
      <c r="C392" s="42" t="s">
        <v>1067</v>
      </c>
      <c r="D392" s="61">
        <v>1</v>
      </c>
      <c r="E392" s="62">
        <v>0</v>
      </c>
      <c r="F392" s="63">
        <v>1</v>
      </c>
      <c r="G392"/>
    </row>
    <row r="393" spans="1:7" ht="15.6" x14ac:dyDescent="0.3">
      <c r="A393" s="43" t="s">
        <v>914</v>
      </c>
      <c r="B393" s="42" t="s">
        <v>221</v>
      </c>
      <c r="C393" s="42" t="s">
        <v>1159</v>
      </c>
      <c r="D393" s="61">
        <v>4</v>
      </c>
      <c r="E393" s="62">
        <v>4</v>
      </c>
      <c r="F393" s="63">
        <v>0</v>
      </c>
      <c r="G393"/>
    </row>
    <row r="394" spans="1:7" ht="15.6" x14ac:dyDescent="0.3">
      <c r="A394" s="43" t="s">
        <v>914</v>
      </c>
      <c r="B394" s="42" t="s">
        <v>213</v>
      </c>
      <c r="C394" s="42" t="s">
        <v>1151</v>
      </c>
      <c r="D394" s="61">
        <v>1</v>
      </c>
      <c r="E394" s="62">
        <v>0</v>
      </c>
      <c r="F394" s="63">
        <v>1</v>
      </c>
      <c r="G394"/>
    </row>
    <row r="395" spans="1:7" ht="15.6" x14ac:dyDescent="0.3">
      <c r="A395" s="43" t="s">
        <v>914</v>
      </c>
      <c r="B395" s="42" t="s">
        <v>833</v>
      </c>
      <c r="C395" s="42" t="s">
        <v>1824</v>
      </c>
      <c r="D395" s="61">
        <v>2</v>
      </c>
      <c r="E395" s="62">
        <v>0</v>
      </c>
      <c r="F395" s="63">
        <v>2</v>
      </c>
      <c r="G395"/>
    </row>
    <row r="396" spans="1:7" ht="15.6" x14ac:dyDescent="0.3">
      <c r="A396" s="43" t="s">
        <v>914</v>
      </c>
      <c r="B396" s="42" t="s">
        <v>886</v>
      </c>
      <c r="C396" s="42" t="s">
        <v>1888</v>
      </c>
      <c r="D396" s="61">
        <v>1</v>
      </c>
      <c r="E396" s="62">
        <v>0</v>
      </c>
      <c r="F396" s="63">
        <v>1</v>
      </c>
      <c r="G396"/>
    </row>
    <row r="397" spans="1:7" ht="15.6" x14ac:dyDescent="0.3">
      <c r="A397" s="43" t="s">
        <v>914</v>
      </c>
      <c r="B397" s="42" t="s">
        <v>2208</v>
      </c>
      <c r="C397" s="42" t="s">
        <v>2209</v>
      </c>
      <c r="D397" s="61">
        <v>50</v>
      </c>
      <c r="E397" s="62">
        <v>0</v>
      </c>
      <c r="F397" s="63">
        <v>50</v>
      </c>
      <c r="G397"/>
    </row>
    <row r="398" spans="1:7" ht="15.6" x14ac:dyDescent="0.3">
      <c r="A398" s="43" t="s">
        <v>914</v>
      </c>
      <c r="B398" s="42" t="s">
        <v>2034</v>
      </c>
      <c r="C398" s="42" t="s">
        <v>2054</v>
      </c>
      <c r="D398" s="61">
        <v>1</v>
      </c>
      <c r="E398" s="62">
        <v>1</v>
      </c>
      <c r="F398" s="63">
        <v>0</v>
      </c>
      <c r="G398"/>
    </row>
    <row r="399" spans="1:7" ht="15.6" x14ac:dyDescent="0.3">
      <c r="A399" s="43" t="s">
        <v>914</v>
      </c>
      <c r="B399" s="42" t="s">
        <v>2170</v>
      </c>
      <c r="C399" s="42" t="s">
        <v>2178</v>
      </c>
      <c r="D399" s="61">
        <v>1</v>
      </c>
      <c r="E399" s="62">
        <v>0</v>
      </c>
      <c r="F399" s="63">
        <v>1</v>
      </c>
      <c r="G399"/>
    </row>
    <row r="400" spans="1:7" ht="15.6" x14ac:dyDescent="0.3">
      <c r="A400" s="43" t="s">
        <v>914</v>
      </c>
      <c r="B400" s="42" t="s">
        <v>2076</v>
      </c>
      <c r="C400" s="42" t="s">
        <v>2083</v>
      </c>
      <c r="D400" s="61">
        <v>1</v>
      </c>
      <c r="E400" s="62">
        <v>0</v>
      </c>
      <c r="F400" s="63">
        <v>1</v>
      </c>
      <c r="G400"/>
    </row>
    <row r="401" spans="1:7" ht="15.6" x14ac:dyDescent="0.3">
      <c r="A401" s="43" t="s">
        <v>914</v>
      </c>
      <c r="B401" s="42" t="s">
        <v>2013</v>
      </c>
      <c r="C401" s="42" t="s">
        <v>2015</v>
      </c>
      <c r="D401" s="61">
        <v>1</v>
      </c>
      <c r="E401" s="62">
        <v>0</v>
      </c>
      <c r="F401" s="63">
        <v>1</v>
      </c>
      <c r="G401"/>
    </row>
    <row r="402" spans="1:7" ht="15.6" x14ac:dyDescent="0.3">
      <c r="A402" s="43" t="s">
        <v>914</v>
      </c>
      <c r="B402" s="42" t="s">
        <v>2012</v>
      </c>
      <c r="C402" s="42" t="s">
        <v>2016</v>
      </c>
      <c r="D402" s="61">
        <v>1</v>
      </c>
      <c r="E402" s="62">
        <v>0</v>
      </c>
      <c r="F402" s="63">
        <v>1</v>
      </c>
      <c r="G402"/>
    </row>
    <row r="403" spans="1:7" ht="15.6" x14ac:dyDescent="0.3">
      <c r="A403" s="43" t="s">
        <v>914</v>
      </c>
      <c r="B403" s="42" t="s">
        <v>2011</v>
      </c>
      <c r="C403" s="42" t="s">
        <v>2014</v>
      </c>
      <c r="D403" s="61">
        <v>1</v>
      </c>
      <c r="E403" s="62">
        <v>0</v>
      </c>
      <c r="F403" s="63">
        <v>1</v>
      </c>
      <c r="G403"/>
    </row>
    <row r="404" spans="1:7" ht="15.6" x14ac:dyDescent="0.3">
      <c r="A404" s="43" t="s">
        <v>914</v>
      </c>
      <c r="B404" s="42" t="s">
        <v>2515</v>
      </c>
      <c r="C404" s="42" t="s">
        <v>2017</v>
      </c>
      <c r="D404" s="61">
        <v>1</v>
      </c>
      <c r="E404" s="62">
        <v>0</v>
      </c>
      <c r="F404" s="63">
        <v>1</v>
      </c>
      <c r="G404"/>
    </row>
    <row r="405" spans="1:7" ht="15.6" x14ac:dyDescent="0.3">
      <c r="A405" s="43" t="s">
        <v>914</v>
      </c>
      <c r="B405" s="42" t="s">
        <v>484</v>
      </c>
      <c r="C405" s="42" t="s">
        <v>1445</v>
      </c>
      <c r="D405" s="61">
        <v>2</v>
      </c>
      <c r="E405" s="62">
        <v>0</v>
      </c>
      <c r="F405" s="63">
        <v>2</v>
      </c>
      <c r="G405"/>
    </row>
    <row r="406" spans="1:7" ht="15.6" x14ac:dyDescent="0.3">
      <c r="A406" s="43" t="s">
        <v>914</v>
      </c>
      <c r="B406" s="42" t="s">
        <v>485</v>
      </c>
      <c r="C406" s="42" t="s">
        <v>1446</v>
      </c>
      <c r="D406" s="61">
        <v>2</v>
      </c>
      <c r="E406" s="62">
        <v>0</v>
      </c>
      <c r="F406" s="63">
        <v>2</v>
      </c>
      <c r="G406"/>
    </row>
    <row r="407" spans="1:7" ht="15.6" x14ac:dyDescent="0.3">
      <c r="A407" s="43" t="s">
        <v>914</v>
      </c>
      <c r="B407" s="42" t="s">
        <v>482</v>
      </c>
      <c r="C407" s="42" t="s">
        <v>1443</v>
      </c>
      <c r="D407" s="61">
        <v>1</v>
      </c>
      <c r="E407" s="62">
        <v>0</v>
      </c>
      <c r="F407" s="63">
        <v>1</v>
      </c>
      <c r="G407"/>
    </row>
    <row r="408" spans="1:7" ht="15.6" x14ac:dyDescent="0.3">
      <c r="A408" s="43" t="s">
        <v>914</v>
      </c>
      <c r="B408" s="42" t="s">
        <v>720</v>
      </c>
      <c r="C408" s="42" t="s">
        <v>1697</v>
      </c>
      <c r="D408" s="61">
        <v>4</v>
      </c>
      <c r="E408" s="62">
        <v>0</v>
      </c>
      <c r="F408" s="63">
        <v>4</v>
      </c>
      <c r="G408"/>
    </row>
    <row r="409" spans="1:7" ht="15.6" x14ac:dyDescent="0.3">
      <c r="A409" s="43" t="s">
        <v>914</v>
      </c>
      <c r="B409" s="42" t="s">
        <v>872</v>
      </c>
      <c r="C409" s="42" t="s">
        <v>1869</v>
      </c>
      <c r="D409" s="61">
        <v>1</v>
      </c>
      <c r="E409" s="62">
        <v>0</v>
      </c>
      <c r="F409" s="63">
        <v>1</v>
      </c>
      <c r="G409"/>
    </row>
    <row r="410" spans="1:7" ht="15.6" x14ac:dyDescent="0.3">
      <c r="A410" s="43" t="s">
        <v>914</v>
      </c>
      <c r="B410" s="42" t="s">
        <v>888</v>
      </c>
      <c r="C410" s="42" t="s">
        <v>1890</v>
      </c>
      <c r="D410" s="61">
        <v>1</v>
      </c>
      <c r="E410" s="62">
        <v>0</v>
      </c>
      <c r="F410" s="63">
        <v>1</v>
      </c>
      <c r="G410"/>
    </row>
    <row r="411" spans="1:7" ht="15.6" x14ac:dyDescent="0.3">
      <c r="A411" s="43" t="s">
        <v>914</v>
      </c>
      <c r="B411" s="42" t="s">
        <v>869</v>
      </c>
      <c r="C411" s="42" t="s">
        <v>1865</v>
      </c>
      <c r="D411" s="61">
        <v>1</v>
      </c>
      <c r="E411" s="62">
        <v>0</v>
      </c>
      <c r="F411" s="63">
        <v>1</v>
      </c>
      <c r="G411"/>
    </row>
    <row r="412" spans="1:7" ht="15.6" x14ac:dyDescent="0.3">
      <c r="A412" s="43" t="s">
        <v>914</v>
      </c>
      <c r="B412" s="42" t="s">
        <v>885</v>
      </c>
      <c r="C412" s="42" t="s">
        <v>1887</v>
      </c>
      <c r="D412" s="61">
        <v>1</v>
      </c>
      <c r="E412" s="62">
        <v>0</v>
      </c>
      <c r="F412" s="63">
        <v>1</v>
      </c>
      <c r="G412"/>
    </row>
    <row r="413" spans="1:7" ht="15.6" x14ac:dyDescent="0.3">
      <c r="A413" s="43" t="s">
        <v>914</v>
      </c>
      <c r="B413" s="42" t="s">
        <v>868</v>
      </c>
      <c r="C413" s="42" t="s">
        <v>1864</v>
      </c>
      <c r="D413" s="61">
        <v>2</v>
      </c>
      <c r="E413" s="62">
        <v>0</v>
      </c>
      <c r="F413" s="63">
        <v>2</v>
      </c>
      <c r="G413"/>
    </row>
    <row r="414" spans="1:7" ht="15.6" x14ac:dyDescent="0.3">
      <c r="A414" s="43" t="s">
        <v>914</v>
      </c>
      <c r="B414" s="42" t="s">
        <v>884</v>
      </c>
      <c r="C414" s="42" t="s">
        <v>1886</v>
      </c>
      <c r="D414" s="61">
        <v>1</v>
      </c>
      <c r="E414" s="62">
        <v>0</v>
      </c>
      <c r="F414" s="63">
        <v>1</v>
      </c>
      <c r="G414"/>
    </row>
    <row r="415" spans="1:7" ht="15.6" x14ac:dyDescent="0.3">
      <c r="A415" s="43" t="s">
        <v>914</v>
      </c>
      <c r="B415" s="42" t="s">
        <v>2507</v>
      </c>
      <c r="C415" s="42" t="s">
        <v>1879</v>
      </c>
      <c r="D415" s="61">
        <v>1</v>
      </c>
      <c r="E415" s="62">
        <v>0</v>
      </c>
      <c r="F415" s="63">
        <v>1</v>
      </c>
      <c r="G415"/>
    </row>
    <row r="416" spans="1:7" ht="15.6" x14ac:dyDescent="0.3">
      <c r="A416" s="43" t="s">
        <v>914</v>
      </c>
      <c r="B416" s="42" t="s">
        <v>2504</v>
      </c>
      <c r="C416" s="42" t="s">
        <v>1850</v>
      </c>
      <c r="D416" s="61">
        <v>1</v>
      </c>
      <c r="E416" s="62">
        <v>0</v>
      </c>
      <c r="F416" s="63">
        <v>1</v>
      </c>
      <c r="G416"/>
    </row>
    <row r="417" spans="1:7" ht="15.6" x14ac:dyDescent="0.3">
      <c r="A417" s="43" t="s">
        <v>914</v>
      </c>
      <c r="B417" s="42" t="s">
        <v>854</v>
      </c>
      <c r="C417" s="42" t="s">
        <v>1848</v>
      </c>
      <c r="D417" s="61">
        <v>2</v>
      </c>
      <c r="E417" s="62">
        <v>0</v>
      </c>
      <c r="F417" s="63">
        <v>2</v>
      </c>
      <c r="G417"/>
    </row>
    <row r="418" spans="1:7" ht="15.6" x14ac:dyDescent="0.3">
      <c r="A418" s="43" t="s">
        <v>914</v>
      </c>
      <c r="B418" s="42" t="s">
        <v>832</v>
      </c>
      <c r="C418" s="42" t="s">
        <v>1822</v>
      </c>
      <c r="D418" s="61">
        <v>16</v>
      </c>
      <c r="E418" s="62">
        <v>2</v>
      </c>
      <c r="F418" s="63">
        <v>14</v>
      </c>
      <c r="G418"/>
    </row>
    <row r="419" spans="1:7" ht="15.6" x14ac:dyDescent="0.3">
      <c r="A419" s="43" t="s">
        <v>914</v>
      </c>
      <c r="B419" s="42" t="s">
        <v>857</v>
      </c>
      <c r="C419" s="42" t="s">
        <v>1852</v>
      </c>
      <c r="D419" s="61">
        <v>1</v>
      </c>
      <c r="E419" s="62">
        <v>1</v>
      </c>
      <c r="F419" s="63">
        <v>0</v>
      </c>
      <c r="G419"/>
    </row>
    <row r="420" spans="1:7" ht="15.6" x14ac:dyDescent="0.3">
      <c r="A420" s="43" t="s">
        <v>914</v>
      </c>
      <c r="B420" s="42" t="s">
        <v>858</v>
      </c>
      <c r="C420" s="42" t="s">
        <v>1853</v>
      </c>
      <c r="D420" s="61">
        <v>1</v>
      </c>
      <c r="E420" s="62">
        <v>0</v>
      </c>
      <c r="F420" s="63">
        <v>1</v>
      </c>
      <c r="G420"/>
    </row>
    <row r="421" spans="1:7" ht="15.6" x14ac:dyDescent="0.3">
      <c r="A421" s="43" t="s">
        <v>914</v>
      </c>
      <c r="B421" s="42" t="s">
        <v>465</v>
      </c>
      <c r="C421" s="42" t="s">
        <v>1422</v>
      </c>
      <c r="D421" s="61">
        <v>1</v>
      </c>
      <c r="E421" s="62">
        <v>0</v>
      </c>
      <c r="F421" s="63">
        <v>1</v>
      </c>
      <c r="G421"/>
    </row>
    <row r="422" spans="1:7" ht="15.6" x14ac:dyDescent="0.3">
      <c r="A422" s="43" t="s">
        <v>914</v>
      </c>
      <c r="B422" s="42" t="s">
        <v>132</v>
      </c>
      <c r="C422" s="42" t="s">
        <v>1066</v>
      </c>
      <c r="D422" s="61">
        <v>2</v>
      </c>
      <c r="E422" s="62">
        <v>0</v>
      </c>
      <c r="F422" s="63">
        <v>2</v>
      </c>
      <c r="G422"/>
    </row>
    <row r="423" spans="1:7" ht="15.6" x14ac:dyDescent="0.3">
      <c r="A423" s="43" t="s">
        <v>914</v>
      </c>
      <c r="B423" s="42" t="s">
        <v>124</v>
      </c>
      <c r="C423" s="42" t="s">
        <v>1058</v>
      </c>
      <c r="D423" s="61">
        <v>2</v>
      </c>
      <c r="E423" s="62">
        <v>0</v>
      </c>
      <c r="F423" s="63">
        <v>2</v>
      </c>
      <c r="G423"/>
    </row>
    <row r="424" spans="1:7" ht="15.6" x14ac:dyDescent="0.3">
      <c r="A424" s="43" t="s">
        <v>914</v>
      </c>
      <c r="B424" s="42" t="s">
        <v>490</v>
      </c>
      <c r="C424" s="42" t="s">
        <v>1451</v>
      </c>
      <c r="D424" s="61">
        <v>1</v>
      </c>
      <c r="E424" s="62">
        <v>0</v>
      </c>
      <c r="F424" s="63">
        <v>1</v>
      </c>
      <c r="G424"/>
    </row>
    <row r="425" spans="1:7" ht="15.6" x14ac:dyDescent="0.3">
      <c r="A425" s="43" t="s">
        <v>914</v>
      </c>
      <c r="B425" s="42" t="s">
        <v>334</v>
      </c>
      <c r="C425" s="42" t="s">
        <v>1279</v>
      </c>
      <c r="D425" s="61">
        <v>2</v>
      </c>
      <c r="E425" s="62">
        <v>0</v>
      </c>
      <c r="F425" s="63">
        <v>2</v>
      </c>
      <c r="G425"/>
    </row>
    <row r="426" spans="1:7" ht="15.6" x14ac:dyDescent="0.3">
      <c r="A426" s="43" t="s">
        <v>914</v>
      </c>
      <c r="B426" s="42" t="s">
        <v>2474</v>
      </c>
      <c r="C426" s="42" t="s">
        <v>1361</v>
      </c>
      <c r="D426" s="61">
        <v>1</v>
      </c>
      <c r="E426" s="62">
        <v>0</v>
      </c>
      <c r="F426" s="63">
        <v>1</v>
      </c>
      <c r="G426"/>
    </row>
    <row r="427" spans="1:7" ht="15.6" x14ac:dyDescent="0.3">
      <c r="A427" s="43" t="s">
        <v>914</v>
      </c>
      <c r="B427" s="42" t="s">
        <v>335</v>
      </c>
      <c r="C427" s="42" t="s">
        <v>1280</v>
      </c>
      <c r="D427" s="61">
        <v>1</v>
      </c>
      <c r="E427" s="62">
        <v>1</v>
      </c>
      <c r="F427" s="63">
        <v>0</v>
      </c>
      <c r="G427"/>
    </row>
    <row r="428" spans="1:7" ht="15.6" x14ac:dyDescent="0.3">
      <c r="A428" s="43" t="s">
        <v>914</v>
      </c>
      <c r="B428" s="42" t="s">
        <v>840</v>
      </c>
      <c r="C428" s="42" t="s">
        <v>1831</v>
      </c>
      <c r="D428" s="61">
        <v>1</v>
      </c>
      <c r="E428" s="62">
        <v>0</v>
      </c>
      <c r="F428" s="63">
        <v>1</v>
      </c>
      <c r="G428"/>
    </row>
    <row r="429" spans="1:7" ht="15.6" x14ac:dyDescent="0.3">
      <c r="A429" s="43" t="s">
        <v>914</v>
      </c>
      <c r="B429" s="42" t="s">
        <v>2509</v>
      </c>
      <c r="C429" s="42" t="s">
        <v>1883</v>
      </c>
      <c r="D429" s="61">
        <v>1</v>
      </c>
      <c r="E429" s="62">
        <v>0</v>
      </c>
      <c r="F429" s="63">
        <v>1</v>
      </c>
      <c r="G429"/>
    </row>
    <row r="430" spans="1:7" ht="15.6" x14ac:dyDescent="0.3">
      <c r="A430" s="43" t="s">
        <v>914</v>
      </c>
      <c r="B430" s="42" t="s">
        <v>2508</v>
      </c>
      <c r="C430" s="42" t="s">
        <v>1882</v>
      </c>
      <c r="D430" s="61">
        <v>1</v>
      </c>
      <c r="E430" s="62">
        <v>0</v>
      </c>
      <c r="F430" s="63">
        <v>1</v>
      </c>
      <c r="G430"/>
    </row>
    <row r="431" spans="1:7" ht="15.6" x14ac:dyDescent="0.3">
      <c r="A431" s="43" t="s">
        <v>914</v>
      </c>
      <c r="B431" s="42" t="s">
        <v>834</v>
      </c>
      <c r="C431" s="42" t="s">
        <v>1825</v>
      </c>
      <c r="D431" s="61">
        <v>2</v>
      </c>
      <c r="E431" s="62">
        <v>0</v>
      </c>
      <c r="F431" s="63">
        <v>2</v>
      </c>
      <c r="G431"/>
    </row>
    <row r="432" spans="1:7" ht="15.6" x14ac:dyDescent="0.3">
      <c r="A432" s="43" t="s">
        <v>914</v>
      </c>
      <c r="B432" s="42" t="s">
        <v>562</v>
      </c>
      <c r="C432" s="42" t="s">
        <v>1526</v>
      </c>
      <c r="D432" s="61">
        <v>1</v>
      </c>
      <c r="E432" s="62">
        <v>0</v>
      </c>
      <c r="F432" s="63">
        <v>1</v>
      </c>
      <c r="G432"/>
    </row>
    <row r="433" spans="1:7" ht="15.6" x14ac:dyDescent="0.3">
      <c r="A433" s="43" t="s">
        <v>914</v>
      </c>
      <c r="B433" s="42" t="s">
        <v>320</v>
      </c>
      <c r="C433" s="42" t="s">
        <v>1264</v>
      </c>
      <c r="D433" s="61">
        <v>2</v>
      </c>
      <c r="E433" s="62">
        <v>0</v>
      </c>
      <c r="F433" s="63">
        <v>2</v>
      </c>
      <c r="G433"/>
    </row>
    <row r="434" spans="1:7" ht="15.6" x14ac:dyDescent="0.3">
      <c r="A434" s="43" t="s">
        <v>914</v>
      </c>
      <c r="B434" s="42" t="s">
        <v>149</v>
      </c>
      <c r="C434" s="42" t="s">
        <v>1083</v>
      </c>
      <c r="D434" s="61">
        <v>1</v>
      </c>
      <c r="E434" s="62">
        <v>1</v>
      </c>
      <c r="F434" s="63">
        <v>0</v>
      </c>
      <c r="G434"/>
    </row>
    <row r="435" spans="1:7" ht="15.6" x14ac:dyDescent="0.3">
      <c r="A435" s="43" t="s">
        <v>914</v>
      </c>
      <c r="B435" s="42" t="s">
        <v>2074</v>
      </c>
      <c r="C435" s="42" t="s">
        <v>2081</v>
      </c>
      <c r="D435" s="61">
        <v>10</v>
      </c>
      <c r="E435" s="62">
        <v>2</v>
      </c>
      <c r="F435" s="63">
        <v>8</v>
      </c>
      <c r="G435"/>
    </row>
    <row r="436" spans="1:7" ht="15.6" x14ac:dyDescent="0.3">
      <c r="A436" s="43" t="s">
        <v>914</v>
      </c>
      <c r="B436" s="42" t="s">
        <v>2516</v>
      </c>
      <c r="C436" s="42" t="s">
        <v>2053</v>
      </c>
      <c r="D436" s="61">
        <v>1</v>
      </c>
      <c r="E436" s="62">
        <v>1</v>
      </c>
      <c r="F436" s="63">
        <v>0</v>
      </c>
      <c r="G436"/>
    </row>
    <row r="437" spans="1:7" ht="15.6" x14ac:dyDescent="0.3">
      <c r="A437" s="43" t="s">
        <v>914</v>
      </c>
      <c r="B437" s="42" t="s">
        <v>332</v>
      </c>
      <c r="C437" s="42" t="s">
        <v>1277</v>
      </c>
      <c r="D437" s="61">
        <v>1</v>
      </c>
      <c r="E437" s="62">
        <v>1</v>
      </c>
      <c r="F437" s="63">
        <v>0</v>
      </c>
      <c r="G437"/>
    </row>
    <row r="438" spans="1:7" ht="15.6" x14ac:dyDescent="0.3">
      <c r="A438" s="43" t="s">
        <v>914</v>
      </c>
      <c r="B438" s="42" t="s">
        <v>331</v>
      </c>
      <c r="C438" s="42" t="s">
        <v>1276</v>
      </c>
      <c r="D438" s="61">
        <v>2</v>
      </c>
      <c r="E438" s="62">
        <v>1</v>
      </c>
      <c r="F438" s="63">
        <v>1</v>
      </c>
      <c r="G438"/>
    </row>
    <row r="439" spans="1:7" ht="15.6" x14ac:dyDescent="0.3">
      <c r="A439" s="43" t="s">
        <v>914</v>
      </c>
      <c r="B439" s="42" t="s">
        <v>333</v>
      </c>
      <c r="C439" s="42" t="s">
        <v>1278</v>
      </c>
      <c r="D439" s="61">
        <v>1</v>
      </c>
      <c r="E439" s="62">
        <v>1</v>
      </c>
      <c r="F439" s="63">
        <v>0</v>
      </c>
      <c r="G439"/>
    </row>
    <row r="440" spans="1:7" ht="15.6" x14ac:dyDescent="0.3">
      <c r="A440" s="43" t="s">
        <v>914</v>
      </c>
      <c r="B440" s="42" t="s">
        <v>10</v>
      </c>
      <c r="C440" s="42" t="s">
        <v>937</v>
      </c>
      <c r="D440" s="61">
        <v>12</v>
      </c>
      <c r="E440" s="62">
        <v>0</v>
      </c>
      <c r="F440" s="63">
        <v>12</v>
      </c>
      <c r="G440"/>
    </row>
    <row r="441" spans="1:7" ht="15.6" x14ac:dyDescent="0.3">
      <c r="A441" s="43" t="s">
        <v>914</v>
      </c>
      <c r="B441" s="42" t="s">
        <v>2456</v>
      </c>
      <c r="C441" s="42" t="s">
        <v>938</v>
      </c>
      <c r="D441" s="61">
        <v>1</v>
      </c>
      <c r="E441" s="62">
        <v>0</v>
      </c>
      <c r="F441" s="63">
        <v>1</v>
      </c>
      <c r="G441"/>
    </row>
    <row r="442" spans="1:7" ht="15.6" x14ac:dyDescent="0.3">
      <c r="A442" s="43" t="s">
        <v>914</v>
      </c>
      <c r="B442" s="42" t="s">
        <v>112</v>
      </c>
      <c r="C442" s="42" t="s">
        <v>1046</v>
      </c>
      <c r="D442" s="61">
        <v>1</v>
      </c>
      <c r="E442" s="62">
        <v>0</v>
      </c>
      <c r="F442" s="63">
        <v>1</v>
      </c>
      <c r="G442"/>
    </row>
    <row r="443" spans="1:7" ht="15.6" x14ac:dyDescent="0.3">
      <c r="A443" s="43" t="s">
        <v>914</v>
      </c>
      <c r="B443" s="42" t="s">
        <v>279</v>
      </c>
      <c r="C443" s="42" t="s">
        <v>1221</v>
      </c>
      <c r="D443" s="61">
        <v>1</v>
      </c>
      <c r="E443" s="62">
        <v>0</v>
      </c>
      <c r="F443" s="63">
        <v>1</v>
      </c>
      <c r="G443"/>
    </row>
    <row r="444" spans="1:7" ht="15.6" x14ac:dyDescent="0.3">
      <c r="A444" s="43" t="s">
        <v>914</v>
      </c>
      <c r="B444" s="42" t="s">
        <v>110</v>
      </c>
      <c r="C444" s="42" t="s">
        <v>1044</v>
      </c>
      <c r="D444" s="61">
        <v>1</v>
      </c>
      <c r="E444" s="62">
        <v>0</v>
      </c>
      <c r="F444" s="63">
        <v>1</v>
      </c>
      <c r="G444"/>
    </row>
    <row r="445" spans="1:7" ht="15.6" x14ac:dyDescent="0.3">
      <c r="A445" s="43" t="s">
        <v>914</v>
      </c>
      <c r="B445" s="42" t="s">
        <v>2292</v>
      </c>
      <c r="C445" s="42" t="s">
        <v>2297</v>
      </c>
      <c r="D445" s="61">
        <v>2</v>
      </c>
      <c r="E445" s="62">
        <v>0</v>
      </c>
      <c r="F445" s="63">
        <v>2</v>
      </c>
      <c r="G445"/>
    </row>
    <row r="446" spans="1:7" ht="15.6" x14ac:dyDescent="0.3">
      <c r="A446" s="43" t="s">
        <v>914</v>
      </c>
      <c r="B446" s="42" t="s">
        <v>205</v>
      </c>
      <c r="C446" s="42" t="s">
        <v>1143</v>
      </c>
      <c r="D446" s="61">
        <v>1</v>
      </c>
      <c r="E446" s="62">
        <v>0</v>
      </c>
      <c r="F446" s="63">
        <v>1</v>
      </c>
      <c r="G446"/>
    </row>
    <row r="447" spans="1:7" ht="15.6" x14ac:dyDescent="0.3">
      <c r="A447" s="43" t="s">
        <v>914</v>
      </c>
      <c r="B447" s="42" t="s">
        <v>125</v>
      </c>
      <c r="C447" s="42" t="s">
        <v>1059</v>
      </c>
      <c r="D447" s="61">
        <v>2</v>
      </c>
      <c r="E447" s="62">
        <v>0</v>
      </c>
      <c r="F447" s="63">
        <v>2</v>
      </c>
      <c r="G447"/>
    </row>
    <row r="448" spans="1:7" ht="15.6" x14ac:dyDescent="0.3">
      <c r="A448" s="43" t="s">
        <v>914</v>
      </c>
      <c r="B448" s="42" t="s">
        <v>2470</v>
      </c>
      <c r="C448" s="42" t="s">
        <v>1281</v>
      </c>
      <c r="D448" s="61">
        <v>3</v>
      </c>
      <c r="E448" s="62">
        <v>0</v>
      </c>
      <c r="F448" s="63">
        <v>3</v>
      </c>
      <c r="G448"/>
    </row>
    <row r="449" spans="1:7" ht="15.6" x14ac:dyDescent="0.3">
      <c r="A449" s="43" t="s">
        <v>914</v>
      </c>
      <c r="B449" s="42" t="s">
        <v>337</v>
      </c>
      <c r="C449" s="42" t="s">
        <v>1283</v>
      </c>
      <c r="D449" s="61">
        <v>2</v>
      </c>
      <c r="E449" s="62">
        <v>0</v>
      </c>
      <c r="F449" s="63">
        <v>2</v>
      </c>
      <c r="G449"/>
    </row>
    <row r="450" spans="1:7" ht="15.6" x14ac:dyDescent="0.3">
      <c r="A450" s="43" t="s">
        <v>914</v>
      </c>
      <c r="B450" s="42" t="s">
        <v>2071</v>
      </c>
      <c r="C450" s="42" t="s">
        <v>2078</v>
      </c>
      <c r="D450" s="61">
        <v>3</v>
      </c>
      <c r="E450" s="62">
        <v>0</v>
      </c>
      <c r="F450" s="63">
        <v>3</v>
      </c>
      <c r="G450"/>
    </row>
    <row r="451" spans="1:7" ht="15.6" x14ac:dyDescent="0.3">
      <c r="A451" s="43" t="s">
        <v>914</v>
      </c>
      <c r="B451" s="42" t="s">
        <v>2072</v>
      </c>
      <c r="C451" s="42" t="s">
        <v>2079</v>
      </c>
      <c r="D451" s="61">
        <v>2</v>
      </c>
      <c r="E451" s="62">
        <v>0</v>
      </c>
      <c r="F451" s="63">
        <v>2</v>
      </c>
      <c r="G451"/>
    </row>
    <row r="452" spans="1:7" ht="15.6" x14ac:dyDescent="0.3">
      <c r="A452" s="43" t="s">
        <v>914</v>
      </c>
      <c r="B452" s="42" t="s">
        <v>580</v>
      </c>
      <c r="C452" s="42" t="s">
        <v>1544</v>
      </c>
      <c r="D452" s="61">
        <v>1</v>
      </c>
      <c r="E452" s="62">
        <v>0</v>
      </c>
      <c r="F452" s="63">
        <v>1</v>
      </c>
      <c r="G452"/>
    </row>
    <row r="453" spans="1:7" ht="15.6" x14ac:dyDescent="0.3">
      <c r="A453" s="43" t="s">
        <v>914</v>
      </c>
      <c r="B453" s="42" t="s">
        <v>566</v>
      </c>
      <c r="C453" s="42" t="s">
        <v>1530</v>
      </c>
      <c r="D453" s="61">
        <v>1</v>
      </c>
      <c r="E453" s="62">
        <v>0</v>
      </c>
      <c r="F453" s="63">
        <v>1</v>
      </c>
      <c r="G453"/>
    </row>
    <row r="454" spans="1:7" ht="15.6" x14ac:dyDescent="0.3">
      <c r="A454" s="43" t="s">
        <v>914</v>
      </c>
      <c r="B454" s="42" t="s">
        <v>622</v>
      </c>
      <c r="C454" s="42" t="s">
        <v>1587</v>
      </c>
      <c r="D454" s="61">
        <v>1</v>
      </c>
      <c r="E454" s="62">
        <v>0</v>
      </c>
      <c r="F454" s="63">
        <v>1</v>
      </c>
      <c r="G454"/>
    </row>
    <row r="455" spans="1:7" ht="15.6" x14ac:dyDescent="0.3">
      <c r="A455" s="43" t="s">
        <v>914</v>
      </c>
      <c r="B455" s="42" t="s">
        <v>623</v>
      </c>
      <c r="C455" s="42" t="s">
        <v>1588</v>
      </c>
      <c r="D455" s="61">
        <v>1</v>
      </c>
      <c r="E455" s="62">
        <v>0</v>
      </c>
      <c r="F455" s="63">
        <v>1</v>
      </c>
      <c r="G455"/>
    </row>
    <row r="456" spans="1:7" ht="15.6" x14ac:dyDescent="0.3">
      <c r="A456" s="43" t="s">
        <v>914</v>
      </c>
      <c r="B456" s="42" t="s">
        <v>881</v>
      </c>
      <c r="C456" s="42" t="s">
        <v>1880</v>
      </c>
      <c r="D456" s="61">
        <v>1</v>
      </c>
      <c r="E456" s="62">
        <v>0</v>
      </c>
      <c r="F456" s="63">
        <v>1</v>
      </c>
      <c r="G456"/>
    </row>
    <row r="457" spans="1:7" ht="15.6" x14ac:dyDescent="0.3">
      <c r="A457" s="43" t="s">
        <v>914</v>
      </c>
      <c r="B457" s="42" t="s">
        <v>882</v>
      </c>
      <c r="C457" s="42" t="s">
        <v>1881</v>
      </c>
      <c r="D457" s="61">
        <v>1</v>
      </c>
      <c r="E457" s="62">
        <v>0</v>
      </c>
      <c r="F457" s="63">
        <v>1</v>
      </c>
      <c r="G457"/>
    </row>
    <row r="458" spans="1:7" ht="15.6" x14ac:dyDescent="0.3">
      <c r="A458" s="43" t="s">
        <v>914</v>
      </c>
      <c r="B458" s="42" t="s">
        <v>839</v>
      </c>
      <c r="C458" s="42" t="s">
        <v>1830</v>
      </c>
      <c r="D458" s="61">
        <v>1</v>
      </c>
      <c r="E458" s="62">
        <v>0</v>
      </c>
      <c r="F458" s="63">
        <v>1</v>
      </c>
      <c r="G458"/>
    </row>
    <row r="459" spans="1:7" ht="15.6" x14ac:dyDescent="0.3">
      <c r="A459" s="43" t="s">
        <v>914</v>
      </c>
      <c r="B459" s="42" t="s">
        <v>837</v>
      </c>
      <c r="C459" s="42" t="s">
        <v>1828</v>
      </c>
      <c r="D459" s="61">
        <v>2</v>
      </c>
      <c r="E459" s="62">
        <v>0</v>
      </c>
      <c r="F459" s="63">
        <v>2</v>
      </c>
      <c r="G459"/>
    </row>
    <row r="460" spans="1:7" ht="15.6" x14ac:dyDescent="0.3">
      <c r="A460" s="43" t="s">
        <v>914</v>
      </c>
      <c r="B460" s="42" t="s">
        <v>849</v>
      </c>
      <c r="C460" s="42" t="s">
        <v>1840</v>
      </c>
      <c r="D460" s="61">
        <v>1</v>
      </c>
      <c r="E460" s="62">
        <v>0</v>
      </c>
      <c r="F460" s="63">
        <v>1</v>
      </c>
      <c r="G460"/>
    </row>
    <row r="461" spans="1:7" ht="15.6" x14ac:dyDescent="0.3">
      <c r="A461" s="43" t="s">
        <v>914</v>
      </c>
      <c r="B461" s="42" t="s">
        <v>848</v>
      </c>
      <c r="C461" s="42" t="s">
        <v>1839</v>
      </c>
      <c r="D461" s="61">
        <v>1</v>
      </c>
      <c r="E461" s="62">
        <v>0</v>
      </c>
      <c r="F461" s="63">
        <v>1</v>
      </c>
      <c r="G461"/>
    </row>
    <row r="462" spans="1:7" ht="15.6" x14ac:dyDescent="0.3">
      <c r="A462" s="43" t="s">
        <v>914</v>
      </c>
      <c r="B462" s="42" t="s">
        <v>846</v>
      </c>
      <c r="C462" s="42" t="s">
        <v>1837</v>
      </c>
      <c r="D462" s="61">
        <v>1</v>
      </c>
      <c r="E462" s="62">
        <v>0</v>
      </c>
      <c r="F462" s="63">
        <v>1</v>
      </c>
      <c r="G462"/>
    </row>
    <row r="463" spans="1:7" ht="15.6" x14ac:dyDescent="0.3">
      <c r="A463" s="43" t="s">
        <v>914</v>
      </c>
      <c r="B463" s="42" t="s">
        <v>845</v>
      </c>
      <c r="C463" s="42" t="s">
        <v>1836</v>
      </c>
      <c r="D463" s="61">
        <v>1</v>
      </c>
      <c r="E463" s="62">
        <v>0</v>
      </c>
      <c r="F463" s="63">
        <v>1</v>
      </c>
      <c r="G463"/>
    </row>
    <row r="464" spans="1:7" ht="15.6" x14ac:dyDescent="0.3">
      <c r="A464" s="43" t="s">
        <v>914</v>
      </c>
      <c r="B464" s="42" t="s">
        <v>844</v>
      </c>
      <c r="C464" s="42" t="s">
        <v>1835</v>
      </c>
      <c r="D464" s="61">
        <v>1</v>
      </c>
      <c r="E464" s="62">
        <v>0</v>
      </c>
      <c r="F464" s="63">
        <v>1</v>
      </c>
      <c r="G464"/>
    </row>
    <row r="465" spans="1:7" ht="15.6" x14ac:dyDescent="0.3">
      <c r="A465" s="43" t="s">
        <v>914</v>
      </c>
      <c r="B465" s="42" t="s">
        <v>752</v>
      </c>
      <c r="C465" s="42" t="s">
        <v>1729</v>
      </c>
      <c r="D465" s="61">
        <v>1</v>
      </c>
      <c r="E465" s="62">
        <v>0</v>
      </c>
      <c r="F465" s="63">
        <v>1</v>
      </c>
      <c r="G465"/>
    </row>
    <row r="466" spans="1:7" ht="15.6" x14ac:dyDescent="0.3">
      <c r="A466" s="43" t="s">
        <v>914</v>
      </c>
      <c r="B466" s="42" t="s">
        <v>206</v>
      </c>
      <c r="C466" s="42" t="s">
        <v>1144</v>
      </c>
      <c r="D466" s="61">
        <v>4</v>
      </c>
      <c r="E466" s="62">
        <v>0</v>
      </c>
      <c r="F466" s="63">
        <v>4</v>
      </c>
      <c r="G466"/>
    </row>
    <row r="467" spans="1:7" ht="15.6" x14ac:dyDescent="0.3">
      <c r="A467" s="43" t="s">
        <v>914</v>
      </c>
      <c r="B467" s="42" t="s">
        <v>682</v>
      </c>
      <c r="C467" s="42" t="s">
        <v>1652</v>
      </c>
      <c r="D467" s="61">
        <v>1</v>
      </c>
      <c r="E467" s="62">
        <v>1</v>
      </c>
      <c r="F467" s="63">
        <v>0</v>
      </c>
      <c r="G467"/>
    </row>
    <row r="468" spans="1:7" ht="15.6" x14ac:dyDescent="0.3">
      <c r="A468" s="43" t="s">
        <v>914</v>
      </c>
      <c r="B468" s="42" t="s">
        <v>415</v>
      </c>
      <c r="C468" s="42" t="s">
        <v>1371</v>
      </c>
      <c r="D468" s="61">
        <v>2</v>
      </c>
      <c r="E468" s="62">
        <v>2</v>
      </c>
      <c r="F468" s="63">
        <v>0</v>
      </c>
      <c r="G468"/>
    </row>
    <row r="469" spans="1:7" ht="15.6" x14ac:dyDescent="0.3">
      <c r="A469" s="43" t="s">
        <v>914</v>
      </c>
      <c r="B469" s="42" t="s">
        <v>718</v>
      </c>
      <c r="C469" s="42" t="s">
        <v>1695</v>
      </c>
      <c r="D469" s="61">
        <v>1</v>
      </c>
      <c r="E469" s="62">
        <v>0</v>
      </c>
      <c r="F469" s="63">
        <v>1</v>
      </c>
      <c r="G469"/>
    </row>
    <row r="470" spans="1:7" ht="15.6" x14ac:dyDescent="0.3">
      <c r="A470" s="43" t="s">
        <v>914</v>
      </c>
      <c r="B470" s="42" t="s">
        <v>2326</v>
      </c>
      <c r="C470" s="42" t="s">
        <v>2327</v>
      </c>
      <c r="D470" s="61">
        <v>8</v>
      </c>
      <c r="E470" s="62">
        <v>0</v>
      </c>
      <c r="F470" s="63">
        <v>8</v>
      </c>
      <c r="G470"/>
    </row>
    <row r="471" spans="1:7" ht="15.6" x14ac:dyDescent="0.3">
      <c r="A471" s="43" t="s">
        <v>914</v>
      </c>
      <c r="B471" s="42" t="s">
        <v>2523</v>
      </c>
      <c r="C471" s="42" t="s">
        <v>2249</v>
      </c>
      <c r="D471" s="61">
        <v>6</v>
      </c>
      <c r="E471" s="62">
        <v>0</v>
      </c>
      <c r="F471" s="63">
        <v>6</v>
      </c>
      <c r="G471"/>
    </row>
    <row r="472" spans="1:7" ht="15.6" x14ac:dyDescent="0.3">
      <c r="A472" s="43" t="s">
        <v>914</v>
      </c>
      <c r="B472" s="42" t="s">
        <v>2513</v>
      </c>
      <c r="C472" s="42" t="s">
        <v>1981</v>
      </c>
      <c r="D472" s="61">
        <v>10</v>
      </c>
      <c r="E472" s="62">
        <v>6</v>
      </c>
      <c r="F472" s="63">
        <v>4</v>
      </c>
      <c r="G472"/>
    </row>
    <row r="473" spans="1:7" ht="15.6" x14ac:dyDescent="0.3">
      <c r="A473" s="43" t="s">
        <v>914</v>
      </c>
      <c r="B473" s="42" t="s">
        <v>557</v>
      </c>
      <c r="C473" s="42" t="s">
        <v>1521</v>
      </c>
      <c r="D473" s="61">
        <v>1</v>
      </c>
      <c r="E473" s="62">
        <v>0</v>
      </c>
      <c r="F473" s="63">
        <v>1</v>
      </c>
      <c r="G473"/>
    </row>
    <row r="474" spans="1:7" ht="15.6" x14ac:dyDescent="0.3">
      <c r="A474" s="43" t="s">
        <v>914</v>
      </c>
      <c r="B474" s="42" t="s">
        <v>422</v>
      </c>
      <c r="C474" s="42" t="s">
        <v>1379</v>
      </c>
      <c r="D474" s="61">
        <v>1</v>
      </c>
      <c r="E474" s="62">
        <v>0</v>
      </c>
      <c r="F474" s="63">
        <v>1</v>
      </c>
      <c r="G474"/>
    </row>
    <row r="475" spans="1:7" ht="15.6" x14ac:dyDescent="0.3">
      <c r="A475" s="43" t="s">
        <v>914</v>
      </c>
      <c r="B475" s="42" t="s">
        <v>421</v>
      </c>
      <c r="C475" s="42" t="s">
        <v>1378</v>
      </c>
      <c r="D475" s="61">
        <v>1</v>
      </c>
      <c r="E475" s="62">
        <v>0</v>
      </c>
      <c r="F475" s="63">
        <v>1</v>
      </c>
      <c r="G475"/>
    </row>
    <row r="476" spans="1:7" ht="15.6" x14ac:dyDescent="0.3">
      <c r="A476" s="43" t="s">
        <v>914</v>
      </c>
      <c r="B476" s="42" t="s">
        <v>570</v>
      </c>
      <c r="C476" s="42" t="s">
        <v>1534</v>
      </c>
      <c r="D476" s="61">
        <v>1</v>
      </c>
      <c r="E476" s="62">
        <v>0</v>
      </c>
      <c r="F476" s="63">
        <v>1</v>
      </c>
      <c r="G476"/>
    </row>
    <row r="477" spans="1:7" ht="15.6" x14ac:dyDescent="0.3">
      <c r="A477" s="43" t="s">
        <v>914</v>
      </c>
      <c r="B477" s="42" t="s">
        <v>161</v>
      </c>
      <c r="C477" s="42" t="s">
        <v>1096</v>
      </c>
      <c r="D477" s="61">
        <v>1</v>
      </c>
      <c r="E477" s="62">
        <v>1</v>
      </c>
      <c r="F477" s="63">
        <v>0</v>
      </c>
      <c r="G477"/>
    </row>
    <row r="478" spans="1:7" ht="15.6" x14ac:dyDescent="0.3">
      <c r="A478" s="43" t="s">
        <v>914</v>
      </c>
      <c r="B478" s="42" t="s">
        <v>863</v>
      </c>
      <c r="C478" s="42" t="s">
        <v>1858</v>
      </c>
      <c r="D478" s="61">
        <v>1</v>
      </c>
      <c r="E478" s="62">
        <v>0</v>
      </c>
      <c r="F478" s="63">
        <v>1</v>
      </c>
      <c r="G478"/>
    </row>
    <row r="479" spans="1:7" ht="15.6" x14ac:dyDescent="0.3">
      <c r="A479" s="43" t="s">
        <v>914</v>
      </c>
      <c r="B479" s="42" t="s">
        <v>620</v>
      </c>
      <c r="C479" s="42" t="s">
        <v>1585</v>
      </c>
      <c r="D479" s="61">
        <v>1</v>
      </c>
      <c r="E479" s="62">
        <v>0</v>
      </c>
      <c r="F479" s="63">
        <v>1</v>
      </c>
      <c r="G479"/>
    </row>
    <row r="480" spans="1:7" ht="15.6" x14ac:dyDescent="0.3">
      <c r="A480" s="43" t="s">
        <v>914</v>
      </c>
      <c r="B480" s="42" t="s">
        <v>343</v>
      </c>
      <c r="C480" s="42" t="s">
        <v>1291</v>
      </c>
      <c r="D480" s="61">
        <v>1</v>
      </c>
      <c r="E480" s="62">
        <v>0</v>
      </c>
      <c r="F480" s="63">
        <v>1</v>
      </c>
      <c r="G480"/>
    </row>
    <row r="481" spans="1:7" ht="15.6" x14ac:dyDescent="0.3">
      <c r="A481" s="43" t="s">
        <v>914</v>
      </c>
      <c r="B481" s="42" t="s">
        <v>2229</v>
      </c>
      <c r="C481" s="42" t="s">
        <v>2231</v>
      </c>
      <c r="D481" s="61">
        <v>1</v>
      </c>
      <c r="E481" s="62">
        <v>0</v>
      </c>
      <c r="F481" s="63">
        <v>1</v>
      </c>
      <c r="G481"/>
    </row>
    <row r="482" spans="1:7" ht="15.6" x14ac:dyDescent="0.3">
      <c r="A482" s="43" t="s">
        <v>914</v>
      </c>
      <c r="B482" s="42" t="s">
        <v>2228</v>
      </c>
      <c r="C482" s="42" t="s">
        <v>2230</v>
      </c>
      <c r="D482" s="61">
        <v>1</v>
      </c>
      <c r="E482" s="62">
        <v>0</v>
      </c>
      <c r="F482" s="63">
        <v>1</v>
      </c>
      <c r="G482"/>
    </row>
    <row r="483" spans="1:7" ht="15.6" x14ac:dyDescent="0.3">
      <c r="A483" s="43" t="s">
        <v>914</v>
      </c>
      <c r="B483" s="42" t="s">
        <v>2226</v>
      </c>
      <c r="C483" s="42" t="s">
        <v>2227</v>
      </c>
      <c r="D483" s="61">
        <v>1</v>
      </c>
      <c r="E483" s="62">
        <v>0</v>
      </c>
      <c r="F483" s="63">
        <v>1</v>
      </c>
      <c r="G483"/>
    </row>
    <row r="484" spans="1:7" ht="15.6" x14ac:dyDescent="0.3">
      <c r="A484" s="43" t="s">
        <v>914</v>
      </c>
      <c r="B484" s="42" t="s">
        <v>792</v>
      </c>
      <c r="C484" s="42" t="s">
        <v>1775</v>
      </c>
      <c r="D484" s="61">
        <v>44</v>
      </c>
      <c r="E484" s="62">
        <v>0</v>
      </c>
      <c r="F484" s="63">
        <v>44</v>
      </c>
      <c r="G484"/>
    </row>
    <row r="485" spans="1:7" ht="15.6" x14ac:dyDescent="0.3">
      <c r="A485" s="43" t="s">
        <v>914</v>
      </c>
      <c r="B485" s="42" t="s">
        <v>349</v>
      </c>
      <c r="C485" s="42" t="s">
        <v>1298</v>
      </c>
      <c r="D485" s="61">
        <v>17</v>
      </c>
      <c r="E485" s="62">
        <v>0</v>
      </c>
      <c r="F485" s="63">
        <v>17</v>
      </c>
      <c r="G485"/>
    </row>
    <row r="486" spans="1:7" ht="15.6" x14ac:dyDescent="0.3">
      <c r="A486" s="43" t="s">
        <v>914</v>
      </c>
      <c r="B486" s="42" t="s">
        <v>456</v>
      </c>
      <c r="C486" s="42" t="s">
        <v>1413</v>
      </c>
      <c r="D486" s="61">
        <v>29</v>
      </c>
      <c r="E486" s="62">
        <v>0</v>
      </c>
      <c r="F486" s="63">
        <v>29</v>
      </c>
      <c r="G486"/>
    </row>
    <row r="487" spans="1:7" ht="15.6" x14ac:dyDescent="0.3">
      <c r="A487" s="43" t="s">
        <v>914</v>
      </c>
      <c r="B487" s="42" t="s">
        <v>733</v>
      </c>
      <c r="C487" s="42" t="s">
        <v>1710</v>
      </c>
      <c r="D487" s="61">
        <v>142</v>
      </c>
      <c r="E487" s="62">
        <v>0</v>
      </c>
      <c r="F487" s="63">
        <v>142</v>
      </c>
      <c r="G487"/>
    </row>
    <row r="488" spans="1:7" ht="15.6" x14ac:dyDescent="0.3">
      <c r="A488" s="43" t="s">
        <v>914</v>
      </c>
      <c r="B488" s="42" t="s">
        <v>732</v>
      </c>
      <c r="C488" s="42" t="s">
        <v>1709</v>
      </c>
      <c r="D488" s="61">
        <v>12</v>
      </c>
      <c r="E488" s="62">
        <v>0</v>
      </c>
      <c r="F488" s="63">
        <v>12</v>
      </c>
      <c r="G488"/>
    </row>
    <row r="489" spans="1:7" ht="15.6" x14ac:dyDescent="0.3">
      <c r="A489" s="43" t="s">
        <v>914</v>
      </c>
      <c r="B489" s="42" t="s">
        <v>444</v>
      </c>
      <c r="C489" s="42" t="s">
        <v>1401</v>
      </c>
      <c r="D489" s="61">
        <v>3</v>
      </c>
      <c r="E489" s="62">
        <v>0</v>
      </c>
      <c r="F489" s="63">
        <v>3</v>
      </c>
      <c r="G489"/>
    </row>
    <row r="490" spans="1:7" ht="15.6" x14ac:dyDescent="0.3">
      <c r="A490" s="43" t="s">
        <v>914</v>
      </c>
      <c r="B490" s="42" t="s">
        <v>449</v>
      </c>
      <c r="C490" s="42" t="s">
        <v>1406</v>
      </c>
      <c r="D490" s="61">
        <v>1</v>
      </c>
      <c r="E490" s="62">
        <v>0</v>
      </c>
      <c r="F490" s="63">
        <v>1</v>
      </c>
      <c r="G490"/>
    </row>
    <row r="491" spans="1:7" ht="15.6" x14ac:dyDescent="0.3">
      <c r="A491" s="43" t="s">
        <v>914</v>
      </c>
      <c r="B491" s="42" t="s">
        <v>799</v>
      </c>
      <c r="C491" s="42" t="s">
        <v>1782</v>
      </c>
      <c r="D491" s="61">
        <v>7</v>
      </c>
      <c r="E491" s="62">
        <v>0</v>
      </c>
      <c r="F491" s="63">
        <v>7</v>
      </c>
      <c r="G491"/>
    </row>
    <row r="492" spans="1:7" ht="15.6" x14ac:dyDescent="0.3">
      <c r="A492" s="43" t="s">
        <v>914</v>
      </c>
      <c r="B492" s="42" t="s">
        <v>472</v>
      </c>
      <c r="C492" s="42" t="s">
        <v>1429</v>
      </c>
      <c r="D492" s="61">
        <v>1</v>
      </c>
      <c r="E492" s="62">
        <v>0</v>
      </c>
      <c r="F492" s="63">
        <v>1</v>
      </c>
      <c r="G492"/>
    </row>
    <row r="493" spans="1:7" ht="15.6" x14ac:dyDescent="0.3">
      <c r="A493" s="43" t="s">
        <v>914</v>
      </c>
      <c r="B493" s="42" t="s">
        <v>450</v>
      </c>
      <c r="C493" s="42" t="s">
        <v>1407</v>
      </c>
      <c r="D493" s="61">
        <v>2</v>
      </c>
      <c r="E493" s="62">
        <v>0</v>
      </c>
      <c r="F493" s="63">
        <v>2</v>
      </c>
      <c r="G493"/>
    </row>
    <row r="494" spans="1:7" ht="15.6" x14ac:dyDescent="0.3">
      <c r="A494" s="43" t="s">
        <v>914</v>
      </c>
      <c r="B494" s="42" t="s">
        <v>788</v>
      </c>
      <c r="C494" s="42" t="s">
        <v>1769</v>
      </c>
      <c r="D494" s="61">
        <v>2</v>
      </c>
      <c r="E494" s="62">
        <v>0</v>
      </c>
      <c r="F494" s="63">
        <v>2</v>
      </c>
      <c r="G494"/>
    </row>
    <row r="495" spans="1:7" ht="15.6" x14ac:dyDescent="0.3">
      <c r="A495" s="43" t="s">
        <v>914</v>
      </c>
      <c r="B495" s="42" t="s">
        <v>2495</v>
      </c>
      <c r="C495" s="42" t="s">
        <v>1770</v>
      </c>
      <c r="D495" s="61">
        <v>1</v>
      </c>
      <c r="E495" s="62">
        <v>0</v>
      </c>
      <c r="F495" s="63">
        <v>1</v>
      </c>
      <c r="G495"/>
    </row>
    <row r="496" spans="1:7" ht="15.6" x14ac:dyDescent="0.3">
      <c r="A496" s="43" t="s">
        <v>914</v>
      </c>
      <c r="B496" s="42" t="s">
        <v>419</v>
      </c>
      <c r="C496" s="42" t="s">
        <v>1375</v>
      </c>
      <c r="D496" s="61">
        <v>1</v>
      </c>
      <c r="E496" s="62">
        <v>0</v>
      </c>
      <c r="F496" s="63">
        <v>1</v>
      </c>
      <c r="G496"/>
    </row>
    <row r="497" spans="1:7" ht="15.6" x14ac:dyDescent="0.3">
      <c r="A497" s="43" t="s">
        <v>914</v>
      </c>
      <c r="B497" s="42" t="s">
        <v>2028</v>
      </c>
      <c r="C497" s="42" t="s">
        <v>2045</v>
      </c>
      <c r="D497" s="61">
        <v>1</v>
      </c>
      <c r="E497" s="62">
        <v>0</v>
      </c>
      <c r="F497" s="63">
        <v>1</v>
      </c>
      <c r="G497"/>
    </row>
    <row r="498" spans="1:7" ht="15.6" x14ac:dyDescent="0.3">
      <c r="A498" s="43" t="s">
        <v>914</v>
      </c>
      <c r="B498" s="42" t="s">
        <v>2232</v>
      </c>
      <c r="C498" s="42" t="s">
        <v>2234</v>
      </c>
      <c r="D498" s="61">
        <v>3</v>
      </c>
      <c r="E498" s="62">
        <v>0</v>
      </c>
      <c r="F498" s="63">
        <v>3</v>
      </c>
      <c r="G498"/>
    </row>
    <row r="499" spans="1:7" ht="15.6" x14ac:dyDescent="0.3">
      <c r="A499" s="43" t="s">
        <v>914</v>
      </c>
      <c r="B499" s="42" t="s">
        <v>2027</v>
      </c>
      <c r="C499" s="42" t="s">
        <v>2044</v>
      </c>
      <c r="D499" s="61">
        <v>2</v>
      </c>
      <c r="E499" s="62">
        <v>0</v>
      </c>
      <c r="F499" s="63">
        <v>2</v>
      </c>
      <c r="G499"/>
    </row>
    <row r="500" spans="1:7" ht="15.6" x14ac:dyDescent="0.3">
      <c r="A500" s="43" t="s">
        <v>914</v>
      </c>
      <c r="B500" s="42" t="s">
        <v>772</v>
      </c>
      <c r="C500" s="42" t="s">
        <v>1751</v>
      </c>
      <c r="D500" s="61">
        <v>1</v>
      </c>
      <c r="E500" s="62">
        <v>0</v>
      </c>
      <c r="F500" s="63">
        <v>1</v>
      </c>
      <c r="G500"/>
    </row>
    <row r="501" spans="1:7" ht="15.6" x14ac:dyDescent="0.3">
      <c r="A501" s="43" t="s">
        <v>914</v>
      </c>
      <c r="B501" s="42" t="s">
        <v>103</v>
      </c>
      <c r="C501" s="42" t="s">
        <v>1034</v>
      </c>
      <c r="D501" s="61">
        <v>3</v>
      </c>
      <c r="E501" s="62">
        <v>0</v>
      </c>
      <c r="F501" s="63">
        <v>3</v>
      </c>
      <c r="G501"/>
    </row>
    <row r="502" spans="1:7" ht="15.6" x14ac:dyDescent="0.3">
      <c r="A502" s="43" t="s">
        <v>914</v>
      </c>
      <c r="B502" s="42" t="s">
        <v>102</v>
      </c>
      <c r="C502" s="42" t="s">
        <v>1032</v>
      </c>
      <c r="D502" s="61">
        <v>11</v>
      </c>
      <c r="E502" s="62">
        <v>0</v>
      </c>
      <c r="F502" s="63">
        <v>11</v>
      </c>
      <c r="G502"/>
    </row>
    <row r="503" spans="1:7" ht="15.6" x14ac:dyDescent="0.3">
      <c r="A503" s="43" t="s">
        <v>914</v>
      </c>
      <c r="B503" s="42" t="s">
        <v>93</v>
      </c>
      <c r="C503" s="42" t="s">
        <v>1022</v>
      </c>
      <c r="D503" s="61">
        <v>2</v>
      </c>
      <c r="E503" s="62">
        <v>0</v>
      </c>
      <c r="F503" s="63">
        <v>2</v>
      </c>
      <c r="G503"/>
    </row>
    <row r="504" spans="1:7" ht="15.6" x14ac:dyDescent="0.3">
      <c r="A504" s="43" t="s">
        <v>914</v>
      </c>
      <c r="B504" s="42" t="s">
        <v>627</v>
      </c>
      <c r="C504" s="42" t="s">
        <v>1592</v>
      </c>
      <c r="D504" s="61">
        <v>5</v>
      </c>
      <c r="E504" s="62">
        <v>0</v>
      </c>
      <c r="F504" s="63">
        <v>5</v>
      </c>
      <c r="G504"/>
    </row>
    <row r="505" spans="1:7" ht="15.6" x14ac:dyDescent="0.3">
      <c r="A505" s="43" t="s">
        <v>914</v>
      </c>
      <c r="B505" s="42" t="s">
        <v>626</v>
      </c>
      <c r="C505" s="42" t="s">
        <v>1591</v>
      </c>
      <c r="D505" s="61">
        <v>2</v>
      </c>
      <c r="E505" s="62">
        <v>0</v>
      </c>
      <c r="F505" s="63">
        <v>2</v>
      </c>
      <c r="G505"/>
    </row>
    <row r="506" spans="1:7" ht="15.6" x14ac:dyDescent="0.3">
      <c r="A506" s="43" t="s">
        <v>914</v>
      </c>
      <c r="B506" s="42" t="s">
        <v>625</v>
      </c>
      <c r="C506" s="42" t="s">
        <v>1590</v>
      </c>
      <c r="D506" s="61">
        <v>1</v>
      </c>
      <c r="E506" s="62">
        <v>0</v>
      </c>
      <c r="F506" s="63">
        <v>1</v>
      </c>
      <c r="G506"/>
    </row>
    <row r="507" spans="1:7" ht="15.6" x14ac:dyDescent="0.3">
      <c r="A507" s="43" t="s">
        <v>914</v>
      </c>
      <c r="B507" s="42" t="s">
        <v>525</v>
      </c>
      <c r="C507" s="42" t="s">
        <v>1487</v>
      </c>
      <c r="D507" s="61">
        <v>1</v>
      </c>
      <c r="E507" s="62">
        <v>0</v>
      </c>
      <c r="F507" s="63">
        <v>1</v>
      </c>
      <c r="G507"/>
    </row>
    <row r="508" spans="1:7" ht="15.6" x14ac:dyDescent="0.3">
      <c r="A508" s="43" t="s">
        <v>914</v>
      </c>
      <c r="B508" s="42" t="s">
        <v>503</v>
      </c>
      <c r="C508" s="42" t="s">
        <v>1465</v>
      </c>
      <c r="D508" s="61">
        <v>4</v>
      </c>
      <c r="E508" s="62">
        <v>0</v>
      </c>
      <c r="F508" s="63">
        <v>4</v>
      </c>
      <c r="G508"/>
    </row>
    <row r="509" spans="1:7" ht="15.6" x14ac:dyDescent="0.3">
      <c r="A509" s="43" t="s">
        <v>914</v>
      </c>
      <c r="B509" s="42" t="s">
        <v>501</v>
      </c>
      <c r="C509" s="42" t="s">
        <v>1463</v>
      </c>
      <c r="D509" s="61">
        <v>1</v>
      </c>
      <c r="E509" s="62">
        <v>0</v>
      </c>
      <c r="F509" s="63">
        <v>1</v>
      </c>
      <c r="G509"/>
    </row>
    <row r="510" spans="1:7" ht="15.6" x14ac:dyDescent="0.3">
      <c r="A510" s="43" t="s">
        <v>914</v>
      </c>
      <c r="B510" s="42" t="s">
        <v>226</v>
      </c>
      <c r="C510" s="42" t="s">
        <v>1165</v>
      </c>
      <c r="D510" s="61">
        <v>2</v>
      </c>
      <c r="E510" s="62">
        <v>0</v>
      </c>
      <c r="F510" s="63">
        <v>2</v>
      </c>
      <c r="G510"/>
    </row>
    <row r="511" spans="1:7" ht="15.6" x14ac:dyDescent="0.3">
      <c r="A511" s="43" t="s">
        <v>914</v>
      </c>
      <c r="B511" s="42" t="s">
        <v>362</v>
      </c>
      <c r="C511" s="42" t="s">
        <v>1312</v>
      </c>
      <c r="D511" s="61">
        <v>86</v>
      </c>
      <c r="E511" s="62">
        <v>0</v>
      </c>
      <c r="F511" s="63">
        <v>86</v>
      </c>
      <c r="G511"/>
    </row>
    <row r="512" spans="1:7" ht="15.6" x14ac:dyDescent="0.3">
      <c r="A512" s="43" t="s">
        <v>914</v>
      </c>
      <c r="B512" s="42" t="s">
        <v>502</v>
      </c>
      <c r="C512" s="42" t="s">
        <v>1464</v>
      </c>
      <c r="D512" s="61">
        <v>3</v>
      </c>
      <c r="E512" s="62">
        <v>0</v>
      </c>
      <c r="F512" s="63">
        <v>3</v>
      </c>
      <c r="G512"/>
    </row>
    <row r="513" spans="1:7" ht="15.6" x14ac:dyDescent="0.3">
      <c r="A513" s="43" t="s">
        <v>914</v>
      </c>
      <c r="B513" s="42" t="s">
        <v>660</v>
      </c>
      <c r="C513" s="42" t="s">
        <v>1629</v>
      </c>
      <c r="D513" s="61">
        <v>1</v>
      </c>
      <c r="E513" s="62">
        <v>0</v>
      </c>
      <c r="F513" s="63">
        <v>1</v>
      </c>
      <c r="G513"/>
    </row>
    <row r="514" spans="1:7" ht="15.6" x14ac:dyDescent="0.3">
      <c r="A514" s="43" t="s">
        <v>914</v>
      </c>
      <c r="B514" s="42" t="s">
        <v>653</v>
      </c>
      <c r="C514" s="42" t="s">
        <v>1621</v>
      </c>
      <c r="D514" s="61">
        <v>6</v>
      </c>
      <c r="E514" s="62">
        <v>0</v>
      </c>
      <c r="F514" s="63">
        <v>6</v>
      </c>
      <c r="G514"/>
    </row>
    <row r="515" spans="1:7" ht="15.6" x14ac:dyDescent="0.3">
      <c r="A515" s="43" t="s">
        <v>914</v>
      </c>
      <c r="B515" s="42" t="s">
        <v>722</v>
      </c>
      <c r="C515" s="42" t="s">
        <v>1699</v>
      </c>
      <c r="D515" s="61">
        <v>1</v>
      </c>
      <c r="E515" s="62">
        <v>0</v>
      </c>
      <c r="F515" s="63">
        <v>1</v>
      </c>
      <c r="G515"/>
    </row>
    <row r="516" spans="1:7" ht="15.6" x14ac:dyDescent="0.3">
      <c r="A516" s="43" t="s">
        <v>914</v>
      </c>
      <c r="B516" s="42" t="s">
        <v>153</v>
      </c>
      <c r="C516" s="42" t="s">
        <v>1087</v>
      </c>
      <c r="D516" s="61">
        <v>1</v>
      </c>
      <c r="E516" s="62">
        <v>0</v>
      </c>
      <c r="F516" s="63">
        <v>1</v>
      </c>
      <c r="G516"/>
    </row>
    <row r="517" spans="1:7" ht="15.6" x14ac:dyDescent="0.3">
      <c r="A517" s="43" t="s">
        <v>914</v>
      </c>
      <c r="B517" s="42" t="s">
        <v>204</v>
      </c>
      <c r="C517" s="42" t="s">
        <v>1142</v>
      </c>
      <c r="D517" s="61">
        <v>1</v>
      </c>
      <c r="E517" s="62">
        <v>0</v>
      </c>
      <c r="F517" s="63">
        <v>1</v>
      </c>
      <c r="G517"/>
    </row>
    <row r="518" spans="1:7" ht="15.6" x14ac:dyDescent="0.3">
      <c r="A518" s="43" t="s">
        <v>914</v>
      </c>
      <c r="B518" s="42" t="s">
        <v>852</v>
      </c>
      <c r="C518" s="42" t="s">
        <v>1845</v>
      </c>
      <c r="D518" s="61">
        <v>1</v>
      </c>
      <c r="E518" s="62">
        <v>0</v>
      </c>
      <c r="F518" s="63">
        <v>1</v>
      </c>
      <c r="G518"/>
    </row>
    <row r="519" spans="1:7" ht="15.6" x14ac:dyDescent="0.3">
      <c r="A519" s="43" t="s">
        <v>914</v>
      </c>
      <c r="B519" s="42" t="s">
        <v>431</v>
      </c>
      <c r="C519" s="42" t="s">
        <v>1388</v>
      </c>
      <c r="D519" s="61">
        <v>3</v>
      </c>
      <c r="E519" s="62">
        <v>0</v>
      </c>
      <c r="F519" s="63">
        <v>3</v>
      </c>
      <c r="G519"/>
    </row>
    <row r="520" spans="1:7" ht="15.6" x14ac:dyDescent="0.3">
      <c r="A520" s="43" t="s">
        <v>914</v>
      </c>
      <c r="B520" s="42" t="s">
        <v>2478</v>
      </c>
      <c r="C520" s="42" t="s">
        <v>1441</v>
      </c>
      <c r="D520" s="61">
        <v>1</v>
      </c>
      <c r="E520" s="62">
        <v>0</v>
      </c>
      <c r="F520" s="63">
        <v>1</v>
      </c>
      <c r="G520"/>
    </row>
    <row r="521" spans="1:7" ht="15.6" x14ac:dyDescent="0.3">
      <c r="A521" s="43" t="s">
        <v>914</v>
      </c>
      <c r="B521" s="42" t="s">
        <v>2481</v>
      </c>
      <c r="C521" s="42" t="s">
        <v>1496</v>
      </c>
      <c r="D521" s="61">
        <v>8</v>
      </c>
      <c r="E521" s="62">
        <v>3</v>
      </c>
      <c r="F521" s="63">
        <v>5</v>
      </c>
      <c r="G521"/>
    </row>
    <row r="522" spans="1:7" ht="15.6" x14ac:dyDescent="0.3">
      <c r="A522" s="43" t="s">
        <v>914</v>
      </c>
      <c r="B522" s="42" t="s">
        <v>534</v>
      </c>
      <c r="C522" s="42" t="s">
        <v>1497</v>
      </c>
      <c r="D522" s="61">
        <v>3</v>
      </c>
      <c r="E522" s="62">
        <v>1</v>
      </c>
      <c r="F522" s="63">
        <v>2</v>
      </c>
      <c r="G522"/>
    </row>
    <row r="523" spans="1:7" ht="15.6" x14ac:dyDescent="0.3">
      <c r="A523" s="43" t="s">
        <v>914</v>
      </c>
      <c r="B523" s="42" t="s">
        <v>185</v>
      </c>
      <c r="C523" s="42" t="s">
        <v>1122</v>
      </c>
      <c r="D523" s="61">
        <v>1</v>
      </c>
      <c r="E523" s="62">
        <v>0</v>
      </c>
      <c r="F523" s="63">
        <v>1</v>
      </c>
      <c r="G523"/>
    </row>
    <row r="524" spans="1:7" ht="15.6" x14ac:dyDescent="0.3">
      <c r="A524" s="43" t="s">
        <v>914</v>
      </c>
      <c r="B524" s="42" t="s">
        <v>694</v>
      </c>
      <c r="C524" s="42" t="s">
        <v>1666</v>
      </c>
      <c r="D524" s="61">
        <v>2</v>
      </c>
      <c r="E524" s="62">
        <v>2</v>
      </c>
      <c r="F524" s="63">
        <v>0</v>
      </c>
      <c r="G524"/>
    </row>
    <row r="525" spans="1:7" ht="15.6" x14ac:dyDescent="0.3">
      <c r="A525" s="43" t="s">
        <v>914</v>
      </c>
      <c r="B525" s="42" t="s">
        <v>453</v>
      </c>
      <c r="C525" s="42" t="s">
        <v>1410</v>
      </c>
      <c r="D525" s="61">
        <v>1</v>
      </c>
      <c r="E525" s="62">
        <v>0</v>
      </c>
      <c r="F525" s="63">
        <v>1</v>
      </c>
      <c r="G525"/>
    </row>
    <row r="526" spans="1:7" ht="15.6" x14ac:dyDescent="0.3">
      <c r="A526" s="43" t="s">
        <v>914</v>
      </c>
      <c r="B526" s="42" t="s">
        <v>578</v>
      </c>
      <c r="C526" s="42" t="s">
        <v>1542</v>
      </c>
      <c r="D526" s="61">
        <v>1</v>
      </c>
      <c r="E526" s="62">
        <v>1</v>
      </c>
      <c r="F526" s="63">
        <v>0</v>
      </c>
      <c r="G526"/>
    </row>
    <row r="527" spans="1:7" ht="15.6" x14ac:dyDescent="0.3">
      <c r="A527" s="43" t="s">
        <v>914</v>
      </c>
      <c r="B527" s="42" t="s">
        <v>603</v>
      </c>
      <c r="C527" s="42" t="s">
        <v>1566</v>
      </c>
      <c r="D527" s="61">
        <v>1</v>
      </c>
      <c r="E527" s="62">
        <v>0</v>
      </c>
      <c r="F527" s="63">
        <v>1</v>
      </c>
      <c r="G527"/>
    </row>
    <row r="528" spans="1:7" ht="15.6" x14ac:dyDescent="0.3">
      <c r="A528" s="43" t="s">
        <v>914</v>
      </c>
      <c r="B528" s="42" t="s">
        <v>2482</v>
      </c>
      <c r="C528" s="42" t="s">
        <v>1519</v>
      </c>
      <c r="D528" s="61">
        <v>5</v>
      </c>
      <c r="E528" s="62">
        <v>0</v>
      </c>
      <c r="F528" s="63">
        <v>5</v>
      </c>
      <c r="G528"/>
    </row>
    <row r="529" spans="1:7" ht="15.6" x14ac:dyDescent="0.3">
      <c r="A529" s="43" t="s">
        <v>914</v>
      </c>
      <c r="B529" s="42" t="s">
        <v>121</v>
      </c>
      <c r="C529" s="42" t="s">
        <v>1055</v>
      </c>
      <c r="D529" s="61">
        <v>1</v>
      </c>
      <c r="E529" s="62">
        <v>0</v>
      </c>
      <c r="F529" s="63">
        <v>1</v>
      </c>
      <c r="G529"/>
    </row>
    <row r="530" spans="1:7" ht="15.6" x14ac:dyDescent="0.3">
      <c r="A530" s="43" t="s">
        <v>914</v>
      </c>
      <c r="B530" s="42" t="s">
        <v>170</v>
      </c>
      <c r="C530" s="42" t="s">
        <v>1106</v>
      </c>
      <c r="D530" s="61">
        <v>6</v>
      </c>
      <c r="E530" s="62">
        <v>0</v>
      </c>
      <c r="F530" s="63">
        <v>6</v>
      </c>
      <c r="G530"/>
    </row>
    <row r="531" spans="1:7" ht="15.6" x14ac:dyDescent="0.3">
      <c r="A531" s="43" t="s">
        <v>914</v>
      </c>
      <c r="B531" s="42" t="s">
        <v>171</v>
      </c>
      <c r="C531" s="42" t="s">
        <v>1107</v>
      </c>
      <c r="D531" s="61">
        <v>3</v>
      </c>
      <c r="E531" s="62">
        <v>0</v>
      </c>
      <c r="F531" s="63">
        <v>3</v>
      </c>
      <c r="G531"/>
    </row>
    <row r="532" spans="1:7" ht="15.6" x14ac:dyDescent="0.3">
      <c r="A532" s="43" t="s">
        <v>914</v>
      </c>
      <c r="B532" s="42" t="s">
        <v>169</v>
      </c>
      <c r="C532" s="42" t="s">
        <v>1105</v>
      </c>
      <c r="D532" s="61">
        <v>2</v>
      </c>
      <c r="E532" s="62">
        <v>0</v>
      </c>
      <c r="F532" s="63">
        <v>2</v>
      </c>
      <c r="G532"/>
    </row>
    <row r="533" spans="1:7" ht="15.6" x14ac:dyDescent="0.3">
      <c r="A533" s="43" t="s">
        <v>914</v>
      </c>
      <c r="B533" s="42" t="s">
        <v>753</v>
      </c>
      <c r="C533" s="42" t="s">
        <v>1730</v>
      </c>
      <c r="D533" s="61">
        <v>1</v>
      </c>
      <c r="E533" s="62">
        <v>0</v>
      </c>
      <c r="F533" s="63">
        <v>1</v>
      </c>
      <c r="G533"/>
    </row>
    <row r="534" spans="1:7" ht="15.6" x14ac:dyDescent="0.3">
      <c r="A534" s="43" t="s">
        <v>914</v>
      </c>
      <c r="B534" s="42" t="s">
        <v>2494</v>
      </c>
      <c r="C534" s="42" t="s">
        <v>1767</v>
      </c>
      <c r="D534" s="61">
        <v>2</v>
      </c>
      <c r="E534" s="62">
        <v>0</v>
      </c>
      <c r="F534" s="63">
        <v>2</v>
      </c>
      <c r="G534"/>
    </row>
    <row r="535" spans="1:7" ht="15.6" x14ac:dyDescent="0.3">
      <c r="A535" s="43" t="s">
        <v>914</v>
      </c>
      <c r="B535" s="42" t="s">
        <v>680</v>
      </c>
      <c r="C535" s="42" t="s">
        <v>1650</v>
      </c>
      <c r="D535" s="61">
        <v>1</v>
      </c>
      <c r="E535" s="62">
        <v>0</v>
      </c>
      <c r="F535" s="63">
        <v>1</v>
      </c>
      <c r="G535"/>
    </row>
    <row r="536" spans="1:7" ht="15.6" x14ac:dyDescent="0.3">
      <c r="A536" s="43" t="s">
        <v>914</v>
      </c>
      <c r="B536" s="42" t="s">
        <v>679</v>
      </c>
      <c r="C536" s="42" t="s">
        <v>1649</v>
      </c>
      <c r="D536" s="61">
        <v>1</v>
      </c>
      <c r="E536" s="62">
        <v>0</v>
      </c>
      <c r="F536" s="63">
        <v>1</v>
      </c>
      <c r="G536"/>
    </row>
    <row r="537" spans="1:7" ht="15.6" x14ac:dyDescent="0.3">
      <c r="A537" s="43" t="s">
        <v>914</v>
      </c>
      <c r="B537" s="42" t="s">
        <v>2487</v>
      </c>
      <c r="C537" s="42" t="s">
        <v>1648</v>
      </c>
      <c r="D537" s="61">
        <v>1</v>
      </c>
      <c r="E537" s="62">
        <v>0</v>
      </c>
      <c r="F537" s="63">
        <v>1</v>
      </c>
      <c r="G537"/>
    </row>
    <row r="538" spans="1:7" ht="15.6" x14ac:dyDescent="0.3">
      <c r="A538" s="43" t="s">
        <v>914</v>
      </c>
      <c r="B538" s="42" t="s">
        <v>152</v>
      </c>
      <c r="C538" s="42" t="s">
        <v>1086</v>
      </c>
      <c r="D538" s="61">
        <v>5</v>
      </c>
      <c r="E538" s="62">
        <v>5</v>
      </c>
      <c r="F538" s="63">
        <v>0</v>
      </c>
      <c r="G538"/>
    </row>
    <row r="539" spans="1:7" ht="15.6" x14ac:dyDescent="0.3">
      <c r="A539" s="43" t="s">
        <v>914</v>
      </c>
      <c r="B539" s="42" t="s">
        <v>286</v>
      </c>
      <c r="C539" s="42" t="s">
        <v>1228</v>
      </c>
      <c r="D539" s="61">
        <v>29</v>
      </c>
      <c r="E539" s="62">
        <v>0</v>
      </c>
      <c r="F539" s="63">
        <v>29</v>
      </c>
      <c r="G539"/>
    </row>
    <row r="540" spans="1:7" ht="15.6" x14ac:dyDescent="0.3">
      <c r="A540" s="43" t="s">
        <v>914</v>
      </c>
      <c r="B540" s="42" t="s">
        <v>2238</v>
      </c>
      <c r="C540" s="42" t="s">
        <v>2239</v>
      </c>
      <c r="D540" s="61">
        <v>1</v>
      </c>
      <c r="E540" s="62">
        <v>0</v>
      </c>
      <c r="F540" s="63">
        <v>1</v>
      </c>
      <c r="G540"/>
    </row>
    <row r="541" spans="1:7" ht="15.6" x14ac:dyDescent="0.3">
      <c r="A541" s="43" t="s">
        <v>914</v>
      </c>
      <c r="B541" s="42" t="s">
        <v>203</v>
      </c>
      <c r="C541" s="42" t="s">
        <v>1141</v>
      </c>
      <c r="D541" s="61">
        <v>2</v>
      </c>
      <c r="E541" s="62">
        <v>0</v>
      </c>
      <c r="F541" s="63">
        <v>2</v>
      </c>
      <c r="G541"/>
    </row>
    <row r="542" spans="1:7" ht="15.6" x14ac:dyDescent="0.3">
      <c r="A542" s="43" t="s">
        <v>914</v>
      </c>
      <c r="B542" s="42" t="s">
        <v>301</v>
      </c>
      <c r="C542" s="42" t="s">
        <v>1245</v>
      </c>
      <c r="D542" s="61">
        <v>8</v>
      </c>
      <c r="E542" s="62">
        <v>0</v>
      </c>
      <c r="F542" s="63">
        <v>8</v>
      </c>
      <c r="G542"/>
    </row>
    <row r="543" spans="1:7" ht="15.6" x14ac:dyDescent="0.3">
      <c r="A543" s="43" t="s">
        <v>914</v>
      </c>
      <c r="B543" s="42" t="s">
        <v>302</v>
      </c>
      <c r="C543" s="42" t="s">
        <v>1246</v>
      </c>
      <c r="D543" s="61">
        <v>1</v>
      </c>
      <c r="E543" s="62">
        <v>0</v>
      </c>
      <c r="F543" s="63">
        <v>1</v>
      </c>
      <c r="G543"/>
    </row>
    <row r="544" spans="1:7" ht="15.6" x14ac:dyDescent="0.3">
      <c r="A544" s="43" t="s">
        <v>914</v>
      </c>
      <c r="B544" s="42" t="s">
        <v>364</v>
      </c>
      <c r="C544" s="42" t="s">
        <v>1314</v>
      </c>
      <c r="D544" s="61">
        <v>1</v>
      </c>
      <c r="E544" s="62">
        <v>0</v>
      </c>
      <c r="F544" s="63">
        <v>1</v>
      </c>
      <c r="G544"/>
    </row>
    <row r="545" spans="1:7" ht="15.6" x14ac:dyDescent="0.3">
      <c r="A545" s="43" t="s">
        <v>914</v>
      </c>
      <c r="B545" s="42" t="s">
        <v>368</v>
      </c>
      <c r="C545" s="42" t="s">
        <v>1318</v>
      </c>
      <c r="D545" s="61">
        <v>1</v>
      </c>
      <c r="E545" s="62">
        <v>0</v>
      </c>
      <c r="F545" s="63">
        <v>1</v>
      </c>
      <c r="G545"/>
    </row>
    <row r="546" spans="1:7" ht="15.6" x14ac:dyDescent="0.3">
      <c r="A546" s="43" t="s">
        <v>914</v>
      </c>
      <c r="B546" s="42" t="s">
        <v>366</v>
      </c>
      <c r="C546" s="42" t="s">
        <v>1316</v>
      </c>
      <c r="D546" s="61">
        <v>2</v>
      </c>
      <c r="E546" s="62">
        <v>0</v>
      </c>
      <c r="F546" s="63">
        <v>2</v>
      </c>
      <c r="G546"/>
    </row>
    <row r="547" spans="1:7" ht="15.6" x14ac:dyDescent="0.3">
      <c r="A547" s="43" t="s">
        <v>914</v>
      </c>
      <c r="B547" s="42" t="s">
        <v>367</v>
      </c>
      <c r="C547" s="42" t="s">
        <v>1317</v>
      </c>
      <c r="D547" s="61">
        <v>4</v>
      </c>
      <c r="E547" s="62">
        <v>0</v>
      </c>
      <c r="F547" s="63">
        <v>4</v>
      </c>
      <c r="G547"/>
    </row>
    <row r="548" spans="1:7" ht="15.6" x14ac:dyDescent="0.3">
      <c r="A548" s="43" t="s">
        <v>914</v>
      </c>
      <c r="B548" s="42" t="s">
        <v>369</v>
      </c>
      <c r="C548" s="42" t="s">
        <v>1319</v>
      </c>
      <c r="D548" s="61">
        <v>1</v>
      </c>
      <c r="E548" s="62">
        <v>0</v>
      </c>
      <c r="F548" s="63">
        <v>1</v>
      </c>
      <c r="G548"/>
    </row>
    <row r="549" spans="1:7" ht="15.6" x14ac:dyDescent="0.3">
      <c r="A549" s="43" t="s">
        <v>914</v>
      </c>
      <c r="B549" s="42" t="s">
        <v>770</v>
      </c>
      <c r="C549" s="42" t="s">
        <v>1749</v>
      </c>
      <c r="D549" s="61">
        <v>2</v>
      </c>
      <c r="E549" s="62">
        <v>0</v>
      </c>
      <c r="F549" s="63">
        <v>2</v>
      </c>
      <c r="G549"/>
    </row>
    <row r="550" spans="1:7" ht="15.6" x14ac:dyDescent="0.3">
      <c r="A550" s="43" t="s">
        <v>914</v>
      </c>
      <c r="B550" s="42" t="s">
        <v>287</v>
      </c>
      <c r="C550" s="42" t="s">
        <v>1229</v>
      </c>
      <c r="D550" s="61">
        <v>397</v>
      </c>
      <c r="E550" s="62">
        <v>0</v>
      </c>
      <c r="F550" s="63">
        <v>397</v>
      </c>
      <c r="G550"/>
    </row>
    <row r="551" spans="1:7" ht="15.6" x14ac:dyDescent="0.3">
      <c r="A551" s="43" t="s">
        <v>914</v>
      </c>
      <c r="B551" s="42" t="s">
        <v>288</v>
      </c>
      <c r="C551" s="42" t="s">
        <v>1230</v>
      </c>
      <c r="D551" s="61">
        <v>17</v>
      </c>
      <c r="E551" s="62">
        <v>0</v>
      </c>
      <c r="F551" s="63">
        <v>17</v>
      </c>
      <c r="G551"/>
    </row>
    <row r="552" spans="1:7" ht="15.6" x14ac:dyDescent="0.3">
      <c r="A552" s="43" t="s">
        <v>914</v>
      </c>
      <c r="B552" s="42" t="s">
        <v>92</v>
      </c>
      <c r="C552" s="42" t="s">
        <v>1021</v>
      </c>
      <c r="D552" s="61">
        <v>2</v>
      </c>
      <c r="E552" s="62">
        <v>0</v>
      </c>
      <c r="F552" s="63">
        <v>2</v>
      </c>
      <c r="G552"/>
    </row>
    <row r="553" spans="1:7" ht="15.6" x14ac:dyDescent="0.3">
      <c r="A553" s="43" t="s">
        <v>914</v>
      </c>
      <c r="B553" s="42" t="s">
        <v>814</v>
      </c>
      <c r="C553" s="42" t="s">
        <v>1802</v>
      </c>
      <c r="D553" s="61">
        <v>3</v>
      </c>
      <c r="E553" s="62">
        <v>0</v>
      </c>
      <c r="F553" s="63">
        <v>3</v>
      </c>
      <c r="G553"/>
    </row>
    <row r="554" spans="1:7" ht="15.6" x14ac:dyDescent="0.3">
      <c r="A554" s="43" t="s">
        <v>914</v>
      </c>
      <c r="B554" s="42" t="s">
        <v>659</v>
      </c>
      <c r="C554" s="42" t="s">
        <v>1628</v>
      </c>
      <c r="D554" s="61">
        <v>1</v>
      </c>
      <c r="E554" s="62">
        <v>0</v>
      </c>
      <c r="F554" s="63">
        <v>1</v>
      </c>
      <c r="G554"/>
    </row>
    <row r="555" spans="1:7" ht="15.6" x14ac:dyDescent="0.3">
      <c r="A555" s="43" t="s">
        <v>914</v>
      </c>
      <c r="B555" s="42" t="s">
        <v>504</v>
      </c>
      <c r="C555" s="42" t="s">
        <v>1466</v>
      </c>
      <c r="D555" s="61">
        <v>1</v>
      </c>
      <c r="E555" s="62">
        <v>0</v>
      </c>
      <c r="F555" s="63">
        <v>1</v>
      </c>
      <c r="G555"/>
    </row>
    <row r="556" spans="1:7" ht="15.6" x14ac:dyDescent="0.3">
      <c r="A556" s="43" t="s">
        <v>914</v>
      </c>
      <c r="B556" s="42" t="s">
        <v>658</v>
      </c>
      <c r="C556" s="42" t="s">
        <v>1627</v>
      </c>
      <c r="D556" s="61">
        <v>1</v>
      </c>
      <c r="E556" s="62">
        <v>0</v>
      </c>
      <c r="F556" s="63">
        <v>1</v>
      </c>
      <c r="G556"/>
    </row>
    <row r="557" spans="1:7" ht="15.6" x14ac:dyDescent="0.3">
      <c r="A557" s="43" t="s">
        <v>914</v>
      </c>
      <c r="B557" s="42" t="s">
        <v>649</v>
      </c>
      <c r="C557" s="42" t="s">
        <v>1617</v>
      </c>
      <c r="D557" s="61">
        <v>2</v>
      </c>
      <c r="E557" s="62">
        <v>0</v>
      </c>
      <c r="F557" s="63">
        <v>2</v>
      </c>
      <c r="G557"/>
    </row>
    <row r="558" spans="1:7" ht="15.6" x14ac:dyDescent="0.3">
      <c r="A558" s="43" t="s">
        <v>914</v>
      </c>
      <c r="B558" s="42" t="s">
        <v>650</v>
      </c>
      <c r="C558" s="42" t="s">
        <v>1618</v>
      </c>
      <c r="D558" s="61">
        <v>1</v>
      </c>
      <c r="E558" s="62">
        <v>0</v>
      </c>
      <c r="F558" s="63">
        <v>1</v>
      </c>
      <c r="G558"/>
    </row>
    <row r="559" spans="1:7" ht="15.6" x14ac:dyDescent="0.3">
      <c r="A559" s="43" t="s">
        <v>914</v>
      </c>
      <c r="B559" s="42" t="s">
        <v>377</v>
      </c>
      <c r="C559" s="42" t="s">
        <v>1327</v>
      </c>
      <c r="D559" s="61">
        <v>1</v>
      </c>
      <c r="E559" s="62">
        <v>0</v>
      </c>
      <c r="F559" s="63">
        <v>1</v>
      </c>
      <c r="G559"/>
    </row>
    <row r="560" spans="1:7" ht="15.6" x14ac:dyDescent="0.3">
      <c r="A560" s="43" t="s">
        <v>914</v>
      </c>
      <c r="B560" s="42" t="s">
        <v>523</v>
      </c>
      <c r="C560" s="42" t="s">
        <v>1485</v>
      </c>
      <c r="D560" s="61">
        <v>1</v>
      </c>
      <c r="E560" s="62">
        <v>0</v>
      </c>
      <c r="F560" s="63">
        <v>1</v>
      </c>
      <c r="G560"/>
    </row>
    <row r="561" spans="1:7" ht="15.6" x14ac:dyDescent="0.3">
      <c r="A561" s="43" t="s">
        <v>914</v>
      </c>
      <c r="B561" s="42" t="s">
        <v>655</v>
      </c>
      <c r="C561" s="42" t="s">
        <v>1624</v>
      </c>
      <c r="D561" s="61">
        <v>1</v>
      </c>
      <c r="E561" s="62">
        <v>0</v>
      </c>
      <c r="F561" s="63">
        <v>1</v>
      </c>
      <c r="G561"/>
    </row>
    <row r="562" spans="1:7" ht="15.6" x14ac:dyDescent="0.3">
      <c r="A562" s="43" t="s">
        <v>914</v>
      </c>
      <c r="B562" s="42" t="s">
        <v>492</v>
      </c>
      <c r="C562" s="42" t="s">
        <v>1454</v>
      </c>
      <c r="D562" s="61">
        <v>1</v>
      </c>
      <c r="E562" s="62">
        <v>0</v>
      </c>
      <c r="F562" s="63">
        <v>1</v>
      </c>
      <c r="G562"/>
    </row>
    <row r="563" spans="1:7" ht="15.6" x14ac:dyDescent="0.3">
      <c r="A563" s="43" t="s">
        <v>914</v>
      </c>
      <c r="B563" s="42" t="s">
        <v>491</v>
      </c>
      <c r="C563" s="42" t="s">
        <v>1453</v>
      </c>
      <c r="D563" s="61">
        <v>1</v>
      </c>
      <c r="E563" s="62">
        <v>0</v>
      </c>
      <c r="F563" s="63">
        <v>1</v>
      </c>
      <c r="G563"/>
    </row>
    <row r="564" spans="1:7" ht="15.6" x14ac:dyDescent="0.3">
      <c r="A564" s="43" t="s">
        <v>914</v>
      </c>
      <c r="B564" s="42" t="s">
        <v>381</v>
      </c>
      <c r="C564" s="42" t="s">
        <v>1331</v>
      </c>
      <c r="D564" s="61">
        <v>1</v>
      </c>
      <c r="E564" s="62">
        <v>0</v>
      </c>
      <c r="F564" s="63">
        <v>1</v>
      </c>
      <c r="G564"/>
    </row>
    <row r="565" spans="1:7" ht="15.6" x14ac:dyDescent="0.3">
      <c r="A565" s="43" t="s">
        <v>914</v>
      </c>
      <c r="B565" s="42" t="s">
        <v>507</v>
      </c>
      <c r="C565" s="42" t="s">
        <v>1469</v>
      </c>
      <c r="D565" s="61">
        <v>1</v>
      </c>
      <c r="E565" s="62">
        <v>0</v>
      </c>
      <c r="F565" s="63">
        <v>1</v>
      </c>
      <c r="G565"/>
    </row>
    <row r="566" spans="1:7" ht="15.6" x14ac:dyDescent="0.3">
      <c r="A566" s="43" t="s">
        <v>914</v>
      </c>
      <c r="B566" s="42" t="s">
        <v>807</v>
      </c>
      <c r="C566" s="42" t="s">
        <v>1795</v>
      </c>
      <c r="D566" s="61">
        <v>2</v>
      </c>
      <c r="E566" s="62">
        <v>0</v>
      </c>
      <c r="F566" s="63">
        <v>2</v>
      </c>
      <c r="G566"/>
    </row>
    <row r="567" spans="1:7" ht="15.6" x14ac:dyDescent="0.3">
      <c r="A567" s="43" t="s">
        <v>914</v>
      </c>
      <c r="B567" s="42" t="s">
        <v>808</v>
      </c>
      <c r="C567" s="42" t="s">
        <v>1796</v>
      </c>
      <c r="D567" s="61">
        <v>2</v>
      </c>
      <c r="E567" s="62">
        <v>0</v>
      </c>
      <c r="F567" s="63">
        <v>2</v>
      </c>
      <c r="G567"/>
    </row>
    <row r="568" spans="1:7" ht="15.6" x14ac:dyDescent="0.3">
      <c r="A568" s="43" t="s">
        <v>914</v>
      </c>
      <c r="B568" s="42" t="s">
        <v>494</v>
      </c>
      <c r="C568" s="42" t="s">
        <v>1456</v>
      </c>
      <c r="D568" s="61">
        <v>2</v>
      </c>
      <c r="E568" s="62">
        <v>0</v>
      </c>
      <c r="F568" s="63">
        <v>2</v>
      </c>
      <c r="G568"/>
    </row>
    <row r="569" spans="1:7" ht="15.6" x14ac:dyDescent="0.3">
      <c r="A569" s="43" t="s">
        <v>914</v>
      </c>
      <c r="B569" s="42" t="s">
        <v>458</v>
      </c>
      <c r="C569" s="42" t="s">
        <v>1415</v>
      </c>
      <c r="D569" s="61">
        <v>1</v>
      </c>
      <c r="E569" s="62">
        <v>0</v>
      </c>
      <c r="F569" s="63">
        <v>1</v>
      </c>
      <c r="G569"/>
    </row>
    <row r="570" spans="1:7" ht="15.6" x14ac:dyDescent="0.3">
      <c r="A570" s="43" t="s">
        <v>914</v>
      </c>
      <c r="B570" s="42" t="s">
        <v>656</v>
      </c>
      <c r="C570" s="42" t="s">
        <v>1625</v>
      </c>
      <c r="D570" s="61">
        <v>1</v>
      </c>
      <c r="E570" s="62">
        <v>0</v>
      </c>
      <c r="F570" s="63">
        <v>1</v>
      </c>
      <c r="G570"/>
    </row>
    <row r="571" spans="1:7" ht="15.6" x14ac:dyDescent="0.3">
      <c r="A571" s="43" t="s">
        <v>914</v>
      </c>
      <c r="B571" s="42" t="s">
        <v>657</v>
      </c>
      <c r="C571" s="42" t="s">
        <v>1626</v>
      </c>
      <c r="D571" s="61">
        <v>1</v>
      </c>
      <c r="E571" s="62">
        <v>0</v>
      </c>
      <c r="F571" s="63">
        <v>1</v>
      </c>
      <c r="G571"/>
    </row>
    <row r="572" spans="1:7" ht="15.6" x14ac:dyDescent="0.3">
      <c r="A572" s="43" t="s">
        <v>914</v>
      </c>
      <c r="B572" s="42" t="s">
        <v>2290</v>
      </c>
      <c r="C572" s="42" t="s">
        <v>2295</v>
      </c>
      <c r="D572" s="61">
        <v>1</v>
      </c>
      <c r="E572" s="62">
        <v>0</v>
      </c>
      <c r="F572" s="63">
        <v>1</v>
      </c>
      <c r="G572"/>
    </row>
    <row r="573" spans="1:7" ht="15.6" x14ac:dyDescent="0.3">
      <c r="A573" s="43" t="s">
        <v>914</v>
      </c>
      <c r="B573" s="42" t="s">
        <v>483</v>
      </c>
      <c r="C573" s="42" t="s">
        <v>1444</v>
      </c>
      <c r="D573" s="61">
        <v>2</v>
      </c>
      <c r="E573" s="62">
        <v>0</v>
      </c>
      <c r="F573" s="63">
        <v>2</v>
      </c>
      <c r="G573"/>
    </row>
    <row r="574" spans="1:7" ht="15.6" x14ac:dyDescent="0.3">
      <c r="A574" s="43" t="s">
        <v>914</v>
      </c>
      <c r="B574" s="42" t="s">
        <v>412</v>
      </c>
      <c r="C574" s="42" t="s">
        <v>1368</v>
      </c>
      <c r="D574" s="61">
        <v>2</v>
      </c>
      <c r="E574" s="62">
        <v>0</v>
      </c>
      <c r="F574" s="63">
        <v>2</v>
      </c>
      <c r="G574"/>
    </row>
    <row r="575" spans="1:7" ht="15.6" x14ac:dyDescent="0.3">
      <c r="A575" s="43" t="s">
        <v>914</v>
      </c>
      <c r="B575" s="42" t="s">
        <v>411</v>
      </c>
      <c r="C575" s="42" t="s">
        <v>1367</v>
      </c>
      <c r="D575" s="61">
        <v>1</v>
      </c>
      <c r="E575" s="62">
        <v>0</v>
      </c>
      <c r="F575" s="63">
        <v>1</v>
      </c>
      <c r="G575"/>
    </row>
    <row r="576" spans="1:7" ht="15.6" x14ac:dyDescent="0.3">
      <c r="A576" s="43" t="s">
        <v>914</v>
      </c>
      <c r="B576" s="42" t="s">
        <v>410</v>
      </c>
      <c r="C576" s="42" t="s">
        <v>1366</v>
      </c>
      <c r="D576" s="61">
        <v>2</v>
      </c>
      <c r="E576" s="62">
        <v>0</v>
      </c>
      <c r="F576" s="63">
        <v>2</v>
      </c>
      <c r="G576"/>
    </row>
    <row r="577" spans="1:7" ht="15.6" x14ac:dyDescent="0.3">
      <c r="A577" s="43" t="s">
        <v>914</v>
      </c>
      <c r="B577" s="42" t="s">
        <v>675</v>
      </c>
      <c r="C577" s="42" t="s">
        <v>1644</v>
      </c>
      <c r="D577" s="61">
        <v>1</v>
      </c>
      <c r="E577" s="62">
        <v>0</v>
      </c>
      <c r="F577" s="63">
        <v>1</v>
      </c>
      <c r="G577"/>
    </row>
    <row r="578" spans="1:7" ht="15.6" x14ac:dyDescent="0.3">
      <c r="A578" s="43" t="s">
        <v>914</v>
      </c>
      <c r="B578" s="42" t="s">
        <v>677</v>
      </c>
      <c r="C578" s="42" t="s">
        <v>1646</v>
      </c>
      <c r="D578" s="61">
        <v>1</v>
      </c>
      <c r="E578" s="62">
        <v>0</v>
      </c>
      <c r="F578" s="63">
        <v>1</v>
      </c>
      <c r="G578"/>
    </row>
    <row r="579" spans="1:7" ht="15.6" x14ac:dyDescent="0.3">
      <c r="A579" s="43" t="s">
        <v>914</v>
      </c>
      <c r="B579" s="42" t="s">
        <v>676</v>
      </c>
      <c r="C579" s="42" t="s">
        <v>1645</v>
      </c>
      <c r="D579" s="61">
        <v>1</v>
      </c>
      <c r="E579" s="62">
        <v>0</v>
      </c>
      <c r="F579" s="63">
        <v>1</v>
      </c>
      <c r="G579"/>
    </row>
    <row r="580" spans="1:7" ht="15.6" x14ac:dyDescent="0.3">
      <c r="A580" s="43" t="s">
        <v>914</v>
      </c>
      <c r="B580" s="42" t="s">
        <v>674</v>
      </c>
      <c r="C580" s="42" t="s">
        <v>1643</v>
      </c>
      <c r="D580" s="61">
        <v>1</v>
      </c>
      <c r="E580" s="62">
        <v>0</v>
      </c>
      <c r="F580" s="63">
        <v>1</v>
      </c>
      <c r="G580"/>
    </row>
    <row r="581" spans="1:7" ht="15.6" x14ac:dyDescent="0.3">
      <c r="A581" s="43" t="s">
        <v>914</v>
      </c>
      <c r="B581" s="42" t="s">
        <v>273</v>
      </c>
      <c r="C581" s="42" t="s">
        <v>1215</v>
      </c>
      <c r="D581" s="61">
        <v>1</v>
      </c>
      <c r="E581" s="62">
        <v>0</v>
      </c>
      <c r="F581" s="63">
        <v>1</v>
      </c>
      <c r="G581"/>
    </row>
    <row r="582" spans="1:7" ht="15.6" x14ac:dyDescent="0.3">
      <c r="A582" s="43" t="s">
        <v>914</v>
      </c>
      <c r="B582" s="42" t="s">
        <v>2468</v>
      </c>
      <c r="C582" s="42" t="s">
        <v>1243</v>
      </c>
      <c r="D582" s="61">
        <v>1</v>
      </c>
      <c r="E582" s="62">
        <v>0</v>
      </c>
      <c r="F582" s="63">
        <v>1</v>
      </c>
      <c r="G582"/>
    </row>
    <row r="583" spans="1:7" ht="15.6" x14ac:dyDescent="0.3">
      <c r="A583" s="43" t="s">
        <v>914</v>
      </c>
      <c r="B583" s="42" t="s">
        <v>2466</v>
      </c>
      <c r="C583" s="42" t="s">
        <v>1213</v>
      </c>
      <c r="D583" s="61">
        <v>1</v>
      </c>
      <c r="E583" s="62">
        <v>0</v>
      </c>
      <c r="F583" s="63">
        <v>1</v>
      </c>
      <c r="G583"/>
    </row>
    <row r="584" spans="1:7" ht="15.6" x14ac:dyDescent="0.3">
      <c r="A584" s="43" t="s">
        <v>914</v>
      </c>
      <c r="B584" s="42" t="s">
        <v>272</v>
      </c>
      <c r="C584" s="42" t="s">
        <v>1214</v>
      </c>
      <c r="D584" s="61">
        <v>1</v>
      </c>
      <c r="E584" s="62">
        <v>0</v>
      </c>
      <c r="F584" s="63">
        <v>1</v>
      </c>
      <c r="G584"/>
    </row>
    <row r="585" spans="1:7" ht="15.6" x14ac:dyDescent="0.3">
      <c r="A585" s="43" t="s">
        <v>914</v>
      </c>
      <c r="B585" s="42" t="s">
        <v>2467</v>
      </c>
      <c r="C585" s="42" t="s">
        <v>1235</v>
      </c>
      <c r="D585" s="61">
        <v>5</v>
      </c>
      <c r="E585" s="62">
        <v>0</v>
      </c>
      <c r="F585" s="63">
        <v>5</v>
      </c>
      <c r="G585"/>
    </row>
    <row r="586" spans="1:7" ht="15.6" x14ac:dyDescent="0.3">
      <c r="A586" s="43" t="s">
        <v>914</v>
      </c>
      <c r="B586" s="42" t="s">
        <v>689</v>
      </c>
      <c r="C586" s="42" t="s">
        <v>1661</v>
      </c>
      <c r="D586" s="61">
        <v>7</v>
      </c>
      <c r="E586" s="62">
        <v>0</v>
      </c>
      <c r="F586" s="63">
        <v>7</v>
      </c>
      <c r="G586"/>
    </row>
    <row r="587" spans="1:7" ht="15.6" x14ac:dyDescent="0.3">
      <c r="A587" s="43" t="s">
        <v>914</v>
      </c>
      <c r="B587" s="42" t="s">
        <v>263</v>
      </c>
      <c r="C587" s="42" t="s">
        <v>1202</v>
      </c>
      <c r="D587" s="61">
        <v>89</v>
      </c>
      <c r="E587" s="62">
        <v>0</v>
      </c>
      <c r="F587" s="63">
        <v>89</v>
      </c>
      <c r="G587"/>
    </row>
    <row r="588" spans="1:7" ht="15.6" x14ac:dyDescent="0.3">
      <c r="A588" s="43" t="s">
        <v>914</v>
      </c>
      <c r="B588" s="42" t="s">
        <v>342</v>
      </c>
      <c r="C588" s="42" t="s">
        <v>1290</v>
      </c>
      <c r="D588" s="61">
        <v>10</v>
      </c>
      <c r="E588" s="62">
        <v>0</v>
      </c>
      <c r="F588" s="63">
        <v>10</v>
      </c>
      <c r="G588"/>
    </row>
    <row r="589" spans="1:7" ht="15.6" x14ac:dyDescent="0.3">
      <c r="A589" s="43" t="s">
        <v>914</v>
      </c>
      <c r="B589" s="42" t="s">
        <v>6</v>
      </c>
      <c r="C589" s="42" t="s">
        <v>932</v>
      </c>
      <c r="D589" s="61">
        <v>17</v>
      </c>
      <c r="E589" s="62">
        <v>0</v>
      </c>
      <c r="F589" s="63">
        <v>17</v>
      </c>
      <c r="G589"/>
    </row>
    <row r="590" spans="1:7" ht="15.6" x14ac:dyDescent="0.3">
      <c r="A590" s="43" t="s">
        <v>914</v>
      </c>
      <c r="B590" s="42" t="s">
        <v>8</v>
      </c>
      <c r="C590" s="42" t="s">
        <v>935</v>
      </c>
      <c r="D590" s="61">
        <v>6</v>
      </c>
      <c r="E590" s="62">
        <v>0</v>
      </c>
      <c r="F590" s="63">
        <v>6</v>
      </c>
      <c r="G590"/>
    </row>
    <row r="591" spans="1:7" ht="15.6" x14ac:dyDescent="0.3">
      <c r="A591" s="43" t="s">
        <v>914</v>
      </c>
      <c r="B591" s="42" t="s">
        <v>823</v>
      </c>
      <c r="C591" s="42" t="s">
        <v>1812</v>
      </c>
      <c r="D591" s="61">
        <v>5</v>
      </c>
      <c r="E591" s="62">
        <v>0</v>
      </c>
      <c r="F591" s="63">
        <v>5</v>
      </c>
      <c r="G591"/>
    </row>
    <row r="592" spans="1:7" ht="15.6" x14ac:dyDescent="0.3">
      <c r="A592" s="43" t="s">
        <v>914</v>
      </c>
      <c r="B592" s="42" t="s">
        <v>711</v>
      </c>
      <c r="C592" s="42" t="s">
        <v>1686</v>
      </c>
      <c r="D592" s="61">
        <v>1</v>
      </c>
      <c r="E592" s="62">
        <v>0</v>
      </c>
      <c r="F592" s="63">
        <v>1</v>
      </c>
      <c r="G592"/>
    </row>
    <row r="593" spans="1:7" ht="15.6" x14ac:dyDescent="0.3">
      <c r="A593" s="43" t="s">
        <v>914</v>
      </c>
      <c r="B593" s="42" t="s">
        <v>712</v>
      </c>
      <c r="C593" s="42" t="s">
        <v>1687</v>
      </c>
      <c r="D593" s="61">
        <v>1</v>
      </c>
      <c r="E593" s="62">
        <v>0</v>
      </c>
      <c r="F593" s="63">
        <v>1</v>
      </c>
      <c r="G593"/>
    </row>
    <row r="594" spans="1:7" ht="15.6" x14ac:dyDescent="0.3">
      <c r="A594" s="43" t="s">
        <v>914</v>
      </c>
      <c r="B594" s="42" t="s">
        <v>709</v>
      </c>
      <c r="C594" s="42" t="s">
        <v>1684</v>
      </c>
      <c r="D594" s="61">
        <v>1</v>
      </c>
      <c r="E594" s="62">
        <v>0</v>
      </c>
      <c r="F594" s="63">
        <v>1</v>
      </c>
      <c r="G594"/>
    </row>
    <row r="595" spans="1:7" ht="15.6" x14ac:dyDescent="0.3">
      <c r="A595" s="43" t="s">
        <v>914</v>
      </c>
      <c r="B595" s="42" t="s">
        <v>2490</v>
      </c>
      <c r="C595" s="42" t="s">
        <v>1683</v>
      </c>
      <c r="D595" s="61">
        <v>1</v>
      </c>
      <c r="E595" s="62">
        <v>0</v>
      </c>
      <c r="F595" s="63">
        <v>1</v>
      </c>
      <c r="G595"/>
    </row>
    <row r="596" spans="1:7" ht="15.6" x14ac:dyDescent="0.3">
      <c r="A596" s="43" t="s">
        <v>914</v>
      </c>
      <c r="B596" s="42" t="s">
        <v>710</v>
      </c>
      <c r="C596" s="42" t="s">
        <v>1685</v>
      </c>
      <c r="D596" s="61">
        <v>1</v>
      </c>
      <c r="E596" s="62">
        <v>0</v>
      </c>
      <c r="F596" s="63">
        <v>1</v>
      </c>
      <c r="G596"/>
    </row>
    <row r="597" spans="1:7" ht="15.6" x14ac:dyDescent="0.3">
      <c r="A597" s="43" t="s">
        <v>914</v>
      </c>
      <c r="B597" s="42" t="s">
        <v>2491</v>
      </c>
      <c r="C597" s="42" t="s">
        <v>1688</v>
      </c>
      <c r="D597" s="61">
        <v>1</v>
      </c>
      <c r="E597" s="62">
        <v>0</v>
      </c>
      <c r="F597" s="63">
        <v>1</v>
      </c>
      <c r="G597"/>
    </row>
    <row r="598" spans="1:7" ht="15.6" x14ac:dyDescent="0.3">
      <c r="A598" s="43" t="s">
        <v>914</v>
      </c>
      <c r="B598" s="42" t="s">
        <v>865</v>
      </c>
      <c r="C598" s="42" t="s">
        <v>1860</v>
      </c>
      <c r="D598" s="61">
        <v>167</v>
      </c>
      <c r="E598" s="62">
        <v>0</v>
      </c>
      <c r="F598" s="63">
        <v>167</v>
      </c>
      <c r="G598"/>
    </row>
    <row r="599" spans="1:7" ht="15.6" x14ac:dyDescent="0.3">
      <c r="A599" s="43" t="s">
        <v>914</v>
      </c>
      <c r="B599" s="42" t="s">
        <v>716</v>
      </c>
      <c r="C599" s="42" t="s">
        <v>1693</v>
      </c>
      <c r="D599" s="61">
        <v>1</v>
      </c>
      <c r="E599" s="62">
        <v>0</v>
      </c>
      <c r="F599" s="63">
        <v>1</v>
      </c>
      <c r="G599"/>
    </row>
    <row r="600" spans="1:7" ht="15.6" x14ac:dyDescent="0.3">
      <c r="A600" s="43" t="s">
        <v>914</v>
      </c>
      <c r="B600" s="42" t="s">
        <v>2472</v>
      </c>
      <c r="C600" s="42" t="s">
        <v>1335</v>
      </c>
      <c r="D600" s="61">
        <v>115</v>
      </c>
      <c r="E600" s="62">
        <v>0</v>
      </c>
      <c r="F600" s="63">
        <v>115</v>
      </c>
      <c r="G600"/>
    </row>
    <row r="601" spans="1:7" ht="15.6" x14ac:dyDescent="0.3">
      <c r="A601" s="43" t="s">
        <v>914</v>
      </c>
      <c r="B601" s="42" t="s">
        <v>829</v>
      </c>
      <c r="C601" s="42" t="s">
        <v>1818</v>
      </c>
      <c r="D601" s="61">
        <v>28</v>
      </c>
      <c r="E601" s="62">
        <v>0</v>
      </c>
      <c r="F601" s="63">
        <v>28</v>
      </c>
      <c r="G601"/>
    </row>
    <row r="602" spans="1:7" ht="15.6" x14ac:dyDescent="0.3">
      <c r="A602" s="43" t="s">
        <v>914</v>
      </c>
      <c r="B602" s="42" t="s">
        <v>1939</v>
      </c>
      <c r="C602" s="42" t="s">
        <v>1959</v>
      </c>
      <c r="D602" s="61">
        <v>1</v>
      </c>
      <c r="E602" s="62">
        <v>1</v>
      </c>
      <c r="F602" s="63">
        <v>0</v>
      </c>
      <c r="G602"/>
    </row>
    <row r="603" spans="1:7" ht="15.6" x14ac:dyDescent="0.3">
      <c r="A603" s="43" t="s">
        <v>914</v>
      </c>
      <c r="B603" s="42" t="s">
        <v>2512</v>
      </c>
      <c r="C603" s="42" t="s">
        <v>1949</v>
      </c>
      <c r="D603" s="61">
        <v>20</v>
      </c>
      <c r="E603" s="62">
        <v>20</v>
      </c>
      <c r="F603" s="63">
        <v>0</v>
      </c>
      <c r="G603"/>
    </row>
    <row r="604" spans="1:7" ht="15.6" x14ac:dyDescent="0.3">
      <c r="A604" s="43" t="s">
        <v>914</v>
      </c>
      <c r="B604" s="42" t="s">
        <v>405</v>
      </c>
      <c r="C604" s="42" t="s">
        <v>1360</v>
      </c>
      <c r="D604" s="61">
        <v>10</v>
      </c>
      <c r="E604" s="62">
        <v>0</v>
      </c>
      <c r="F604" s="63">
        <v>10</v>
      </c>
      <c r="G604"/>
    </row>
    <row r="605" spans="1:7" ht="15.6" x14ac:dyDescent="0.3">
      <c r="A605" s="43" t="s">
        <v>914</v>
      </c>
      <c r="B605" s="42" t="s">
        <v>104</v>
      </c>
      <c r="C605" s="42" t="s">
        <v>1038</v>
      </c>
      <c r="D605" s="61">
        <v>10</v>
      </c>
      <c r="E605" s="62">
        <v>0</v>
      </c>
      <c r="F605" s="63">
        <v>10</v>
      </c>
      <c r="G605"/>
    </row>
    <row r="606" spans="1:7" ht="15.6" x14ac:dyDescent="0.3">
      <c r="A606" s="43" t="s">
        <v>914</v>
      </c>
      <c r="B606" s="42" t="s">
        <v>688</v>
      </c>
      <c r="C606" s="42" t="s">
        <v>1660</v>
      </c>
      <c r="D606" s="61">
        <v>1</v>
      </c>
      <c r="E606" s="62">
        <v>0</v>
      </c>
      <c r="F606" s="63">
        <v>1</v>
      </c>
      <c r="G606"/>
    </row>
    <row r="607" spans="1:7" ht="15.6" x14ac:dyDescent="0.3">
      <c r="A607" s="43" t="s">
        <v>914</v>
      </c>
      <c r="B607" s="42" t="s">
        <v>111</v>
      </c>
      <c r="C607" s="42" t="s">
        <v>1045</v>
      </c>
      <c r="D607" s="61">
        <v>10</v>
      </c>
      <c r="E607" s="62">
        <v>0</v>
      </c>
      <c r="F607" s="63">
        <v>10</v>
      </c>
      <c r="G607"/>
    </row>
    <row r="608" spans="1:7" ht="15.6" x14ac:dyDescent="0.3">
      <c r="A608" s="43" t="s">
        <v>914</v>
      </c>
      <c r="B608" s="42" t="s">
        <v>699</v>
      </c>
      <c r="C608" s="42" t="s">
        <v>1671</v>
      </c>
      <c r="D608" s="61">
        <v>2</v>
      </c>
      <c r="E608" s="62">
        <v>0</v>
      </c>
      <c r="F608" s="63">
        <v>2</v>
      </c>
      <c r="G608"/>
    </row>
    <row r="609" spans="1:7" ht="15.6" x14ac:dyDescent="0.3">
      <c r="A609" s="43" t="s">
        <v>914</v>
      </c>
      <c r="B609" s="42" t="s">
        <v>812</v>
      </c>
      <c r="C609" s="42" t="s">
        <v>1800</v>
      </c>
      <c r="D609" s="61">
        <v>5</v>
      </c>
      <c r="E609" s="62">
        <v>0</v>
      </c>
      <c r="F609" s="63">
        <v>5</v>
      </c>
      <c r="G609"/>
    </row>
    <row r="610" spans="1:7" ht="15.6" x14ac:dyDescent="0.3">
      <c r="A610" s="43" t="s">
        <v>914</v>
      </c>
      <c r="B610" s="42" t="s">
        <v>813</v>
      </c>
      <c r="C610" s="42" t="s">
        <v>1801</v>
      </c>
      <c r="D610" s="61">
        <v>10</v>
      </c>
      <c r="E610" s="62">
        <v>0</v>
      </c>
      <c r="F610" s="63">
        <v>10</v>
      </c>
      <c r="G610"/>
    </row>
    <row r="611" spans="1:7" ht="15.6" x14ac:dyDescent="0.3">
      <c r="A611" s="43" t="s">
        <v>914</v>
      </c>
      <c r="B611" s="42" t="s">
        <v>420</v>
      </c>
      <c r="C611" s="42" t="s">
        <v>1376</v>
      </c>
      <c r="D611" s="61">
        <v>14</v>
      </c>
      <c r="E611" s="62">
        <v>0</v>
      </c>
      <c r="F611" s="63">
        <v>14</v>
      </c>
      <c r="G611"/>
    </row>
    <row r="612" spans="1:7" ht="15.6" x14ac:dyDescent="0.3">
      <c r="A612" s="43" t="s">
        <v>914</v>
      </c>
      <c r="B612" s="42" t="s">
        <v>826</v>
      </c>
      <c r="C612" s="42" t="s">
        <v>1815</v>
      </c>
      <c r="D612" s="61">
        <v>6</v>
      </c>
      <c r="E612" s="62">
        <v>0</v>
      </c>
      <c r="F612" s="63">
        <v>6</v>
      </c>
      <c r="G612"/>
    </row>
    <row r="613" spans="1:7" ht="15.6" x14ac:dyDescent="0.3">
      <c r="A613" s="43" t="s">
        <v>914</v>
      </c>
      <c r="B613" s="42" t="s">
        <v>777</v>
      </c>
      <c r="C613" s="42" t="s">
        <v>1757</v>
      </c>
      <c r="D613" s="61">
        <v>140</v>
      </c>
      <c r="E613" s="62">
        <v>0</v>
      </c>
      <c r="F613" s="63">
        <v>140</v>
      </c>
      <c r="G613"/>
    </row>
    <row r="614" spans="1:7" ht="15.6" x14ac:dyDescent="0.3">
      <c r="A614" s="43" t="s">
        <v>914</v>
      </c>
      <c r="B614" s="42" t="s">
        <v>817</v>
      </c>
      <c r="C614" s="42" t="s">
        <v>1806</v>
      </c>
      <c r="D614" s="61">
        <v>4</v>
      </c>
      <c r="E614" s="62">
        <v>0</v>
      </c>
      <c r="F614" s="63">
        <v>4</v>
      </c>
      <c r="G614"/>
    </row>
    <row r="615" spans="1:7" ht="15.6" x14ac:dyDescent="0.3">
      <c r="A615" s="43" t="s">
        <v>914</v>
      </c>
      <c r="B615" s="42" t="s">
        <v>824</v>
      </c>
      <c r="C615" s="42" t="s">
        <v>1813</v>
      </c>
      <c r="D615" s="61">
        <v>9</v>
      </c>
      <c r="E615" s="62">
        <v>0</v>
      </c>
      <c r="F615" s="63">
        <v>9</v>
      </c>
      <c r="G615"/>
    </row>
    <row r="616" spans="1:7" ht="15.6" x14ac:dyDescent="0.3">
      <c r="A616" s="43" t="s">
        <v>914</v>
      </c>
      <c r="B616" s="42" t="s">
        <v>825</v>
      </c>
      <c r="C616" s="42" t="s">
        <v>1814</v>
      </c>
      <c r="D616" s="61">
        <v>6</v>
      </c>
      <c r="E616" s="62">
        <v>0</v>
      </c>
      <c r="F616" s="63">
        <v>6</v>
      </c>
      <c r="G616"/>
    </row>
    <row r="617" spans="1:7" ht="15.6" x14ac:dyDescent="0.3">
      <c r="A617" s="43" t="s">
        <v>914</v>
      </c>
      <c r="B617" s="42" t="s">
        <v>742</v>
      </c>
      <c r="C617" s="42" t="s">
        <v>1719</v>
      </c>
      <c r="D617" s="61">
        <v>1</v>
      </c>
      <c r="E617" s="62">
        <v>0</v>
      </c>
      <c r="F617" s="63">
        <v>1</v>
      </c>
      <c r="G617"/>
    </row>
    <row r="618" spans="1:7" ht="15.6" x14ac:dyDescent="0.3">
      <c r="A618" s="43" t="s">
        <v>914</v>
      </c>
      <c r="B618" s="42" t="s">
        <v>339</v>
      </c>
      <c r="C618" s="42" t="s">
        <v>1287</v>
      </c>
      <c r="D618" s="61">
        <v>18</v>
      </c>
      <c r="E618" s="62">
        <v>0</v>
      </c>
      <c r="F618" s="63">
        <v>18</v>
      </c>
      <c r="G618"/>
    </row>
    <row r="619" spans="1:7" ht="15.6" x14ac:dyDescent="0.3">
      <c r="A619" s="43" t="s">
        <v>914</v>
      </c>
      <c r="B619" s="42" t="s">
        <v>395</v>
      </c>
      <c r="C619" s="42" t="s">
        <v>1349</v>
      </c>
      <c r="D619" s="61">
        <v>8</v>
      </c>
      <c r="E619" s="62">
        <v>0</v>
      </c>
      <c r="F619" s="63">
        <v>8</v>
      </c>
      <c r="G619"/>
    </row>
    <row r="620" spans="1:7" ht="15.6" x14ac:dyDescent="0.3">
      <c r="A620" s="43" t="s">
        <v>914</v>
      </c>
      <c r="B620" s="42" t="s">
        <v>2347</v>
      </c>
      <c r="C620" s="42" t="s">
        <v>1659</v>
      </c>
      <c r="D620" s="61">
        <v>12</v>
      </c>
      <c r="E620" s="62">
        <v>0</v>
      </c>
      <c r="F620" s="63">
        <v>12</v>
      </c>
      <c r="G620"/>
    </row>
    <row r="621" spans="1:7" ht="15.6" x14ac:dyDescent="0.3">
      <c r="A621" s="43" t="s">
        <v>914</v>
      </c>
      <c r="B621" s="42" t="s">
        <v>2346</v>
      </c>
      <c r="C621" s="42" t="s">
        <v>1352</v>
      </c>
      <c r="D621" s="61">
        <v>1</v>
      </c>
      <c r="E621" s="62">
        <v>1</v>
      </c>
      <c r="F621" s="63">
        <v>0</v>
      </c>
      <c r="G621"/>
    </row>
    <row r="622" spans="1:7" ht="15.6" x14ac:dyDescent="0.3">
      <c r="A622" s="43" t="s">
        <v>914</v>
      </c>
      <c r="B622" s="42" t="s">
        <v>292</v>
      </c>
      <c r="C622" s="42" t="s">
        <v>1234</v>
      </c>
      <c r="D622" s="61">
        <v>5</v>
      </c>
      <c r="E622" s="62">
        <v>0</v>
      </c>
      <c r="F622" s="63">
        <v>5</v>
      </c>
      <c r="G622"/>
    </row>
    <row r="623" spans="1:7" ht="15.6" x14ac:dyDescent="0.3">
      <c r="A623" s="43" t="s">
        <v>914</v>
      </c>
      <c r="B623" s="42" t="s">
        <v>2597</v>
      </c>
      <c r="C623" s="42" t="s">
        <v>1452</v>
      </c>
      <c r="D623" s="61">
        <v>0</v>
      </c>
      <c r="E623" s="62">
        <v>0</v>
      </c>
      <c r="F623" s="63">
        <v>0</v>
      </c>
      <c r="G623"/>
    </row>
    <row r="624" spans="1:7" ht="15.6" x14ac:dyDescent="0.3">
      <c r="A624" s="43" t="s">
        <v>914</v>
      </c>
      <c r="B624" s="43" t="s">
        <v>2597</v>
      </c>
      <c r="C624" s="44" t="s">
        <v>1593</v>
      </c>
      <c r="D624" s="64">
        <v>0</v>
      </c>
      <c r="E624" s="52">
        <v>0</v>
      </c>
      <c r="F624" s="65">
        <v>0</v>
      </c>
      <c r="G624"/>
    </row>
    <row r="625" spans="1:7" ht="15.6" x14ac:dyDescent="0.3">
      <c r="A625" s="43" t="s">
        <v>914</v>
      </c>
      <c r="B625" s="43" t="s">
        <v>2597</v>
      </c>
      <c r="C625" s="44" t="s">
        <v>1691</v>
      </c>
      <c r="D625" s="64">
        <v>0</v>
      </c>
      <c r="E625" s="52">
        <v>0</v>
      </c>
      <c r="F625" s="65">
        <v>0</v>
      </c>
      <c r="G625"/>
    </row>
    <row r="626" spans="1:7" ht="15.6" x14ac:dyDescent="0.3">
      <c r="A626" s="43" t="s">
        <v>914</v>
      </c>
      <c r="B626" s="43" t="s">
        <v>2597</v>
      </c>
      <c r="C626" s="44" t="s">
        <v>1821</v>
      </c>
      <c r="D626" s="64">
        <v>0</v>
      </c>
      <c r="E626" s="52">
        <v>0</v>
      </c>
      <c r="F626" s="65">
        <v>0</v>
      </c>
      <c r="G626"/>
    </row>
    <row r="627" spans="1:7" ht="15.6" x14ac:dyDescent="0.3">
      <c r="A627" s="43" t="s">
        <v>914</v>
      </c>
      <c r="B627" s="43" t="s">
        <v>2597</v>
      </c>
      <c r="C627" s="44" t="s">
        <v>1842</v>
      </c>
      <c r="D627" s="64">
        <v>0</v>
      </c>
      <c r="E627" s="52">
        <v>0</v>
      </c>
      <c r="F627" s="65">
        <v>0</v>
      </c>
      <c r="G627"/>
    </row>
    <row r="628" spans="1:7" ht="15.6" x14ac:dyDescent="0.3">
      <c r="A628" s="43" t="s">
        <v>914</v>
      </c>
      <c r="B628" s="43" t="s">
        <v>2597</v>
      </c>
      <c r="C628" s="44" t="s">
        <v>1861</v>
      </c>
      <c r="D628" s="64">
        <v>0</v>
      </c>
      <c r="E628" s="52">
        <v>0</v>
      </c>
      <c r="F628" s="65">
        <v>0</v>
      </c>
      <c r="G628"/>
    </row>
    <row r="629" spans="1:7" ht="15.6" x14ac:dyDescent="0.3">
      <c r="A629" s="43" t="s">
        <v>914</v>
      </c>
      <c r="B629" s="42" t="s">
        <v>91</v>
      </c>
      <c r="C629" s="42" t="s">
        <v>1020</v>
      </c>
      <c r="D629" s="61">
        <v>1</v>
      </c>
      <c r="E629" s="62">
        <v>0</v>
      </c>
      <c r="F629" s="63">
        <v>1</v>
      </c>
      <c r="G629"/>
    </row>
    <row r="630" spans="1:7" ht="15.6" x14ac:dyDescent="0.3">
      <c r="A630" s="43" t="s">
        <v>914</v>
      </c>
      <c r="B630" s="42" t="s">
        <v>264</v>
      </c>
      <c r="C630" s="42" t="s">
        <v>1204</v>
      </c>
      <c r="D630" s="61">
        <v>36</v>
      </c>
      <c r="E630" s="62">
        <v>0</v>
      </c>
      <c r="F630" s="63">
        <v>36</v>
      </c>
      <c r="G630"/>
    </row>
    <row r="631" spans="1:7" ht="15.6" x14ac:dyDescent="0.3">
      <c r="A631" s="43" t="s">
        <v>914</v>
      </c>
      <c r="B631" s="42" t="s">
        <v>406</v>
      </c>
      <c r="C631" s="42" t="s">
        <v>1362</v>
      </c>
      <c r="D631" s="61">
        <v>1</v>
      </c>
      <c r="E631" s="62">
        <v>0</v>
      </c>
      <c r="F631" s="63">
        <v>1</v>
      </c>
      <c r="G631"/>
    </row>
    <row r="632" spans="1:7" ht="15.6" x14ac:dyDescent="0.3">
      <c r="A632" s="43" t="s">
        <v>914</v>
      </c>
      <c r="B632" s="42" t="s">
        <v>778</v>
      </c>
      <c r="C632" s="42" t="s">
        <v>1758</v>
      </c>
      <c r="D632" s="61">
        <v>85</v>
      </c>
      <c r="E632" s="62">
        <v>0</v>
      </c>
      <c r="F632" s="63">
        <v>85</v>
      </c>
      <c r="G632"/>
    </row>
    <row r="633" spans="1:7" ht="15.6" x14ac:dyDescent="0.3">
      <c r="A633" s="43" t="s">
        <v>914</v>
      </c>
      <c r="B633" s="42" t="s">
        <v>619</v>
      </c>
      <c r="C633" s="42" t="s">
        <v>1584</v>
      </c>
      <c r="D633" s="61">
        <v>1</v>
      </c>
      <c r="E633" s="62">
        <v>0</v>
      </c>
      <c r="F633" s="63">
        <v>1</v>
      </c>
      <c r="G633"/>
    </row>
    <row r="634" spans="1:7" ht="15.6" x14ac:dyDescent="0.3">
      <c r="A634" s="43" t="s">
        <v>914</v>
      </c>
      <c r="B634" s="42" t="s">
        <v>565</v>
      </c>
      <c r="C634" s="42" t="s">
        <v>1529</v>
      </c>
      <c r="D634" s="61">
        <v>10</v>
      </c>
      <c r="E634" s="62">
        <v>0</v>
      </c>
      <c r="F634" s="63">
        <v>10</v>
      </c>
      <c r="G634"/>
    </row>
    <row r="635" spans="1:7" ht="15.6" x14ac:dyDescent="0.3">
      <c r="A635" s="43" t="s">
        <v>914</v>
      </c>
      <c r="B635" s="42" t="s">
        <v>596</v>
      </c>
      <c r="C635" s="42" t="s">
        <v>1559</v>
      </c>
      <c r="D635" s="61">
        <v>25</v>
      </c>
      <c r="E635" s="62">
        <v>0</v>
      </c>
      <c r="F635" s="63">
        <v>25</v>
      </c>
      <c r="G635"/>
    </row>
    <row r="636" spans="1:7" ht="15.6" x14ac:dyDescent="0.3">
      <c r="A636" s="43" t="s">
        <v>914</v>
      </c>
      <c r="B636" s="42" t="s">
        <v>678</v>
      </c>
      <c r="C636" s="42" t="s">
        <v>1647</v>
      </c>
      <c r="D636" s="61">
        <v>1</v>
      </c>
      <c r="E636" s="62">
        <v>0</v>
      </c>
      <c r="F636" s="63">
        <v>1</v>
      </c>
      <c r="G636"/>
    </row>
    <row r="637" spans="1:7" ht="15.6" x14ac:dyDescent="0.3">
      <c r="A637" s="43" t="s">
        <v>914</v>
      </c>
      <c r="B637" s="42" t="s">
        <v>183</v>
      </c>
      <c r="C637" s="42" t="s">
        <v>1120</v>
      </c>
      <c r="D637" s="61">
        <v>1</v>
      </c>
      <c r="E637" s="62">
        <v>0</v>
      </c>
      <c r="F637" s="63">
        <v>1</v>
      </c>
      <c r="G637"/>
    </row>
    <row r="638" spans="1:7" ht="15.6" x14ac:dyDescent="0.3">
      <c r="A638" s="43" t="s">
        <v>914</v>
      </c>
      <c r="B638" s="42" t="s">
        <v>126</v>
      </c>
      <c r="C638" s="42" t="s">
        <v>1060</v>
      </c>
      <c r="D638" s="61">
        <v>1</v>
      </c>
      <c r="E638" s="62">
        <v>0</v>
      </c>
      <c r="F638" s="63">
        <v>1</v>
      </c>
      <c r="G638"/>
    </row>
    <row r="639" spans="1:7" ht="15.6" x14ac:dyDescent="0.3">
      <c r="A639" s="43" t="s">
        <v>914</v>
      </c>
      <c r="B639" s="42" t="s">
        <v>7</v>
      </c>
      <c r="C639" s="42" t="s">
        <v>933</v>
      </c>
      <c r="D639" s="61">
        <v>1</v>
      </c>
      <c r="E639" s="62">
        <v>0</v>
      </c>
      <c r="F639" s="63">
        <v>1</v>
      </c>
      <c r="G639"/>
    </row>
    <row r="640" spans="1:7" ht="15.6" x14ac:dyDescent="0.3">
      <c r="A640" s="43" t="s">
        <v>914</v>
      </c>
      <c r="B640" s="42" t="s">
        <v>290</v>
      </c>
      <c r="C640" s="42" t="s">
        <v>1232</v>
      </c>
      <c r="D640" s="61">
        <v>1</v>
      </c>
      <c r="E640" s="62">
        <v>0</v>
      </c>
      <c r="F640" s="63">
        <v>1</v>
      </c>
      <c r="G640"/>
    </row>
    <row r="641" spans="1:7" ht="15.6" x14ac:dyDescent="0.3">
      <c r="A641" s="43" t="s">
        <v>914</v>
      </c>
      <c r="B641" s="42" t="s">
        <v>398</v>
      </c>
      <c r="C641" s="42" t="s">
        <v>1353</v>
      </c>
      <c r="D641" s="61">
        <v>2</v>
      </c>
      <c r="E641" s="62">
        <v>2</v>
      </c>
      <c r="F641" s="63">
        <v>0</v>
      </c>
      <c r="G641"/>
    </row>
    <row r="642" spans="1:7" ht="15.6" x14ac:dyDescent="0.3">
      <c r="A642" s="43" t="s">
        <v>914</v>
      </c>
      <c r="B642" s="42" t="s">
        <v>568</v>
      </c>
      <c r="C642" s="42" t="s">
        <v>1532</v>
      </c>
      <c r="D642" s="61">
        <v>1</v>
      </c>
      <c r="E642" s="62">
        <v>1</v>
      </c>
      <c r="F642" s="63">
        <v>0</v>
      </c>
      <c r="G642"/>
    </row>
    <row r="643" spans="1:7" ht="15.6" x14ac:dyDescent="0.3">
      <c r="A643" s="43" t="s">
        <v>914</v>
      </c>
      <c r="B643" s="42" t="s">
        <v>579</v>
      </c>
      <c r="C643" s="42" t="s">
        <v>1543</v>
      </c>
      <c r="D643" s="61">
        <v>1</v>
      </c>
      <c r="E643" s="62">
        <v>1</v>
      </c>
      <c r="F643" s="63">
        <v>0</v>
      </c>
      <c r="G643"/>
    </row>
    <row r="644" spans="1:7" ht="15.6" x14ac:dyDescent="0.3">
      <c r="A644" s="43" t="s">
        <v>914</v>
      </c>
      <c r="B644" s="42" t="s">
        <v>581</v>
      </c>
      <c r="C644" s="42" t="s">
        <v>1545</v>
      </c>
      <c r="D644" s="61">
        <v>1</v>
      </c>
      <c r="E644" s="62">
        <v>0</v>
      </c>
      <c r="F644" s="63">
        <v>1</v>
      </c>
      <c r="G644"/>
    </row>
    <row r="645" spans="1:7" ht="15.6" x14ac:dyDescent="0.3">
      <c r="A645" s="43" t="s">
        <v>914</v>
      </c>
      <c r="B645" s="42" t="s">
        <v>564</v>
      </c>
      <c r="C645" s="42" t="s">
        <v>1528</v>
      </c>
      <c r="D645" s="61">
        <v>1</v>
      </c>
      <c r="E645" s="62">
        <v>0</v>
      </c>
      <c r="F645" s="63">
        <v>1</v>
      </c>
      <c r="G645"/>
    </row>
    <row r="646" spans="1:7" ht="15.6" x14ac:dyDescent="0.3">
      <c r="A646" s="43" t="s">
        <v>914</v>
      </c>
      <c r="B646" s="42" t="s">
        <v>573</v>
      </c>
      <c r="C646" s="42" t="s">
        <v>1537</v>
      </c>
      <c r="D646" s="61">
        <v>1</v>
      </c>
      <c r="E646" s="62">
        <v>0</v>
      </c>
      <c r="F646" s="63">
        <v>1</v>
      </c>
      <c r="G646"/>
    </row>
    <row r="647" spans="1:7" ht="15.6" x14ac:dyDescent="0.3">
      <c r="A647" s="43" t="s">
        <v>914</v>
      </c>
      <c r="B647" s="42" t="s">
        <v>575</v>
      </c>
      <c r="C647" s="42" t="s">
        <v>1539</v>
      </c>
      <c r="D647" s="61">
        <v>1</v>
      </c>
      <c r="E647" s="62">
        <v>1</v>
      </c>
      <c r="F647" s="63">
        <v>0</v>
      </c>
      <c r="G647"/>
    </row>
    <row r="648" spans="1:7" ht="15.6" x14ac:dyDescent="0.3">
      <c r="A648" s="43" t="s">
        <v>914</v>
      </c>
      <c r="B648" s="42" t="s">
        <v>560</v>
      </c>
      <c r="C648" s="42" t="s">
        <v>1524</v>
      </c>
      <c r="D648" s="61">
        <v>1</v>
      </c>
      <c r="E648" s="62">
        <v>1</v>
      </c>
      <c r="F648" s="63">
        <v>0</v>
      </c>
      <c r="G648"/>
    </row>
    <row r="649" spans="1:7" ht="15.6" x14ac:dyDescent="0.3">
      <c r="A649" s="43" t="s">
        <v>914</v>
      </c>
      <c r="B649" s="42" t="s">
        <v>574</v>
      </c>
      <c r="C649" s="42" t="s">
        <v>1538</v>
      </c>
      <c r="D649" s="61">
        <v>1</v>
      </c>
      <c r="E649" s="62">
        <v>0</v>
      </c>
      <c r="F649" s="63">
        <v>1</v>
      </c>
      <c r="G649"/>
    </row>
    <row r="650" spans="1:7" ht="15.6" x14ac:dyDescent="0.3">
      <c r="A650" s="43" t="s">
        <v>914</v>
      </c>
      <c r="B650" s="42" t="s">
        <v>572</v>
      </c>
      <c r="C650" s="42" t="s">
        <v>1536</v>
      </c>
      <c r="D650" s="61">
        <v>1</v>
      </c>
      <c r="E650" s="62">
        <v>0</v>
      </c>
      <c r="F650" s="63">
        <v>1</v>
      </c>
      <c r="G650"/>
    </row>
    <row r="651" spans="1:7" ht="15.6" x14ac:dyDescent="0.3">
      <c r="A651" s="43" t="s">
        <v>914</v>
      </c>
      <c r="B651" s="42" t="s">
        <v>559</v>
      </c>
      <c r="C651" s="42" t="s">
        <v>1523</v>
      </c>
      <c r="D651" s="61">
        <v>1</v>
      </c>
      <c r="E651" s="62">
        <v>0</v>
      </c>
      <c r="F651" s="63">
        <v>1</v>
      </c>
      <c r="G651"/>
    </row>
    <row r="652" spans="1:7" ht="15.6" x14ac:dyDescent="0.3">
      <c r="A652" s="43" t="s">
        <v>914</v>
      </c>
      <c r="B652" s="42" t="s">
        <v>558</v>
      </c>
      <c r="C652" s="42" t="s">
        <v>1522</v>
      </c>
      <c r="D652" s="61">
        <v>1</v>
      </c>
      <c r="E652" s="62">
        <v>0</v>
      </c>
      <c r="F652" s="63">
        <v>1</v>
      </c>
      <c r="G652"/>
    </row>
    <row r="653" spans="1:7" ht="15.6" x14ac:dyDescent="0.3">
      <c r="A653" s="43" t="s">
        <v>914</v>
      </c>
      <c r="B653" s="42" t="s">
        <v>569</v>
      </c>
      <c r="C653" s="42" t="s">
        <v>1533</v>
      </c>
      <c r="D653" s="61">
        <v>1</v>
      </c>
      <c r="E653" s="62">
        <v>1</v>
      </c>
      <c r="F653" s="63">
        <v>0</v>
      </c>
      <c r="G653"/>
    </row>
    <row r="654" spans="1:7" ht="15.6" x14ac:dyDescent="0.3">
      <c r="A654" s="43" t="s">
        <v>914</v>
      </c>
      <c r="B654" s="42" t="s">
        <v>487</v>
      </c>
      <c r="C654" s="42" t="s">
        <v>1448</v>
      </c>
      <c r="D654" s="61">
        <v>46</v>
      </c>
      <c r="E654" s="62">
        <v>0</v>
      </c>
      <c r="F654" s="63">
        <v>46</v>
      </c>
      <c r="G654"/>
    </row>
    <row r="655" spans="1:7" ht="15.6" x14ac:dyDescent="0.3">
      <c r="A655" s="43" t="s">
        <v>914</v>
      </c>
      <c r="B655" s="42" t="s">
        <v>671</v>
      </c>
      <c r="C655" s="42" t="s">
        <v>1640</v>
      </c>
      <c r="D655" s="61">
        <v>2</v>
      </c>
      <c r="E655" s="62">
        <v>0</v>
      </c>
      <c r="F655" s="63">
        <v>2</v>
      </c>
      <c r="G655"/>
    </row>
    <row r="656" spans="1:7" ht="15.6" x14ac:dyDescent="0.3">
      <c r="A656" s="43" t="s">
        <v>914</v>
      </c>
      <c r="B656" s="42" t="s">
        <v>746</v>
      </c>
      <c r="C656" s="42" t="s">
        <v>1723</v>
      </c>
      <c r="D656" s="61">
        <v>6</v>
      </c>
      <c r="E656" s="62">
        <v>0</v>
      </c>
      <c r="F656" s="63">
        <v>6</v>
      </c>
      <c r="G656"/>
    </row>
    <row r="657" spans="1:7" ht="15.6" x14ac:dyDescent="0.3">
      <c r="A657" s="43" t="s">
        <v>914</v>
      </c>
      <c r="B657" s="42" t="s">
        <v>747</v>
      </c>
      <c r="C657" s="42" t="s">
        <v>1724</v>
      </c>
      <c r="D657" s="61">
        <v>3</v>
      </c>
      <c r="E657" s="62">
        <v>0</v>
      </c>
      <c r="F657" s="63">
        <v>3</v>
      </c>
      <c r="G657"/>
    </row>
    <row r="658" spans="1:7" ht="15.6" x14ac:dyDescent="0.3">
      <c r="A658" s="43" t="s">
        <v>914</v>
      </c>
      <c r="B658" s="42" t="s">
        <v>779</v>
      </c>
      <c r="C658" s="42" t="s">
        <v>1759</v>
      </c>
      <c r="D658" s="61">
        <v>4</v>
      </c>
      <c r="E658" s="62">
        <v>0</v>
      </c>
      <c r="F658" s="63">
        <v>4</v>
      </c>
      <c r="G658"/>
    </row>
    <row r="659" spans="1:7" ht="15.6" x14ac:dyDescent="0.3">
      <c r="A659" s="43" t="s">
        <v>914</v>
      </c>
      <c r="B659" s="42" t="s">
        <v>781</v>
      </c>
      <c r="C659" s="42" t="s">
        <v>1761</v>
      </c>
      <c r="D659" s="61">
        <v>2</v>
      </c>
      <c r="E659" s="62">
        <v>0</v>
      </c>
      <c r="F659" s="63">
        <v>2</v>
      </c>
      <c r="G659"/>
    </row>
    <row r="660" spans="1:7" ht="15.6" x14ac:dyDescent="0.3">
      <c r="A660" s="43" t="s">
        <v>914</v>
      </c>
      <c r="B660" s="42" t="s">
        <v>748</v>
      </c>
      <c r="C660" s="42" t="s">
        <v>1725</v>
      </c>
      <c r="D660" s="61">
        <v>3</v>
      </c>
      <c r="E660" s="62">
        <v>0</v>
      </c>
      <c r="F660" s="63">
        <v>3</v>
      </c>
      <c r="G660"/>
    </row>
    <row r="661" spans="1:7" ht="15.6" x14ac:dyDescent="0.3">
      <c r="A661" s="43" t="s">
        <v>914</v>
      </c>
      <c r="B661" s="42" t="s">
        <v>749</v>
      </c>
      <c r="C661" s="42" t="s">
        <v>1726</v>
      </c>
      <c r="D661" s="61">
        <v>1</v>
      </c>
      <c r="E661" s="62">
        <v>0</v>
      </c>
      <c r="F661" s="63">
        <v>1</v>
      </c>
      <c r="G661"/>
    </row>
    <row r="662" spans="1:7" ht="15.6" x14ac:dyDescent="0.3">
      <c r="A662" s="43" t="s">
        <v>914</v>
      </c>
      <c r="B662" s="42" t="s">
        <v>750</v>
      </c>
      <c r="C662" s="42" t="s">
        <v>1727</v>
      </c>
      <c r="D662" s="61">
        <v>1</v>
      </c>
      <c r="E662" s="62">
        <v>0</v>
      </c>
      <c r="F662" s="63">
        <v>1</v>
      </c>
      <c r="G662"/>
    </row>
    <row r="663" spans="1:7" ht="15.6" x14ac:dyDescent="0.3">
      <c r="A663" s="43" t="s">
        <v>914</v>
      </c>
      <c r="B663" s="42" t="s">
        <v>780</v>
      </c>
      <c r="C663" s="42" t="s">
        <v>1760</v>
      </c>
      <c r="D663" s="61">
        <v>7</v>
      </c>
      <c r="E663" s="62">
        <v>0</v>
      </c>
      <c r="F663" s="63">
        <v>7</v>
      </c>
      <c r="G663"/>
    </row>
    <row r="664" spans="1:7" ht="15.6" x14ac:dyDescent="0.3">
      <c r="A664" s="43" t="s">
        <v>914</v>
      </c>
      <c r="B664" s="42" t="s">
        <v>602</v>
      </c>
      <c r="C664" s="42" t="s">
        <v>1565</v>
      </c>
      <c r="D664" s="61">
        <v>2</v>
      </c>
      <c r="E664" s="62">
        <v>0</v>
      </c>
      <c r="F664" s="63">
        <v>2</v>
      </c>
      <c r="G664"/>
    </row>
    <row r="665" spans="1:7" ht="15.6" x14ac:dyDescent="0.3">
      <c r="A665" s="43" t="s">
        <v>914</v>
      </c>
      <c r="B665" s="42" t="s">
        <v>601</v>
      </c>
      <c r="C665" s="42" t="s">
        <v>1564</v>
      </c>
      <c r="D665" s="61">
        <v>29</v>
      </c>
      <c r="E665" s="62">
        <v>0</v>
      </c>
      <c r="F665" s="63">
        <v>29</v>
      </c>
      <c r="G665"/>
    </row>
    <row r="666" spans="1:7" ht="15.6" x14ac:dyDescent="0.3">
      <c r="A666" s="43" t="s">
        <v>914</v>
      </c>
      <c r="B666" s="42" t="s">
        <v>14</v>
      </c>
      <c r="C666" s="42" t="s">
        <v>942</v>
      </c>
      <c r="D666" s="61">
        <v>6</v>
      </c>
      <c r="E666" s="62">
        <v>0</v>
      </c>
      <c r="F666" s="63">
        <v>6</v>
      </c>
      <c r="G666"/>
    </row>
    <row r="667" spans="1:7" ht="15.6" x14ac:dyDescent="0.3">
      <c r="A667" s="43" t="s">
        <v>914</v>
      </c>
      <c r="B667" s="42" t="s">
        <v>15</v>
      </c>
      <c r="C667" s="42" t="s">
        <v>943</v>
      </c>
      <c r="D667" s="61">
        <v>2</v>
      </c>
      <c r="E667" s="62">
        <v>0</v>
      </c>
      <c r="F667" s="63">
        <v>2</v>
      </c>
      <c r="G667"/>
    </row>
    <row r="668" spans="1:7" ht="15.6" x14ac:dyDescent="0.3">
      <c r="A668" s="43" t="s">
        <v>914</v>
      </c>
      <c r="B668" s="42" t="s">
        <v>12</v>
      </c>
      <c r="C668" s="42" t="s">
        <v>940</v>
      </c>
      <c r="D668" s="61">
        <v>2</v>
      </c>
      <c r="E668" s="62">
        <v>0</v>
      </c>
      <c r="F668" s="63">
        <v>2</v>
      </c>
      <c r="G668"/>
    </row>
    <row r="669" spans="1:7" ht="15.6" x14ac:dyDescent="0.3">
      <c r="A669" s="43" t="s">
        <v>914</v>
      </c>
      <c r="B669" s="42" t="s">
        <v>23</v>
      </c>
      <c r="C669" s="42" t="s">
        <v>951</v>
      </c>
      <c r="D669" s="61">
        <v>11</v>
      </c>
      <c r="E669" s="62">
        <v>0</v>
      </c>
      <c r="F669" s="63">
        <v>11</v>
      </c>
      <c r="G669"/>
    </row>
    <row r="670" spans="1:7" ht="15.6" x14ac:dyDescent="0.3">
      <c r="A670" s="43" t="s">
        <v>914</v>
      </c>
      <c r="B670" s="42" t="s">
        <v>20</v>
      </c>
      <c r="C670" s="42" t="s">
        <v>948</v>
      </c>
      <c r="D670" s="61">
        <v>1</v>
      </c>
      <c r="E670" s="62">
        <v>0</v>
      </c>
      <c r="F670" s="63">
        <v>1</v>
      </c>
      <c r="G670"/>
    </row>
    <row r="671" spans="1:7" ht="15.6" x14ac:dyDescent="0.3">
      <c r="A671" s="43" t="s">
        <v>914</v>
      </c>
      <c r="B671" s="42" t="s">
        <v>11</v>
      </c>
      <c r="C671" s="42" t="s">
        <v>939</v>
      </c>
      <c r="D671" s="61">
        <v>1</v>
      </c>
      <c r="E671" s="62">
        <v>0</v>
      </c>
      <c r="F671" s="63">
        <v>1</v>
      </c>
      <c r="G671"/>
    </row>
    <row r="672" spans="1:7" ht="15.6" x14ac:dyDescent="0.3">
      <c r="A672" s="43" t="s">
        <v>914</v>
      </c>
      <c r="B672" s="42" t="s">
        <v>25</v>
      </c>
      <c r="C672" s="42" t="s">
        <v>953</v>
      </c>
      <c r="D672" s="61">
        <v>1</v>
      </c>
      <c r="E672" s="62">
        <v>0</v>
      </c>
      <c r="F672" s="63">
        <v>1</v>
      </c>
      <c r="G672"/>
    </row>
    <row r="673" spans="1:7" ht="15.6" x14ac:dyDescent="0.3">
      <c r="A673" s="43" t="s">
        <v>914</v>
      </c>
      <c r="B673" s="42" t="s">
        <v>66</v>
      </c>
      <c r="C673" s="42" t="s">
        <v>995</v>
      </c>
      <c r="D673" s="61">
        <v>1</v>
      </c>
      <c r="E673" s="62">
        <v>0</v>
      </c>
      <c r="F673" s="63">
        <v>1</v>
      </c>
      <c r="G673"/>
    </row>
    <row r="674" spans="1:7" ht="15.6" x14ac:dyDescent="0.3">
      <c r="A674" s="43" t="s">
        <v>914</v>
      </c>
      <c r="B674" s="42" t="s">
        <v>17</v>
      </c>
      <c r="C674" s="42" t="s">
        <v>945</v>
      </c>
      <c r="D674" s="61">
        <v>3</v>
      </c>
      <c r="E674" s="62">
        <v>0</v>
      </c>
      <c r="F674" s="63">
        <v>3</v>
      </c>
      <c r="G674"/>
    </row>
    <row r="675" spans="1:7" ht="15.6" x14ac:dyDescent="0.3">
      <c r="A675" s="43" t="s">
        <v>914</v>
      </c>
      <c r="B675" s="42" t="s">
        <v>18</v>
      </c>
      <c r="C675" s="42" t="s">
        <v>946</v>
      </c>
      <c r="D675" s="61">
        <v>1</v>
      </c>
      <c r="E675" s="62">
        <v>0</v>
      </c>
      <c r="F675" s="63">
        <v>1</v>
      </c>
      <c r="G675"/>
    </row>
    <row r="676" spans="1:7" ht="15.6" x14ac:dyDescent="0.3">
      <c r="A676" s="43" t="s">
        <v>914</v>
      </c>
      <c r="B676" s="42" t="s">
        <v>75</v>
      </c>
      <c r="C676" s="42" t="s">
        <v>1004</v>
      </c>
      <c r="D676" s="61">
        <v>1</v>
      </c>
      <c r="E676" s="62">
        <v>0</v>
      </c>
      <c r="F676" s="63">
        <v>1</v>
      </c>
      <c r="G676"/>
    </row>
    <row r="677" spans="1:7" ht="15.6" x14ac:dyDescent="0.3">
      <c r="A677" s="43" t="s">
        <v>914</v>
      </c>
      <c r="B677" s="42" t="s">
        <v>74</v>
      </c>
      <c r="C677" s="42" t="s">
        <v>1003</v>
      </c>
      <c r="D677" s="61">
        <v>3</v>
      </c>
      <c r="E677" s="62">
        <v>0</v>
      </c>
      <c r="F677" s="63">
        <v>3</v>
      </c>
      <c r="G677"/>
    </row>
    <row r="678" spans="1:7" ht="15.6" x14ac:dyDescent="0.3">
      <c r="A678" s="43" t="s">
        <v>914</v>
      </c>
      <c r="B678" s="42" t="s">
        <v>62</v>
      </c>
      <c r="C678" s="42" t="s">
        <v>991</v>
      </c>
      <c r="D678" s="61">
        <v>4</v>
      </c>
      <c r="E678" s="62">
        <v>0</v>
      </c>
      <c r="F678" s="63">
        <v>4</v>
      </c>
      <c r="G678"/>
    </row>
    <row r="679" spans="1:7" ht="15.6" x14ac:dyDescent="0.3">
      <c r="A679" s="43" t="s">
        <v>914</v>
      </c>
      <c r="B679" s="42" t="s">
        <v>45</v>
      </c>
      <c r="C679" s="42" t="s">
        <v>973</v>
      </c>
      <c r="D679" s="61">
        <v>2</v>
      </c>
      <c r="E679" s="62">
        <v>0</v>
      </c>
      <c r="F679" s="63">
        <v>2</v>
      </c>
      <c r="G679"/>
    </row>
    <row r="680" spans="1:7" ht="15.6" x14ac:dyDescent="0.3">
      <c r="A680" s="43" t="s">
        <v>914</v>
      </c>
      <c r="B680" s="42" t="s">
        <v>44</v>
      </c>
      <c r="C680" s="42" t="s">
        <v>972</v>
      </c>
      <c r="D680" s="61">
        <v>1</v>
      </c>
      <c r="E680" s="62">
        <v>0</v>
      </c>
      <c r="F680" s="63">
        <v>1</v>
      </c>
      <c r="G680"/>
    </row>
    <row r="681" spans="1:7" ht="15.6" x14ac:dyDescent="0.3">
      <c r="A681" s="43" t="s">
        <v>914</v>
      </c>
      <c r="B681" s="42" t="s">
        <v>30</v>
      </c>
      <c r="C681" s="42" t="s">
        <v>958</v>
      </c>
      <c r="D681" s="61">
        <v>1</v>
      </c>
      <c r="E681" s="62">
        <v>0</v>
      </c>
      <c r="F681" s="63">
        <v>1</v>
      </c>
      <c r="G681"/>
    </row>
    <row r="682" spans="1:7" ht="15.6" x14ac:dyDescent="0.3">
      <c r="A682" s="43" t="s">
        <v>914</v>
      </c>
      <c r="B682" s="42" t="s">
        <v>35</v>
      </c>
      <c r="C682" s="42" t="s">
        <v>963</v>
      </c>
      <c r="D682" s="61">
        <v>3</v>
      </c>
      <c r="E682" s="62">
        <v>0</v>
      </c>
      <c r="F682" s="63">
        <v>3</v>
      </c>
      <c r="G682"/>
    </row>
    <row r="683" spans="1:7" ht="15.6" x14ac:dyDescent="0.3">
      <c r="A683" s="43" t="s">
        <v>914</v>
      </c>
      <c r="B683" s="42" t="s">
        <v>34</v>
      </c>
      <c r="C683" s="42" t="s">
        <v>962</v>
      </c>
      <c r="D683" s="61">
        <v>3</v>
      </c>
      <c r="E683" s="62">
        <v>0</v>
      </c>
      <c r="F683" s="63">
        <v>3</v>
      </c>
      <c r="G683"/>
    </row>
    <row r="684" spans="1:7" ht="15.6" x14ac:dyDescent="0.3">
      <c r="A684" s="43" t="s">
        <v>914</v>
      </c>
      <c r="B684" s="42" t="s">
        <v>37</v>
      </c>
      <c r="C684" s="42" t="s">
        <v>965</v>
      </c>
      <c r="D684" s="61">
        <v>6</v>
      </c>
      <c r="E684" s="62">
        <v>0</v>
      </c>
      <c r="F684" s="63">
        <v>6</v>
      </c>
      <c r="G684"/>
    </row>
    <row r="685" spans="1:7" ht="15.6" x14ac:dyDescent="0.3">
      <c r="A685" s="43" t="s">
        <v>914</v>
      </c>
      <c r="B685" s="42" t="s">
        <v>33</v>
      </c>
      <c r="C685" s="42" t="s">
        <v>961</v>
      </c>
      <c r="D685" s="61">
        <v>1</v>
      </c>
      <c r="E685" s="62">
        <v>0</v>
      </c>
      <c r="F685" s="63">
        <v>1</v>
      </c>
      <c r="G685"/>
    </row>
    <row r="686" spans="1:7" ht="15.6" x14ac:dyDescent="0.3">
      <c r="A686" s="43" t="s">
        <v>914</v>
      </c>
      <c r="B686" s="42" t="s">
        <v>36</v>
      </c>
      <c r="C686" s="42" t="s">
        <v>964</v>
      </c>
      <c r="D686" s="61">
        <v>2</v>
      </c>
      <c r="E686" s="62">
        <v>0</v>
      </c>
      <c r="F686" s="63">
        <v>2</v>
      </c>
      <c r="G686"/>
    </row>
    <row r="687" spans="1:7" ht="15.6" x14ac:dyDescent="0.3">
      <c r="A687" s="43" t="s">
        <v>914</v>
      </c>
      <c r="B687" s="42" t="s">
        <v>61</v>
      </c>
      <c r="C687" s="42" t="s">
        <v>990</v>
      </c>
      <c r="D687" s="61">
        <v>1</v>
      </c>
      <c r="E687" s="62">
        <v>0</v>
      </c>
      <c r="F687" s="63">
        <v>1</v>
      </c>
      <c r="G687"/>
    </row>
    <row r="688" spans="1:7" ht="15.6" x14ac:dyDescent="0.3">
      <c r="A688" s="43" t="s">
        <v>914</v>
      </c>
      <c r="B688" s="42" t="s">
        <v>9</v>
      </c>
      <c r="C688" s="42" t="s">
        <v>936</v>
      </c>
      <c r="D688" s="61">
        <v>1</v>
      </c>
      <c r="E688" s="62">
        <v>0</v>
      </c>
      <c r="F688" s="63">
        <v>1</v>
      </c>
      <c r="G688"/>
    </row>
    <row r="689" spans="1:7" ht="15.6" x14ac:dyDescent="0.3">
      <c r="A689" s="43" t="s">
        <v>914</v>
      </c>
      <c r="B689" s="42" t="s">
        <v>13</v>
      </c>
      <c r="C689" s="42" t="s">
        <v>941</v>
      </c>
      <c r="D689" s="61">
        <v>1</v>
      </c>
      <c r="E689" s="62">
        <v>0</v>
      </c>
      <c r="F689" s="63">
        <v>1</v>
      </c>
      <c r="G689"/>
    </row>
    <row r="690" spans="1:7" ht="15.6" x14ac:dyDescent="0.3">
      <c r="A690" s="43" t="s">
        <v>914</v>
      </c>
      <c r="B690" s="42" t="s">
        <v>5</v>
      </c>
      <c r="C690" s="42" t="s">
        <v>931</v>
      </c>
      <c r="D690" s="61">
        <v>1</v>
      </c>
      <c r="E690" s="62">
        <v>0</v>
      </c>
      <c r="F690" s="63">
        <v>1</v>
      </c>
      <c r="G690"/>
    </row>
    <row r="691" spans="1:7" ht="15.6" x14ac:dyDescent="0.3">
      <c r="A691" s="43" t="s">
        <v>914</v>
      </c>
      <c r="B691" s="42" t="s">
        <v>4</v>
      </c>
      <c r="C691" s="42" t="s">
        <v>930</v>
      </c>
      <c r="D691" s="61">
        <v>1</v>
      </c>
      <c r="E691" s="62">
        <v>0</v>
      </c>
      <c r="F691" s="63">
        <v>1</v>
      </c>
      <c r="G691"/>
    </row>
    <row r="692" spans="1:7" ht="15.6" x14ac:dyDescent="0.3">
      <c r="A692" s="43" t="s">
        <v>914</v>
      </c>
      <c r="B692" s="42" t="s">
        <v>68</v>
      </c>
      <c r="C692" s="42" t="s">
        <v>997</v>
      </c>
      <c r="D692" s="61">
        <v>1</v>
      </c>
      <c r="E692" s="62">
        <v>0</v>
      </c>
      <c r="F692" s="63">
        <v>1</v>
      </c>
      <c r="G692"/>
    </row>
    <row r="693" spans="1:7" ht="15.6" x14ac:dyDescent="0.3">
      <c r="A693" s="43" t="s">
        <v>914</v>
      </c>
      <c r="B693" s="42" t="s">
        <v>19</v>
      </c>
      <c r="C693" s="42" t="s">
        <v>947</v>
      </c>
      <c r="D693" s="61">
        <v>1</v>
      </c>
      <c r="E693" s="62">
        <v>0</v>
      </c>
      <c r="F693" s="63">
        <v>1</v>
      </c>
      <c r="G693"/>
    </row>
    <row r="694" spans="1:7" ht="15.6" x14ac:dyDescent="0.3">
      <c r="A694" s="43" t="s">
        <v>914</v>
      </c>
      <c r="B694" s="42" t="s">
        <v>26</v>
      </c>
      <c r="C694" s="42" t="s">
        <v>954</v>
      </c>
      <c r="D694" s="61">
        <v>1</v>
      </c>
      <c r="E694" s="62">
        <v>0</v>
      </c>
      <c r="F694" s="63">
        <v>1</v>
      </c>
      <c r="G694"/>
    </row>
    <row r="695" spans="1:7" ht="15.6" x14ac:dyDescent="0.3">
      <c r="A695" s="43" t="s">
        <v>914</v>
      </c>
      <c r="B695" s="42" t="s">
        <v>24</v>
      </c>
      <c r="C695" s="42" t="s">
        <v>952</v>
      </c>
      <c r="D695" s="61">
        <v>2</v>
      </c>
      <c r="E695" s="62">
        <v>0</v>
      </c>
      <c r="F695" s="63">
        <v>2</v>
      </c>
      <c r="G695"/>
    </row>
    <row r="696" spans="1:7" ht="15.6" x14ac:dyDescent="0.3">
      <c r="A696" s="43" t="s">
        <v>914</v>
      </c>
      <c r="B696" s="42" t="s">
        <v>64</v>
      </c>
      <c r="C696" s="42" t="s">
        <v>993</v>
      </c>
      <c r="D696" s="61">
        <v>3</v>
      </c>
      <c r="E696" s="62">
        <v>0</v>
      </c>
      <c r="F696" s="63">
        <v>3</v>
      </c>
      <c r="G696"/>
    </row>
    <row r="697" spans="1:7" ht="15.6" x14ac:dyDescent="0.3">
      <c r="A697" s="43" t="s">
        <v>914</v>
      </c>
      <c r="B697" s="42" t="s">
        <v>43</v>
      </c>
      <c r="C697" s="42" t="s">
        <v>971</v>
      </c>
      <c r="D697" s="61">
        <v>2</v>
      </c>
      <c r="E697" s="62">
        <v>0</v>
      </c>
      <c r="F697" s="63">
        <v>2</v>
      </c>
      <c r="G697"/>
    </row>
    <row r="698" spans="1:7" ht="15.6" x14ac:dyDescent="0.3">
      <c r="A698" s="43" t="s">
        <v>914</v>
      </c>
      <c r="B698" s="42" t="s">
        <v>63</v>
      </c>
      <c r="C698" s="42" t="s">
        <v>992</v>
      </c>
      <c r="D698" s="61">
        <v>5</v>
      </c>
      <c r="E698" s="62">
        <v>0</v>
      </c>
      <c r="F698" s="63">
        <v>5</v>
      </c>
      <c r="G698"/>
    </row>
    <row r="699" spans="1:7" ht="15.6" x14ac:dyDescent="0.3">
      <c r="A699" s="43" t="s">
        <v>914</v>
      </c>
      <c r="B699" s="42" t="s">
        <v>67</v>
      </c>
      <c r="C699" s="42" t="s">
        <v>996</v>
      </c>
      <c r="D699" s="61">
        <v>1</v>
      </c>
      <c r="E699" s="62">
        <v>0</v>
      </c>
      <c r="F699" s="63">
        <v>1</v>
      </c>
      <c r="G699"/>
    </row>
    <row r="700" spans="1:7" ht="15.6" x14ac:dyDescent="0.3">
      <c r="A700" s="43" t="s">
        <v>914</v>
      </c>
      <c r="B700" s="42" t="s">
        <v>46</v>
      </c>
      <c r="C700" s="42" t="s">
        <v>974</v>
      </c>
      <c r="D700" s="61">
        <v>1</v>
      </c>
      <c r="E700" s="62">
        <v>0</v>
      </c>
      <c r="F700" s="63">
        <v>1</v>
      </c>
      <c r="G700"/>
    </row>
    <row r="701" spans="1:7" ht="15.6" x14ac:dyDescent="0.3">
      <c r="A701" s="43" t="s">
        <v>914</v>
      </c>
      <c r="B701" s="42" t="s">
        <v>16</v>
      </c>
      <c r="C701" s="42" t="s">
        <v>944</v>
      </c>
      <c r="D701" s="61">
        <v>7</v>
      </c>
      <c r="E701" s="62">
        <v>0</v>
      </c>
      <c r="F701" s="63">
        <v>7</v>
      </c>
      <c r="G701"/>
    </row>
    <row r="702" spans="1:7" ht="15.6" x14ac:dyDescent="0.3">
      <c r="A702" s="43" t="s">
        <v>914</v>
      </c>
      <c r="B702" s="42" t="s">
        <v>29</v>
      </c>
      <c r="C702" s="42" t="s">
        <v>957</v>
      </c>
      <c r="D702" s="61">
        <v>1</v>
      </c>
      <c r="E702" s="62">
        <v>0</v>
      </c>
      <c r="F702" s="63">
        <v>1</v>
      </c>
      <c r="G702"/>
    </row>
    <row r="703" spans="1:7" ht="15.6" x14ac:dyDescent="0.3">
      <c r="A703" s="43" t="s">
        <v>914</v>
      </c>
      <c r="B703" s="42" t="s">
        <v>31</v>
      </c>
      <c r="C703" s="42" t="s">
        <v>959</v>
      </c>
      <c r="D703" s="61">
        <v>5</v>
      </c>
      <c r="E703" s="62">
        <v>0</v>
      </c>
      <c r="F703" s="63">
        <v>5</v>
      </c>
      <c r="G703"/>
    </row>
    <row r="704" spans="1:7" ht="15.6" x14ac:dyDescent="0.3">
      <c r="A704" s="43" t="s">
        <v>914</v>
      </c>
      <c r="B704" s="42" t="s">
        <v>69</v>
      </c>
      <c r="C704" s="42" t="s">
        <v>998</v>
      </c>
      <c r="D704" s="61">
        <v>1</v>
      </c>
      <c r="E704" s="62">
        <v>0</v>
      </c>
      <c r="F704" s="63">
        <v>1</v>
      </c>
      <c r="G704"/>
    </row>
    <row r="705" spans="1:7" ht="15.6" x14ac:dyDescent="0.3">
      <c r="A705" s="43" t="s">
        <v>914</v>
      </c>
      <c r="B705" s="42" t="s">
        <v>40</v>
      </c>
      <c r="C705" s="42" t="s">
        <v>968</v>
      </c>
      <c r="D705" s="61">
        <v>1</v>
      </c>
      <c r="E705" s="62">
        <v>0</v>
      </c>
      <c r="F705" s="63">
        <v>1</v>
      </c>
      <c r="G705"/>
    </row>
    <row r="706" spans="1:7" ht="15.6" x14ac:dyDescent="0.3">
      <c r="A706" s="43" t="s">
        <v>914</v>
      </c>
      <c r="B706" s="42" t="s">
        <v>38</v>
      </c>
      <c r="C706" s="42" t="s">
        <v>966</v>
      </c>
      <c r="D706" s="61">
        <v>2</v>
      </c>
      <c r="E706" s="62">
        <v>0</v>
      </c>
      <c r="F706" s="63">
        <v>2</v>
      </c>
      <c r="G706"/>
    </row>
    <row r="707" spans="1:7" ht="15.6" x14ac:dyDescent="0.3">
      <c r="A707" s="43" t="s">
        <v>914</v>
      </c>
      <c r="B707" s="42" t="s">
        <v>32</v>
      </c>
      <c r="C707" s="42" t="s">
        <v>960</v>
      </c>
      <c r="D707" s="61">
        <v>1</v>
      </c>
      <c r="E707" s="62">
        <v>0</v>
      </c>
      <c r="F707" s="63">
        <v>1</v>
      </c>
      <c r="G707"/>
    </row>
    <row r="708" spans="1:7" ht="15.6" x14ac:dyDescent="0.3">
      <c r="A708" s="43" t="s">
        <v>914</v>
      </c>
      <c r="B708" s="42" t="s">
        <v>39</v>
      </c>
      <c r="C708" s="42" t="s">
        <v>967</v>
      </c>
      <c r="D708" s="61">
        <v>5</v>
      </c>
      <c r="E708" s="62">
        <v>0</v>
      </c>
      <c r="F708" s="63">
        <v>5</v>
      </c>
      <c r="G708"/>
    </row>
    <row r="709" spans="1:7" ht="15.6" x14ac:dyDescent="0.3">
      <c r="A709" s="43" t="s">
        <v>914</v>
      </c>
      <c r="B709" s="42" t="s">
        <v>70</v>
      </c>
      <c r="C709" s="42" t="s">
        <v>999</v>
      </c>
      <c r="D709" s="61">
        <v>1</v>
      </c>
      <c r="E709" s="62">
        <v>0</v>
      </c>
      <c r="F709" s="63">
        <v>1</v>
      </c>
      <c r="G709"/>
    </row>
    <row r="710" spans="1:7" ht="15.6" x14ac:dyDescent="0.3">
      <c r="A710" s="43" t="s">
        <v>914</v>
      </c>
      <c r="B710" s="42" t="s">
        <v>42</v>
      </c>
      <c r="C710" s="42" t="s">
        <v>970</v>
      </c>
      <c r="D710" s="61">
        <v>2</v>
      </c>
      <c r="E710" s="62">
        <v>0</v>
      </c>
      <c r="F710" s="63">
        <v>2</v>
      </c>
      <c r="G710"/>
    </row>
    <row r="711" spans="1:7" ht="15.6" x14ac:dyDescent="0.3">
      <c r="A711" s="43" t="s">
        <v>914</v>
      </c>
      <c r="B711" s="42" t="s">
        <v>41</v>
      </c>
      <c r="C711" s="42" t="s">
        <v>969</v>
      </c>
      <c r="D711" s="61">
        <v>3</v>
      </c>
      <c r="E711" s="62">
        <v>0</v>
      </c>
      <c r="F711" s="63">
        <v>3</v>
      </c>
      <c r="G711"/>
    </row>
    <row r="712" spans="1:7" ht="15.6" x14ac:dyDescent="0.3">
      <c r="A712" s="43" t="s">
        <v>914</v>
      </c>
      <c r="B712" s="42" t="s">
        <v>27</v>
      </c>
      <c r="C712" s="42" t="s">
        <v>955</v>
      </c>
      <c r="D712" s="61">
        <v>1</v>
      </c>
      <c r="E712" s="62">
        <v>0</v>
      </c>
      <c r="F712" s="63">
        <v>1</v>
      </c>
      <c r="G712"/>
    </row>
    <row r="713" spans="1:7" ht="15.6" x14ac:dyDescent="0.3">
      <c r="A713" s="43" t="s">
        <v>914</v>
      </c>
      <c r="B713" s="42" t="s">
        <v>73</v>
      </c>
      <c r="C713" s="42" t="s">
        <v>1002</v>
      </c>
      <c r="D713" s="61">
        <v>2</v>
      </c>
      <c r="E713" s="62">
        <v>0</v>
      </c>
      <c r="F713" s="63">
        <v>2</v>
      </c>
      <c r="G713"/>
    </row>
    <row r="714" spans="1:7" ht="15.6" x14ac:dyDescent="0.3">
      <c r="A714" s="43" t="s">
        <v>914</v>
      </c>
      <c r="B714" s="42" t="s">
        <v>22</v>
      </c>
      <c r="C714" s="42" t="s">
        <v>950</v>
      </c>
      <c r="D714" s="61">
        <v>3</v>
      </c>
      <c r="E714" s="62">
        <v>0</v>
      </c>
      <c r="F714" s="63">
        <v>3</v>
      </c>
      <c r="G714"/>
    </row>
    <row r="715" spans="1:7" ht="15.6" x14ac:dyDescent="0.3">
      <c r="A715" s="43" t="s">
        <v>914</v>
      </c>
      <c r="B715" s="42" t="s">
        <v>48</v>
      </c>
      <c r="C715" s="42" t="s">
        <v>976</v>
      </c>
      <c r="D715" s="61">
        <v>2</v>
      </c>
      <c r="E715" s="62">
        <v>0</v>
      </c>
      <c r="F715" s="63">
        <v>2</v>
      </c>
      <c r="G715"/>
    </row>
    <row r="716" spans="1:7" ht="15.6" x14ac:dyDescent="0.3">
      <c r="A716" s="43" t="s">
        <v>914</v>
      </c>
      <c r="B716" s="42" t="s">
        <v>65</v>
      </c>
      <c r="C716" s="42" t="s">
        <v>994</v>
      </c>
      <c r="D716" s="61">
        <v>1</v>
      </c>
      <c r="E716" s="62">
        <v>0</v>
      </c>
      <c r="F716" s="63">
        <v>1</v>
      </c>
      <c r="G716"/>
    </row>
    <row r="717" spans="1:7" ht="15.6" x14ac:dyDescent="0.3">
      <c r="A717" s="43" t="s">
        <v>914</v>
      </c>
      <c r="B717" s="42" t="s">
        <v>71</v>
      </c>
      <c r="C717" s="42" t="s">
        <v>1000</v>
      </c>
      <c r="D717" s="61">
        <v>1</v>
      </c>
      <c r="E717" s="62">
        <v>0</v>
      </c>
      <c r="F717" s="63">
        <v>1</v>
      </c>
      <c r="G717"/>
    </row>
    <row r="718" spans="1:7" ht="15.6" x14ac:dyDescent="0.3">
      <c r="A718" s="43" t="s">
        <v>914</v>
      </c>
      <c r="B718" s="42" t="s">
        <v>72</v>
      </c>
      <c r="C718" s="42" t="s">
        <v>1001</v>
      </c>
      <c r="D718" s="61">
        <v>1</v>
      </c>
      <c r="E718" s="62">
        <v>0</v>
      </c>
      <c r="F718" s="63">
        <v>1</v>
      </c>
      <c r="G718"/>
    </row>
    <row r="719" spans="1:7" ht="15.6" x14ac:dyDescent="0.3">
      <c r="A719" s="43" t="s">
        <v>914</v>
      </c>
      <c r="B719" s="42" t="s">
        <v>47</v>
      </c>
      <c r="C719" s="42" t="s">
        <v>975</v>
      </c>
      <c r="D719" s="61">
        <v>1</v>
      </c>
      <c r="E719" s="62">
        <v>0</v>
      </c>
      <c r="F719" s="63">
        <v>1</v>
      </c>
      <c r="G719"/>
    </row>
    <row r="720" spans="1:7" ht="15.6" x14ac:dyDescent="0.3">
      <c r="A720" s="43" t="s">
        <v>914</v>
      </c>
      <c r="B720" s="42" t="s">
        <v>55</v>
      </c>
      <c r="C720" s="42" t="s">
        <v>984</v>
      </c>
      <c r="D720" s="61">
        <v>1</v>
      </c>
      <c r="E720" s="62">
        <v>0</v>
      </c>
      <c r="F720" s="63">
        <v>1</v>
      </c>
      <c r="G720"/>
    </row>
    <row r="721" spans="1:7" ht="15.6" x14ac:dyDescent="0.3">
      <c r="A721" s="43" t="s">
        <v>914</v>
      </c>
      <c r="B721" s="42" t="s">
        <v>59</v>
      </c>
      <c r="C721" s="42" t="s">
        <v>988</v>
      </c>
      <c r="D721" s="61">
        <v>1</v>
      </c>
      <c r="E721" s="62">
        <v>1</v>
      </c>
      <c r="F721" s="63">
        <v>0</v>
      </c>
      <c r="G721"/>
    </row>
    <row r="722" spans="1:7" ht="15.6" x14ac:dyDescent="0.3">
      <c r="A722" s="43" t="s">
        <v>914</v>
      </c>
      <c r="B722" s="42" t="s">
        <v>52</v>
      </c>
      <c r="C722" s="42" t="s">
        <v>981</v>
      </c>
      <c r="D722" s="61">
        <v>1</v>
      </c>
      <c r="E722" s="62">
        <v>0</v>
      </c>
      <c r="F722" s="63">
        <v>1</v>
      </c>
      <c r="G722"/>
    </row>
    <row r="723" spans="1:7" ht="15.6" x14ac:dyDescent="0.3">
      <c r="A723" s="43" t="s">
        <v>914</v>
      </c>
      <c r="B723" s="42" t="s">
        <v>53</v>
      </c>
      <c r="C723" s="42" t="s">
        <v>982</v>
      </c>
      <c r="D723" s="61">
        <v>1</v>
      </c>
      <c r="E723" s="62">
        <v>0</v>
      </c>
      <c r="F723" s="63">
        <v>1</v>
      </c>
      <c r="G723"/>
    </row>
    <row r="724" spans="1:7" ht="15.6" x14ac:dyDescent="0.3">
      <c r="A724" s="43" t="s">
        <v>914</v>
      </c>
      <c r="B724" s="42" t="s">
        <v>21</v>
      </c>
      <c r="C724" s="42" t="s">
        <v>949</v>
      </c>
      <c r="D724" s="61">
        <v>2</v>
      </c>
      <c r="E724" s="62">
        <v>0</v>
      </c>
      <c r="F724" s="63">
        <v>2</v>
      </c>
      <c r="G724"/>
    </row>
    <row r="725" spans="1:7" ht="15.6" x14ac:dyDescent="0.3">
      <c r="A725" s="43" t="s">
        <v>914</v>
      </c>
      <c r="B725" s="42" t="s">
        <v>56</v>
      </c>
      <c r="C725" s="42" t="s">
        <v>985</v>
      </c>
      <c r="D725" s="61">
        <v>2</v>
      </c>
      <c r="E725" s="62">
        <v>0</v>
      </c>
      <c r="F725" s="63">
        <v>2</v>
      </c>
      <c r="G725"/>
    </row>
    <row r="726" spans="1:7" ht="15.6" x14ac:dyDescent="0.3">
      <c r="A726" s="43" t="s">
        <v>914</v>
      </c>
      <c r="B726" s="42" t="s">
        <v>51</v>
      </c>
      <c r="C726" s="42" t="s">
        <v>980</v>
      </c>
      <c r="D726" s="61">
        <v>2</v>
      </c>
      <c r="E726" s="62">
        <v>0</v>
      </c>
      <c r="F726" s="63">
        <v>2</v>
      </c>
      <c r="G726"/>
    </row>
    <row r="727" spans="1:7" ht="15.6" x14ac:dyDescent="0.3">
      <c r="A727" s="43" t="s">
        <v>914</v>
      </c>
      <c r="B727" s="42" t="s">
        <v>50</v>
      </c>
      <c r="C727" s="42" t="s">
        <v>979</v>
      </c>
      <c r="D727" s="61">
        <v>2</v>
      </c>
      <c r="E727" s="62">
        <v>0</v>
      </c>
      <c r="F727" s="63">
        <v>2</v>
      </c>
      <c r="G727"/>
    </row>
    <row r="728" spans="1:7" ht="15.6" x14ac:dyDescent="0.3">
      <c r="A728" s="43" t="s">
        <v>914</v>
      </c>
      <c r="B728" s="42" t="s">
        <v>57</v>
      </c>
      <c r="C728" s="42" t="s">
        <v>986</v>
      </c>
      <c r="D728" s="61">
        <v>1</v>
      </c>
      <c r="E728" s="62">
        <v>0</v>
      </c>
      <c r="F728" s="63">
        <v>1</v>
      </c>
      <c r="G728"/>
    </row>
    <row r="729" spans="1:7" ht="15.6" x14ac:dyDescent="0.3">
      <c r="A729" s="43" t="s">
        <v>914</v>
      </c>
      <c r="B729" s="42" t="s">
        <v>28</v>
      </c>
      <c r="C729" s="42" t="s">
        <v>956</v>
      </c>
      <c r="D729" s="61">
        <v>2</v>
      </c>
      <c r="E729" s="62">
        <v>0</v>
      </c>
      <c r="F729" s="63">
        <v>2</v>
      </c>
      <c r="G729"/>
    </row>
    <row r="730" spans="1:7" ht="15.6" x14ac:dyDescent="0.3">
      <c r="A730" s="43" t="s">
        <v>914</v>
      </c>
      <c r="B730" s="42" t="s">
        <v>60</v>
      </c>
      <c r="C730" s="42" t="s">
        <v>989</v>
      </c>
      <c r="D730" s="61">
        <v>1</v>
      </c>
      <c r="E730" s="62">
        <v>0</v>
      </c>
      <c r="F730" s="63">
        <v>1</v>
      </c>
      <c r="G730"/>
    </row>
    <row r="731" spans="1:7" ht="15.6" x14ac:dyDescent="0.3">
      <c r="A731" s="43" t="s">
        <v>914</v>
      </c>
      <c r="B731" s="42" t="s">
        <v>49</v>
      </c>
      <c r="C731" s="42" t="s">
        <v>978</v>
      </c>
      <c r="D731" s="61">
        <v>1</v>
      </c>
      <c r="E731" s="62">
        <v>0</v>
      </c>
      <c r="F731" s="63">
        <v>1</v>
      </c>
      <c r="G731"/>
    </row>
    <row r="732" spans="1:7" ht="15.6" x14ac:dyDescent="0.3">
      <c r="A732" s="43" t="s">
        <v>914</v>
      </c>
      <c r="B732" s="42" t="s">
        <v>58</v>
      </c>
      <c r="C732" s="42" t="s">
        <v>987</v>
      </c>
      <c r="D732" s="61">
        <v>2</v>
      </c>
      <c r="E732" s="62">
        <v>0</v>
      </c>
      <c r="F732" s="63">
        <v>2</v>
      </c>
      <c r="G732"/>
    </row>
    <row r="733" spans="1:7" ht="15.6" x14ac:dyDescent="0.3">
      <c r="A733" s="43" t="s">
        <v>914</v>
      </c>
      <c r="B733" s="42" t="s">
        <v>54</v>
      </c>
      <c r="C733" s="42" t="s">
        <v>983</v>
      </c>
      <c r="D733" s="61">
        <v>1</v>
      </c>
      <c r="E733" s="62">
        <v>0</v>
      </c>
      <c r="F733" s="63">
        <v>1</v>
      </c>
      <c r="G733"/>
    </row>
    <row r="734" spans="1:7" ht="15.6" x14ac:dyDescent="0.3">
      <c r="A734" s="43" t="s">
        <v>914</v>
      </c>
      <c r="B734" s="42" t="s">
        <v>2457</v>
      </c>
      <c r="C734" s="42" t="s">
        <v>977</v>
      </c>
      <c r="D734" s="61">
        <v>1</v>
      </c>
      <c r="E734" s="62">
        <v>0</v>
      </c>
      <c r="F734" s="63">
        <v>1</v>
      </c>
      <c r="G734"/>
    </row>
    <row r="735" spans="1:7" ht="15.6" x14ac:dyDescent="0.3">
      <c r="A735" s="43" t="s">
        <v>914</v>
      </c>
      <c r="B735" s="42" t="s">
        <v>178</v>
      </c>
      <c r="C735" s="42" t="s">
        <v>1115</v>
      </c>
      <c r="D735" s="61">
        <v>2</v>
      </c>
      <c r="E735" s="62">
        <v>0</v>
      </c>
      <c r="F735" s="63">
        <v>2</v>
      </c>
      <c r="G735"/>
    </row>
    <row r="736" spans="1:7" ht="15.6" x14ac:dyDescent="0.3">
      <c r="A736" s="43" t="s">
        <v>914</v>
      </c>
      <c r="B736" s="42" t="s">
        <v>84</v>
      </c>
      <c r="C736" s="42" t="s">
        <v>1013</v>
      </c>
      <c r="D736" s="61">
        <v>1</v>
      </c>
      <c r="E736" s="62">
        <v>0</v>
      </c>
      <c r="F736" s="63">
        <v>1</v>
      </c>
      <c r="G736"/>
    </row>
    <row r="737" spans="1:7" ht="15.6" x14ac:dyDescent="0.3">
      <c r="A737" s="43" t="s">
        <v>914</v>
      </c>
      <c r="B737" s="42" t="s">
        <v>182</v>
      </c>
      <c r="C737" s="42" t="s">
        <v>1119</v>
      </c>
      <c r="D737" s="61">
        <v>1</v>
      </c>
      <c r="E737" s="62">
        <v>0</v>
      </c>
      <c r="F737" s="63">
        <v>1</v>
      </c>
      <c r="G737"/>
    </row>
    <row r="738" spans="1:7" ht="15.6" x14ac:dyDescent="0.3">
      <c r="A738" s="43" t="s">
        <v>914</v>
      </c>
      <c r="B738" s="42" t="s">
        <v>162</v>
      </c>
      <c r="C738" s="42" t="s">
        <v>1097</v>
      </c>
      <c r="D738" s="61">
        <v>7</v>
      </c>
      <c r="E738" s="62">
        <v>0</v>
      </c>
      <c r="F738" s="63">
        <v>7</v>
      </c>
      <c r="G738"/>
    </row>
    <row r="739" spans="1:7" ht="15.6" x14ac:dyDescent="0.3">
      <c r="A739" s="43" t="s">
        <v>914</v>
      </c>
      <c r="B739" s="42" t="s">
        <v>83</v>
      </c>
      <c r="C739" s="42" t="s">
        <v>1012</v>
      </c>
      <c r="D739" s="61">
        <v>4</v>
      </c>
      <c r="E739" s="62">
        <v>0</v>
      </c>
      <c r="F739" s="63">
        <v>4</v>
      </c>
      <c r="G739"/>
    </row>
    <row r="740" spans="1:7" ht="15.6" x14ac:dyDescent="0.3">
      <c r="A740" s="43" t="s">
        <v>914</v>
      </c>
      <c r="B740" s="42" t="s">
        <v>400</v>
      </c>
      <c r="C740" s="42" t="s">
        <v>1355</v>
      </c>
      <c r="D740" s="61">
        <v>1</v>
      </c>
      <c r="E740" s="62">
        <v>0</v>
      </c>
      <c r="F740" s="63">
        <v>1</v>
      </c>
      <c r="G740"/>
    </row>
    <row r="741" spans="1:7" ht="15.6" x14ac:dyDescent="0.3">
      <c r="A741" s="43" t="s">
        <v>914</v>
      </c>
      <c r="B741" s="42" t="s">
        <v>401</v>
      </c>
      <c r="C741" s="42" t="s">
        <v>1356</v>
      </c>
      <c r="D741" s="61">
        <v>1</v>
      </c>
      <c r="E741" s="62">
        <v>0</v>
      </c>
      <c r="F741" s="63">
        <v>1</v>
      </c>
      <c r="G741"/>
    </row>
    <row r="742" spans="1:7" ht="15.6" x14ac:dyDescent="0.3">
      <c r="A742" s="43" t="s">
        <v>914</v>
      </c>
      <c r="B742" s="42" t="s">
        <v>399</v>
      </c>
      <c r="C742" s="42" t="s">
        <v>1354</v>
      </c>
      <c r="D742" s="61">
        <v>1</v>
      </c>
      <c r="E742" s="62">
        <v>0</v>
      </c>
      <c r="F742" s="63">
        <v>1</v>
      </c>
      <c r="G742"/>
    </row>
    <row r="743" spans="1:7" ht="15.6" x14ac:dyDescent="0.3">
      <c r="A743" s="43" t="s">
        <v>914</v>
      </c>
      <c r="B743" s="42" t="s">
        <v>403</v>
      </c>
      <c r="C743" s="42" t="s">
        <v>1358</v>
      </c>
      <c r="D743" s="61">
        <v>1</v>
      </c>
      <c r="E743" s="62">
        <v>0</v>
      </c>
      <c r="F743" s="63">
        <v>1</v>
      </c>
      <c r="G743"/>
    </row>
    <row r="744" spans="1:7" ht="15.6" x14ac:dyDescent="0.3">
      <c r="A744" s="43" t="s">
        <v>914</v>
      </c>
      <c r="B744" s="42" t="s">
        <v>180</v>
      </c>
      <c r="C744" s="42" t="s">
        <v>1117</v>
      </c>
      <c r="D744" s="61">
        <v>1</v>
      </c>
      <c r="E744" s="62">
        <v>0</v>
      </c>
      <c r="F744" s="63">
        <v>1</v>
      </c>
      <c r="G744"/>
    </row>
    <row r="745" spans="1:7" ht="15.6" x14ac:dyDescent="0.3">
      <c r="A745" s="43" t="s">
        <v>914</v>
      </c>
      <c r="B745" s="42" t="s">
        <v>345</v>
      </c>
      <c r="C745" s="42" t="s">
        <v>1294</v>
      </c>
      <c r="D745" s="61">
        <v>3</v>
      </c>
      <c r="E745" s="62">
        <v>0</v>
      </c>
      <c r="F745" s="63">
        <v>3</v>
      </c>
      <c r="G745"/>
    </row>
    <row r="746" spans="1:7" ht="15.6" x14ac:dyDescent="0.3">
      <c r="A746" s="43" t="s">
        <v>914</v>
      </c>
      <c r="B746" s="42" t="s">
        <v>347</v>
      </c>
      <c r="C746" s="42" t="s">
        <v>1296</v>
      </c>
      <c r="D746" s="61">
        <v>4</v>
      </c>
      <c r="E746" s="62">
        <v>0</v>
      </c>
      <c r="F746" s="63">
        <v>4</v>
      </c>
      <c r="G746"/>
    </row>
    <row r="747" spans="1:7" ht="15.6" x14ac:dyDescent="0.3">
      <c r="A747" s="43" t="s">
        <v>914</v>
      </c>
      <c r="B747" s="42" t="s">
        <v>346</v>
      </c>
      <c r="C747" s="42" t="s">
        <v>1295</v>
      </c>
      <c r="D747" s="61">
        <v>1</v>
      </c>
      <c r="E747" s="62">
        <v>0</v>
      </c>
      <c r="F747" s="63">
        <v>1</v>
      </c>
      <c r="G747"/>
    </row>
    <row r="748" spans="1:7" ht="15.6" x14ac:dyDescent="0.3">
      <c r="A748" s="43" t="s">
        <v>914</v>
      </c>
      <c r="B748" s="42" t="s">
        <v>177</v>
      </c>
      <c r="C748" s="42" t="s">
        <v>1114</v>
      </c>
      <c r="D748" s="61">
        <v>1</v>
      </c>
      <c r="E748" s="62">
        <v>0</v>
      </c>
      <c r="F748" s="63">
        <v>1</v>
      </c>
      <c r="G748"/>
    </row>
    <row r="749" spans="1:7" ht="15.6" x14ac:dyDescent="0.3">
      <c r="A749" s="43" t="s">
        <v>914</v>
      </c>
      <c r="B749" s="42" t="s">
        <v>181</v>
      </c>
      <c r="C749" s="42" t="s">
        <v>1118</v>
      </c>
      <c r="D749" s="61">
        <v>1</v>
      </c>
      <c r="E749" s="62">
        <v>0</v>
      </c>
      <c r="F749" s="63">
        <v>1</v>
      </c>
      <c r="G749"/>
    </row>
    <row r="750" spans="1:7" ht="15.6" x14ac:dyDescent="0.3">
      <c r="A750" s="43" t="s">
        <v>914</v>
      </c>
      <c r="B750" s="42" t="s">
        <v>179</v>
      </c>
      <c r="C750" s="42" t="s">
        <v>1116</v>
      </c>
      <c r="D750" s="61">
        <v>2</v>
      </c>
      <c r="E750" s="62">
        <v>0</v>
      </c>
      <c r="F750" s="63">
        <v>2</v>
      </c>
      <c r="G750"/>
    </row>
    <row r="751" spans="1:7" ht="15.6" x14ac:dyDescent="0.3">
      <c r="A751" s="43" t="s">
        <v>914</v>
      </c>
      <c r="B751" s="42" t="s">
        <v>163</v>
      </c>
      <c r="C751" s="42" t="s">
        <v>1098</v>
      </c>
      <c r="D751" s="61">
        <v>1</v>
      </c>
      <c r="E751" s="62">
        <v>0</v>
      </c>
      <c r="F751" s="63">
        <v>1</v>
      </c>
      <c r="G751"/>
    </row>
    <row r="752" spans="1:7" ht="15.6" x14ac:dyDescent="0.3">
      <c r="A752" s="43" t="s">
        <v>914</v>
      </c>
      <c r="B752" s="42" t="s">
        <v>402</v>
      </c>
      <c r="C752" s="42" t="s">
        <v>1357</v>
      </c>
      <c r="D752" s="61">
        <v>2</v>
      </c>
      <c r="E752" s="62">
        <v>0</v>
      </c>
      <c r="F752" s="63">
        <v>2</v>
      </c>
      <c r="G752"/>
    </row>
    <row r="753" spans="1:7" ht="15.6" x14ac:dyDescent="0.3">
      <c r="A753" s="43" t="s">
        <v>914</v>
      </c>
      <c r="B753" s="42" t="s">
        <v>819</v>
      </c>
      <c r="C753" s="42" t="s">
        <v>1808</v>
      </c>
      <c r="D753" s="61">
        <v>1</v>
      </c>
      <c r="E753" s="62">
        <v>0</v>
      </c>
      <c r="F753" s="63">
        <v>1</v>
      </c>
      <c r="G753"/>
    </row>
    <row r="754" spans="1:7" ht="15.6" x14ac:dyDescent="0.3">
      <c r="A754" s="43" t="s">
        <v>914</v>
      </c>
      <c r="B754" s="42" t="s">
        <v>167</v>
      </c>
      <c r="C754" s="42" t="s">
        <v>1102</v>
      </c>
      <c r="D754" s="61">
        <v>1</v>
      </c>
      <c r="E754" s="62">
        <v>0</v>
      </c>
      <c r="F754" s="63">
        <v>1</v>
      </c>
      <c r="G754"/>
    </row>
    <row r="755" spans="1:7" ht="15.6" x14ac:dyDescent="0.3">
      <c r="A755" s="43" t="s">
        <v>914</v>
      </c>
      <c r="B755" s="42" t="s">
        <v>82</v>
      </c>
      <c r="C755" s="42" t="s">
        <v>1011</v>
      </c>
      <c r="D755" s="61">
        <v>2</v>
      </c>
      <c r="E755" s="62">
        <v>0</v>
      </c>
      <c r="F755" s="63">
        <v>2</v>
      </c>
      <c r="G755"/>
    </row>
    <row r="756" spans="1:7" ht="15.6" x14ac:dyDescent="0.3">
      <c r="A756" s="43" t="s">
        <v>914</v>
      </c>
      <c r="B756" s="42" t="s">
        <v>76</v>
      </c>
      <c r="C756" s="42" t="s">
        <v>1005</v>
      </c>
      <c r="D756" s="61">
        <v>4</v>
      </c>
      <c r="E756" s="62">
        <v>0</v>
      </c>
      <c r="F756" s="63">
        <v>4</v>
      </c>
      <c r="G756"/>
    </row>
    <row r="757" spans="1:7" ht="15.6" x14ac:dyDescent="0.3">
      <c r="A757" s="43" t="s">
        <v>914</v>
      </c>
      <c r="B757" s="42" t="s">
        <v>77</v>
      </c>
      <c r="C757" s="42" t="s">
        <v>1006</v>
      </c>
      <c r="D757" s="61">
        <v>1</v>
      </c>
      <c r="E757" s="62">
        <v>0</v>
      </c>
      <c r="F757" s="63">
        <v>1</v>
      </c>
      <c r="G757"/>
    </row>
    <row r="758" spans="1:7" ht="15.6" x14ac:dyDescent="0.3">
      <c r="A758" s="43" t="s">
        <v>914</v>
      </c>
      <c r="B758" s="42" t="s">
        <v>148</v>
      </c>
      <c r="C758" s="42" t="s">
        <v>1082</v>
      </c>
      <c r="D758" s="61">
        <v>2</v>
      </c>
      <c r="E758" s="62">
        <v>0</v>
      </c>
      <c r="F758" s="63">
        <v>2</v>
      </c>
      <c r="G758"/>
    </row>
    <row r="759" spans="1:7" ht="15.6" x14ac:dyDescent="0.3">
      <c r="A759" s="43" t="s">
        <v>914</v>
      </c>
      <c r="B759" s="42" t="s">
        <v>78</v>
      </c>
      <c r="C759" s="42" t="s">
        <v>1007</v>
      </c>
      <c r="D759" s="61">
        <v>3</v>
      </c>
      <c r="E759" s="62">
        <v>0</v>
      </c>
      <c r="F759" s="63">
        <v>3</v>
      </c>
      <c r="G759"/>
    </row>
    <row r="760" spans="1:7" ht="15.6" x14ac:dyDescent="0.3">
      <c r="A760" s="43" t="s">
        <v>914</v>
      </c>
      <c r="B760" s="42" t="s">
        <v>79</v>
      </c>
      <c r="C760" s="42" t="s">
        <v>1008</v>
      </c>
      <c r="D760" s="61">
        <v>1</v>
      </c>
      <c r="E760" s="62">
        <v>0</v>
      </c>
      <c r="F760" s="63">
        <v>1</v>
      </c>
      <c r="G760"/>
    </row>
    <row r="761" spans="1:7" ht="15.6" x14ac:dyDescent="0.3">
      <c r="A761" s="43" t="s">
        <v>914</v>
      </c>
      <c r="B761" s="42" t="s">
        <v>86</v>
      </c>
      <c r="C761" s="42" t="s">
        <v>1015</v>
      </c>
      <c r="D761" s="61">
        <v>4</v>
      </c>
      <c r="E761" s="62">
        <v>0</v>
      </c>
      <c r="F761" s="63">
        <v>4</v>
      </c>
      <c r="G761"/>
    </row>
    <row r="762" spans="1:7" ht="15.6" x14ac:dyDescent="0.3">
      <c r="A762" s="43" t="s">
        <v>914</v>
      </c>
      <c r="B762" s="42" t="s">
        <v>85</v>
      </c>
      <c r="C762" s="42" t="s">
        <v>1014</v>
      </c>
      <c r="D762" s="61">
        <v>4</v>
      </c>
      <c r="E762" s="62">
        <v>0</v>
      </c>
      <c r="F762" s="63">
        <v>4</v>
      </c>
      <c r="G762"/>
    </row>
    <row r="763" spans="1:7" ht="15.6" x14ac:dyDescent="0.3">
      <c r="A763" s="43" t="s">
        <v>914</v>
      </c>
      <c r="B763" s="42" t="s">
        <v>80</v>
      </c>
      <c r="C763" s="42" t="s">
        <v>1009</v>
      </c>
      <c r="D763" s="61">
        <v>1</v>
      </c>
      <c r="E763" s="62">
        <v>0</v>
      </c>
      <c r="F763" s="63">
        <v>1</v>
      </c>
      <c r="G763"/>
    </row>
    <row r="764" spans="1:7" ht="15.6" x14ac:dyDescent="0.3">
      <c r="A764" s="43" t="s">
        <v>914</v>
      </c>
      <c r="B764" s="42" t="s">
        <v>392</v>
      </c>
      <c r="C764" s="42" t="s">
        <v>1345</v>
      </c>
      <c r="D764" s="61">
        <v>77</v>
      </c>
      <c r="E764" s="62">
        <v>0</v>
      </c>
      <c r="F764" s="63">
        <v>77</v>
      </c>
      <c r="G764"/>
    </row>
    <row r="765" spans="1:7" ht="15.6" x14ac:dyDescent="0.3">
      <c r="A765" s="43" t="s">
        <v>914</v>
      </c>
      <c r="B765" s="42" t="s">
        <v>1969</v>
      </c>
      <c r="C765" s="42" t="s">
        <v>1983</v>
      </c>
      <c r="D765" s="61">
        <v>5</v>
      </c>
      <c r="E765" s="62">
        <v>0</v>
      </c>
      <c r="F765" s="63">
        <v>5</v>
      </c>
      <c r="G765"/>
    </row>
    <row r="766" spans="1:7" ht="15.6" x14ac:dyDescent="0.3">
      <c r="A766" s="43" t="s">
        <v>914</v>
      </c>
      <c r="B766" s="42" t="s">
        <v>802</v>
      </c>
      <c r="C766" s="42" t="s">
        <v>1787</v>
      </c>
      <c r="D766" s="61">
        <v>1</v>
      </c>
      <c r="E766" s="62">
        <v>0</v>
      </c>
      <c r="F766" s="63">
        <v>1</v>
      </c>
      <c r="G766"/>
    </row>
    <row r="767" spans="1:7" ht="15.6" x14ac:dyDescent="0.3">
      <c r="A767" s="43" t="s">
        <v>914</v>
      </c>
      <c r="B767" s="42" t="s">
        <v>391</v>
      </c>
      <c r="C767" s="42" t="s">
        <v>1344</v>
      </c>
      <c r="D767" s="61">
        <v>7</v>
      </c>
      <c r="E767" s="62">
        <v>0</v>
      </c>
      <c r="F767" s="63">
        <v>7</v>
      </c>
      <c r="G767"/>
    </row>
    <row r="768" spans="1:7" ht="15.6" x14ac:dyDescent="0.3">
      <c r="A768" s="43" t="s">
        <v>914</v>
      </c>
      <c r="B768" s="42" t="s">
        <v>340</v>
      </c>
      <c r="C768" s="42" t="s">
        <v>1288</v>
      </c>
      <c r="D768" s="61">
        <v>6</v>
      </c>
      <c r="E768" s="62">
        <v>0</v>
      </c>
      <c r="F768" s="63">
        <v>6</v>
      </c>
      <c r="G768"/>
    </row>
    <row r="769" spans="1:7" ht="15.6" x14ac:dyDescent="0.3">
      <c r="A769" s="43" t="s">
        <v>914</v>
      </c>
      <c r="B769" s="42" t="s">
        <v>1973</v>
      </c>
      <c r="C769" s="42" t="s">
        <v>1987</v>
      </c>
      <c r="D769" s="61">
        <v>3</v>
      </c>
      <c r="E769" s="62">
        <v>0</v>
      </c>
      <c r="F769" s="63">
        <v>3</v>
      </c>
      <c r="G769"/>
    </row>
    <row r="770" spans="1:7" ht="15.6" x14ac:dyDescent="0.3">
      <c r="A770" s="43" t="s">
        <v>914</v>
      </c>
      <c r="B770" s="42" t="s">
        <v>2033</v>
      </c>
      <c r="C770" s="42" t="s">
        <v>2051</v>
      </c>
      <c r="D770" s="61">
        <v>2</v>
      </c>
      <c r="E770" s="62">
        <v>0</v>
      </c>
      <c r="F770" s="63">
        <v>2</v>
      </c>
      <c r="G770"/>
    </row>
    <row r="771" spans="1:7" ht="15.6" x14ac:dyDescent="0.3">
      <c r="A771" s="43" t="s">
        <v>914</v>
      </c>
      <c r="B771" s="42" t="s">
        <v>1972</v>
      </c>
      <c r="C771" s="42" t="s">
        <v>1986</v>
      </c>
      <c r="D771" s="61">
        <v>3</v>
      </c>
      <c r="E771" s="62">
        <v>0</v>
      </c>
      <c r="F771" s="63">
        <v>3</v>
      </c>
      <c r="G771"/>
    </row>
    <row r="772" spans="1:7" ht="15.6" x14ac:dyDescent="0.3">
      <c r="A772" s="43" t="s">
        <v>914</v>
      </c>
      <c r="B772" s="42" t="s">
        <v>2032</v>
      </c>
      <c r="C772" s="42" t="s">
        <v>2050</v>
      </c>
      <c r="D772" s="61">
        <v>4</v>
      </c>
      <c r="E772" s="62">
        <v>0</v>
      </c>
      <c r="F772" s="63">
        <v>4</v>
      </c>
      <c r="G772"/>
    </row>
    <row r="773" spans="1:7" ht="15.6" x14ac:dyDescent="0.3">
      <c r="A773" s="43" t="s">
        <v>914</v>
      </c>
      <c r="B773" s="42" t="s">
        <v>189</v>
      </c>
      <c r="C773" s="42" t="s">
        <v>1126</v>
      </c>
      <c r="D773" s="61">
        <v>1</v>
      </c>
      <c r="E773" s="62">
        <v>0</v>
      </c>
      <c r="F773" s="63">
        <v>1</v>
      </c>
      <c r="G773"/>
    </row>
    <row r="774" spans="1:7" ht="15.6" x14ac:dyDescent="0.3">
      <c r="A774" s="43" t="s">
        <v>914</v>
      </c>
      <c r="B774" s="42" t="s">
        <v>2068</v>
      </c>
      <c r="C774" s="42" t="s">
        <v>2059</v>
      </c>
      <c r="D774" s="61">
        <v>2</v>
      </c>
      <c r="E774" s="62">
        <v>0</v>
      </c>
      <c r="F774" s="63">
        <v>2</v>
      </c>
      <c r="G774"/>
    </row>
    <row r="775" spans="1:7" ht="15.6" x14ac:dyDescent="0.3">
      <c r="A775" s="43" t="s">
        <v>914</v>
      </c>
      <c r="B775" s="42" t="s">
        <v>866</v>
      </c>
      <c r="C775" s="42" t="s">
        <v>1862</v>
      </c>
      <c r="D775" s="61">
        <v>1</v>
      </c>
      <c r="E775" s="62">
        <v>0</v>
      </c>
      <c r="F775" s="63">
        <v>1</v>
      </c>
      <c r="G775"/>
    </row>
    <row r="776" spans="1:7" ht="15.6" x14ac:dyDescent="0.3">
      <c r="A776" s="43" t="s">
        <v>914</v>
      </c>
      <c r="B776" s="42" t="s">
        <v>835</v>
      </c>
      <c r="C776" s="42" t="s">
        <v>1826</v>
      </c>
      <c r="D776" s="61">
        <v>2</v>
      </c>
      <c r="E776" s="62">
        <v>0</v>
      </c>
      <c r="F776" s="63">
        <v>2</v>
      </c>
      <c r="G776"/>
    </row>
    <row r="777" spans="1:7" ht="15.6" x14ac:dyDescent="0.3">
      <c r="A777" s="43" t="s">
        <v>914</v>
      </c>
      <c r="B777" s="42" t="s">
        <v>481</v>
      </c>
      <c r="C777" s="42" t="s">
        <v>1442</v>
      </c>
      <c r="D777" s="61">
        <v>1</v>
      </c>
      <c r="E777" s="62">
        <v>0</v>
      </c>
      <c r="F777" s="63">
        <v>1</v>
      </c>
      <c r="G777"/>
    </row>
    <row r="778" spans="1:7" ht="15.6" x14ac:dyDescent="0.3">
      <c r="A778" s="43" t="s">
        <v>914</v>
      </c>
      <c r="B778" s="42" t="s">
        <v>2514</v>
      </c>
      <c r="C778" s="42" t="s">
        <v>1982</v>
      </c>
      <c r="D778" s="61">
        <v>20</v>
      </c>
      <c r="E778" s="62">
        <v>13</v>
      </c>
      <c r="F778" s="63">
        <v>7</v>
      </c>
      <c r="G778"/>
    </row>
    <row r="779" spans="1:7" ht="15.6" x14ac:dyDescent="0.3">
      <c r="A779" s="43" t="s">
        <v>914</v>
      </c>
      <c r="B779" s="42" t="s">
        <v>1974</v>
      </c>
      <c r="C779" s="42" t="s">
        <v>1988</v>
      </c>
      <c r="D779" s="61">
        <v>1</v>
      </c>
      <c r="E779" s="62">
        <v>0</v>
      </c>
      <c r="F779" s="63">
        <v>1</v>
      </c>
      <c r="G779"/>
    </row>
    <row r="780" spans="1:7" ht="15.6" x14ac:dyDescent="0.3">
      <c r="A780" s="43" t="s">
        <v>914</v>
      </c>
      <c r="B780" s="42" t="s">
        <v>2075</v>
      </c>
      <c r="C780" s="42" t="s">
        <v>2082</v>
      </c>
      <c r="D780" s="61">
        <v>2</v>
      </c>
      <c r="E780" s="62">
        <v>0</v>
      </c>
      <c r="F780" s="63">
        <v>2</v>
      </c>
      <c r="G780"/>
    </row>
    <row r="781" spans="1:7" ht="15.6" x14ac:dyDescent="0.3">
      <c r="A781" s="43" t="s">
        <v>914</v>
      </c>
      <c r="B781" s="42" t="s">
        <v>740</v>
      </c>
      <c r="C781" s="42" t="s">
        <v>1717</v>
      </c>
      <c r="D781" s="61">
        <v>40</v>
      </c>
      <c r="E781" s="62">
        <v>0</v>
      </c>
      <c r="F781" s="63">
        <v>40</v>
      </c>
      <c r="G781"/>
    </row>
    <row r="782" spans="1:7" ht="15.6" x14ac:dyDescent="0.3">
      <c r="A782" s="43" t="s">
        <v>914</v>
      </c>
      <c r="B782" s="42" t="s">
        <v>356</v>
      </c>
      <c r="C782" s="42" t="s">
        <v>1305</v>
      </c>
      <c r="D782" s="61">
        <v>2</v>
      </c>
      <c r="E782" s="62">
        <v>0</v>
      </c>
      <c r="F782" s="63">
        <v>2</v>
      </c>
      <c r="G782"/>
    </row>
    <row r="783" spans="1:7" ht="15.6" x14ac:dyDescent="0.3">
      <c r="A783" s="43" t="s">
        <v>914</v>
      </c>
      <c r="B783" s="42" t="s">
        <v>360</v>
      </c>
      <c r="C783" s="42" t="s">
        <v>1309</v>
      </c>
      <c r="D783" s="61">
        <v>1</v>
      </c>
      <c r="E783" s="62">
        <v>0</v>
      </c>
      <c r="F783" s="63">
        <v>1</v>
      </c>
      <c r="G783"/>
    </row>
    <row r="784" spans="1:7" ht="15.6" x14ac:dyDescent="0.3">
      <c r="A784" s="43" t="s">
        <v>914</v>
      </c>
      <c r="B784" s="42" t="s">
        <v>357</v>
      </c>
      <c r="C784" s="42" t="s">
        <v>1306</v>
      </c>
      <c r="D784" s="61">
        <v>3</v>
      </c>
      <c r="E784" s="62">
        <v>0</v>
      </c>
      <c r="F784" s="63">
        <v>3</v>
      </c>
      <c r="G784"/>
    </row>
    <row r="785" spans="1:7" ht="15.6" x14ac:dyDescent="0.3">
      <c r="A785" s="43" t="s">
        <v>914</v>
      </c>
      <c r="B785" s="42" t="s">
        <v>358</v>
      </c>
      <c r="C785" s="42" t="s">
        <v>1307</v>
      </c>
      <c r="D785" s="61">
        <v>3</v>
      </c>
      <c r="E785" s="62">
        <v>0</v>
      </c>
      <c r="F785" s="63">
        <v>3</v>
      </c>
      <c r="G785"/>
    </row>
    <row r="786" spans="1:7" ht="15.6" x14ac:dyDescent="0.3">
      <c r="A786" s="43" t="s">
        <v>914</v>
      </c>
      <c r="B786" s="42" t="s">
        <v>359</v>
      </c>
      <c r="C786" s="42" t="s">
        <v>1308</v>
      </c>
      <c r="D786" s="61">
        <v>4</v>
      </c>
      <c r="E786" s="62">
        <v>0</v>
      </c>
      <c r="F786" s="63">
        <v>4</v>
      </c>
      <c r="G786"/>
    </row>
    <row r="787" spans="1:7" ht="15.6" x14ac:dyDescent="0.3">
      <c r="A787" s="43" t="s">
        <v>914</v>
      </c>
      <c r="B787" s="42" t="s">
        <v>396</v>
      </c>
      <c r="C787" s="42" t="s">
        <v>1350</v>
      </c>
      <c r="D787" s="61">
        <v>1</v>
      </c>
      <c r="E787" s="62">
        <v>0</v>
      </c>
      <c r="F787" s="63">
        <v>1</v>
      </c>
      <c r="G787"/>
    </row>
    <row r="788" spans="1:7" ht="15.6" x14ac:dyDescent="0.3">
      <c r="A788" s="43" t="s">
        <v>914</v>
      </c>
      <c r="B788" s="42" t="s">
        <v>1937</v>
      </c>
      <c r="C788" s="42" t="s">
        <v>1957</v>
      </c>
      <c r="D788" s="61">
        <v>12</v>
      </c>
      <c r="E788" s="62">
        <v>12</v>
      </c>
      <c r="F788" s="63">
        <v>0</v>
      </c>
      <c r="G788"/>
    </row>
    <row r="789" spans="1:7" ht="15.6" x14ac:dyDescent="0.3">
      <c r="A789" s="43" t="s">
        <v>914</v>
      </c>
      <c r="B789" s="42" t="s">
        <v>535</v>
      </c>
      <c r="C789" s="42" t="s">
        <v>1498</v>
      </c>
      <c r="D789" s="61">
        <v>1</v>
      </c>
      <c r="E789" s="62">
        <v>0</v>
      </c>
      <c r="F789" s="63">
        <v>1</v>
      </c>
      <c r="G789"/>
    </row>
    <row r="790" spans="1:7" ht="15.6" x14ac:dyDescent="0.3">
      <c r="A790" s="43" t="s">
        <v>914</v>
      </c>
      <c r="B790" s="42" t="s">
        <v>307</v>
      </c>
      <c r="C790" s="42" t="s">
        <v>1251</v>
      </c>
      <c r="D790" s="61">
        <v>1</v>
      </c>
      <c r="E790" s="62">
        <v>0</v>
      </c>
      <c r="F790" s="63">
        <v>1</v>
      </c>
      <c r="G790"/>
    </row>
    <row r="791" spans="1:7" ht="15.6" x14ac:dyDescent="0.3">
      <c r="A791" s="43" t="s">
        <v>914</v>
      </c>
      <c r="B791" s="42" t="s">
        <v>164</v>
      </c>
      <c r="C791" s="42" t="s">
        <v>1099</v>
      </c>
      <c r="D791" s="61">
        <v>1</v>
      </c>
      <c r="E791" s="62">
        <v>0</v>
      </c>
      <c r="F791" s="63">
        <v>1</v>
      </c>
      <c r="G791"/>
    </row>
    <row r="792" spans="1:7" ht="15.6" x14ac:dyDescent="0.3">
      <c r="A792" s="43" t="s">
        <v>914</v>
      </c>
      <c r="B792" s="42" t="s">
        <v>2242</v>
      </c>
      <c r="C792" s="42" t="s">
        <v>2243</v>
      </c>
      <c r="D792" s="61">
        <v>1</v>
      </c>
      <c r="E792" s="62">
        <v>0</v>
      </c>
      <c r="F792" s="63">
        <v>1</v>
      </c>
      <c r="G792"/>
    </row>
    <row r="793" spans="1:7" ht="15.6" x14ac:dyDescent="0.3">
      <c r="A793" s="43" t="s">
        <v>914</v>
      </c>
      <c r="B793" s="42" t="s">
        <v>787</v>
      </c>
      <c r="C793" s="42" t="s">
        <v>1768</v>
      </c>
      <c r="D793" s="61">
        <v>1</v>
      </c>
      <c r="E793" s="62">
        <v>0</v>
      </c>
      <c r="F793" s="63">
        <v>1</v>
      </c>
      <c r="G793"/>
    </row>
    <row r="794" spans="1:7" ht="15.6" x14ac:dyDescent="0.3">
      <c r="A794" s="43" t="s">
        <v>914</v>
      </c>
      <c r="B794" s="42" t="s">
        <v>107</v>
      </c>
      <c r="C794" s="42" t="s">
        <v>1041</v>
      </c>
      <c r="D794" s="61">
        <v>3</v>
      </c>
      <c r="E794" s="62">
        <v>0</v>
      </c>
      <c r="F794" s="63">
        <v>3</v>
      </c>
      <c r="G794"/>
    </row>
    <row r="795" spans="1:7" ht="15.6" x14ac:dyDescent="0.3">
      <c r="A795" s="43" t="s">
        <v>914</v>
      </c>
      <c r="B795" s="42" t="s">
        <v>106</v>
      </c>
      <c r="C795" s="42" t="s">
        <v>1040</v>
      </c>
      <c r="D795" s="61">
        <v>8</v>
      </c>
      <c r="E795" s="62">
        <v>0</v>
      </c>
      <c r="F795" s="63">
        <v>8</v>
      </c>
      <c r="G795"/>
    </row>
    <row r="796" spans="1:7" ht="15.6" x14ac:dyDescent="0.3">
      <c r="A796" s="43" t="s">
        <v>914</v>
      </c>
      <c r="B796" s="42" t="s">
        <v>105</v>
      </c>
      <c r="C796" s="42" t="s">
        <v>1039</v>
      </c>
      <c r="D796" s="61">
        <v>8</v>
      </c>
      <c r="E796" s="62">
        <v>0</v>
      </c>
      <c r="F796" s="63">
        <v>8</v>
      </c>
      <c r="G796"/>
    </row>
    <row r="797" spans="1:7" ht="15.6" x14ac:dyDescent="0.3">
      <c r="A797" s="43" t="s">
        <v>914</v>
      </c>
      <c r="B797" s="42" t="s">
        <v>785</v>
      </c>
      <c r="C797" s="42" t="s">
        <v>1765</v>
      </c>
      <c r="D797" s="61">
        <v>1</v>
      </c>
      <c r="E797" s="62">
        <v>0</v>
      </c>
      <c r="F797" s="63">
        <v>1</v>
      </c>
      <c r="G797"/>
    </row>
    <row r="798" spans="1:7" ht="15.6" x14ac:dyDescent="0.3">
      <c r="A798" s="43" t="s">
        <v>914</v>
      </c>
      <c r="B798" s="42" t="s">
        <v>784</v>
      </c>
      <c r="C798" s="42" t="s">
        <v>1764</v>
      </c>
      <c r="D798" s="61">
        <v>1</v>
      </c>
      <c r="E798" s="62">
        <v>0</v>
      </c>
      <c r="F798" s="63">
        <v>1</v>
      </c>
      <c r="G798"/>
    </row>
    <row r="799" spans="1:7" ht="15.6" x14ac:dyDescent="0.3">
      <c r="A799" s="43" t="s">
        <v>914</v>
      </c>
      <c r="B799" s="42" t="s">
        <v>303</v>
      </c>
      <c r="C799" s="42" t="s">
        <v>1247</v>
      </c>
      <c r="D799" s="61">
        <v>1</v>
      </c>
      <c r="E799" s="62">
        <v>0</v>
      </c>
      <c r="F799" s="63">
        <v>1</v>
      </c>
      <c r="G799"/>
    </row>
    <row r="800" spans="1:7" ht="15.6" x14ac:dyDescent="0.3">
      <c r="A800" s="43" t="s">
        <v>914</v>
      </c>
      <c r="B800" s="42" t="s">
        <v>313</v>
      </c>
      <c r="C800" s="42" t="s">
        <v>1257</v>
      </c>
      <c r="D800" s="61">
        <v>1</v>
      </c>
      <c r="E800" s="62">
        <v>0</v>
      </c>
      <c r="F800" s="63">
        <v>1</v>
      </c>
      <c r="G800"/>
    </row>
    <row r="801" spans="1:7" ht="15.6" x14ac:dyDescent="0.3">
      <c r="A801" s="43" t="s">
        <v>914</v>
      </c>
      <c r="B801" s="42" t="s">
        <v>305</v>
      </c>
      <c r="C801" s="42" t="s">
        <v>1249</v>
      </c>
      <c r="D801" s="61">
        <v>1</v>
      </c>
      <c r="E801" s="62">
        <v>0</v>
      </c>
      <c r="F801" s="63">
        <v>1</v>
      </c>
      <c r="G801"/>
    </row>
    <row r="802" spans="1:7" ht="15.6" x14ac:dyDescent="0.3">
      <c r="A802" s="43" t="s">
        <v>914</v>
      </c>
      <c r="B802" s="42" t="s">
        <v>304</v>
      </c>
      <c r="C802" s="42" t="s">
        <v>1248</v>
      </c>
      <c r="D802" s="61">
        <v>1</v>
      </c>
      <c r="E802" s="62">
        <v>0</v>
      </c>
      <c r="F802" s="63">
        <v>1</v>
      </c>
      <c r="G802"/>
    </row>
    <row r="803" spans="1:7" ht="15.6" x14ac:dyDescent="0.3">
      <c r="A803" s="43" t="s">
        <v>914</v>
      </c>
      <c r="B803" s="42" t="s">
        <v>310</v>
      </c>
      <c r="C803" s="42" t="s">
        <v>1254</v>
      </c>
      <c r="D803" s="61">
        <v>1</v>
      </c>
      <c r="E803" s="62">
        <v>0</v>
      </c>
      <c r="F803" s="63">
        <v>1</v>
      </c>
      <c r="G803"/>
    </row>
    <row r="804" spans="1:7" ht="15.6" x14ac:dyDescent="0.3">
      <c r="A804" s="43" t="s">
        <v>914</v>
      </c>
      <c r="B804" s="42" t="s">
        <v>309</v>
      </c>
      <c r="C804" s="42" t="s">
        <v>1253</v>
      </c>
      <c r="D804" s="61">
        <v>2</v>
      </c>
      <c r="E804" s="62">
        <v>0</v>
      </c>
      <c r="F804" s="63">
        <v>2</v>
      </c>
      <c r="G804"/>
    </row>
    <row r="805" spans="1:7" ht="15.6" x14ac:dyDescent="0.3">
      <c r="A805" s="43" t="s">
        <v>914</v>
      </c>
      <c r="B805" s="42" t="s">
        <v>311</v>
      </c>
      <c r="C805" s="42" t="s">
        <v>1255</v>
      </c>
      <c r="D805" s="61">
        <v>1</v>
      </c>
      <c r="E805" s="62">
        <v>0</v>
      </c>
      <c r="F805" s="63">
        <v>1</v>
      </c>
      <c r="G805"/>
    </row>
    <row r="806" spans="1:7" ht="15.6" x14ac:dyDescent="0.3">
      <c r="A806" s="43" t="s">
        <v>914</v>
      </c>
      <c r="B806" s="42" t="s">
        <v>312</v>
      </c>
      <c r="C806" s="42" t="s">
        <v>1256</v>
      </c>
      <c r="D806" s="61">
        <v>1</v>
      </c>
      <c r="E806" s="62">
        <v>0</v>
      </c>
      <c r="F806" s="63">
        <v>1</v>
      </c>
      <c r="G806"/>
    </row>
    <row r="807" spans="1:7" ht="15.6" x14ac:dyDescent="0.3">
      <c r="A807" s="43" t="s">
        <v>914</v>
      </c>
      <c r="B807" s="42" t="s">
        <v>783</v>
      </c>
      <c r="C807" s="42" t="s">
        <v>1763</v>
      </c>
      <c r="D807" s="61">
        <v>1</v>
      </c>
      <c r="E807" s="62">
        <v>0</v>
      </c>
      <c r="F807" s="63">
        <v>1</v>
      </c>
      <c r="G807"/>
    </row>
    <row r="808" spans="1:7" ht="15.6" x14ac:dyDescent="0.3">
      <c r="A808" s="43" t="s">
        <v>914</v>
      </c>
      <c r="B808" s="42" t="s">
        <v>786</v>
      </c>
      <c r="C808" s="42" t="s">
        <v>1766</v>
      </c>
      <c r="D808" s="61">
        <v>1</v>
      </c>
      <c r="E808" s="62">
        <v>0</v>
      </c>
      <c r="F808" s="63">
        <v>1</v>
      </c>
      <c r="G808"/>
    </row>
    <row r="809" spans="1:7" ht="15.6" x14ac:dyDescent="0.3">
      <c r="A809" s="43" t="s">
        <v>914</v>
      </c>
      <c r="B809" s="42" t="s">
        <v>308</v>
      </c>
      <c r="C809" s="42" t="s">
        <v>1252</v>
      </c>
      <c r="D809" s="61">
        <v>1</v>
      </c>
      <c r="E809" s="62">
        <v>0</v>
      </c>
      <c r="F809" s="63">
        <v>1</v>
      </c>
      <c r="G809"/>
    </row>
    <row r="810" spans="1:7" ht="15.6" x14ac:dyDescent="0.3">
      <c r="A810" s="43" t="s">
        <v>914</v>
      </c>
      <c r="B810" s="42" t="s">
        <v>306</v>
      </c>
      <c r="C810" s="42" t="s">
        <v>1250</v>
      </c>
      <c r="D810" s="61">
        <v>3</v>
      </c>
      <c r="E810" s="62">
        <v>0</v>
      </c>
      <c r="F810" s="63">
        <v>3</v>
      </c>
      <c r="G810"/>
    </row>
    <row r="811" spans="1:7" ht="15.6" x14ac:dyDescent="0.3">
      <c r="A811" s="43" t="s">
        <v>914</v>
      </c>
      <c r="B811" s="42" t="s">
        <v>2520</v>
      </c>
      <c r="C811" s="42" t="s">
        <v>2161</v>
      </c>
      <c r="D811" s="61">
        <v>1</v>
      </c>
      <c r="E811" s="62">
        <v>0</v>
      </c>
      <c r="F811" s="63">
        <v>1</v>
      </c>
      <c r="G811"/>
    </row>
    <row r="812" spans="1:7" ht="15.6" x14ac:dyDescent="0.3">
      <c r="A812" s="43" t="s">
        <v>914</v>
      </c>
      <c r="B812" s="42" t="s">
        <v>717</v>
      </c>
      <c r="C812" s="42" t="s">
        <v>1694</v>
      </c>
      <c r="D812" s="61">
        <v>1</v>
      </c>
      <c r="E812" s="62">
        <v>0</v>
      </c>
      <c r="F812" s="63">
        <v>1</v>
      </c>
      <c r="G812"/>
    </row>
    <row r="813" spans="1:7" ht="15.6" x14ac:dyDescent="0.3">
      <c r="A813" s="43" t="s">
        <v>914</v>
      </c>
      <c r="B813" s="42" t="s">
        <v>128</v>
      </c>
      <c r="C813" s="42" t="s">
        <v>1062</v>
      </c>
      <c r="D813" s="61">
        <v>1</v>
      </c>
      <c r="E813" s="62">
        <v>1</v>
      </c>
      <c r="F813" s="63">
        <v>0</v>
      </c>
      <c r="G813"/>
    </row>
    <row r="814" spans="1:7" ht="15.6" x14ac:dyDescent="0.3">
      <c r="A814" s="43" t="s">
        <v>914</v>
      </c>
      <c r="B814" s="42" t="s">
        <v>486</v>
      </c>
      <c r="C814" s="42" t="s">
        <v>1447</v>
      </c>
      <c r="D814" s="61">
        <v>2</v>
      </c>
      <c r="E814" s="62">
        <v>1</v>
      </c>
      <c r="F814" s="63">
        <v>1</v>
      </c>
      <c r="G814"/>
    </row>
    <row r="815" spans="1:7" ht="15.6" x14ac:dyDescent="0.3">
      <c r="A815" s="43" t="s">
        <v>914</v>
      </c>
      <c r="B815" s="42" t="s">
        <v>278</v>
      </c>
      <c r="C815" s="42" t="s">
        <v>1220</v>
      </c>
      <c r="D815" s="61">
        <v>3</v>
      </c>
      <c r="E815" s="62">
        <v>0</v>
      </c>
      <c r="F815" s="63">
        <v>3</v>
      </c>
      <c r="G815"/>
    </row>
    <row r="816" spans="1:7" ht="15.6" x14ac:dyDescent="0.3">
      <c r="A816" s="43" t="s">
        <v>914</v>
      </c>
      <c r="B816" s="42" t="s">
        <v>831</v>
      </c>
      <c r="C816" s="42" t="s">
        <v>1820</v>
      </c>
      <c r="D816" s="61">
        <v>1</v>
      </c>
      <c r="E816" s="62">
        <v>0</v>
      </c>
      <c r="F816" s="63">
        <v>1</v>
      </c>
      <c r="G816"/>
    </row>
    <row r="817" spans="1:7" ht="15.6" x14ac:dyDescent="0.3">
      <c r="A817" s="43" t="s">
        <v>914</v>
      </c>
      <c r="B817" s="42" t="s">
        <v>446</v>
      </c>
      <c r="C817" s="42" t="s">
        <v>1403</v>
      </c>
      <c r="D817" s="61">
        <v>1</v>
      </c>
      <c r="E817" s="62">
        <v>0</v>
      </c>
      <c r="F817" s="63">
        <v>1</v>
      </c>
      <c r="G817"/>
    </row>
    <row r="818" spans="1:7" ht="15.6" x14ac:dyDescent="0.3">
      <c r="A818" s="43" t="s">
        <v>914</v>
      </c>
      <c r="B818" s="42" t="s">
        <v>855</v>
      </c>
      <c r="C818" s="42" t="s">
        <v>1849</v>
      </c>
      <c r="D818" s="61">
        <v>1</v>
      </c>
      <c r="E818" s="62">
        <v>1</v>
      </c>
      <c r="F818" s="63">
        <v>0</v>
      </c>
      <c r="G818"/>
    </row>
    <row r="819" spans="1:7" ht="15.6" x14ac:dyDescent="0.3">
      <c r="A819" s="43" t="s">
        <v>914</v>
      </c>
      <c r="B819" s="42" t="s">
        <v>445</v>
      </c>
      <c r="C819" s="42" t="s">
        <v>1402</v>
      </c>
      <c r="D819" s="61">
        <v>2</v>
      </c>
      <c r="E819" s="62">
        <v>0</v>
      </c>
      <c r="F819" s="63">
        <v>2</v>
      </c>
      <c r="G819"/>
    </row>
    <row r="820" spans="1:7" ht="15.6" x14ac:dyDescent="0.3">
      <c r="A820" s="43" t="s">
        <v>914</v>
      </c>
      <c r="B820" s="42" t="s">
        <v>2463</v>
      </c>
      <c r="C820" s="42" t="s">
        <v>1108</v>
      </c>
      <c r="D820" s="61">
        <v>2</v>
      </c>
      <c r="E820" s="62">
        <v>0</v>
      </c>
      <c r="F820" s="63">
        <v>2</v>
      </c>
      <c r="G820"/>
    </row>
    <row r="821" spans="1:7" ht="15.6" x14ac:dyDescent="0.3">
      <c r="A821" s="43" t="s">
        <v>914</v>
      </c>
      <c r="B821" s="42" t="s">
        <v>2455</v>
      </c>
      <c r="C821" s="42" t="s">
        <v>934</v>
      </c>
      <c r="D821" s="61">
        <v>1</v>
      </c>
      <c r="E821" s="62">
        <v>0</v>
      </c>
      <c r="F821" s="63">
        <v>1</v>
      </c>
      <c r="G821"/>
    </row>
    <row r="822" spans="1:7" ht="15.6" x14ac:dyDescent="0.3">
      <c r="A822" s="43" t="s">
        <v>914</v>
      </c>
      <c r="B822" s="42" t="s">
        <v>751</v>
      </c>
      <c r="C822" s="42" t="s">
        <v>1728</v>
      </c>
      <c r="D822" s="61">
        <v>1</v>
      </c>
      <c r="E822" s="62">
        <v>0</v>
      </c>
      <c r="F822" s="63">
        <v>1</v>
      </c>
      <c r="G822"/>
    </row>
    <row r="823" spans="1:7" ht="15.6" x14ac:dyDescent="0.3">
      <c r="A823" s="43" t="s">
        <v>914</v>
      </c>
      <c r="B823" s="42" t="s">
        <v>738</v>
      </c>
      <c r="C823" s="42" t="s">
        <v>1715</v>
      </c>
      <c r="D823" s="61">
        <v>1</v>
      </c>
      <c r="E823" s="62">
        <v>0</v>
      </c>
      <c r="F823" s="63">
        <v>1</v>
      </c>
      <c r="G823"/>
    </row>
    <row r="824" spans="1:7" ht="15.6" x14ac:dyDescent="0.3">
      <c r="A824" s="43" t="s">
        <v>914</v>
      </c>
      <c r="B824" s="42" t="s">
        <v>488</v>
      </c>
      <c r="C824" s="42" t="s">
        <v>1449</v>
      </c>
      <c r="D824" s="61">
        <v>1</v>
      </c>
      <c r="E824" s="62">
        <v>0</v>
      </c>
      <c r="F824" s="63">
        <v>1</v>
      </c>
      <c r="G824"/>
    </row>
    <row r="825" spans="1:7" ht="15.6" x14ac:dyDescent="0.3">
      <c r="A825" s="43" t="s">
        <v>914</v>
      </c>
      <c r="B825" s="42" t="s">
        <v>2502</v>
      </c>
      <c r="C825" s="42" t="s">
        <v>1843</v>
      </c>
      <c r="D825" s="61">
        <v>7</v>
      </c>
      <c r="E825" s="62">
        <v>0</v>
      </c>
      <c r="F825" s="63">
        <v>7</v>
      </c>
      <c r="G825"/>
    </row>
    <row r="826" spans="1:7" ht="15.6" x14ac:dyDescent="0.3">
      <c r="A826" s="43" t="s">
        <v>914</v>
      </c>
      <c r="B826" s="42" t="s">
        <v>267</v>
      </c>
      <c r="C826" s="42" t="s">
        <v>1207</v>
      </c>
      <c r="D826" s="61">
        <v>2</v>
      </c>
      <c r="E826" s="62">
        <v>0</v>
      </c>
      <c r="F826" s="63">
        <v>2</v>
      </c>
      <c r="G826"/>
    </row>
    <row r="827" spans="1:7" ht="15.6" x14ac:dyDescent="0.3">
      <c r="A827" s="43" t="s">
        <v>914</v>
      </c>
      <c r="B827" s="42" t="s">
        <v>108</v>
      </c>
      <c r="C827" s="42" t="s">
        <v>1042</v>
      </c>
      <c r="D827" s="61">
        <v>3</v>
      </c>
      <c r="E827" s="62">
        <v>0</v>
      </c>
      <c r="F827" s="63">
        <v>3</v>
      </c>
      <c r="G827"/>
    </row>
    <row r="828" spans="1:7" ht="15.6" x14ac:dyDescent="0.3">
      <c r="A828" s="43" t="s">
        <v>914</v>
      </c>
      <c r="B828" s="42" t="s">
        <v>889</v>
      </c>
      <c r="C828" s="42" t="s">
        <v>1892</v>
      </c>
      <c r="D828" s="61">
        <v>2</v>
      </c>
      <c r="E828" s="62">
        <v>1</v>
      </c>
      <c r="F828" s="63">
        <v>1</v>
      </c>
      <c r="G828"/>
    </row>
    <row r="829" spans="1:7" ht="15.6" x14ac:dyDescent="0.3">
      <c r="A829" s="43" t="s">
        <v>914</v>
      </c>
      <c r="B829" s="42" t="s">
        <v>870</v>
      </c>
      <c r="C829" s="42" t="s">
        <v>1866</v>
      </c>
      <c r="D829" s="61">
        <v>1</v>
      </c>
      <c r="E829" s="62">
        <v>0</v>
      </c>
      <c r="F829" s="63">
        <v>1</v>
      </c>
      <c r="G829"/>
    </row>
    <row r="830" spans="1:7" ht="15.6" x14ac:dyDescent="0.3">
      <c r="A830" s="43" t="s">
        <v>914</v>
      </c>
      <c r="B830" s="42" t="s">
        <v>883</v>
      </c>
      <c r="C830" s="42" t="s">
        <v>1885</v>
      </c>
      <c r="D830" s="61">
        <v>1</v>
      </c>
      <c r="E830" s="62">
        <v>0</v>
      </c>
      <c r="F830" s="63">
        <v>1</v>
      </c>
      <c r="G830"/>
    </row>
    <row r="831" spans="1:7" ht="15.6" x14ac:dyDescent="0.3">
      <c r="A831" s="43" t="s">
        <v>914</v>
      </c>
      <c r="B831" s="42" t="s">
        <v>2510</v>
      </c>
      <c r="C831" s="42" t="s">
        <v>1884</v>
      </c>
      <c r="D831" s="61">
        <v>1</v>
      </c>
      <c r="E831" s="62">
        <v>0</v>
      </c>
      <c r="F831" s="63">
        <v>1</v>
      </c>
      <c r="G831"/>
    </row>
    <row r="832" spans="1:7" ht="15.6" x14ac:dyDescent="0.3">
      <c r="A832" s="43" t="s">
        <v>914</v>
      </c>
      <c r="B832" s="42" t="s">
        <v>2471</v>
      </c>
      <c r="C832" s="42" t="s">
        <v>1286</v>
      </c>
      <c r="D832" s="61">
        <v>10</v>
      </c>
      <c r="E832" s="62">
        <v>10</v>
      </c>
      <c r="F832" s="63">
        <v>0</v>
      </c>
      <c r="G832"/>
    </row>
    <row r="833" spans="1:7" ht="15.6" x14ac:dyDescent="0.3">
      <c r="A833" s="43" t="s">
        <v>914</v>
      </c>
      <c r="B833" s="42" t="s">
        <v>552</v>
      </c>
      <c r="C833" s="42" t="s">
        <v>1515</v>
      </c>
      <c r="D833" s="61">
        <v>1</v>
      </c>
      <c r="E833" s="62">
        <v>0</v>
      </c>
      <c r="F833" s="63">
        <v>1</v>
      </c>
      <c r="G833"/>
    </row>
    <row r="834" spans="1:7" ht="15.6" x14ac:dyDescent="0.3">
      <c r="A834" s="43" t="s">
        <v>914</v>
      </c>
      <c r="B834" s="42" t="s">
        <v>390</v>
      </c>
      <c r="C834" s="42" t="s">
        <v>1343</v>
      </c>
      <c r="D834" s="61">
        <v>1</v>
      </c>
      <c r="E834" s="62">
        <v>0</v>
      </c>
      <c r="F834" s="63">
        <v>1</v>
      </c>
      <c r="G834"/>
    </row>
    <row r="835" spans="1:7" ht="15.6" x14ac:dyDescent="0.3">
      <c r="A835" s="43" t="s">
        <v>914</v>
      </c>
      <c r="B835" s="42" t="s">
        <v>455</v>
      </c>
      <c r="C835" s="42" t="s">
        <v>1412</v>
      </c>
      <c r="D835" s="61">
        <v>1</v>
      </c>
      <c r="E835" s="62">
        <v>0</v>
      </c>
      <c r="F835" s="63">
        <v>1</v>
      </c>
      <c r="G835"/>
    </row>
    <row r="836" spans="1:7" ht="15.6" x14ac:dyDescent="0.3">
      <c r="A836" s="43" t="s">
        <v>914</v>
      </c>
      <c r="B836" s="42" t="s">
        <v>389</v>
      </c>
      <c r="C836" s="42" t="s">
        <v>1342</v>
      </c>
      <c r="D836" s="61">
        <v>2</v>
      </c>
      <c r="E836" s="62">
        <v>0</v>
      </c>
      <c r="F836" s="63">
        <v>2</v>
      </c>
      <c r="G836"/>
    </row>
    <row r="837" spans="1:7" ht="15.6" x14ac:dyDescent="0.3">
      <c r="A837" s="43" t="s">
        <v>914</v>
      </c>
      <c r="B837" s="42" t="s">
        <v>341</v>
      </c>
      <c r="C837" s="42" t="s">
        <v>1289</v>
      </c>
      <c r="D837" s="61">
        <v>15</v>
      </c>
      <c r="E837" s="62">
        <v>0</v>
      </c>
      <c r="F837" s="63">
        <v>15</v>
      </c>
      <c r="G837"/>
    </row>
    <row r="838" spans="1:7" ht="15.6" x14ac:dyDescent="0.3">
      <c r="A838" s="43" t="s">
        <v>914</v>
      </c>
      <c r="B838" s="42" t="s">
        <v>469</v>
      </c>
      <c r="C838" s="42" t="s">
        <v>1426</v>
      </c>
      <c r="D838" s="61">
        <v>1</v>
      </c>
      <c r="E838" s="62">
        <v>0</v>
      </c>
      <c r="F838" s="63">
        <v>1</v>
      </c>
      <c r="G838"/>
    </row>
    <row r="839" spans="1:7" ht="15.6" x14ac:dyDescent="0.3">
      <c r="A839" s="43" t="s">
        <v>914</v>
      </c>
      <c r="B839" s="42" t="s">
        <v>468</v>
      </c>
      <c r="C839" s="42" t="s">
        <v>1425</v>
      </c>
      <c r="D839" s="61">
        <v>1</v>
      </c>
      <c r="E839" s="62">
        <v>0</v>
      </c>
      <c r="F839" s="63">
        <v>1</v>
      </c>
      <c r="G839"/>
    </row>
    <row r="840" spans="1:7" ht="15.6" x14ac:dyDescent="0.3">
      <c r="A840" s="43" t="s">
        <v>914</v>
      </c>
      <c r="B840" s="42" t="s">
        <v>815</v>
      </c>
      <c r="C840" s="42" t="s">
        <v>1804</v>
      </c>
      <c r="D840" s="61">
        <v>1</v>
      </c>
      <c r="E840" s="62">
        <v>0</v>
      </c>
      <c r="F840" s="63">
        <v>1</v>
      </c>
      <c r="G840"/>
    </row>
    <row r="841" spans="1:7" ht="15.6" x14ac:dyDescent="0.3">
      <c r="A841" s="43" t="s">
        <v>914</v>
      </c>
      <c r="B841" s="42" t="s">
        <v>816</v>
      </c>
      <c r="C841" s="42" t="s">
        <v>1805</v>
      </c>
      <c r="D841" s="61">
        <v>1</v>
      </c>
      <c r="E841" s="62">
        <v>0</v>
      </c>
      <c r="F841" s="63">
        <v>1</v>
      </c>
      <c r="G841"/>
    </row>
    <row r="842" spans="1:7" ht="15.6" x14ac:dyDescent="0.3">
      <c r="A842" s="43" t="s">
        <v>914</v>
      </c>
      <c r="B842" s="42" t="s">
        <v>451</v>
      </c>
      <c r="C842" s="42" t="s">
        <v>1408</v>
      </c>
      <c r="D842" s="61">
        <v>1</v>
      </c>
      <c r="E842" s="62">
        <v>0</v>
      </c>
      <c r="F842" s="63">
        <v>1</v>
      </c>
      <c r="G842"/>
    </row>
    <row r="843" spans="1:7" ht="15.6" x14ac:dyDescent="0.3">
      <c r="A843" s="43" t="s">
        <v>914</v>
      </c>
      <c r="B843" s="42" t="s">
        <v>479</v>
      </c>
      <c r="C843" s="42" t="s">
        <v>1436</v>
      </c>
      <c r="D843" s="61">
        <v>1</v>
      </c>
      <c r="E843" s="62">
        <v>0</v>
      </c>
      <c r="F843" s="63">
        <v>1</v>
      </c>
      <c r="G843"/>
    </row>
    <row r="844" spans="1:7" ht="15.6" x14ac:dyDescent="0.3">
      <c r="A844" s="43" t="s">
        <v>914</v>
      </c>
      <c r="B844" s="42" t="s">
        <v>475</v>
      </c>
      <c r="C844" s="42" t="s">
        <v>1432</v>
      </c>
      <c r="D844" s="61">
        <v>2</v>
      </c>
      <c r="E844" s="62">
        <v>0</v>
      </c>
      <c r="F844" s="63">
        <v>2</v>
      </c>
      <c r="G844"/>
    </row>
    <row r="845" spans="1:7" ht="15.6" x14ac:dyDescent="0.3">
      <c r="A845" s="43" t="s">
        <v>914</v>
      </c>
      <c r="B845" s="42" t="s">
        <v>470</v>
      </c>
      <c r="C845" s="42" t="s">
        <v>1427</v>
      </c>
      <c r="D845" s="61">
        <v>1</v>
      </c>
      <c r="E845" s="62">
        <v>0</v>
      </c>
      <c r="F845" s="63">
        <v>1</v>
      </c>
      <c r="G845"/>
    </row>
    <row r="846" spans="1:7" ht="15.6" x14ac:dyDescent="0.3">
      <c r="A846" s="43" t="s">
        <v>914</v>
      </c>
      <c r="B846" s="42" t="s">
        <v>471</v>
      </c>
      <c r="C846" s="42" t="s">
        <v>1428</v>
      </c>
      <c r="D846" s="61">
        <v>1</v>
      </c>
      <c r="E846" s="62">
        <v>0</v>
      </c>
      <c r="F846" s="63">
        <v>1</v>
      </c>
      <c r="G846"/>
    </row>
    <row r="847" spans="1:7" ht="15.6" x14ac:dyDescent="0.3">
      <c r="A847" s="43" t="s">
        <v>914</v>
      </c>
      <c r="B847" s="42" t="s">
        <v>452</v>
      </c>
      <c r="C847" s="42" t="s">
        <v>1409</v>
      </c>
      <c r="D847" s="61">
        <v>1</v>
      </c>
      <c r="E847" s="62">
        <v>0</v>
      </c>
      <c r="F847" s="63">
        <v>1</v>
      </c>
      <c r="G847"/>
    </row>
    <row r="848" spans="1:7" ht="15.6" x14ac:dyDescent="0.3">
      <c r="A848" s="43" t="s">
        <v>914</v>
      </c>
      <c r="B848" s="42" t="s">
        <v>476</v>
      </c>
      <c r="C848" s="42" t="s">
        <v>1433</v>
      </c>
      <c r="D848" s="61">
        <v>1</v>
      </c>
      <c r="E848" s="62">
        <v>0</v>
      </c>
      <c r="F848" s="63">
        <v>1</v>
      </c>
      <c r="G848"/>
    </row>
    <row r="849" spans="1:7" ht="15.6" x14ac:dyDescent="0.3">
      <c r="A849" s="43" t="s">
        <v>914</v>
      </c>
      <c r="B849" s="42" t="s">
        <v>443</v>
      </c>
      <c r="C849" s="42" t="s">
        <v>1400</v>
      </c>
      <c r="D849" s="61">
        <v>2</v>
      </c>
      <c r="E849" s="62">
        <v>0</v>
      </c>
      <c r="F849" s="63">
        <v>2</v>
      </c>
      <c r="G849"/>
    </row>
    <row r="850" spans="1:7" ht="15.6" x14ac:dyDescent="0.3">
      <c r="A850" s="43" t="s">
        <v>914</v>
      </c>
      <c r="B850" s="42" t="s">
        <v>478</v>
      </c>
      <c r="C850" s="42" t="s">
        <v>1435</v>
      </c>
      <c r="D850" s="61">
        <v>2</v>
      </c>
      <c r="E850" s="62">
        <v>0</v>
      </c>
      <c r="F850" s="63">
        <v>2</v>
      </c>
      <c r="G850"/>
    </row>
    <row r="851" spans="1:7" ht="15.6" x14ac:dyDescent="0.3">
      <c r="A851" s="43" t="s">
        <v>914</v>
      </c>
      <c r="B851" s="42" t="s">
        <v>448</v>
      </c>
      <c r="C851" s="42" t="s">
        <v>1405</v>
      </c>
      <c r="D851" s="61">
        <v>1</v>
      </c>
      <c r="E851" s="62">
        <v>0</v>
      </c>
      <c r="F851" s="63">
        <v>1</v>
      </c>
      <c r="G851"/>
    </row>
    <row r="852" spans="1:7" ht="15.6" x14ac:dyDescent="0.3">
      <c r="A852" s="43" t="s">
        <v>914</v>
      </c>
      <c r="B852" s="42" t="s">
        <v>474</v>
      </c>
      <c r="C852" s="42" t="s">
        <v>1431</v>
      </c>
      <c r="D852" s="61">
        <v>1</v>
      </c>
      <c r="E852" s="62">
        <v>0</v>
      </c>
      <c r="F852" s="63">
        <v>1</v>
      </c>
      <c r="G852"/>
    </row>
    <row r="853" spans="1:7" ht="15.6" x14ac:dyDescent="0.3">
      <c r="A853" s="43" t="s">
        <v>914</v>
      </c>
      <c r="B853" s="42" t="s">
        <v>473</v>
      </c>
      <c r="C853" s="42" t="s">
        <v>1430</v>
      </c>
      <c r="D853" s="61">
        <v>2</v>
      </c>
      <c r="E853" s="62">
        <v>0</v>
      </c>
      <c r="F853" s="63">
        <v>2</v>
      </c>
      <c r="G853"/>
    </row>
    <row r="854" spans="1:7" ht="15.6" x14ac:dyDescent="0.3">
      <c r="A854" s="43" t="s">
        <v>914</v>
      </c>
      <c r="B854" s="42" t="s">
        <v>477</v>
      </c>
      <c r="C854" s="42" t="s">
        <v>1434</v>
      </c>
      <c r="D854" s="61">
        <v>2</v>
      </c>
      <c r="E854" s="62">
        <v>0</v>
      </c>
      <c r="F854" s="63">
        <v>2</v>
      </c>
      <c r="G854"/>
    </row>
    <row r="855" spans="1:7" ht="15.6" x14ac:dyDescent="0.3">
      <c r="A855" s="43" t="s">
        <v>914</v>
      </c>
      <c r="B855" s="42" t="s">
        <v>467</v>
      </c>
      <c r="C855" s="42" t="s">
        <v>1424</v>
      </c>
      <c r="D855" s="61">
        <v>3</v>
      </c>
      <c r="E855" s="62">
        <v>0</v>
      </c>
      <c r="F855" s="63">
        <v>3</v>
      </c>
      <c r="G855"/>
    </row>
    <row r="856" spans="1:7" ht="15.6" x14ac:dyDescent="0.3">
      <c r="A856" s="43" t="s">
        <v>914</v>
      </c>
      <c r="B856" s="42" t="s">
        <v>442</v>
      </c>
      <c r="C856" s="42" t="s">
        <v>1399</v>
      </c>
      <c r="D856" s="61">
        <v>1</v>
      </c>
      <c r="E856" s="62">
        <v>0</v>
      </c>
      <c r="F856" s="63">
        <v>1</v>
      </c>
      <c r="G856"/>
    </row>
    <row r="857" spans="1:7" ht="15.6" x14ac:dyDescent="0.3">
      <c r="A857" s="43" t="s">
        <v>914</v>
      </c>
      <c r="B857" s="42" t="s">
        <v>822</v>
      </c>
      <c r="C857" s="42" t="s">
        <v>1811</v>
      </c>
      <c r="D857" s="61">
        <v>1</v>
      </c>
      <c r="E857" s="62">
        <v>0</v>
      </c>
      <c r="F857" s="63">
        <v>1</v>
      </c>
      <c r="G857"/>
    </row>
    <row r="858" spans="1:7" ht="15.6" x14ac:dyDescent="0.3">
      <c r="A858" s="43" t="s">
        <v>914</v>
      </c>
      <c r="B858" s="42" t="s">
        <v>2505</v>
      </c>
      <c r="C858" s="42" t="s">
        <v>1867</v>
      </c>
      <c r="D858" s="61">
        <v>1</v>
      </c>
      <c r="E858" s="62">
        <v>0</v>
      </c>
      <c r="F858" s="63">
        <v>1</v>
      </c>
      <c r="G858"/>
    </row>
    <row r="859" spans="1:7" ht="15.6" x14ac:dyDescent="0.3">
      <c r="A859" s="43" t="s">
        <v>914</v>
      </c>
      <c r="B859" s="42" t="s">
        <v>454</v>
      </c>
      <c r="C859" s="42" t="s">
        <v>1411</v>
      </c>
      <c r="D859" s="61">
        <v>2</v>
      </c>
      <c r="E859" s="62">
        <v>0</v>
      </c>
      <c r="F859" s="63">
        <v>2</v>
      </c>
      <c r="G859"/>
    </row>
    <row r="860" spans="1:7" ht="15.6" x14ac:dyDescent="0.3">
      <c r="A860" s="43" t="s">
        <v>914</v>
      </c>
      <c r="B860" s="42" t="s">
        <v>830</v>
      </c>
      <c r="C860" s="42" t="s">
        <v>1819</v>
      </c>
      <c r="D860" s="61">
        <v>2</v>
      </c>
      <c r="E860" s="62">
        <v>0</v>
      </c>
      <c r="F860" s="63">
        <v>2</v>
      </c>
      <c r="G860"/>
    </row>
    <row r="861" spans="1:7" ht="15.6" x14ac:dyDescent="0.3">
      <c r="A861" s="43" t="s">
        <v>914</v>
      </c>
      <c r="B861" s="42" t="s">
        <v>192</v>
      </c>
      <c r="C861" s="42" t="s">
        <v>1130</v>
      </c>
      <c r="D861" s="61">
        <v>1</v>
      </c>
      <c r="E861" s="62">
        <v>0</v>
      </c>
      <c r="F861" s="63">
        <v>1</v>
      </c>
      <c r="G861"/>
    </row>
    <row r="862" spans="1:7" ht="15.6" x14ac:dyDescent="0.3">
      <c r="A862" s="43" t="s">
        <v>914</v>
      </c>
      <c r="B862" s="42" t="s">
        <v>2525</v>
      </c>
      <c r="C862" s="42" t="s">
        <v>2293</v>
      </c>
      <c r="D862" s="61">
        <v>10</v>
      </c>
      <c r="E862" s="62">
        <v>0</v>
      </c>
      <c r="F862" s="63">
        <v>10</v>
      </c>
      <c r="G862"/>
    </row>
    <row r="863" spans="1:7" ht="15.6" x14ac:dyDescent="0.3">
      <c r="A863" s="43" t="s">
        <v>914</v>
      </c>
      <c r="B863" s="42" t="s">
        <v>2526</v>
      </c>
      <c r="C863" s="42" t="s">
        <v>2294</v>
      </c>
      <c r="D863" s="61">
        <v>2</v>
      </c>
      <c r="E863" s="62">
        <v>0</v>
      </c>
      <c r="F863" s="63">
        <v>2</v>
      </c>
      <c r="G863"/>
    </row>
    <row r="864" spans="1:7" ht="15.6" x14ac:dyDescent="0.3">
      <c r="A864" s="43" t="s">
        <v>914</v>
      </c>
      <c r="B864" s="42" t="s">
        <v>2159</v>
      </c>
      <c r="C864" s="42" t="s">
        <v>1129</v>
      </c>
      <c r="D864" s="61">
        <v>11</v>
      </c>
      <c r="E864" s="62">
        <v>0</v>
      </c>
      <c r="F864" s="63">
        <v>11</v>
      </c>
      <c r="G864"/>
    </row>
    <row r="865" spans="1:7" ht="15.6" x14ac:dyDescent="0.3">
      <c r="A865" s="43" t="s">
        <v>914</v>
      </c>
      <c r="B865" s="42" t="s">
        <v>2151</v>
      </c>
      <c r="C865" s="42" t="s">
        <v>2154</v>
      </c>
      <c r="D865" s="61">
        <v>11</v>
      </c>
      <c r="E865" s="62">
        <v>0</v>
      </c>
      <c r="F865" s="63">
        <v>11</v>
      </c>
      <c r="G865"/>
    </row>
    <row r="866" spans="1:7" ht="15.6" x14ac:dyDescent="0.3">
      <c r="A866" s="43" t="s">
        <v>914</v>
      </c>
      <c r="B866" s="42" t="s">
        <v>2158</v>
      </c>
      <c r="C866" s="42" t="s">
        <v>2157</v>
      </c>
      <c r="D866" s="61">
        <v>5</v>
      </c>
      <c r="E866" s="62">
        <v>0</v>
      </c>
      <c r="F866" s="63">
        <v>5</v>
      </c>
      <c r="G866"/>
    </row>
    <row r="867" spans="1:7" ht="15.6" x14ac:dyDescent="0.3">
      <c r="A867" s="43" t="s">
        <v>914</v>
      </c>
      <c r="B867" s="42" t="s">
        <v>2493</v>
      </c>
      <c r="C867" s="42" t="s">
        <v>1752</v>
      </c>
      <c r="D867" s="61">
        <v>2</v>
      </c>
      <c r="E867" s="62">
        <v>0</v>
      </c>
      <c r="F867" s="63">
        <v>2</v>
      </c>
      <c r="G867"/>
    </row>
    <row r="868" spans="1:7" ht="15.6" x14ac:dyDescent="0.3">
      <c r="A868" s="43" t="s">
        <v>914</v>
      </c>
      <c r="B868" s="42" t="s">
        <v>775</v>
      </c>
      <c r="C868" s="42" t="s">
        <v>1755</v>
      </c>
      <c r="D868" s="61">
        <v>3</v>
      </c>
      <c r="E868" s="62">
        <v>0</v>
      </c>
      <c r="F868" s="63">
        <v>3</v>
      </c>
      <c r="G868"/>
    </row>
    <row r="869" spans="1:7" ht="15.6" x14ac:dyDescent="0.3">
      <c r="A869" s="43" t="s">
        <v>914</v>
      </c>
      <c r="B869" s="42" t="s">
        <v>769</v>
      </c>
      <c r="C869" s="42" t="s">
        <v>1748</v>
      </c>
      <c r="D869" s="61">
        <v>6</v>
      </c>
      <c r="E869" s="62">
        <v>0</v>
      </c>
      <c r="F869" s="63">
        <v>6</v>
      </c>
      <c r="G869"/>
    </row>
    <row r="870" spans="1:7" ht="15.6" x14ac:dyDescent="0.3">
      <c r="A870" s="43" t="s">
        <v>914</v>
      </c>
      <c r="B870" s="42" t="s">
        <v>789</v>
      </c>
      <c r="C870" s="42" t="s">
        <v>1772</v>
      </c>
      <c r="D870" s="61">
        <v>2</v>
      </c>
      <c r="E870" s="62">
        <v>0</v>
      </c>
      <c r="F870" s="63">
        <v>2</v>
      </c>
      <c r="G870"/>
    </row>
    <row r="871" spans="1:7" ht="15.6" x14ac:dyDescent="0.3">
      <c r="A871" s="43" t="s">
        <v>914</v>
      </c>
      <c r="B871" s="42" t="s">
        <v>95</v>
      </c>
      <c r="C871" s="42" t="s">
        <v>1024</v>
      </c>
      <c r="D871" s="61">
        <v>1</v>
      </c>
      <c r="E871" s="62">
        <v>0</v>
      </c>
      <c r="F871" s="63">
        <v>1</v>
      </c>
      <c r="G871"/>
    </row>
    <row r="872" spans="1:7" ht="15.6" x14ac:dyDescent="0.3">
      <c r="A872" s="43" t="s">
        <v>914</v>
      </c>
      <c r="B872" s="42" t="s">
        <v>100</v>
      </c>
      <c r="C872" s="42" t="s">
        <v>1029</v>
      </c>
      <c r="D872" s="61">
        <v>12</v>
      </c>
      <c r="E872" s="62">
        <v>0</v>
      </c>
      <c r="F872" s="63">
        <v>12</v>
      </c>
      <c r="G872"/>
    </row>
    <row r="873" spans="1:7" ht="15.6" x14ac:dyDescent="0.3">
      <c r="A873" s="43" t="s">
        <v>914</v>
      </c>
      <c r="B873" s="42" t="s">
        <v>96</v>
      </c>
      <c r="C873" s="42" t="s">
        <v>1025</v>
      </c>
      <c r="D873" s="61">
        <v>6</v>
      </c>
      <c r="E873" s="62">
        <v>0</v>
      </c>
      <c r="F873" s="63">
        <v>6</v>
      </c>
      <c r="G873"/>
    </row>
    <row r="874" spans="1:7" ht="15.6" x14ac:dyDescent="0.3">
      <c r="A874" s="43" t="s">
        <v>914</v>
      </c>
      <c r="B874" s="42" t="s">
        <v>220</v>
      </c>
      <c r="C874" s="42" t="s">
        <v>1158</v>
      </c>
      <c r="D874" s="61">
        <v>1</v>
      </c>
      <c r="E874" s="62">
        <v>0</v>
      </c>
      <c r="F874" s="63">
        <v>1</v>
      </c>
      <c r="G874"/>
    </row>
    <row r="875" spans="1:7" ht="15.6" x14ac:dyDescent="0.3">
      <c r="A875" s="43" t="s">
        <v>914</v>
      </c>
      <c r="B875" s="42" t="s">
        <v>670</v>
      </c>
      <c r="C875" s="42" t="s">
        <v>1639</v>
      </c>
      <c r="D875" s="61">
        <v>2</v>
      </c>
      <c r="E875" s="62">
        <v>0</v>
      </c>
      <c r="F875" s="63">
        <v>2</v>
      </c>
      <c r="G875"/>
    </row>
    <row r="876" spans="1:7" ht="15.6" x14ac:dyDescent="0.3">
      <c r="A876" s="43" t="s">
        <v>914</v>
      </c>
      <c r="B876" s="42" t="s">
        <v>646</v>
      </c>
      <c r="C876" s="42" t="s">
        <v>1614</v>
      </c>
      <c r="D876" s="61">
        <v>2</v>
      </c>
      <c r="E876" s="62">
        <v>0</v>
      </c>
      <c r="F876" s="63">
        <v>2</v>
      </c>
      <c r="G876"/>
    </row>
    <row r="877" spans="1:7" ht="15.6" x14ac:dyDescent="0.3">
      <c r="A877" s="43" t="s">
        <v>914</v>
      </c>
      <c r="B877" s="42" t="s">
        <v>672</v>
      </c>
      <c r="C877" s="42" t="s">
        <v>1641</v>
      </c>
      <c r="D877" s="61">
        <v>1</v>
      </c>
      <c r="E877" s="62">
        <v>0</v>
      </c>
      <c r="F877" s="63">
        <v>1</v>
      </c>
      <c r="G877"/>
    </row>
    <row r="878" spans="1:7" ht="15.6" x14ac:dyDescent="0.3">
      <c r="A878" s="43" t="s">
        <v>914</v>
      </c>
      <c r="B878" s="42" t="s">
        <v>662</v>
      </c>
      <c r="C878" s="42" t="s">
        <v>1631</v>
      </c>
      <c r="D878" s="61">
        <v>7</v>
      </c>
      <c r="E878" s="62">
        <v>0</v>
      </c>
      <c r="F878" s="63">
        <v>7</v>
      </c>
      <c r="G878"/>
    </row>
    <row r="879" spans="1:7" ht="15.6" x14ac:dyDescent="0.3">
      <c r="A879" s="43" t="s">
        <v>914</v>
      </c>
      <c r="B879" s="42" t="s">
        <v>376</v>
      </c>
      <c r="C879" s="42" t="s">
        <v>1326</v>
      </c>
      <c r="D879" s="61">
        <v>1</v>
      </c>
      <c r="E879" s="62">
        <v>0</v>
      </c>
      <c r="F879" s="63">
        <v>1</v>
      </c>
      <c r="G879"/>
    </row>
    <row r="880" spans="1:7" ht="15.6" x14ac:dyDescent="0.3">
      <c r="A880" s="43" t="s">
        <v>914</v>
      </c>
      <c r="B880" s="42" t="s">
        <v>521</v>
      </c>
      <c r="C880" s="42" t="s">
        <v>1483</v>
      </c>
      <c r="D880" s="61">
        <v>1</v>
      </c>
      <c r="E880" s="62">
        <v>0</v>
      </c>
      <c r="F880" s="63">
        <v>1</v>
      </c>
      <c r="G880"/>
    </row>
    <row r="881" spans="1:7" ht="15.6" x14ac:dyDescent="0.3">
      <c r="A881" s="43" t="s">
        <v>914</v>
      </c>
      <c r="B881" s="42" t="s">
        <v>651</v>
      </c>
      <c r="C881" s="42" t="s">
        <v>1619</v>
      </c>
      <c r="D881" s="61">
        <v>6</v>
      </c>
      <c r="E881" s="62">
        <v>0</v>
      </c>
      <c r="F881" s="63">
        <v>6</v>
      </c>
      <c r="G881"/>
    </row>
    <row r="882" spans="1:7" ht="15.6" x14ac:dyDescent="0.3">
      <c r="A882" s="43" t="s">
        <v>914</v>
      </c>
      <c r="B882" s="42" t="s">
        <v>652</v>
      </c>
      <c r="C882" s="42" t="s">
        <v>1620</v>
      </c>
      <c r="D882" s="61">
        <v>2</v>
      </c>
      <c r="E882" s="62">
        <v>0</v>
      </c>
      <c r="F882" s="63">
        <v>2</v>
      </c>
      <c r="G882"/>
    </row>
    <row r="883" spans="1:7" ht="15.6" x14ac:dyDescent="0.3">
      <c r="A883" s="43" t="s">
        <v>914</v>
      </c>
      <c r="B883" s="42" t="s">
        <v>673</v>
      </c>
      <c r="C883" s="42" t="s">
        <v>1642</v>
      </c>
      <c r="D883" s="61">
        <v>1</v>
      </c>
      <c r="E883" s="62">
        <v>0</v>
      </c>
      <c r="F883" s="63">
        <v>1</v>
      </c>
      <c r="G883"/>
    </row>
    <row r="884" spans="1:7" ht="15.6" x14ac:dyDescent="0.3">
      <c r="A884" s="43" t="s">
        <v>914</v>
      </c>
      <c r="B884" s="42" t="s">
        <v>526</v>
      </c>
      <c r="C884" s="42" t="s">
        <v>1622</v>
      </c>
      <c r="D884" s="61">
        <v>2</v>
      </c>
      <c r="E884" s="62">
        <v>0</v>
      </c>
      <c r="F884" s="63">
        <v>2</v>
      </c>
      <c r="G884"/>
    </row>
    <row r="885" spans="1:7" ht="15.6" x14ac:dyDescent="0.3">
      <c r="A885" s="43" t="s">
        <v>914</v>
      </c>
      <c r="B885" s="42" t="s">
        <v>2480</v>
      </c>
      <c r="C885" s="42" t="s">
        <v>1488</v>
      </c>
      <c r="D885" s="61">
        <v>1</v>
      </c>
      <c r="E885" s="62">
        <v>0</v>
      </c>
      <c r="F885" s="63">
        <v>1</v>
      </c>
      <c r="G885"/>
    </row>
    <row r="886" spans="1:7" ht="15.6" x14ac:dyDescent="0.3">
      <c r="A886" s="43" t="s">
        <v>914</v>
      </c>
      <c r="B886" s="42" t="s">
        <v>2464</v>
      </c>
      <c r="C886" s="42" t="s">
        <v>1160</v>
      </c>
      <c r="D886" s="61">
        <v>1</v>
      </c>
      <c r="E886" s="62">
        <v>0</v>
      </c>
      <c r="F886" s="63">
        <v>1</v>
      </c>
      <c r="G886"/>
    </row>
    <row r="887" spans="1:7" ht="15.6" x14ac:dyDescent="0.3">
      <c r="A887" s="43" t="s">
        <v>914</v>
      </c>
      <c r="B887" s="42" t="s">
        <v>230</v>
      </c>
      <c r="C887" s="42" t="s">
        <v>1169</v>
      </c>
      <c r="D887" s="61">
        <v>1</v>
      </c>
      <c r="E887" s="62">
        <v>0</v>
      </c>
      <c r="F887" s="63">
        <v>1</v>
      </c>
      <c r="G887"/>
    </row>
    <row r="888" spans="1:7" ht="15.6" x14ac:dyDescent="0.3">
      <c r="A888" s="43" t="s">
        <v>914</v>
      </c>
      <c r="B888" s="42" t="s">
        <v>515</v>
      </c>
      <c r="C888" s="42" t="s">
        <v>1477</v>
      </c>
      <c r="D888" s="61">
        <v>1</v>
      </c>
      <c r="E888" s="62">
        <v>0</v>
      </c>
      <c r="F888" s="63">
        <v>1</v>
      </c>
      <c r="G888"/>
    </row>
    <row r="889" spans="1:7" ht="15.6" x14ac:dyDescent="0.3">
      <c r="A889" s="43" t="s">
        <v>914</v>
      </c>
      <c r="B889" s="42" t="s">
        <v>380</v>
      </c>
      <c r="C889" s="42" t="s">
        <v>1330</v>
      </c>
      <c r="D889" s="61">
        <v>1</v>
      </c>
      <c r="E889" s="62">
        <v>0</v>
      </c>
      <c r="F889" s="63">
        <v>1</v>
      </c>
      <c r="G889"/>
    </row>
    <row r="890" spans="1:7" ht="15.6" x14ac:dyDescent="0.3">
      <c r="A890" s="43" t="s">
        <v>914</v>
      </c>
      <c r="B890" s="42" t="s">
        <v>505</v>
      </c>
      <c r="C890" s="42" t="s">
        <v>1467</v>
      </c>
      <c r="D890" s="61">
        <v>2</v>
      </c>
      <c r="E890" s="62">
        <v>0</v>
      </c>
      <c r="F890" s="63">
        <v>2</v>
      </c>
      <c r="G890"/>
    </row>
    <row r="891" spans="1:7" ht="15.6" x14ac:dyDescent="0.3">
      <c r="A891" s="43" t="s">
        <v>914</v>
      </c>
      <c r="B891" s="42" t="s">
        <v>382</v>
      </c>
      <c r="C891" s="42" t="s">
        <v>1333</v>
      </c>
      <c r="D891" s="61">
        <v>1</v>
      </c>
      <c r="E891" s="62">
        <v>0</v>
      </c>
      <c r="F891" s="63">
        <v>1</v>
      </c>
      <c r="G891"/>
    </row>
    <row r="892" spans="1:7" ht="15.6" x14ac:dyDescent="0.3">
      <c r="A892" s="43" t="s">
        <v>914</v>
      </c>
      <c r="B892" s="42" t="s">
        <v>514</v>
      </c>
      <c r="C892" s="42" t="s">
        <v>1476</v>
      </c>
      <c r="D892" s="61">
        <v>1</v>
      </c>
      <c r="E892" s="62">
        <v>0</v>
      </c>
      <c r="F892" s="63">
        <v>1</v>
      </c>
      <c r="G892"/>
    </row>
    <row r="893" spans="1:7" ht="15.6" x14ac:dyDescent="0.3">
      <c r="A893" s="43" t="s">
        <v>914</v>
      </c>
      <c r="B893" s="42" t="s">
        <v>665</v>
      </c>
      <c r="C893" s="42" t="s">
        <v>1634</v>
      </c>
      <c r="D893" s="61">
        <v>1</v>
      </c>
      <c r="E893" s="62">
        <v>0</v>
      </c>
      <c r="F893" s="63">
        <v>1</v>
      </c>
      <c r="G893"/>
    </row>
    <row r="894" spans="1:7" ht="15.6" x14ac:dyDescent="0.3">
      <c r="A894" s="43" t="s">
        <v>914</v>
      </c>
      <c r="B894" s="42" t="s">
        <v>512</v>
      </c>
      <c r="C894" s="42" t="s">
        <v>1474</v>
      </c>
      <c r="D894" s="61">
        <v>1</v>
      </c>
      <c r="E894" s="62">
        <v>0</v>
      </c>
      <c r="F894" s="63">
        <v>1</v>
      </c>
      <c r="G894"/>
    </row>
    <row r="895" spans="1:7" ht="15.6" x14ac:dyDescent="0.3">
      <c r="A895" s="43" t="s">
        <v>914</v>
      </c>
      <c r="B895" s="42" t="s">
        <v>661</v>
      </c>
      <c r="C895" s="42" t="s">
        <v>1630</v>
      </c>
      <c r="D895" s="61">
        <v>1</v>
      </c>
      <c r="E895" s="62">
        <v>0</v>
      </c>
      <c r="F895" s="63">
        <v>1</v>
      </c>
      <c r="G895"/>
    </row>
    <row r="896" spans="1:7" ht="15.6" x14ac:dyDescent="0.3">
      <c r="A896" s="43" t="s">
        <v>914</v>
      </c>
      <c r="B896" s="42" t="s">
        <v>370</v>
      </c>
      <c r="C896" s="42" t="s">
        <v>1320</v>
      </c>
      <c r="D896" s="61">
        <v>1</v>
      </c>
      <c r="E896" s="62">
        <v>0</v>
      </c>
      <c r="F896" s="63">
        <v>1</v>
      </c>
      <c r="G896"/>
    </row>
    <row r="897" spans="1:7" ht="15.6" x14ac:dyDescent="0.3">
      <c r="A897" s="43" t="s">
        <v>914</v>
      </c>
      <c r="B897" s="42" t="s">
        <v>378</v>
      </c>
      <c r="C897" s="42" t="s">
        <v>1328</v>
      </c>
      <c r="D897" s="61">
        <v>1</v>
      </c>
      <c r="E897" s="62">
        <v>0</v>
      </c>
      <c r="F897" s="63">
        <v>1</v>
      </c>
      <c r="G897"/>
    </row>
    <row r="898" spans="1:7" ht="15.6" x14ac:dyDescent="0.3">
      <c r="A898" s="43" t="s">
        <v>914</v>
      </c>
      <c r="B898" s="42" t="s">
        <v>527</v>
      </c>
      <c r="C898" s="42" t="s">
        <v>1489</v>
      </c>
      <c r="D898" s="61">
        <v>4</v>
      </c>
      <c r="E898" s="62">
        <v>0</v>
      </c>
      <c r="F898" s="63">
        <v>4</v>
      </c>
      <c r="G898"/>
    </row>
    <row r="899" spans="1:7" ht="15.6" x14ac:dyDescent="0.3">
      <c r="A899" s="43" t="s">
        <v>914</v>
      </c>
      <c r="B899" s="42" t="s">
        <v>528</v>
      </c>
      <c r="C899" s="42" t="s">
        <v>1490</v>
      </c>
      <c r="D899" s="61">
        <v>1</v>
      </c>
      <c r="E899" s="62">
        <v>0</v>
      </c>
      <c r="F899" s="63">
        <v>1</v>
      </c>
      <c r="G899"/>
    </row>
    <row r="900" spans="1:7" ht="15.6" x14ac:dyDescent="0.3">
      <c r="A900" s="43" t="s">
        <v>914</v>
      </c>
      <c r="B900" s="42" t="s">
        <v>229</v>
      </c>
      <c r="C900" s="42" t="s">
        <v>1168</v>
      </c>
      <c r="D900" s="61">
        <v>6</v>
      </c>
      <c r="E900" s="62">
        <v>0</v>
      </c>
      <c r="F900" s="63">
        <v>6</v>
      </c>
      <c r="G900"/>
    </row>
    <row r="901" spans="1:7" ht="15.6" x14ac:dyDescent="0.3">
      <c r="A901" s="43" t="s">
        <v>914</v>
      </c>
      <c r="B901" s="42" t="s">
        <v>228</v>
      </c>
      <c r="C901" s="42" t="s">
        <v>1167</v>
      </c>
      <c r="D901" s="61">
        <v>1</v>
      </c>
      <c r="E901" s="62">
        <v>0</v>
      </c>
      <c r="F901" s="63">
        <v>1</v>
      </c>
      <c r="G901"/>
    </row>
    <row r="902" spans="1:7" ht="15.6" x14ac:dyDescent="0.3">
      <c r="A902" s="43" t="s">
        <v>914</v>
      </c>
      <c r="B902" s="42" t="s">
        <v>669</v>
      </c>
      <c r="C902" s="42" t="s">
        <v>1638</v>
      </c>
      <c r="D902" s="61">
        <v>1</v>
      </c>
      <c r="E902" s="62">
        <v>0</v>
      </c>
      <c r="F902" s="63">
        <v>1</v>
      </c>
      <c r="G902"/>
    </row>
    <row r="903" spans="1:7" ht="15.6" x14ac:dyDescent="0.3">
      <c r="A903" s="43" t="s">
        <v>914</v>
      </c>
      <c r="B903" s="42" t="s">
        <v>666</v>
      </c>
      <c r="C903" s="42" t="s">
        <v>1635</v>
      </c>
      <c r="D903" s="61">
        <v>1</v>
      </c>
      <c r="E903" s="62">
        <v>0</v>
      </c>
      <c r="F903" s="63">
        <v>1</v>
      </c>
      <c r="G903"/>
    </row>
    <row r="904" spans="1:7" ht="15.6" x14ac:dyDescent="0.3">
      <c r="A904" s="43" t="s">
        <v>914</v>
      </c>
      <c r="B904" s="42" t="s">
        <v>806</v>
      </c>
      <c r="C904" s="42" t="s">
        <v>1794</v>
      </c>
      <c r="D904" s="61">
        <v>7</v>
      </c>
      <c r="E904" s="62">
        <v>0</v>
      </c>
      <c r="F904" s="63">
        <v>7</v>
      </c>
      <c r="G904"/>
    </row>
    <row r="905" spans="1:7" ht="15.6" x14ac:dyDescent="0.3">
      <c r="A905" s="43" t="s">
        <v>914</v>
      </c>
      <c r="B905" s="42" t="s">
        <v>227</v>
      </c>
      <c r="C905" s="42" t="s">
        <v>1166</v>
      </c>
      <c r="D905" s="61">
        <v>1</v>
      </c>
      <c r="E905" s="62">
        <v>0</v>
      </c>
      <c r="F905" s="63">
        <v>1</v>
      </c>
      <c r="G905"/>
    </row>
    <row r="906" spans="1:7" ht="15.6" x14ac:dyDescent="0.3">
      <c r="A906" s="43" t="s">
        <v>914</v>
      </c>
      <c r="B906" s="42" t="s">
        <v>639</v>
      </c>
      <c r="C906" s="42" t="s">
        <v>1605</v>
      </c>
      <c r="D906" s="61">
        <v>2</v>
      </c>
      <c r="E906" s="62">
        <v>0</v>
      </c>
      <c r="F906" s="63">
        <v>2</v>
      </c>
      <c r="G906"/>
    </row>
    <row r="907" spans="1:7" ht="15.6" x14ac:dyDescent="0.3">
      <c r="A907" s="43" t="s">
        <v>914</v>
      </c>
      <c r="B907" s="42" t="s">
        <v>497</v>
      </c>
      <c r="C907" s="42" t="s">
        <v>1459</v>
      </c>
      <c r="D907" s="61">
        <v>1</v>
      </c>
      <c r="E907" s="62">
        <v>0</v>
      </c>
      <c r="F907" s="63">
        <v>1</v>
      </c>
      <c r="G907"/>
    </row>
    <row r="908" spans="1:7" ht="15.6" x14ac:dyDescent="0.3">
      <c r="A908" s="43" t="s">
        <v>914</v>
      </c>
      <c r="B908" s="42" t="s">
        <v>513</v>
      </c>
      <c r="C908" s="42" t="s">
        <v>1475</v>
      </c>
      <c r="D908" s="61">
        <v>1</v>
      </c>
      <c r="E908" s="62">
        <v>0</v>
      </c>
      <c r="F908" s="63">
        <v>1</v>
      </c>
      <c r="G908"/>
    </row>
    <row r="909" spans="1:7" ht="15.6" x14ac:dyDescent="0.3">
      <c r="A909" s="43" t="s">
        <v>914</v>
      </c>
      <c r="B909" s="42" t="s">
        <v>663</v>
      </c>
      <c r="C909" s="42" t="s">
        <v>1632</v>
      </c>
      <c r="D909" s="61">
        <v>1</v>
      </c>
      <c r="E909" s="62">
        <v>0</v>
      </c>
      <c r="F909" s="63">
        <v>1</v>
      </c>
      <c r="G909"/>
    </row>
    <row r="910" spans="1:7" ht="15.6" x14ac:dyDescent="0.3">
      <c r="A910" s="43" t="s">
        <v>914</v>
      </c>
      <c r="B910" s="42" t="s">
        <v>638</v>
      </c>
      <c r="C910" s="42" t="s">
        <v>1604</v>
      </c>
      <c r="D910" s="61">
        <v>17</v>
      </c>
      <c r="E910" s="62">
        <v>0</v>
      </c>
      <c r="F910" s="63">
        <v>17</v>
      </c>
      <c r="G910"/>
    </row>
    <row r="911" spans="1:7" ht="15.6" x14ac:dyDescent="0.3">
      <c r="A911" s="43" t="s">
        <v>914</v>
      </c>
      <c r="B911" s="42" t="s">
        <v>640</v>
      </c>
      <c r="C911" s="42" t="s">
        <v>1606</v>
      </c>
      <c r="D911" s="61">
        <v>8</v>
      </c>
      <c r="E911" s="62">
        <v>0</v>
      </c>
      <c r="F911" s="63">
        <v>8</v>
      </c>
      <c r="G911"/>
    </row>
    <row r="912" spans="1:7" ht="15.6" x14ac:dyDescent="0.3">
      <c r="A912" s="43" t="s">
        <v>914</v>
      </c>
      <c r="B912" s="42" t="s">
        <v>533</v>
      </c>
      <c r="C912" s="42" t="s">
        <v>1495</v>
      </c>
      <c r="D912" s="61">
        <v>1</v>
      </c>
      <c r="E912" s="62">
        <v>0</v>
      </c>
      <c r="F912" s="63">
        <v>1</v>
      </c>
      <c r="G912"/>
    </row>
    <row r="913" spans="1:7" ht="15.6" x14ac:dyDescent="0.3">
      <c r="A913" s="43" t="s">
        <v>914</v>
      </c>
      <c r="B913" s="42" t="s">
        <v>664</v>
      </c>
      <c r="C913" s="42" t="s">
        <v>1633</v>
      </c>
      <c r="D913" s="61">
        <v>6</v>
      </c>
      <c r="E913" s="62">
        <v>0</v>
      </c>
      <c r="F913" s="63">
        <v>6</v>
      </c>
      <c r="G913"/>
    </row>
    <row r="914" spans="1:7" ht="15.6" x14ac:dyDescent="0.3">
      <c r="A914" s="43" t="s">
        <v>914</v>
      </c>
      <c r="B914" s="42" t="s">
        <v>493</v>
      </c>
      <c r="C914" s="42" t="s">
        <v>1455</v>
      </c>
      <c r="D914" s="61">
        <v>1</v>
      </c>
      <c r="E914" s="62">
        <v>0</v>
      </c>
      <c r="F914" s="63">
        <v>1</v>
      </c>
      <c r="G914"/>
    </row>
    <row r="915" spans="1:7" ht="15.6" x14ac:dyDescent="0.3">
      <c r="A915" s="43" t="s">
        <v>914</v>
      </c>
      <c r="B915" s="42" t="s">
        <v>352</v>
      </c>
      <c r="C915" s="42" t="s">
        <v>1301</v>
      </c>
      <c r="D915" s="61">
        <v>9</v>
      </c>
      <c r="E915" s="62">
        <v>0</v>
      </c>
      <c r="F915" s="63">
        <v>9</v>
      </c>
      <c r="G915"/>
    </row>
    <row r="916" spans="1:7" ht="15.6" x14ac:dyDescent="0.3">
      <c r="A916" s="43" t="s">
        <v>914</v>
      </c>
      <c r="B916" s="42" t="s">
        <v>624</v>
      </c>
      <c r="C916" s="42" t="s">
        <v>1589</v>
      </c>
      <c r="D916" s="61">
        <v>1</v>
      </c>
      <c r="E916" s="62">
        <v>0</v>
      </c>
      <c r="F916" s="63">
        <v>1</v>
      </c>
      <c r="G916"/>
    </row>
    <row r="917" spans="1:7" ht="15.6" x14ac:dyDescent="0.3">
      <c r="A917" s="43" t="s">
        <v>914</v>
      </c>
      <c r="B917" s="42" t="s">
        <v>284</v>
      </c>
      <c r="C917" s="42" t="s">
        <v>1226</v>
      </c>
      <c r="D917" s="61">
        <v>1</v>
      </c>
      <c r="E917" s="62">
        <v>0</v>
      </c>
      <c r="F917" s="63">
        <v>1</v>
      </c>
      <c r="G917"/>
    </row>
    <row r="918" spans="1:7" ht="15.6" x14ac:dyDescent="0.3">
      <c r="A918" s="43" t="s">
        <v>914</v>
      </c>
      <c r="B918" s="42" t="s">
        <v>282</v>
      </c>
      <c r="C918" s="42" t="s">
        <v>1224</v>
      </c>
      <c r="D918" s="61">
        <v>6</v>
      </c>
      <c r="E918" s="62">
        <v>6</v>
      </c>
      <c r="F918" s="63">
        <v>0</v>
      </c>
      <c r="G918"/>
    </row>
    <row r="919" spans="1:7" ht="15.6" x14ac:dyDescent="0.3">
      <c r="A919" s="43" t="s">
        <v>914</v>
      </c>
      <c r="B919" s="42" t="s">
        <v>283</v>
      </c>
      <c r="C919" s="42" t="s">
        <v>1225</v>
      </c>
      <c r="D919" s="61">
        <v>1</v>
      </c>
      <c r="E919" s="62">
        <v>0</v>
      </c>
      <c r="F919" s="63">
        <v>1</v>
      </c>
      <c r="G919"/>
    </row>
    <row r="920" spans="1:7" ht="15.6" x14ac:dyDescent="0.3">
      <c r="A920" s="43" t="s">
        <v>914</v>
      </c>
      <c r="B920" s="42" t="s">
        <v>285</v>
      </c>
      <c r="C920" s="42" t="s">
        <v>1227</v>
      </c>
      <c r="D920" s="61">
        <v>7</v>
      </c>
      <c r="E920" s="62">
        <v>4</v>
      </c>
      <c r="F920" s="63">
        <v>3</v>
      </c>
      <c r="G920"/>
    </row>
    <row r="921" spans="1:7" ht="15.6" x14ac:dyDescent="0.3">
      <c r="A921" s="43" t="s">
        <v>914</v>
      </c>
      <c r="B921" s="42" t="s">
        <v>281</v>
      </c>
      <c r="C921" s="42" t="s">
        <v>1223</v>
      </c>
      <c r="D921" s="61">
        <v>41</v>
      </c>
      <c r="E921" s="62">
        <v>0</v>
      </c>
      <c r="F921" s="63">
        <v>41</v>
      </c>
      <c r="G921"/>
    </row>
    <row r="922" spans="1:7" ht="15.6" x14ac:dyDescent="0.3">
      <c r="A922" s="43" t="s">
        <v>914</v>
      </c>
      <c r="B922" s="42" t="s">
        <v>440</v>
      </c>
      <c r="C922" s="42" t="s">
        <v>1397</v>
      </c>
      <c r="D922" s="61">
        <v>1</v>
      </c>
      <c r="E922" s="62">
        <v>0</v>
      </c>
      <c r="F922" s="63">
        <v>1</v>
      </c>
      <c r="G922"/>
    </row>
    <row r="923" spans="1:7" ht="15.6" x14ac:dyDescent="0.3">
      <c r="A923" s="43" t="s">
        <v>914</v>
      </c>
      <c r="B923" s="42" t="s">
        <v>1931</v>
      </c>
      <c r="C923" s="42" t="s">
        <v>1951</v>
      </c>
      <c r="D923" s="61">
        <v>3</v>
      </c>
      <c r="E923" s="62">
        <v>3</v>
      </c>
      <c r="F923" s="63">
        <v>0</v>
      </c>
      <c r="G923"/>
    </row>
    <row r="924" spans="1:7" ht="15.6" x14ac:dyDescent="0.3">
      <c r="A924" s="43" t="s">
        <v>914</v>
      </c>
      <c r="B924" s="42" t="s">
        <v>1932</v>
      </c>
      <c r="C924" s="42" t="s">
        <v>1952</v>
      </c>
      <c r="D924" s="61">
        <v>6</v>
      </c>
      <c r="E924" s="62">
        <v>6</v>
      </c>
      <c r="F924" s="63">
        <v>0</v>
      </c>
      <c r="G924"/>
    </row>
    <row r="925" spans="1:7" ht="15.6" x14ac:dyDescent="0.3">
      <c r="A925" s="43" t="s">
        <v>914</v>
      </c>
      <c r="B925" s="42" t="s">
        <v>266</v>
      </c>
      <c r="C925" s="42" t="s">
        <v>1206</v>
      </c>
      <c r="D925" s="61">
        <v>1</v>
      </c>
      <c r="E925" s="62">
        <v>1</v>
      </c>
      <c r="F925" s="63">
        <v>0</v>
      </c>
      <c r="G925"/>
    </row>
    <row r="926" spans="1:7" ht="15.6" x14ac:dyDescent="0.3">
      <c r="A926" s="43" t="s">
        <v>914</v>
      </c>
      <c r="B926" s="42" t="s">
        <v>2291</v>
      </c>
      <c r="C926" s="42" t="s">
        <v>2296</v>
      </c>
      <c r="D926" s="61">
        <v>1</v>
      </c>
      <c r="E926" s="62">
        <v>0</v>
      </c>
      <c r="F926" s="63">
        <v>1</v>
      </c>
      <c r="G926"/>
    </row>
    <row r="927" spans="1:7" ht="15.6" x14ac:dyDescent="0.3">
      <c r="A927" s="43" t="s">
        <v>914</v>
      </c>
      <c r="B927" s="42" t="s">
        <v>850</v>
      </c>
      <c r="C927" s="42" t="s">
        <v>1841</v>
      </c>
      <c r="D927" s="61">
        <v>2</v>
      </c>
      <c r="E927" s="62">
        <v>0</v>
      </c>
      <c r="F927" s="63">
        <v>2</v>
      </c>
      <c r="G927"/>
    </row>
    <row r="928" spans="1:7" ht="15.6" x14ac:dyDescent="0.3">
      <c r="A928" s="43" t="s">
        <v>914</v>
      </c>
      <c r="B928" s="42" t="s">
        <v>109</v>
      </c>
      <c r="C928" s="42" t="s">
        <v>1043</v>
      </c>
      <c r="D928" s="61">
        <v>1</v>
      </c>
      <c r="E928" s="62">
        <v>0</v>
      </c>
      <c r="F928" s="63">
        <v>1</v>
      </c>
      <c r="G928"/>
    </row>
    <row r="929" spans="1:7" ht="15.6" x14ac:dyDescent="0.3">
      <c r="A929" s="43" t="s">
        <v>914</v>
      </c>
      <c r="B929" s="42" t="s">
        <v>2026</v>
      </c>
      <c r="C929" s="42" t="s">
        <v>2043</v>
      </c>
      <c r="D929" s="61">
        <v>2</v>
      </c>
      <c r="E929" s="62">
        <v>0</v>
      </c>
      <c r="F929" s="63">
        <v>2</v>
      </c>
      <c r="G929"/>
    </row>
    <row r="930" spans="1:7" ht="15.6" x14ac:dyDescent="0.3">
      <c r="A930" s="43" t="s">
        <v>914</v>
      </c>
      <c r="B930" s="42" t="s">
        <v>2233</v>
      </c>
      <c r="C930" s="42" t="s">
        <v>2235</v>
      </c>
      <c r="D930" s="61">
        <v>2</v>
      </c>
      <c r="E930" s="62">
        <v>0</v>
      </c>
      <c r="F930" s="63">
        <v>2</v>
      </c>
      <c r="G930"/>
    </row>
    <row r="931" spans="1:7" ht="15.6" x14ac:dyDescent="0.3">
      <c r="A931" s="43" t="s">
        <v>914</v>
      </c>
      <c r="B931" s="42" t="s">
        <v>681</v>
      </c>
      <c r="C931" s="42" t="s">
        <v>1651</v>
      </c>
      <c r="D931" s="61">
        <v>2</v>
      </c>
      <c r="E931" s="62">
        <v>0</v>
      </c>
      <c r="F931" s="63">
        <v>2</v>
      </c>
      <c r="G931"/>
    </row>
    <row r="932" spans="1:7" ht="15.6" x14ac:dyDescent="0.3">
      <c r="A932" s="43" t="s">
        <v>914</v>
      </c>
      <c r="B932" s="42" t="s">
        <v>151</v>
      </c>
      <c r="C932" s="42" t="s">
        <v>1085</v>
      </c>
      <c r="D932" s="61">
        <v>1</v>
      </c>
      <c r="E932" s="62">
        <v>1</v>
      </c>
      <c r="F932" s="63">
        <v>0</v>
      </c>
      <c r="G932"/>
    </row>
    <row r="933" spans="1:7" ht="15.6" x14ac:dyDescent="0.3">
      <c r="A933" s="43" t="s">
        <v>914</v>
      </c>
      <c r="B933" s="42" t="s">
        <v>150</v>
      </c>
      <c r="C933" s="42" t="s">
        <v>1084</v>
      </c>
      <c r="D933" s="61">
        <v>3</v>
      </c>
      <c r="E933" s="62">
        <v>2</v>
      </c>
      <c r="F933" s="63">
        <v>1</v>
      </c>
      <c r="G933"/>
    </row>
    <row r="934" spans="1:7" ht="15.6" x14ac:dyDescent="0.3">
      <c r="A934" s="43" t="s">
        <v>914</v>
      </c>
      <c r="B934" s="42" t="s">
        <v>210</v>
      </c>
      <c r="C934" s="42" t="s">
        <v>1148</v>
      </c>
      <c r="D934" s="61">
        <v>2</v>
      </c>
      <c r="E934" s="62">
        <v>2</v>
      </c>
      <c r="F934" s="63">
        <v>0</v>
      </c>
      <c r="G934"/>
    </row>
    <row r="935" spans="1:7" ht="15.6" x14ac:dyDescent="0.3">
      <c r="A935" s="43" t="s">
        <v>914</v>
      </c>
      <c r="B935" s="42" t="s">
        <v>212</v>
      </c>
      <c r="C935" s="42" t="s">
        <v>1150</v>
      </c>
      <c r="D935" s="61">
        <v>3</v>
      </c>
      <c r="E935" s="62">
        <v>0</v>
      </c>
      <c r="F935" s="63">
        <v>3</v>
      </c>
      <c r="G935"/>
    </row>
    <row r="936" spans="1:7" ht="15.6" x14ac:dyDescent="0.3">
      <c r="A936" s="43" t="s">
        <v>914</v>
      </c>
      <c r="B936" s="42" t="s">
        <v>207</v>
      </c>
      <c r="C936" s="42" t="s">
        <v>1145</v>
      </c>
      <c r="D936" s="61">
        <v>1</v>
      </c>
      <c r="E936" s="62">
        <v>0</v>
      </c>
      <c r="F936" s="63">
        <v>1</v>
      </c>
      <c r="G936"/>
    </row>
    <row r="937" spans="1:7" ht="15.6" x14ac:dyDescent="0.3">
      <c r="A937" s="43" t="s">
        <v>914</v>
      </c>
      <c r="B937" s="42" t="s">
        <v>208</v>
      </c>
      <c r="C937" s="42" t="s">
        <v>1146</v>
      </c>
      <c r="D937" s="61">
        <v>1</v>
      </c>
      <c r="E937" s="62">
        <v>0</v>
      </c>
      <c r="F937" s="63">
        <v>1</v>
      </c>
      <c r="G937"/>
    </row>
    <row r="938" spans="1:7" ht="15.6" x14ac:dyDescent="0.3">
      <c r="A938" s="43" t="s">
        <v>914</v>
      </c>
      <c r="B938" s="42" t="s">
        <v>209</v>
      </c>
      <c r="C938" s="42" t="s">
        <v>1147</v>
      </c>
      <c r="D938" s="61">
        <v>1</v>
      </c>
      <c r="E938" s="62">
        <v>0</v>
      </c>
      <c r="F938" s="63">
        <v>1</v>
      </c>
      <c r="G938"/>
    </row>
    <row r="939" spans="1:7" ht="15.6" x14ac:dyDescent="0.3">
      <c r="A939" s="43" t="s">
        <v>914</v>
      </c>
      <c r="B939" s="42" t="s">
        <v>745</v>
      </c>
      <c r="C939" s="42" t="s">
        <v>1722</v>
      </c>
      <c r="D939" s="61">
        <v>2</v>
      </c>
      <c r="E939" s="62">
        <v>2</v>
      </c>
      <c r="F939" s="63">
        <v>0</v>
      </c>
      <c r="G939"/>
    </row>
    <row r="940" spans="1:7" ht="15.6" x14ac:dyDescent="0.3">
      <c r="A940" s="43" t="s">
        <v>914</v>
      </c>
      <c r="B940" s="42" t="s">
        <v>211</v>
      </c>
      <c r="C940" s="42" t="s">
        <v>1149</v>
      </c>
      <c r="D940" s="61">
        <v>1</v>
      </c>
      <c r="E940" s="62">
        <v>0</v>
      </c>
      <c r="F940" s="63">
        <v>1</v>
      </c>
      <c r="G940"/>
    </row>
    <row r="941" spans="1:7" ht="15.6" x14ac:dyDescent="0.3">
      <c r="A941" s="43" t="s">
        <v>914</v>
      </c>
      <c r="B941" s="42" t="s">
        <v>616</v>
      </c>
      <c r="C941" s="42" t="s">
        <v>1581</v>
      </c>
      <c r="D941" s="61">
        <v>1</v>
      </c>
      <c r="E941" s="62">
        <v>0</v>
      </c>
      <c r="F941" s="63">
        <v>1</v>
      </c>
      <c r="G941"/>
    </row>
    <row r="942" spans="1:7" ht="15.6" x14ac:dyDescent="0.3">
      <c r="A942" s="43" t="s">
        <v>914</v>
      </c>
      <c r="B942" s="42" t="s">
        <v>191</v>
      </c>
      <c r="C942" s="42" t="s">
        <v>1128</v>
      </c>
      <c r="D942" s="61">
        <v>1</v>
      </c>
      <c r="E942" s="62">
        <v>0</v>
      </c>
      <c r="F942" s="63">
        <v>1</v>
      </c>
      <c r="G942"/>
    </row>
    <row r="943" spans="1:7" ht="15.6" x14ac:dyDescent="0.3">
      <c r="A943" s="43" t="s">
        <v>914</v>
      </c>
      <c r="B943" s="42" t="s">
        <v>134</v>
      </c>
      <c r="C943" s="42" t="s">
        <v>1068</v>
      </c>
      <c r="D943" s="61">
        <v>1</v>
      </c>
      <c r="E943" s="62">
        <v>0</v>
      </c>
      <c r="F943" s="63">
        <v>1</v>
      </c>
      <c r="G943"/>
    </row>
    <row r="944" spans="1:7" ht="15.6" x14ac:dyDescent="0.3">
      <c r="A944" s="43" t="s">
        <v>914</v>
      </c>
      <c r="B944" s="42" t="s">
        <v>136</v>
      </c>
      <c r="C944" s="42" t="s">
        <v>1070</v>
      </c>
      <c r="D944" s="61">
        <v>1</v>
      </c>
      <c r="E944" s="62">
        <v>0</v>
      </c>
      <c r="F944" s="63">
        <v>1</v>
      </c>
      <c r="G944"/>
    </row>
    <row r="945" spans="1:7" ht="15.6" x14ac:dyDescent="0.3">
      <c r="A945" s="43" t="s">
        <v>914</v>
      </c>
      <c r="B945" s="42" t="s">
        <v>135</v>
      </c>
      <c r="C945" s="42" t="s">
        <v>1069</v>
      </c>
      <c r="D945" s="61">
        <v>1</v>
      </c>
      <c r="E945" s="62">
        <v>0</v>
      </c>
      <c r="F945" s="63">
        <v>1</v>
      </c>
      <c r="G945"/>
    </row>
    <row r="946" spans="1:7" ht="15.6" x14ac:dyDescent="0.3">
      <c r="A946" s="43" t="s">
        <v>914</v>
      </c>
      <c r="B946" s="42" t="s">
        <v>2000</v>
      </c>
      <c r="C946" s="42" t="s">
        <v>2008</v>
      </c>
      <c r="D946" s="61">
        <v>1</v>
      </c>
      <c r="E946" s="62">
        <v>0</v>
      </c>
      <c r="F946" s="63">
        <v>1</v>
      </c>
      <c r="G946"/>
    </row>
    <row r="947" spans="1:7" ht="15.6" x14ac:dyDescent="0.3">
      <c r="A947" s="43" t="s">
        <v>914</v>
      </c>
      <c r="B947" s="42" t="s">
        <v>1994</v>
      </c>
      <c r="C947" s="42" t="s">
        <v>2002</v>
      </c>
      <c r="D947" s="61">
        <v>1</v>
      </c>
      <c r="E947" s="62">
        <v>0</v>
      </c>
      <c r="F947" s="63">
        <v>1</v>
      </c>
      <c r="G947"/>
    </row>
    <row r="948" spans="1:7" ht="15.6" x14ac:dyDescent="0.3">
      <c r="A948" s="43" t="s">
        <v>914</v>
      </c>
      <c r="B948" s="42" t="s">
        <v>1993</v>
      </c>
      <c r="C948" s="42" t="s">
        <v>2001</v>
      </c>
      <c r="D948" s="61">
        <v>2</v>
      </c>
      <c r="E948" s="62">
        <v>0</v>
      </c>
      <c r="F948" s="63">
        <v>2</v>
      </c>
      <c r="G948"/>
    </row>
    <row r="949" spans="1:7" ht="15.6" x14ac:dyDescent="0.3">
      <c r="A949" s="43" t="s">
        <v>914</v>
      </c>
      <c r="B949" s="42" t="s">
        <v>1996</v>
      </c>
      <c r="C949" s="42" t="s">
        <v>2004</v>
      </c>
      <c r="D949" s="61">
        <v>2</v>
      </c>
      <c r="E949" s="62">
        <v>0</v>
      </c>
      <c r="F949" s="63">
        <v>2</v>
      </c>
      <c r="G949"/>
    </row>
    <row r="950" spans="1:7" ht="15.6" x14ac:dyDescent="0.3">
      <c r="A950" s="43" t="s">
        <v>914</v>
      </c>
      <c r="B950" s="42" t="s">
        <v>1995</v>
      </c>
      <c r="C950" s="42" t="s">
        <v>2003</v>
      </c>
      <c r="D950" s="61">
        <v>2</v>
      </c>
      <c r="E950" s="62">
        <v>0</v>
      </c>
      <c r="F950" s="63">
        <v>2</v>
      </c>
      <c r="G950"/>
    </row>
    <row r="951" spans="1:7" ht="15.6" x14ac:dyDescent="0.3">
      <c r="A951" s="43" t="s">
        <v>914</v>
      </c>
      <c r="B951" s="42" t="s">
        <v>721</v>
      </c>
      <c r="C951" s="42" t="s">
        <v>1698</v>
      </c>
      <c r="D951" s="61">
        <v>1</v>
      </c>
      <c r="E951" s="62">
        <v>0</v>
      </c>
      <c r="F951" s="63">
        <v>1</v>
      </c>
      <c r="G951"/>
    </row>
    <row r="952" spans="1:7" ht="15.6" x14ac:dyDescent="0.3">
      <c r="A952" s="43" t="s">
        <v>914</v>
      </c>
      <c r="B952" s="42" t="s">
        <v>2149</v>
      </c>
      <c r="C952" s="42" t="s">
        <v>2152</v>
      </c>
      <c r="D952" s="61">
        <v>1</v>
      </c>
      <c r="E952" s="62">
        <v>0</v>
      </c>
      <c r="F952" s="63">
        <v>1</v>
      </c>
      <c r="G952"/>
    </row>
    <row r="953" spans="1:7" ht="15.6" x14ac:dyDescent="0.3">
      <c r="A953" s="43" t="s">
        <v>914</v>
      </c>
      <c r="B953" s="42" t="s">
        <v>438</v>
      </c>
      <c r="C953" s="42" t="s">
        <v>1395</v>
      </c>
      <c r="D953" s="61">
        <v>1</v>
      </c>
      <c r="E953" s="62">
        <v>0</v>
      </c>
      <c r="F953" s="63">
        <v>1</v>
      </c>
      <c r="G953"/>
    </row>
    <row r="954" spans="1:7" ht="15.6" x14ac:dyDescent="0.3">
      <c r="A954" s="43" t="s">
        <v>914</v>
      </c>
      <c r="B954" s="42" t="s">
        <v>2035</v>
      </c>
      <c r="C954" s="42" t="s">
        <v>2055</v>
      </c>
      <c r="D954" s="61">
        <v>2</v>
      </c>
      <c r="E954" s="62">
        <v>0</v>
      </c>
      <c r="F954" s="63">
        <v>2</v>
      </c>
      <c r="G954"/>
    </row>
    <row r="955" spans="1:7" ht="15.6" x14ac:dyDescent="0.3">
      <c r="A955" s="43" t="s">
        <v>914</v>
      </c>
      <c r="B955" s="42" t="s">
        <v>2155</v>
      </c>
      <c r="C955" s="42" t="s">
        <v>2047</v>
      </c>
      <c r="D955" s="61">
        <v>8</v>
      </c>
      <c r="E955" s="62">
        <v>0</v>
      </c>
      <c r="F955" s="63">
        <v>8</v>
      </c>
      <c r="G955"/>
    </row>
    <row r="956" spans="1:7" ht="15.6" x14ac:dyDescent="0.3">
      <c r="A956" s="43" t="s">
        <v>914</v>
      </c>
      <c r="B956" s="42" t="s">
        <v>435</v>
      </c>
      <c r="C956" s="42" t="s">
        <v>1392</v>
      </c>
      <c r="D956" s="61">
        <v>2</v>
      </c>
      <c r="E956" s="62">
        <v>0</v>
      </c>
      <c r="F956" s="63">
        <v>2</v>
      </c>
      <c r="G956"/>
    </row>
    <row r="957" spans="1:7" ht="15.6" x14ac:dyDescent="0.3">
      <c r="A957" s="43" t="s">
        <v>914</v>
      </c>
      <c r="B957" s="42" t="s">
        <v>2150</v>
      </c>
      <c r="C957" s="42" t="s">
        <v>2153</v>
      </c>
      <c r="D957" s="61">
        <v>4</v>
      </c>
      <c r="E957" s="62">
        <v>0</v>
      </c>
      <c r="F957" s="63">
        <v>4</v>
      </c>
      <c r="G957"/>
    </row>
    <row r="958" spans="1:7" ht="15.6" x14ac:dyDescent="0.3">
      <c r="A958" s="43" t="s">
        <v>914</v>
      </c>
      <c r="B958" s="42" t="s">
        <v>2240</v>
      </c>
      <c r="C958" s="42" t="s">
        <v>2241</v>
      </c>
      <c r="D958" s="61">
        <v>1</v>
      </c>
      <c r="E958" s="62">
        <v>0</v>
      </c>
      <c r="F958" s="63">
        <v>1</v>
      </c>
      <c r="G958"/>
    </row>
    <row r="959" spans="1:7" ht="15.6" x14ac:dyDescent="0.3">
      <c r="A959" s="43" t="s">
        <v>914</v>
      </c>
      <c r="B959" s="42" t="s">
        <v>610</v>
      </c>
      <c r="C959" s="42" t="s">
        <v>1574</v>
      </c>
      <c r="D959" s="61">
        <v>2</v>
      </c>
      <c r="E959" s="62">
        <v>0</v>
      </c>
      <c r="F959" s="63">
        <v>2</v>
      </c>
      <c r="G959"/>
    </row>
    <row r="960" spans="1:7" ht="15.6" x14ac:dyDescent="0.3">
      <c r="A960" s="43" t="s">
        <v>914</v>
      </c>
      <c r="B960" s="42" t="s">
        <v>611</v>
      </c>
      <c r="C960" s="42" t="s">
        <v>1575</v>
      </c>
      <c r="D960" s="61">
        <v>1</v>
      </c>
      <c r="E960" s="62">
        <v>0</v>
      </c>
      <c r="F960" s="63">
        <v>1</v>
      </c>
      <c r="G960"/>
    </row>
    <row r="961" spans="1:7" ht="15.6" x14ac:dyDescent="0.3">
      <c r="A961" s="43" t="s">
        <v>914</v>
      </c>
      <c r="B961" s="42" t="s">
        <v>605</v>
      </c>
      <c r="C961" s="42" t="s">
        <v>1568</v>
      </c>
      <c r="D961" s="61">
        <v>1</v>
      </c>
      <c r="E961" s="62">
        <v>0</v>
      </c>
      <c r="F961" s="63">
        <v>1</v>
      </c>
      <c r="G961"/>
    </row>
    <row r="962" spans="1:7" ht="15.6" x14ac:dyDescent="0.3">
      <c r="A962" s="43" t="s">
        <v>914</v>
      </c>
      <c r="B962" s="42" t="s">
        <v>604</v>
      </c>
      <c r="C962" s="42" t="s">
        <v>1567</v>
      </c>
      <c r="D962" s="61">
        <v>1</v>
      </c>
      <c r="E962" s="62">
        <v>0</v>
      </c>
      <c r="F962" s="63">
        <v>1</v>
      </c>
      <c r="G962"/>
    </row>
    <row r="963" spans="1:7" ht="15.6" x14ac:dyDescent="0.3">
      <c r="A963" s="43" t="s">
        <v>914</v>
      </c>
      <c r="B963" s="42" t="s">
        <v>2483</v>
      </c>
      <c r="C963" s="42" t="s">
        <v>1571</v>
      </c>
      <c r="D963" s="61">
        <v>10</v>
      </c>
      <c r="E963" s="62">
        <v>0</v>
      </c>
      <c r="F963" s="63">
        <v>10</v>
      </c>
      <c r="G963"/>
    </row>
    <row r="964" spans="1:7" ht="15.6" x14ac:dyDescent="0.3">
      <c r="A964" s="43" t="s">
        <v>914</v>
      </c>
      <c r="B964" s="42" t="s">
        <v>606</v>
      </c>
      <c r="C964" s="42" t="s">
        <v>1569</v>
      </c>
      <c r="D964" s="61">
        <v>1</v>
      </c>
      <c r="E964" s="62">
        <v>0</v>
      </c>
      <c r="F964" s="63">
        <v>1</v>
      </c>
      <c r="G964"/>
    </row>
    <row r="965" spans="1:7" ht="15.6" x14ac:dyDescent="0.3">
      <c r="A965" s="43" t="s">
        <v>914</v>
      </c>
      <c r="B965" s="42" t="s">
        <v>607</v>
      </c>
      <c r="C965" s="42" t="s">
        <v>1570</v>
      </c>
      <c r="D965" s="61">
        <v>1</v>
      </c>
      <c r="E965" s="62">
        <v>0</v>
      </c>
      <c r="F965" s="63">
        <v>1</v>
      </c>
      <c r="G965"/>
    </row>
    <row r="966" spans="1:7" ht="15.6" x14ac:dyDescent="0.3">
      <c r="A966" s="43" t="s">
        <v>914</v>
      </c>
      <c r="B966" s="42" t="s">
        <v>609</v>
      </c>
      <c r="C966" s="42" t="s">
        <v>1573</v>
      </c>
      <c r="D966" s="61">
        <v>3</v>
      </c>
      <c r="E966" s="62">
        <v>0</v>
      </c>
      <c r="F966" s="63">
        <v>3</v>
      </c>
      <c r="G966"/>
    </row>
    <row r="967" spans="1:7" ht="15.6" x14ac:dyDescent="0.3">
      <c r="A967" s="43" t="s">
        <v>914</v>
      </c>
      <c r="B967" s="42" t="s">
        <v>613</v>
      </c>
      <c r="C967" s="42" t="s">
        <v>1577</v>
      </c>
      <c r="D967" s="61">
        <v>1</v>
      </c>
      <c r="E967" s="62">
        <v>0</v>
      </c>
      <c r="F967" s="63">
        <v>1</v>
      </c>
      <c r="G967"/>
    </row>
    <row r="968" spans="1:7" ht="15.6" x14ac:dyDescent="0.3">
      <c r="A968" s="43" t="s">
        <v>914</v>
      </c>
      <c r="B968" s="42" t="s">
        <v>612</v>
      </c>
      <c r="C968" s="42" t="s">
        <v>1576</v>
      </c>
      <c r="D968" s="61">
        <v>1</v>
      </c>
      <c r="E968" s="62">
        <v>0</v>
      </c>
      <c r="F968" s="63">
        <v>1</v>
      </c>
      <c r="G968"/>
    </row>
    <row r="969" spans="1:7" ht="15.6" x14ac:dyDescent="0.3">
      <c r="A969" s="43" t="s">
        <v>914</v>
      </c>
      <c r="B969" s="42" t="s">
        <v>756</v>
      </c>
      <c r="C969" s="42" t="s">
        <v>1733</v>
      </c>
      <c r="D969" s="61">
        <v>6</v>
      </c>
      <c r="E969" s="62">
        <v>0</v>
      </c>
      <c r="F969" s="63">
        <v>6</v>
      </c>
      <c r="G969"/>
    </row>
    <row r="970" spans="1:7" ht="15.6" x14ac:dyDescent="0.3">
      <c r="A970" s="43" t="s">
        <v>914</v>
      </c>
      <c r="B970" s="42" t="s">
        <v>608</v>
      </c>
      <c r="C970" s="42" t="s">
        <v>1572</v>
      </c>
      <c r="D970" s="61">
        <v>4</v>
      </c>
      <c r="E970" s="62">
        <v>1</v>
      </c>
      <c r="F970" s="63">
        <v>3</v>
      </c>
      <c r="G970"/>
    </row>
    <row r="971" spans="1:7" ht="15.6" x14ac:dyDescent="0.3">
      <c r="A971" s="43" t="s">
        <v>914</v>
      </c>
      <c r="B971" s="42" t="s">
        <v>585</v>
      </c>
      <c r="C971" s="42" t="s">
        <v>1548</v>
      </c>
      <c r="D971" s="61">
        <v>1</v>
      </c>
      <c r="E971" s="62">
        <v>0</v>
      </c>
      <c r="F971" s="63">
        <v>1</v>
      </c>
      <c r="G971"/>
    </row>
    <row r="972" spans="1:7" ht="15.6" x14ac:dyDescent="0.3">
      <c r="A972" s="43" t="s">
        <v>914</v>
      </c>
      <c r="B972" s="42" t="s">
        <v>597</v>
      </c>
      <c r="C972" s="42" t="s">
        <v>1560</v>
      </c>
      <c r="D972" s="61">
        <v>1</v>
      </c>
      <c r="E972" s="62">
        <v>0</v>
      </c>
      <c r="F972" s="63">
        <v>1</v>
      </c>
      <c r="G972"/>
    </row>
    <row r="973" spans="1:7" ht="15.6" x14ac:dyDescent="0.3">
      <c r="A973" s="43" t="s">
        <v>914</v>
      </c>
      <c r="B973" s="42" t="s">
        <v>583</v>
      </c>
      <c r="C973" s="42" t="s">
        <v>1546</v>
      </c>
      <c r="D973" s="61">
        <v>11</v>
      </c>
      <c r="E973" s="62">
        <v>0</v>
      </c>
      <c r="F973" s="63">
        <v>11</v>
      </c>
      <c r="G973"/>
    </row>
    <row r="974" spans="1:7" ht="15.6" x14ac:dyDescent="0.3">
      <c r="A974" s="43" t="s">
        <v>914</v>
      </c>
      <c r="B974" s="42" t="s">
        <v>713</v>
      </c>
      <c r="C974" s="42" t="s">
        <v>1689</v>
      </c>
      <c r="D974" s="61">
        <v>1</v>
      </c>
      <c r="E974" s="62">
        <v>0</v>
      </c>
      <c r="F974" s="63">
        <v>1</v>
      </c>
      <c r="G974"/>
    </row>
    <row r="975" spans="1:7" ht="15.6" x14ac:dyDescent="0.3">
      <c r="A975" s="43" t="s">
        <v>914</v>
      </c>
      <c r="B975" s="42" t="s">
        <v>587</v>
      </c>
      <c r="C975" s="42" t="s">
        <v>1550</v>
      </c>
      <c r="D975" s="61">
        <v>1</v>
      </c>
      <c r="E975" s="62">
        <v>0</v>
      </c>
      <c r="F975" s="63">
        <v>1</v>
      </c>
      <c r="G975"/>
    </row>
    <row r="976" spans="1:7" ht="15.6" x14ac:dyDescent="0.3">
      <c r="A976" s="43" t="s">
        <v>914</v>
      </c>
      <c r="B976" s="42" t="s">
        <v>582</v>
      </c>
      <c r="C976" s="42" t="s">
        <v>907</v>
      </c>
      <c r="D976" s="61">
        <v>23</v>
      </c>
      <c r="E976" s="62">
        <v>0</v>
      </c>
      <c r="F976" s="63">
        <v>23</v>
      </c>
      <c r="G976"/>
    </row>
    <row r="977" spans="1:7" ht="15.6" x14ac:dyDescent="0.3">
      <c r="A977" s="43" t="s">
        <v>914</v>
      </c>
      <c r="B977" s="42" t="s">
        <v>586</v>
      </c>
      <c r="C977" s="42" t="s">
        <v>1549</v>
      </c>
      <c r="D977" s="61">
        <v>1</v>
      </c>
      <c r="E977" s="62">
        <v>0</v>
      </c>
      <c r="F977" s="63">
        <v>1</v>
      </c>
      <c r="G977"/>
    </row>
    <row r="978" spans="1:7" ht="15.6" x14ac:dyDescent="0.3">
      <c r="A978" s="43" t="s">
        <v>914</v>
      </c>
      <c r="B978" s="42" t="s">
        <v>584</v>
      </c>
      <c r="C978" s="42" t="s">
        <v>1547</v>
      </c>
      <c r="D978" s="61">
        <v>2</v>
      </c>
      <c r="E978" s="62">
        <v>0</v>
      </c>
      <c r="F978" s="63">
        <v>2</v>
      </c>
      <c r="G978"/>
    </row>
    <row r="979" spans="1:7" ht="15.6" x14ac:dyDescent="0.3">
      <c r="A979" s="43" t="s">
        <v>914</v>
      </c>
      <c r="B979" s="42" t="s">
        <v>361</v>
      </c>
      <c r="C979" s="42" t="s">
        <v>1310</v>
      </c>
      <c r="D979" s="61">
        <v>19</v>
      </c>
      <c r="E979" s="62">
        <v>0</v>
      </c>
      <c r="F979" s="63">
        <v>19</v>
      </c>
      <c r="G979"/>
    </row>
    <row r="980" spans="1:7" ht="15.6" x14ac:dyDescent="0.3">
      <c r="A980" s="43" t="s">
        <v>914</v>
      </c>
      <c r="B980" s="42" t="s">
        <v>433</v>
      </c>
      <c r="C980" s="42" t="s">
        <v>1390</v>
      </c>
      <c r="D980" s="61">
        <v>25</v>
      </c>
      <c r="E980" s="62">
        <v>0</v>
      </c>
      <c r="F980" s="63">
        <v>25</v>
      </c>
      <c r="G980"/>
    </row>
    <row r="981" spans="1:7" ht="15.6" x14ac:dyDescent="0.3">
      <c r="A981" s="43" t="s">
        <v>914</v>
      </c>
      <c r="B981" s="42" t="s">
        <v>793</v>
      </c>
      <c r="C981" s="42" t="s">
        <v>1776</v>
      </c>
      <c r="D981" s="61">
        <v>12</v>
      </c>
      <c r="E981" s="62">
        <v>0</v>
      </c>
      <c r="F981" s="63">
        <v>12</v>
      </c>
      <c r="G981"/>
    </row>
    <row r="982" spans="1:7" ht="15.6" x14ac:dyDescent="0.3">
      <c r="A982" s="43" t="s">
        <v>914</v>
      </c>
      <c r="B982" s="42" t="s">
        <v>794</v>
      </c>
      <c r="C982" s="42" t="s">
        <v>1777</v>
      </c>
      <c r="D982" s="61">
        <v>4</v>
      </c>
      <c r="E982" s="62">
        <v>0</v>
      </c>
      <c r="F982" s="63">
        <v>4</v>
      </c>
      <c r="G982"/>
    </row>
    <row r="983" spans="1:7" ht="15.6" x14ac:dyDescent="0.3">
      <c r="A983" s="43" t="s">
        <v>914</v>
      </c>
      <c r="B983" s="42" t="s">
        <v>795</v>
      </c>
      <c r="C983" s="42" t="s">
        <v>1778</v>
      </c>
      <c r="D983" s="61">
        <v>9</v>
      </c>
      <c r="E983" s="62">
        <v>5</v>
      </c>
      <c r="F983" s="63">
        <v>4</v>
      </c>
      <c r="G983"/>
    </row>
    <row r="984" spans="1:7" ht="15.6" x14ac:dyDescent="0.3">
      <c r="A984" s="43" t="s">
        <v>914</v>
      </c>
      <c r="B984" s="42" t="s">
        <v>2088</v>
      </c>
      <c r="C984" s="42" t="s">
        <v>2090</v>
      </c>
      <c r="D984" s="61">
        <v>3.5</v>
      </c>
      <c r="E984" s="62">
        <v>0</v>
      </c>
      <c r="F984" s="63">
        <v>3.5</v>
      </c>
      <c r="G984"/>
    </row>
    <row r="985" spans="1:7" ht="15.6" x14ac:dyDescent="0.3">
      <c r="A985" s="43" t="s">
        <v>914</v>
      </c>
      <c r="B985" s="42" t="s">
        <v>735</v>
      </c>
      <c r="C985" s="42" t="s">
        <v>1712</v>
      </c>
      <c r="D985" s="61">
        <v>4</v>
      </c>
      <c r="E985" s="62">
        <v>0</v>
      </c>
      <c r="F985" s="63">
        <v>4</v>
      </c>
      <c r="G985"/>
    </row>
    <row r="986" spans="1:7" ht="15.6" x14ac:dyDescent="0.3">
      <c r="A986" s="43" t="s">
        <v>914</v>
      </c>
      <c r="B986" s="42" t="s">
        <v>790</v>
      </c>
      <c r="C986" s="42" t="s">
        <v>1773</v>
      </c>
      <c r="D986" s="61">
        <v>44</v>
      </c>
      <c r="E986" s="62">
        <v>0</v>
      </c>
      <c r="F986" s="63">
        <v>44</v>
      </c>
      <c r="G986"/>
    </row>
    <row r="987" spans="1:7" ht="15.6" x14ac:dyDescent="0.3">
      <c r="A987" s="43" t="s">
        <v>914</v>
      </c>
      <c r="B987" s="42" t="s">
        <v>798</v>
      </c>
      <c r="C987" s="42" t="s">
        <v>1781</v>
      </c>
      <c r="D987" s="61">
        <v>14</v>
      </c>
      <c r="E987" s="62">
        <v>0</v>
      </c>
      <c r="F987" s="63">
        <v>14</v>
      </c>
      <c r="G987"/>
    </row>
    <row r="988" spans="1:7" ht="15.6" x14ac:dyDescent="0.3">
      <c r="A988" s="43" t="s">
        <v>914</v>
      </c>
      <c r="B988" s="42" t="s">
        <v>330</v>
      </c>
      <c r="C988" s="42" t="s">
        <v>1275</v>
      </c>
      <c r="D988" s="61">
        <v>23</v>
      </c>
      <c r="E988" s="62">
        <v>0</v>
      </c>
      <c r="F988" s="63">
        <v>23</v>
      </c>
      <c r="G988"/>
    </row>
    <row r="989" spans="1:7" ht="15.6" x14ac:dyDescent="0.3">
      <c r="A989" s="43" t="s">
        <v>914</v>
      </c>
      <c r="B989" s="42" t="s">
        <v>348</v>
      </c>
      <c r="C989" s="42" t="s">
        <v>1297</v>
      </c>
      <c r="D989" s="61">
        <v>23</v>
      </c>
      <c r="E989" s="62">
        <v>0</v>
      </c>
      <c r="F989" s="63">
        <v>23</v>
      </c>
      <c r="G989"/>
    </row>
    <row r="990" spans="1:7" ht="15.6" x14ac:dyDescent="0.3">
      <c r="A990" s="43" t="s">
        <v>914</v>
      </c>
      <c r="B990" s="42" t="s">
        <v>355</v>
      </c>
      <c r="C990" s="42" t="s">
        <v>1304</v>
      </c>
      <c r="D990" s="61">
        <v>11</v>
      </c>
      <c r="E990" s="62">
        <v>0</v>
      </c>
      <c r="F990" s="63">
        <v>11</v>
      </c>
      <c r="G990"/>
    </row>
    <row r="991" spans="1:7" ht="15.6" x14ac:dyDescent="0.3">
      <c r="A991" s="43" t="s">
        <v>914</v>
      </c>
      <c r="B991" s="42" t="s">
        <v>762</v>
      </c>
      <c r="C991" s="42" t="s">
        <v>1740</v>
      </c>
      <c r="D991" s="61">
        <v>54</v>
      </c>
      <c r="E991" s="62">
        <v>0</v>
      </c>
      <c r="F991" s="63">
        <v>54</v>
      </c>
      <c r="G991"/>
    </row>
    <row r="992" spans="1:7" ht="15.6" x14ac:dyDescent="0.3">
      <c r="A992" s="43" t="s">
        <v>914</v>
      </c>
      <c r="B992" s="42" t="s">
        <v>797</v>
      </c>
      <c r="C992" s="42" t="s">
        <v>1780</v>
      </c>
      <c r="D992" s="61">
        <v>8</v>
      </c>
      <c r="E992" s="62">
        <v>0</v>
      </c>
      <c r="F992" s="63">
        <v>8</v>
      </c>
      <c r="G992"/>
    </row>
    <row r="993" spans="1:7" ht="15.6" x14ac:dyDescent="0.3">
      <c r="A993" s="43" t="s">
        <v>914</v>
      </c>
      <c r="B993" s="42" t="s">
        <v>760</v>
      </c>
      <c r="C993" s="42" t="s">
        <v>1738</v>
      </c>
      <c r="D993" s="61">
        <v>3</v>
      </c>
      <c r="E993" s="62">
        <v>0</v>
      </c>
      <c r="F993" s="63">
        <v>3</v>
      </c>
      <c r="G993"/>
    </row>
    <row r="994" spans="1:7" ht="15.6" x14ac:dyDescent="0.3">
      <c r="A994" s="43" t="s">
        <v>914</v>
      </c>
      <c r="B994" s="42" t="s">
        <v>759</v>
      </c>
      <c r="C994" s="42" t="s">
        <v>1737</v>
      </c>
      <c r="D994" s="61">
        <v>44</v>
      </c>
      <c r="E994" s="62">
        <v>0</v>
      </c>
      <c r="F994" s="63">
        <v>44</v>
      </c>
      <c r="G994"/>
    </row>
    <row r="995" spans="1:7" ht="15.6" x14ac:dyDescent="0.3">
      <c r="A995" s="43" t="s">
        <v>914</v>
      </c>
      <c r="B995" s="42" t="s">
        <v>761</v>
      </c>
      <c r="C995" s="42" t="s">
        <v>1739</v>
      </c>
      <c r="D995" s="61">
        <v>54</v>
      </c>
      <c r="E995" s="62">
        <v>0</v>
      </c>
      <c r="F995" s="63">
        <v>54</v>
      </c>
      <c r="G995"/>
    </row>
    <row r="996" spans="1:7" ht="15.6" x14ac:dyDescent="0.3">
      <c r="A996" s="43" t="s">
        <v>914</v>
      </c>
      <c r="B996" s="42" t="s">
        <v>2089</v>
      </c>
      <c r="C996" s="42" t="s">
        <v>2091</v>
      </c>
      <c r="D996" s="61">
        <v>1</v>
      </c>
      <c r="E996" s="62">
        <v>0</v>
      </c>
      <c r="F996" s="63">
        <v>1</v>
      </c>
      <c r="G996"/>
    </row>
    <row r="997" spans="1:7" ht="15.6" x14ac:dyDescent="0.3">
      <c r="A997" s="43" t="s">
        <v>914</v>
      </c>
      <c r="B997" s="42" t="s">
        <v>791</v>
      </c>
      <c r="C997" s="42" t="s">
        <v>1774</v>
      </c>
      <c r="D997" s="61">
        <v>18</v>
      </c>
      <c r="E997" s="62">
        <v>0</v>
      </c>
      <c r="F997" s="63">
        <v>18</v>
      </c>
      <c r="G997"/>
    </row>
    <row r="998" spans="1:7" ht="15.6" x14ac:dyDescent="0.3">
      <c r="A998" s="43" t="s">
        <v>914</v>
      </c>
      <c r="B998" s="42" t="s">
        <v>428</v>
      </c>
      <c r="C998" s="42" t="s">
        <v>1385</v>
      </c>
      <c r="D998" s="61">
        <v>8</v>
      </c>
      <c r="E998" s="62">
        <v>0</v>
      </c>
      <c r="F998" s="63">
        <v>8</v>
      </c>
      <c r="G998"/>
    </row>
    <row r="999" spans="1:7" ht="15.6" x14ac:dyDescent="0.3">
      <c r="A999" s="43" t="s">
        <v>914</v>
      </c>
      <c r="B999" s="42" t="s">
        <v>2204</v>
      </c>
      <c r="C999" s="42" t="s">
        <v>2205</v>
      </c>
      <c r="D999" s="61">
        <v>1</v>
      </c>
      <c r="E999" s="62">
        <v>0</v>
      </c>
      <c r="F999" s="63">
        <v>1</v>
      </c>
      <c r="G999"/>
    </row>
    <row r="1000" spans="1:7" ht="15.6" x14ac:dyDescent="0.3">
      <c r="A1000" s="43" t="s">
        <v>914</v>
      </c>
      <c r="B1000" s="42" t="s">
        <v>2236</v>
      </c>
      <c r="C1000" s="42" t="s">
        <v>2237</v>
      </c>
      <c r="D1000" s="61">
        <v>2</v>
      </c>
      <c r="E1000" s="62">
        <v>0</v>
      </c>
      <c r="F1000" s="63">
        <v>2</v>
      </c>
      <c r="G1000"/>
    </row>
    <row r="1001" spans="1:7" ht="15.6" x14ac:dyDescent="0.3">
      <c r="A1001" s="43" t="s">
        <v>914</v>
      </c>
      <c r="B1001" s="42" t="s">
        <v>98</v>
      </c>
      <c r="C1001" s="42" t="s">
        <v>1027</v>
      </c>
      <c r="D1001" s="61">
        <v>15</v>
      </c>
      <c r="E1001" s="62">
        <v>0</v>
      </c>
      <c r="F1001" s="63">
        <v>15</v>
      </c>
      <c r="G1001"/>
    </row>
    <row r="1002" spans="1:7" ht="15.6" x14ac:dyDescent="0.3">
      <c r="A1002" s="43" t="s">
        <v>914</v>
      </c>
      <c r="B1002" s="42" t="s">
        <v>2458</v>
      </c>
      <c r="C1002" s="42" t="s">
        <v>1031</v>
      </c>
      <c r="D1002" s="61">
        <v>5</v>
      </c>
      <c r="E1002" s="62">
        <v>0</v>
      </c>
      <c r="F1002" s="63">
        <v>5</v>
      </c>
      <c r="G1002"/>
    </row>
    <row r="1003" spans="1:7" ht="15.6" x14ac:dyDescent="0.3">
      <c r="A1003" s="43" t="s">
        <v>914</v>
      </c>
      <c r="B1003" s="42" t="s">
        <v>2057</v>
      </c>
      <c r="C1003" s="42" t="s">
        <v>2058</v>
      </c>
      <c r="D1003" s="61">
        <v>1</v>
      </c>
      <c r="E1003" s="62">
        <v>0</v>
      </c>
      <c r="F1003" s="63">
        <v>1</v>
      </c>
      <c r="G1003"/>
    </row>
    <row r="1004" spans="1:7" ht="15.6" x14ac:dyDescent="0.3">
      <c r="A1004" s="43" t="s">
        <v>914</v>
      </c>
      <c r="B1004" s="42" t="s">
        <v>734</v>
      </c>
      <c r="C1004" s="42" t="s">
        <v>1711</v>
      </c>
      <c r="D1004" s="61">
        <v>4</v>
      </c>
      <c r="E1004" s="62">
        <v>2</v>
      </c>
      <c r="F1004" s="63">
        <v>2</v>
      </c>
      <c r="G1004"/>
    </row>
    <row r="1005" spans="1:7" ht="15.6" x14ac:dyDescent="0.3">
      <c r="A1005" s="43" t="s">
        <v>914</v>
      </c>
      <c r="B1005" s="42" t="s">
        <v>353</v>
      </c>
      <c r="C1005" s="42" t="s">
        <v>1302</v>
      </c>
      <c r="D1005" s="61">
        <v>1</v>
      </c>
      <c r="E1005" s="62">
        <v>0</v>
      </c>
      <c r="F1005" s="63">
        <v>1</v>
      </c>
      <c r="G1005"/>
    </row>
    <row r="1006" spans="1:7" ht="15.6" x14ac:dyDescent="0.3">
      <c r="A1006" s="43" t="s">
        <v>914</v>
      </c>
      <c r="B1006" s="42" t="s">
        <v>736</v>
      </c>
      <c r="C1006" s="42" t="s">
        <v>1713</v>
      </c>
      <c r="D1006" s="61">
        <v>2</v>
      </c>
      <c r="E1006" s="62">
        <v>0</v>
      </c>
      <c r="F1006" s="63">
        <v>2</v>
      </c>
      <c r="G1006"/>
    </row>
    <row r="1007" spans="1:7" ht="15.6" x14ac:dyDescent="0.3">
      <c r="A1007" s="43" t="s">
        <v>914</v>
      </c>
      <c r="B1007" s="42" t="s">
        <v>567</v>
      </c>
      <c r="C1007" s="42" t="s">
        <v>1531</v>
      </c>
      <c r="D1007" s="61">
        <v>1</v>
      </c>
      <c r="E1007" s="62">
        <v>0</v>
      </c>
      <c r="F1007" s="63">
        <v>1</v>
      </c>
      <c r="G1007"/>
    </row>
    <row r="1008" spans="1:7" ht="15.6" x14ac:dyDescent="0.3">
      <c r="A1008" s="43" t="s">
        <v>914</v>
      </c>
      <c r="B1008" s="42" t="s">
        <v>594</v>
      </c>
      <c r="C1008" s="42" t="s">
        <v>1557</v>
      </c>
      <c r="D1008" s="61">
        <v>2</v>
      </c>
      <c r="E1008" s="62">
        <v>0</v>
      </c>
      <c r="F1008" s="63">
        <v>2</v>
      </c>
      <c r="G1008"/>
    </row>
    <row r="1009" spans="1:7" ht="15.6" x14ac:dyDescent="0.3">
      <c r="A1009" s="43" t="s">
        <v>914</v>
      </c>
      <c r="B1009" s="42" t="s">
        <v>595</v>
      </c>
      <c r="C1009" s="42" t="s">
        <v>1558</v>
      </c>
      <c r="D1009" s="61">
        <v>1</v>
      </c>
      <c r="E1009" s="62">
        <v>0</v>
      </c>
      <c r="F1009" s="63">
        <v>1</v>
      </c>
      <c r="G1009"/>
    </row>
    <row r="1010" spans="1:7" ht="15.6" x14ac:dyDescent="0.3">
      <c r="A1010" s="43" t="s">
        <v>914</v>
      </c>
      <c r="B1010" s="42" t="s">
        <v>280</v>
      </c>
      <c r="C1010" s="42" t="s">
        <v>1222</v>
      </c>
      <c r="D1010" s="61">
        <v>2</v>
      </c>
      <c r="E1010" s="62">
        <v>2</v>
      </c>
      <c r="F1010" s="63">
        <v>0</v>
      </c>
      <c r="G1010"/>
    </row>
    <row r="1011" spans="1:7" ht="15.6" x14ac:dyDescent="0.3">
      <c r="A1011" s="43" t="s">
        <v>914</v>
      </c>
      <c r="B1011" s="42" t="s">
        <v>520</v>
      </c>
      <c r="C1011" s="42" t="s">
        <v>1482</v>
      </c>
      <c r="D1011" s="61">
        <v>226</v>
      </c>
      <c r="E1011" s="62">
        <v>0</v>
      </c>
      <c r="F1011" s="63">
        <v>226</v>
      </c>
      <c r="G1011"/>
    </row>
    <row r="1012" spans="1:7" ht="15.6" x14ac:dyDescent="0.3">
      <c r="A1012" s="43" t="s">
        <v>914</v>
      </c>
      <c r="B1012" s="42" t="s">
        <v>540</v>
      </c>
      <c r="C1012" s="42" t="s">
        <v>1503</v>
      </c>
      <c r="D1012" s="61">
        <v>1</v>
      </c>
      <c r="E1012" s="62">
        <v>0</v>
      </c>
      <c r="F1012" s="63">
        <v>1</v>
      </c>
      <c r="G1012"/>
    </row>
    <row r="1013" spans="1:7" ht="15.6" x14ac:dyDescent="0.3">
      <c r="A1013" s="43" t="s">
        <v>914</v>
      </c>
      <c r="B1013" s="42" t="s">
        <v>541</v>
      </c>
      <c r="C1013" s="42" t="s">
        <v>1504</v>
      </c>
      <c r="D1013" s="61">
        <v>1</v>
      </c>
      <c r="E1013" s="62">
        <v>0</v>
      </c>
      <c r="F1013" s="63">
        <v>1</v>
      </c>
      <c r="G1013"/>
    </row>
    <row r="1014" spans="1:7" ht="15.6" x14ac:dyDescent="0.3">
      <c r="A1014" s="43" t="s">
        <v>914</v>
      </c>
      <c r="B1014" s="42" t="s">
        <v>543</v>
      </c>
      <c r="C1014" s="42" t="s">
        <v>1506</v>
      </c>
      <c r="D1014" s="61">
        <v>1</v>
      </c>
      <c r="E1014" s="62">
        <v>0</v>
      </c>
      <c r="F1014" s="63">
        <v>1</v>
      </c>
      <c r="G1014"/>
    </row>
    <row r="1015" spans="1:7" ht="15.6" x14ac:dyDescent="0.3">
      <c r="A1015" s="43" t="s">
        <v>914</v>
      </c>
      <c r="B1015" s="42" t="s">
        <v>542</v>
      </c>
      <c r="C1015" s="42" t="s">
        <v>1505</v>
      </c>
      <c r="D1015" s="61">
        <v>2</v>
      </c>
      <c r="E1015" s="62">
        <v>0</v>
      </c>
      <c r="F1015" s="63">
        <v>2</v>
      </c>
      <c r="G1015"/>
    </row>
    <row r="1016" spans="1:7" ht="15.6" x14ac:dyDescent="0.3">
      <c r="A1016" s="43" t="s">
        <v>914</v>
      </c>
      <c r="B1016" s="42" t="s">
        <v>553</v>
      </c>
      <c r="C1016" s="42" t="s">
        <v>1516</v>
      </c>
      <c r="D1016" s="61">
        <v>1</v>
      </c>
      <c r="E1016" s="62">
        <v>0</v>
      </c>
      <c r="F1016" s="63">
        <v>1</v>
      </c>
      <c r="G1016"/>
    </row>
    <row r="1017" spans="1:7" ht="15.6" x14ac:dyDescent="0.3">
      <c r="A1017" s="43" t="s">
        <v>914</v>
      </c>
      <c r="B1017" s="42" t="s">
        <v>809</v>
      </c>
      <c r="C1017" s="42" t="s">
        <v>1797</v>
      </c>
      <c r="D1017" s="61">
        <v>2</v>
      </c>
      <c r="E1017" s="62">
        <v>0</v>
      </c>
      <c r="F1017" s="63">
        <v>2</v>
      </c>
      <c r="G1017"/>
    </row>
    <row r="1018" spans="1:7" ht="15.6" x14ac:dyDescent="0.3">
      <c r="A1018" s="43" t="s">
        <v>914</v>
      </c>
      <c r="B1018" s="42" t="s">
        <v>2521</v>
      </c>
      <c r="C1018" s="42" t="s">
        <v>2162</v>
      </c>
      <c r="D1018" s="61">
        <v>1</v>
      </c>
      <c r="E1018" s="62">
        <v>0</v>
      </c>
      <c r="F1018" s="63">
        <v>1</v>
      </c>
      <c r="G1018"/>
    </row>
    <row r="1019" spans="1:7" ht="15.6" x14ac:dyDescent="0.3">
      <c r="A1019" s="43" t="s">
        <v>914</v>
      </c>
      <c r="B1019" s="42" t="s">
        <v>1935</v>
      </c>
      <c r="C1019" s="42" t="s">
        <v>1955</v>
      </c>
      <c r="D1019" s="61">
        <v>1</v>
      </c>
      <c r="E1019" s="62">
        <v>1</v>
      </c>
      <c r="F1019" s="63">
        <v>0</v>
      </c>
      <c r="G1019"/>
    </row>
    <row r="1020" spans="1:7" ht="15.6" x14ac:dyDescent="0.3">
      <c r="A1020" s="43" t="s">
        <v>914</v>
      </c>
      <c r="B1020" s="42" t="s">
        <v>847</v>
      </c>
      <c r="C1020" s="42" t="s">
        <v>1838</v>
      </c>
      <c r="D1020" s="61">
        <v>1</v>
      </c>
      <c r="E1020" s="62">
        <v>0</v>
      </c>
      <c r="F1020" s="63">
        <v>1</v>
      </c>
      <c r="G1020"/>
    </row>
    <row r="1021" spans="1:7" ht="15.6" x14ac:dyDescent="0.3">
      <c r="A1021" s="43" t="s">
        <v>914</v>
      </c>
      <c r="B1021" s="42" t="s">
        <v>843</v>
      </c>
      <c r="C1021" s="42" t="s">
        <v>1834</v>
      </c>
      <c r="D1021" s="61">
        <v>1</v>
      </c>
      <c r="E1021" s="62">
        <v>0</v>
      </c>
      <c r="F1021" s="63">
        <v>1</v>
      </c>
      <c r="G1021"/>
    </row>
    <row r="1022" spans="1:7" ht="15.6" x14ac:dyDescent="0.3">
      <c r="A1022" s="43" t="s">
        <v>914</v>
      </c>
      <c r="B1022" s="42" t="s">
        <v>554</v>
      </c>
      <c r="C1022" s="42" t="s">
        <v>1517</v>
      </c>
      <c r="D1022" s="61">
        <v>5</v>
      </c>
      <c r="E1022" s="62">
        <v>0</v>
      </c>
      <c r="F1022" s="63">
        <v>5</v>
      </c>
      <c r="G1022"/>
    </row>
    <row r="1023" spans="1:7" ht="15.6" x14ac:dyDescent="0.3">
      <c r="A1023" s="43" t="s">
        <v>914</v>
      </c>
      <c r="B1023" s="42" t="s">
        <v>561</v>
      </c>
      <c r="C1023" s="42" t="s">
        <v>1525</v>
      </c>
      <c r="D1023" s="61">
        <v>2</v>
      </c>
      <c r="E1023" s="62">
        <v>2</v>
      </c>
      <c r="F1023" s="63">
        <v>0</v>
      </c>
      <c r="G1023"/>
    </row>
    <row r="1024" spans="1:7" ht="15.6" x14ac:dyDescent="0.3">
      <c r="A1024" s="43" t="s">
        <v>914</v>
      </c>
      <c r="B1024" s="42" t="s">
        <v>571</v>
      </c>
      <c r="C1024" s="42" t="s">
        <v>1535</v>
      </c>
      <c r="D1024" s="61">
        <v>1</v>
      </c>
      <c r="E1024" s="62">
        <v>0</v>
      </c>
      <c r="F1024" s="63">
        <v>1</v>
      </c>
      <c r="G1024"/>
    </row>
    <row r="1025" spans="1:7" ht="15.6" x14ac:dyDescent="0.3">
      <c r="A1025" s="43" t="s">
        <v>914</v>
      </c>
      <c r="B1025" s="42" t="s">
        <v>299</v>
      </c>
      <c r="C1025" s="42" t="s">
        <v>1242</v>
      </c>
      <c r="D1025" s="61">
        <v>400</v>
      </c>
      <c r="E1025" s="62">
        <v>0</v>
      </c>
      <c r="F1025" s="63">
        <v>400</v>
      </c>
      <c r="G1025"/>
    </row>
    <row r="1026" spans="1:7" ht="15.6" x14ac:dyDescent="0.3">
      <c r="A1026" s="43" t="s">
        <v>914</v>
      </c>
      <c r="B1026" s="42" t="s">
        <v>2496</v>
      </c>
      <c r="C1026" s="42" t="s">
        <v>1771</v>
      </c>
      <c r="D1026" s="61">
        <v>7</v>
      </c>
      <c r="E1026" s="62">
        <v>7</v>
      </c>
      <c r="F1026" s="63">
        <v>0</v>
      </c>
      <c r="G1026"/>
    </row>
    <row r="1027" spans="1:7" ht="15.6" x14ac:dyDescent="0.3">
      <c r="A1027" s="43" t="s">
        <v>914</v>
      </c>
      <c r="B1027" s="42" t="s">
        <v>576</v>
      </c>
      <c r="C1027" s="42" t="s">
        <v>1540</v>
      </c>
      <c r="D1027" s="61">
        <v>3</v>
      </c>
      <c r="E1027" s="62">
        <v>2</v>
      </c>
      <c r="F1027" s="63">
        <v>1</v>
      </c>
      <c r="G1027"/>
    </row>
    <row r="1028" spans="1:7" ht="15.6" x14ac:dyDescent="0.3">
      <c r="A1028" s="43" t="s">
        <v>914</v>
      </c>
      <c r="B1028" s="42" t="s">
        <v>394</v>
      </c>
      <c r="C1028" s="42" t="s">
        <v>1347</v>
      </c>
      <c r="D1028" s="61">
        <v>293</v>
      </c>
      <c r="E1028" s="62">
        <v>0</v>
      </c>
      <c r="F1028" s="63">
        <v>293</v>
      </c>
      <c r="G1028"/>
    </row>
    <row r="1029" spans="1:7" ht="15.6" x14ac:dyDescent="0.3">
      <c r="A1029" s="43" t="s">
        <v>914</v>
      </c>
      <c r="B1029" s="42" t="s">
        <v>705</v>
      </c>
      <c r="C1029" s="42" t="s">
        <v>1677</v>
      </c>
      <c r="D1029" s="61">
        <v>8</v>
      </c>
      <c r="E1029" s="62">
        <v>0</v>
      </c>
      <c r="F1029" s="63">
        <v>8</v>
      </c>
      <c r="G1029"/>
    </row>
    <row r="1030" spans="1:7" ht="15.6" x14ac:dyDescent="0.3">
      <c r="A1030" s="43" t="s">
        <v>914</v>
      </c>
      <c r="B1030" s="42" t="s">
        <v>704</v>
      </c>
      <c r="C1030" s="42" t="s">
        <v>1676</v>
      </c>
      <c r="D1030" s="61">
        <v>127</v>
      </c>
      <c r="E1030" s="62">
        <v>0</v>
      </c>
      <c r="F1030" s="63">
        <v>127</v>
      </c>
      <c r="G1030"/>
    </row>
    <row r="1031" spans="1:7" ht="15.6" x14ac:dyDescent="0.3">
      <c r="A1031" s="43" t="s">
        <v>914</v>
      </c>
      <c r="B1031" s="42" t="s">
        <v>706</v>
      </c>
      <c r="C1031" s="42" t="s">
        <v>1678</v>
      </c>
      <c r="D1031" s="61">
        <v>45</v>
      </c>
      <c r="E1031" s="62">
        <v>0</v>
      </c>
      <c r="F1031" s="63">
        <v>45</v>
      </c>
      <c r="G1031"/>
    </row>
    <row r="1032" spans="1:7" ht="15.6" x14ac:dyDescent="0.3">
      <c r="A1032" s="43" t="s">
        <v>914</v>
      </c>
      <c r="B1032" s="42" t="s">
        <v>702</v>
      </c>
      <c r="C1032" s="42" t="s">
        <v>1674</v>
      </c>
      <c r="D1032" s="61">
        <v>420</v>
      </c>
      <c r="E1032" s="62">
        <v>0</v>
      </c>
      <c r="F1032" s="63">
        <v>420</v>
      </c>
      <c r="G1032"/>
    </row>
    <row r="1033" spans="1:7" ht="15.6" x14ac:dyDescent="0.3">
      <c r="A1033" s="43" t="s">
        <v>914</v>
      </c>
      <c r="B1033" s="42" t="s">
        <v>707</v>
      </c>
      <c r="C1033" s="42" t="s">
        <v>1679</v>
      </c>
      <c r="D1033" s="61">
        <v>464</v>
      </c>
      <c r="E1033" s="62">
        <v>0</v>
      </c>
      <c r="F1033" s="63">
        <v>464</v>
      </c>
      <c r="G1033"/>
    </row>
    <row r="1034" spans="1:7" ht="15.6" x14ac:dyDescent="0.3">
      <c r="A1034" s="43" t="s">
        <v>914</v>
      </c>
      <c r="B1034" s="42" t="s">
        <v>703</v>
      </c>
      <c r="C1034" s="42" t="s">
        <v>1675</v>
      </c>
      <c r="D1034" s="61">
        <v>553</v>
      </c>
      <c r="E1034" s="62">
        <v>0</v>
      </c>
      <c r="F1034" s="63">
        <v>553</v>
      </c>
      <c r="G1034"/>
    </row>
    <row r="1035" spans="1:7" ht="15.6" x14ac:dyDescent="0.3">
      <c r="A1035" s="43" t="s">
        <v>914</v>
      </c>
      <c r="B1035" s="42" t="s">
        <v>708</v>
      </c>
      <c r="C1035" s="42" t="s">
        <v>1680</v>
      </c>
      <c r="D1035" s="61">
        <v>104</v>
      </c>
      <c r="E1035" s="62">
        <v>0</v>
      </c>
      <c r="F1035" s="63">
        <v>104</v>
      </c>
      <c r="G1035"/>
    </row>
    <row r="1036" spans="1:7" ht="15.6" x14ac:dyDescent="0.3">
      <c r="A1036" s="43" t="s">
        <v>914</v>
      </c>
      <c r="B1036" s="42" t="s">
        <v>425</v>
      </c>
      <c r="C1036" s="42" t="s">
        <v>1382</v>
      </c>
      <c r="D1036" s="61">
        <v>3.75</v>
      </c>
      <c r="E1036" s="62">
        <v>0</v>
      </c>
      <c r="F1036" s="63">
        <v>3.75</v>
      </c>
      <c r="G1036"/>
    </row>
    <row r="1037" spans="1:7" ht="15.6" x14ac:dyDescent="0.3">
      <c r="A1037" s="43" t="s">
        <v>914</v>
      </c>
      <c r="B1037" s="42" t="s">
        <v>463</v>
      </c>
      <c r="C1037" s="42" t="s">
        <v>1420</v>
      </c>
      <c r="D1037" s="61">
        <v>1</v>
      </c>
      <c r="E1037" s="62">
        <v>0</v>
      </c>
      <c r="F1037" s="63">
        <v>1</v>
      </c>
      <c r="G1037"/>
    </row>
    <row r="1038" spans="1:7" x14ac:dyDescent="0.25">
      <c r="A1038" s="43" t="s">
        <v>914</v>
      </c>
      <c r="B1038" s="42" t="s">
        <v>464</v>
      </c>
      <c r="C1038" s="42" t="s">
        <v>1421</v>
      </c>
      <c r="D1038" s="61">
        <v>2</v>
      </c>
      <c r="E1038" s="62">
        <v>0</v>
      </c>
      <c r="F1038" s="63">
        <v>2</v>
      </c>
    </row>
    <row r="1039" spans="1:7" x14ac:dyDescent="0.25">
      <c r="A1039" s="43" t="s">
        <v>914</v>
      </c>
      <c r="B1039" s="42" t="s">
        <v>462</v>
      </c>
      <c r="C1039" s="42" t="s">
        <v>1419</v>
      </c>
      <c r="D1039" s="61">
        <v>9</v>
      </c>
      <c r="E1039" s="62">
        <v>0</v>
      </c>
      <c r="F1039" s="63">
        <v>9</v>
      </c>
    </row>
    <row r="1040" spans="1:7" x14ac:dyDescent="0.25">
      <c r="A1040" s="43" t="s">
        <v>914</v>
      </c>
      <c r="B1040" s="42" t="s">
        <v>460</v>
      </c>
      <c r="C1040" s="42" t="s">
        <v>1417</v>
      </c>
      <c r="D1040" s="61">
        <v>22</v>
      </c>
      <c r="E1040" s="62">
        <v>0</v>
      </c>
      <c r="F1040" s="63">
        <v>22</v>
      </c>
    </row>
    <row r="1041" spans="1:6" x14ac:dyDescent="0.25">
      <c r="A1041" s="43" t="s">
        <v>914</v>
      </c>
      <c r="B1041" s="42" t="s">
        <v>459</v>
      </c>
      <c r="C1041" s="42" t="s">
        <v>1416</v>
      </c>
      <c r="D1041" s="61">
        <v>6</v>
      </c>
      <c r="E1041" s="62">
        <v>0</v>
      </c>
      <c r="F1041" s="63">
        <v>6</v>
      </c>
    </row>
    <row r="1042" spans="1:6" x14ac:dyDescent="0.25">
      <c r="A1042" s="43" t="s">
        <v>914</v>
      </c>
      <c r="B1042" s="42" t="s">
        <v>461</v>
      </c>
      <c r="C1042" s="42" t="s">
        <v>1418</v>
      </c>
      <c r="D1042" s="61">
        <v>4</v>
      </c>
      <c r="E1042" s="62">
        <v>0</v>
      </c>
      <c r="F1042" s="63">
        <v>4</v>
      </c>
    </row>
    <row r="1043" spans="1:6" x14ac:dyDescent="0.25">
      <c r="A1043" s="43" t="s">
        <v>914</v>
      </c>
      <c r="B1043" s="42" t="s">
        <v>2517</v>
      </c>
      <c r="C1043" s="42" t="s">
        <v>2084</v>
      </c>
      <c r="D1043" s="61">
        <v>1</v>
      </c>
      <c r="E1043" s="62">
        <v>0</v>
      </c>
      <c r="F1043" s="63">
        <v>1</v>
      </c>
    </row>
    <row r="1044" spans="1:6" x14ac:dyDescent="0.25">
      <c r="A1044" s="43" t="s">
        <v>914</v>
      </c>
      <c r="B1044" s="42" t="s">
        <v>548</v>
      </c>
      <c r="C1044" s="42" t="s">
        <v>1511</v>
      </c>
      <c r="D1044" s="61">
        <v>1</v>
      </c>
      <c r="E1044" s="62">
        <v>0</v>
      </c>
      <c r="F1044" s="63">
        <v>1</v>
      </c>
    </row>
    <row r="1045" spans="1:6" x14ac:dyDescent="0.25">
      <c r="A1045" s="43" t="s">
        <v>914</v>
      </c>
      <c r="B1045" s="42" t="s">
        <v>547</v>
      </c>
      <c r="C1045" s="42" t="s">
        <v>1510</v>
      </c>
      <c r="D1045" s="61">
        <v>1</v>
      </c>
      <c r="E1045" s="62">
        <v>0</v>
      </c>
      <c r="F1045" s="63">
        <v>1</v>
      </c>
    </row>
    <row r="1046" spans="1:6" x14ac:dyDescent="0.25">
      <c r="A1046" s="43" t="s">
        <v>914</v>
      </c>
      <c r="B1046" s="42" t="s">
        <v>549</v>
      </c>
      <c r="C1046" s="42" t="s">
        <v>1512</v>
      </c>
      <c r="D1046" s="61">
        <v>1</v>
      </c>
      <c r="E1046" s="62">
        <v>0</v>
      </c>
      <c r="F1046" s="63">
        <v>1</v>
      </c>
    </row>
    <row r="1047" spans="1:6" x14ac:dyDescent="0.25">
      <c r="A1047" s="43" t="s">
        <v>914</v>
      </c>
      <c r="B1047" s="42" t="s">
        <v>544</v>
      </c>
      <c r="C1047" s="42" t="s">
        <v>1507</v>
      </c>
      <c r="D1047" s="61">
        <v>1</v>
      </c>
      <c r="E1047" s="62">
        <v>0</v>
      </c>
      <c r="F1047" s="63">
        <v>1</v>
      </c>
    </row>
    <row r="1048" spans="1:6" x14ac:dyDescent="0.25">
      <c r="A1048" s="43" t="s">
        <v>914</v>
      </c>
      <c r="B1048" s="42" t="s">
        <v>545</v>
      </c>
      <c r="C1048" s="42" t="s">
        <v>1508</v>
      </c>
      <c r="D1048" s="61">
        <v>1</v>
      </c>
      <c r="E1048" s="62">
        <v>0</v>
      </c>
      <c r="F1048" s="63">
        <v>1</v>
      </c>
    </row>
    <row r="1049" spans="1:6" x14ac:dyDescent="0.25">
      <c r="A1049" s="43" t="s">
        <v>914</v>
      </c>
      <c r="B1049" s="42" t="s">
        <v>546</v>
      </c>
      <c r="C1049" s="42" t="s">
        <v>1509</v>
      </c>
      <c r="D1049" s="61">
        <v>1</v>
      </c>
      <c r="E1049" s="62">
        <v>0</v>
      </c>
      <c r="F1049" s="63">
        <v>1</v>
      </c>
    </row>
    <row r="1050" spans="1:6" x14ac:dyDescent="0.25">
      <c r="A1050" s="43" t="s">
        <v>914</v>
      </c>
      <c r="B1050" s="42" t="s">
        <v>551</v>
      </c>
      <c r="C1050" s="42" t="s">
        <v>1514</v>
      </c>
      <c r="D1050" s="61">
        <v>1</v>
      </c>
      <c r="E1050" s="62">
        <v>0</v>
      </c>
      <c r="F1050" s="63">
        <v>1</v>
      </c>
    </row>
    <row r="1051" spans="1:6" x14ac:dyDescent="0.25">
      <c r="A1051" s="43" t="s">
        <v>914</v>
      </c>
      <c r="B1051" s="42" t="s">
        <v>550</v>
      </c>
      <c r="C1051" s="42" t="s">
        <v>1513</v>
      </c>
      <c r="D1051" s="61">
        <v>1</v>
      </c>
      <c r="E1051" s="62">
        <v>0</v>
      </c>
      <c r="F1051" s="63">
        <v>1</v>
      </c>
    </row>
    <row r="1052" spans="1:6" x14ac:dyDescent="0.25">
      <c r="A1052" s="43" t="s">
        <v>914</v>
      </c>
      <c r="B1052" s="42" t="s">
        <v>763</v>
      </c>
      <c r="C1052" s="42" t="s">
        <v>1741</v>
      </c>
      <c r="D1052" s="61">
        <v>11</v>
      </c>
      <c r="E1052" s="62">
        <v>0</v>
      </c>
      <c r="F1052" s="63">
        <v>11</v>
      </c>
    </row>
    <row r="1053" spans="1:6" x14ac:dyDescent="0.25">
      <c r="A1053" s="43" t="s">
        <v>914</v>
      </c>
      <c r="B1053" s="42" t="s">
        <v>765</v>
      </c>
      <c r="C1053" s="42" t="s">
        <v>1743</v>
      </c>
      <c r="D1053" s="61">
        <v>3</v>
      </c>
      <c r="E1053" s="62">
        <v>0</v>
      </c>
      <c r="F1053" s="63">
        <v>3</v>
      </c>
    </row>
    <row r="1054" spans="1:6" x14ac:dyDescent="0.25">
      <c r="A1054" s="43" t="s">
        <v>914</v>
      </c>
      <c r="B1054" s="42" t="s">
        <v>764</v>
      </c>
      <c r="C1054" s="42" t="s">
        <v>1742</v>
      </c>
      <c r="D1054" s="61">
        <v>2</v>
      </c>
      <c r="E1054" s="62">
        <v>0</v>
      </c>
      <c r="F1054" s="63">
        <v>2</v>
      </c>
    </row>
    <row r="1055" spans="1:6" x14ac:dyDescent="0.25">
      <c r="A1055" s="43" t="s">
        <v>914</v>
      </c>
      <c r="B1055" s="42" t="s">
        <v>731</v>
      </c>
      <c r="C1055" s="42" t="s">
        <v>1708</v>
      </c>
      <c r="D1055" s="61">
        <v>1</v>
      </c>
      <c r="E1055" s="62">
        <v>0</v>
      </c>
      <c r="F1055" s="63">
        <v>1</v>
      </c>
    </row>
    <row r="1056" spans="1:6" x14ac:dyDescent="0.25">
      <c r="A1056" s="43" t="s">
        <v>914</v>
      </c>
      <c r="B1056" s="42" t="s">
        <v>730</v>
      </c>
      <c r="C1056" s="42" t="s">
        <v>1707</v>
      </c>
      <c r="D1056" s="61">
        <v>1</v>
      </c>
      <c r="E1056" s="62">
        <v>0</v>
      </c>
      <c r="F1056" s="63">
        <v>1</v>
      </c>
    </row>
    <row r="1057" spans="1:6" x14ac:dyDescent="0.25">
      <c r="A1057" s="43" t="s">
        <v>914</v>
      </c>
      <c r="B1057" s="42" t="s">
        <v>723</v>
      </c>
      <c r="C1057" s="42" t="s">
        <v>1700</v>
      </c>
      <c r="D1057" s="61">
        <v>1</v>
      </c>
      <c r="E1057" s="62">
        <v>0</v>
      </c>
      <c r="F1057" s="63">
        <v>1</v>
      </c>
    </row>
    <row r="1058" spans="1:6" x14ac:dyDescent="0.25">
      <c r="A1058" s="43" t="s">
        <v>914</v>
      </c>
      <c r="B1058" s="42" t="s">
        <v>538</v>
      </c>
      <c r="C1058" s="42" t="s">
        <v>1501</v>
      </c>
      <c r="D1058" s="61">
        <v>1</v>
      </c>
      <c r="E1058" s="62">
        <v>0</v>
      </c>
      <c r="F1058" s="63">
        <v>1</v>
      </c>
    </row>
    <row r="1059" spans="1:6" x14ac:dyDescent="0.25">
      <c r="A1059" s="43" t="s">
        <v>914</v>
      </c>
      <c r="B1059" s="42" t="s">
        <v>539</v>
      </c>
      <c r="C1059" s="42" t="s">
        <v>1502</v>
      </c>
      <c r="D1059" s="61">
        <v>1</v>
      </c>
      <c r="E1059" s="62">
        <v>0</v>
      </c>
      <c r="F1059" s="63">
        <v>1</v>
      </c>
    </row>
    <row r="1060" spans="1:6" x14ac:dyDescent="0.25">
      <c r="A1060" s="43" t="s">
        <v>914</v>
      </c>
      <c r="B1060" s="42" t="s">
        <v>536</v>
      </c>
      <c r="C1060" s="42" t="s">
        <v>1499</v>
      </c>
      <c r="D1060" s="61">
        <v>1</v>
      </c>
      <c r="E1060" s="62">
        <v>0</v>
      </c>
      <c r="F1060" s="63">
        <v>1</v>
      </c>
    </row>
    <row r="1061" spans="1:6" x14ac:dyDescent="0.25">
      <c r="A1061" s="43" t="s">
        <v>914</v>
      </c>
      <c r="B1061" s="42" t="s">
        <v>123</v>
      </c>
      <c r="C1061" s="42" t="s">
        <v>1057</v>
      </c>
      <c r="D1061" s="61">
        <v>1</v>
      </c>
      <c r="E1061" s="62">
        <v>0</v>
      </c>
      <c r="F1061" s="63">
        <v>1</v>
      </c>
    </row>
    <row r="1062" spans="1:6" x14ac:dyDescent="0.25">
      <c r="A1062" s="43" t="s">
        <v>914</v>
      </c>
      <c r="B1062" s="42" t="s">
        <v>325</v>
      </c>
      <c r="C1062" s="42" t="s">
        <v>1270</v>
      </c>
      <c r="D1062" s="61">
        <v>1</v>
      </c>
      <c r="E1062" s="62">
        <v>1</v>
      </c>
      <c r="F1062" s="63">
        <v>0</v>
      </c>
    </row>
    <row r="1063" spans="1:6" x14ac:dyDescent="0.25">
      <c r="A1063" s="43" t="s">
        <v>914</v>
      </c>
      <c r="B1063" s="42" t="s">
        <v>324</v>
      </c>
      <c r="C1063" s="42" t="s">
        <v>1269</v>
      </c>
      <c r="D1063" s="61">
        <v>1</v>
      </c>
      <c r="E1063" s="62">
        <v>0</v>
      </c>
      <c r="F1063" s="63">
        <v>1</v>
      </c>
    </row>
    <row r="1064" spans="1:6" x14ac:dyDescent="0.25">
      <c r="A1064" s="43" t="s">
        <v>914</v>
      </c>
      <c r="B1064" s="42" t="s">
        <v>326</v>
      </c>
      <c r="C1064" s="42" t="s">
        <v>1271</v>
      </c>
      <c r="D1064" s="61">
        <v>1</v>
      </c>
      <c r="E1064" s="62">
        <v>0</v>
      </c>
      <c r="F1064" s="63">
        <v>1</v>
      </c>
    </row>
    <row r="1065" spans="1:6" x14ac:dyDescent="0.25">
      <c r="A1065" s="43" t="s">
        <v>914</v>
      </c>
      <c r="B1065" s="42" t="s">
        <v>323</v>
      </c>
      <c r="C1065" s="42" t="s">
        <v>1268</v>
      </c>
      <c r="D1065" s="61">
        <v>1</v>
      </c>
      <c r="E1065" s="62">
        <v>0</v>
      </c>
      <c r="F1065" s="63">
        <v>1</v>
      </c>
    </row>
    <row r="1066" spans="1:6" x14ac:dyDescent="0.25">
      <c r="A1066" s="43" t="s">
        <v>914</v>
      </c>
      <c r="B1066" s="42" t="s">
        <v>327</v>
      </c>
      <c r="C1066" s="42" t="s">
        <v>1272</v>
      </c>
      <c r="D1066" s="61">
        <v>1</v>
      </c>
      <c r="E1066" s="62">
        <v>0</v>
      </c>
      <c r="F1066" s="63">
        <v>1</v>
      </c>
    </row>
    <row r="1067" spans="1:6" x14ac:dyDescent="0.25">
      <c r="A1067" s="43" t="s">
        <v>914</v>
      </c>
      <c r="B1067" s="42" t="s">
        <v>729</v>
      </c>
      <c r="C1067" s="42" t="s">
        <v>1706</v>
      </c>
      <c r="D1067" s="61">
        <v>1</v>
      </c>
      <c r="E1067" s="62">
        <v>1</v>
      </c>
      <c r="F1067" s="63">
        <v>0</v>
      </c>
    </row>
    <row r="1068" spans="1:6" x14ac:dyDescent="0.25">
      <c r="A1068" s="43" t="s">
        <v>914</v>
      </c>
      <c r="B1068" s="42" t="s">
        <v>524</v>
      </c>
      <c r="C1068" s="42" t="s">
        <v>1486</v>
      </c>
      <c r="D1068" s="61">
        <v>1</v>
      </c>
      <c r="E1068" s="62">
        <v>0</v>
      </c>
      <c r="F1068" s="63">
        <v>1</v>
      </c>
    </row>
    <row r="1069" spans="1:6" x14ac:dyDescent="0.25">
      <c r="A1069" s="43" t="s">
        <v>914</v>
      </c>
      <c r="B1069" s="42" t="s">
        <v>2486</v>
      </c>
      <c r="C1069" s="42" t="s">
        <v>1608</v>
      </c>
      <c r="D1069" s="61">
        <v>6</v>
      </c>
      <c r="E1069" s="62">
        <v>0</v>
      </c>
      <c r="F1069" s="63">
        <v>6</v>
      </c>
    </row>
    <row r="1070" spans="1:6" x14ac:dyDescent="0.25">
      <c r="A1070" s="43" t="s">
        <v>914</v>
      </c>
      <c r="B1070" s="42" t="s">
        <v>645</v>
      </c>
      <c r="C1070" s="42" t="s">
        <v>1613</v>
      </c>
      <c r="D1070" s="61">
        <v>5</v>
      </c>
      <c r="E1070" s="62">
        <v>0</v>
      </c>
      <c r="F1070" s="63">
        <v>5</v>
      </c>
    </row>
    <row r="1071" spans="1:6" x14ac:dyDescent="0.25">
      <c r="A1071" s="43" t="s">
        <v>914</v>
      </c>
      <c r="B1071" s="42" t="s">
        <v>644</v>
      </c>
      <c r="C1071" s="42" t="s">
        <v>1612</v>
      </c>
      <c r="D1071" s="61">
        <v>4</v>
      </c>
      <c r="E1071" s="62">
        <v>0</v>
      </c>
      <c r="F1071" s="63">
        <v>4</v>
      </c>
    </row>
    <row r="1072" spans="1:6" x14ac:dyDescent="0.25">
      <c r="A1072" s="43" t="s">
        <v>914</v>
      </c>
      <c r="B1072" s="42" t="s">
        <v>508</v>
      </c>
      <c r="C1072" s="42" t="s">
        <v>1470</v>
      </c>
      <c r="D1072" s="61">
        <v>5</v>
      </c>
      <c r="E1072" s="62">
        <v>0</v>
      </c>
      <c r="F1072" s="63">
        <v>5</v>
      </c>
    </row>
    <row r="1073" spans="1:6" x14ac:dyDescent="0.25">
      <c r="A1073" s="43" t="s">
        <v>914</v>
      </c>
      <c r="B1073" s="42" t="s">
        <v>511</v>
      </c>
      <c r="C1073" s="42" t="s">
        <v>1473</v>
      </c>
      <c r="D1073" s="61">
        <v>1</v>
      </c>
      <c r="E1073" s="62">
        <v>0</v>
      </c>
      <c r="F1073" s="63">
        <v>1</v>
      </c>
    </row>
    <row r="1074" spans="1:6" x14ac:dyDescent="0.25">
      <c r="A1074" s="43" t="s">
        <v>914</v>
      </c>
      <c r="B1074" s="42" t="s">
        <v>509</v>
      </c>
      <c r="C1074" s="42" t="s">
        <v>1471</v>
      </c>
      <c r="D1074" s="61">
        <v>3</v>
      </c>
      <c r="E1074" s="62">
        <v>0</v>
      </c>
      <c r="F1074" s="63">
        <v>3</v>
      </c>
    </row>
    <row r="1075" spans="1:6" x14ac:dyDescent="0.25">
      <c r="A1075" s="43" t="s">
        <v>914</v>
      </c>
      <c r="B1075" s="42" t="s">
        <v>643</v>
      </c>
      <c r="C1075" s="42" t="s">
        <v>1611</v>
      </c>
      <c r="D1075" s="61">
        <v>1</v>
      </c>
      <c r="E1075" s="62">
        <v>0</v>
      </c>
      <c r="F1075" s="63">
        <v>1</v>
      </c>
    </row>
    <row r="1076" spans="1:6" x14ac:dyDescent="0.25">
      <c r="A1076" s="43" t="s">
        <v>914</v>
      </c>
      <c r="B1076" s="42" t="s">
        <v>510</v>
      </c>
      <c r="C1076" s="42" t="s">
        <v>1472</v>
      </c>
      <c r="D1076" s="61">
        <v>1</v>
      </c>
      <c r="E1076" s="62">
        <v>0</v>
      </c>
      <c r="F1076" s="63">
        <v>1</v>
      </c>
    </row>
    <row r="1077" spans="1:6" x14ac:dyDescent="0.25">
      <c r="A1077" s="43" t="s">
        <v>914</v>
      </c>
      <c r="B1077" s="42" t="s">
        <v>641</v>
      </c>
      <c r="C1077" s="42" t="s">
        <v>1609</v>
      </c>
      <c r="D1077" s="61">
        <v>2</v>
      </c>
      <c r="E1077" s="62">
        <v>0</v>
      </c>
      <c r="F1077" s="63">
        <v>2</v>
      </c>
    </row>
    <row r="1078" spans="1:6" x14ac:dyDescent="0.25">
      <c r="A1078" s="43" t="s">
        <v>914</v>
      </c>
      <c r="B1078" s="42" t="s">
        <v>530</v>
      </c>
      <c r="C1078" s="42" t="s">
        <v>1492</v>
      </c>
      <c r="D1078" s="61">
        <v>2</v>
      </c>
      <c r="E1078" s="62">
        <v>0</v>
      </c>
      <c r="F1078" s="63">
        <v>2</v>
      </c>
    </row>
    <row r="1079" spans="1:6" x14ac:dyDescent="0.25">
      <c r="A1079" s="43" t="s">
        <v>914</v>
      </c>
      <c r="B1079" s="42" t="s">
        <v>498</v>
      </c>
      <c r="C1079" s="42" t="s">
        <v>1460</v>
      </c>
      <c r="D1079" s="61">
        <v>3</v>
      </c>
      <c r="E1079" s="62">
        <v>0</v>
      </c>
      <c r="F1079" s="63">
        <v>3</v>
      </c>
    </row>
    <row r="1080" spans="1:6" x14ac:dyDescent="0.25">
      <c r="A1080" s="43" t="s">
        <v>914</v>
      </c>
      <c r="B1080" s="42" t="s">
        <v>2485</v>
      </c>
      <c r="C1080" s="42" t="s">
        <v>1607</v>
      </c>
      <c r="D1080" s="61">
        <v>10</v>
      </c>
      <c r="E1080" s="62">
        <v>0</v>
      </c>
      <c r="F1080" s="63">
        <v>10</v>
      </c>
    </row>
    <row r="1081" spans="1:6" x14ac:dyDescent="0.25">
      <c r="A1081" s="43" t="s">
        <v>914</v>
      </c>
      <c r="B1081" s="42" t="s">
        <v>139</v>
      </c>
      <c r="C1081" s="42" t="s">
        <v>1073</v>
      </c>
      <c r="D1081" s="61">
        <v>1</v>
      </c>
      <c r="E1081" s="62">
        <v>0</v>
      </c>
      <c r="F1081" s="63">
        <v>1</v>
      </c>
    </row>
    <row r="1082" spans="1:6" x14ac:dyDescent="0.25">
      <c r="A1082" s="43" t="s">
        <v>914</v>
      </c>
      <c r="B1082" s="42" t="s">
        <v>140</v>
      </c>
      <c r="C1082" s="42" t="s">
        <v>1074</v>
      </c>
      <c r="D1082" s="61">
        <v>1</v>
      </c>
      <c r="E1082" s="62">
        <v>0</v>
      </c>
      <c r="F1082" s="63">
        <v>1</v>
      </c>
    </row>
    <row r="1083" spans="1:6" x14ac:dyDescent="0.25">
      <c r="A1083" s="43" t="s">
        <v>914</v>
      </c>
      <c r="B1083" s="42" t="s">
        <v>141</v>
      </c>
      <c r="C1083" s="42" t="s">
        <v>1075</v>
      </c>
      <c r="D1083" s="61">
        <v>1</v>
      </c>
      <c r="E1083" s="62">
        <v>0</v>
      </c>
      <c r="F1083" s="63">
        <v>1</v>
      </c>
    </row>
    <row r="1084" spans="1:6" x14ac:dyDescent="0.25">
      <c r="A1084" s="43" t="s">
        <v>914</v>
      </c>
      <c r="B1084" s="42" t="s">
        <v>142</v>
      </c>
      <c r="C1084" s="42" t="s">
        <v>1076</v>
      </c>
      <c r="D1084" s="61">
        <v>1</v>
      </c>
      <c r="E1084" s="62">
        <v>0</v>
      </c>
      <c r="F1084" s="63">
        <v>1</v>
      </c>
    </row>
    <row r="1085" spans="1:6" x14ac:dyDescent="0.25">
      <c r="A1085" s="43" t="s">
        <v>914</v>
      </c>
      <c r="B1085" s="42" t="s">
        <v>143</v>
      </c>
      <c r="C1085" s="42" t="s">
        <v>1077</v>
      </c>
      <c r="D1085" s="61">
        <v>1</v>
      </c>
      <c r="E1085" s="62">
        <v>0</v>
      </c>
      <c r="F1085" s="63">
        <v>1</v>
      </c>
    </row>
    <row r="1086" spans="1:6" x14ac:dyDescent="0.25">
      <c r="A1086" s="43" t="s">
        <v>914</v>
      </c>
      <c r="B1086" s="42" t="s">
        <v>144</v>
      </c>
      <c r="C1086" s="42" t="s">
        <v>1078</v>
      </c>
      <c r="D1086" s="61">
        <v>1</v>
      </c>
      <c r="E1086" s="62">
        <v>0</v>
      </c>
      <c r="F1086" s="63">
        <v>1</v>
      </c>
    </row>
    <row r="1087" spans="1:6" x14ac:dyDescent="0.25">
      <c r="A1087" s="43" t="s">
        <v>914</v>
      </c>
      <c r="B1087" s="42" t="s">
        <v>199</v>
      </c>
      <c r="C1087" s="42" t="s">
        <v>1137</v>
      </c>
      <c r="D1087" s="61">
        <v>1</v>
      </c>
      <c r="E1087" s="62">
        <v>0</v>
      </c>
      <c r="F1087" s="63">
        <v>1</v>
      </c>
    </row>
    <row r="1088" spans="1:6" x14ac:dyDescent="0.25">
      <c r="A1088" s="43" t="s">
        <v>914</v>
      </c>
      <c r="B1088" s="42" t="s">
        <v>198</v>
      </c>
      <c r="C1088" s="42" t="s">
        <v>1136</v>
      </c>
      <c r="D1088" s="61">
        <v>1</v>
      </c>
      <c r="E1088" s="62">
        <v>0</v>
      </c>
      <c r="F1088" s="63">
        <v>1</v>
      </c>
    </row>
    <row r="1089" spans="1:6" x14ac:dyDescent="0.25">
      <c r="A1089" s="43" t="s">
        <v>914</v>
      </c>
      <c r="B1089" s="42" t="s">
        <v>201</v>
      </c>
      <c r="C1089" s="42" t="s">
        <v>1139</v>
      </c>
      <c r="D1089" s="61">
        <v>1</v>
      </c>
      <c r="E1089" s="62">
        <v>0</v>
      </c>
      <c r="F1089" s="63">
        <v>1</v>
      </c>
    </row>
    <row r="1090" spans="1:6" x14ac:dyDescent="0.25">
      <c r="A1090" s="43" t="s">
        <v>914</v>
      </c>
      <c r="B1090" s="42" t="s">
        <v>200</v>
      </c>
      <c r="C1090" s="42" t="s">
        <v>1138</v>
      </c>
      <c r="D1090" s="61">
        <v>1</v>
      </c>
      <c r="E1090" s="62">
        <v>0</v>
      </c>
      <c r="F1090" s="63">
        <v>1</v>
      </c>
    </row>
    <row r="1091" spans="1:6" x14ac:dyDescent="0.25">
      <c r="A1091" s="43" t="s">
        <v>914</v>
      </c>
      <c r="B1091" s="42" t="s">
        <v>202</v>
      </c>
      <c r="C1091" s="42" t="s">
        <v>1140</v>
      </c>
      <c r="D1091" s="61">
        <v>1</v>
      </c>
      <c r="E1091" s="62">
        <v>0</v>
      </c>
      <c r="F1091" s="63">
        <v>1</v>
      </c>
    </row>
    <row r="1092" spans="1:6" x14ac:dyDescent="0.25">
      <c r="A1092" s="43" t="s">
        <v>914</v>
      </c>
      <c r="B1092" s="42" t="s">
        <v>197</v>
      </c>
      <c r="C1092" s="42" t="s">
        <v>1135</v>
      </c>
      <c r="D1092" s="61">
        <v>1</v>
      </c>
      <c r="E1092" s="62">
        <v>0</v>
      </c>
      <c r="F1092" s="63">
        <v>1</v>
      </c>
    </row>
    <row r="1093" spans="1:6" x14ac:dyDescent="0.25">
      <c r="A1093" s="43" t="s">
        <v>914</v>
      </c>
      <c r="B1093" s="42" t="s">
        <v>196</v>
      </c>
      <c r="C1093" s="42" t="s">
        <v>1134</v>
      </c>
      <c r="D1093" s="61">
        <v>3</v>
      </c>
      <c r="E1093" s="62">
        <v>0</v>
      </c>
      <c r="F1093" s="63">
        <v>3</v>
      </c>
    </row>
    <row r="1094" spans="1:6" x14ac:dyDescent="0.25">
      <c r="A1094" s="43" t="s">
        <v>914</v>
      </c>
      <c r="B1094" s="42" t="s">
        <v>194</v>
      </c>
      <c r="C1094" s="42" t="s">
        <v>1132</v>
      </c>
      <c r="D1094" s="61">
        <v>1</v>
      </c>
      <c r="E1094" s="62">
        <v>0</v>
      </c>
      <c r="F1094" s="63">
        <v>1</v>
      </c>
    </row>
    <row r="1095" spans="1:6" x14ac:dyDescent="0.25">
      <c r="A1095" s="43" t="s">
        <v>914</v>
      </c>
      <c r="B1095" s="42" t="s">
        <v>193</v>
      </c>
      <c r="C1095" s="42" t="s">
        <v>1131</v>
      </c>
      <c r="D1095" s="61">
        <v>1</v>
      </c>
      <c r="E1095" s="62">
        <v>0</v>
      </c>
      <c r="F1095" s="63">
        <v>1</v>
      </c>
    </row>
    <row r="1096" spans="1:6" x14ac:dyDescent="0.25">
      <c r="A1096" s="43" t="s">
        <v>914</v>
      </c>
      <c r="B1096" s="42" t="s">
        <v>195</v>
      </c>
      <c r="C1096" s="42" t="s">
        <v>1133</v>
      </c>
      <c r="D1096" s="61">
        <v>1</v>
      </c>
      <c r="E1096" s="62">
        <v>0</v>
      </c>
      <c r="F1096" s="63">
        <v>1</v>
      </c>
    </row>
    <row r="1097" spans="1:6" x14ac:dyDescent="0.25">
      <c r="A1097" s="43" t="s">
        <v>914</v>
      </c>
      <c r="B1097" s="42" t="s">
        <v>216</v>
      </c>
      <c r="C1097" s="42" t="s">
        <v>1154</v>
      </c>
      <c r="D1097" s="61">
        <v>1</v>
      </c>
      <c r="E1097" s="62">
        <v>0</v>
      </c>
      <c r="F1097" s="63">
        <v>1</v>
      </c>
    </row>
    <row r="1098" spans="1:6" x14ac:dyDescent="0.25">
      <c r="A1098" s="42" t="s">
        <v>1919</v>
      </c>
      <c r="B1098" s="42" t="s">
        <v>2127</v>
      </c>
      <c r="C1098" s="42" t="s">
        <v>2138</v>
      </c>
      <c r="D1098" s="61">
        <v>5</v>
      </c>
      <c r="E1098" s="62">
        <v>0</v>
      </c>
      <c r="F1098" s="63">
        <v>5</v>
      </c>
    </row>
    <row r="1099" spans="1:6" x14ac:dyDescent="0.25">
      <c r="A1099" s="43" t="s">
        <v>1919</v>
      </c>
      <c r="B1099" s="42" t="s">
        <v>851</v>
      </c>
      <c r="C1099" s="42" t="s">
        <v>1844</v>
      </c>
      <c r="D1099" s="61">
        <v>3</v>
      </c>
      <c r="E1099" s="62">
        <v>0</v>
      </c>
      <c r="F1099" s="63">
        <v>3</v>
      </c>
    </row>
    <row r="1100" spans="1:6" x14ac:dyDescent="0.25">
      <c r="A1100" s="43" t="s">
        <v>1919</v>
      </c>
      <c r="B1100" s="42" t="s">
        <v>2169</v>
      </c>
      <c r="C1100" s="42" t="s">
        <v>2177</v>
      </c>
      <c r="D1100" s="61">
        <v>1</v>
      </c>
      <c r="E1100" s="62">
        <v>0</v>
      </c>
      <c r="F1100" s="63">
        <v>1</v>
      </c>
    </row>
    <row r="1101" spans="1:6" x14ac:dyDescent="0.25">
      <c r="A1101" s="43" t="s">
        <v>1919</v>
      </c>
      <c r="B1101" s="42" t="s">
        <v>1997</v>
      </c>
      <c r="C1101" s="42" t="s">
        <v>2005</v>
      </c>
      <c r="D1101" s="61">
        <v>3</v>
      </c>
      <c r="E1101" s="62">
        <v>0</v>
      </c>
      <c r="F1101" s="63">
        <v>3</v>
      </c>
    </row>
    <row r="1102" spans="1:6" x14ac:dyDescent="0.25">
      <c r="A1102" s="43" t="s">
        <v>1919</v>
      </c>
      <c r="B1102" s="42" t="s">
        <v>2547</v>
      </c>
      <c r="C1102" s="42" t="s">
        <v>2354</v>
      </c>
      <c r="D1102" s="61">
        <v>100</v>
      </c>
      <c r="E1102" s="62">
        <v>0</v>
      </c>
      <c r="F1102" s="63">
        <v>100</v>
      </c>
    </row>
    <row r="1103" spans="1:6" x14ac:dyDescent="0.25">
      <c r="A1103" s="43" t="s">
        <v>1919</v>
      </c>
      <c r="B1103" s="42" t="s">
        <v>2245</v>
      </c>
      <c r="C1103" s="42" t="s">
        <v>2247</v>
      </c>
      <c r="D1103" s="61">
        <v>1</v>
      </c>
      <c r="E1103" s="62">
        <v>0</v>
      </c>
      <c r="F1103" s="63">
        <v>1</v>
      </c>
    </row>
    <row r="1104" spans="1:6" x14ac:dyDescent="0.25">
      <c r="A1104" s="43" t="s">
        <v>1919</v>
      </c>
      <c r="B1104" s="42" t="s">
        <v>2603</v>
      </c>
      <c r="C1104" s="42" t="s">
        <v>2604</v>
      </c>
      <c r="D1104" s="61">
        <v>390</v>
      </c>
      <c r="E1104" s="62">
        <v>0</v>
      </c>
      <c r="F1104" s="63">
        <v>390</v>
      </c>
    </row>
    <row r="1105" spans="1:6" x14ac:dyDescent="0.25">
      <c r="A1105" s="43" t="s">
        <v>1919</v>
      </c>
      <c r="B1105" s="42" t="s">
        <v>2210</v>
      </c>
      <c r="C1105" s="42" t="s">
        <v>2211</v>
      </c>
      <c r="D1105" s="61">
        <v>3</v>
      </c>
      <c r="E1105" s="62">
        <v>0</v>
      </c>
      <c r="F1105" s="63">
        <v>3</v>
      </c>
    </row>
    <row r="1106" spans="1:6" x14ac:dyDescent="0.25">
      <c r="A1106" s="43" t="s">
        <v>1919</v>
      </c>
      <c r="B1106" s="42" t="s">
        <v>2266</v>
      </c>
      <c r="C1106" s="42" t="s">
        <v>2271</v>
      </c>
      <c r="D1106" s="61">
        <v>1</v>
      </c>
      <c r="E1106" s="62">
        <v>0</v>
      </c>
      <c r="F1106" s="63">
        <v>1</v>
      </c>
    </row>
    <row r="1107" spans="1:6" x14ac:dyDescent="0.25">
      <c r="A1107" s="43" t="s">
        <v>1919</v>
      </c>
      <c r="B1107" s="42" t="s">
        <v>1942</v>
      </c>
      <c r="C1107" s="42" t="s">
        <v>1962</v>
      </c>
      <c r="D1107" s="61">
        <v>1</v>
      </c>
      <c r="E1107" s="62">
        <v>0</v>
      </c>
      <c r="F1107" s="63">
        <v>1</v>
      </c>
    </row>
    <row r="1108" spans="1:6" x14ac:dyDescent="0.25">
      <c r="A1108" s="43" t="s">
        <v>1919</v>
      </c>
      <c r="B1108" s="42" t="s">
        <v>297</v>
      </c>
      <c r="C1108" s="42" t="s">
        <v>1240</v>
      </c>
      <c r="D1108" s="61">
        <v>1</v>
      </c>
      <c r="E1108" s="62">
        <v>0</v>
      </c>
      <c r="F1108" s="63">
        <v>1</v>
      </c>
    </row>
    <row r="1109" spans="1:6" x14ac:dyDescent="0.25">
      <c r="A1109" s="43" t="s">
        <v>1919</v>
      </c>
      <c r="B1109" s="42" t="s">
        <v>1929</v>
      </c>
      <c r="C1109" s="42" t="s">
        <v>1948</v>
      </c>
      <c r="D1109" s="61">
        <v>3</v>
      </c>
      <c r="E1109" s="62">
        <v>0</v>
      </c>
      <c r="F1109" s="63">
        <v>3</v>
      </c>
    </row>
    <row r="1110" spans="1:6" x14ac:dyDescent="0.25">
      <c r="A1110" s="43" t="s">
        <v>1919</v>
      </c>
      <c r="B1110" s="42" t="s">
        <v>1966</v>
      </c>
      <c r="C1110" s="42" t="s">
        <v>1979</v>
      </c>
      <c r="D1110" s="61">
        <v>10</v>
      </c>
      <c r="E1110" s="62">
        <v>0</v>
      </c>
      <c r="F1110" s="63">
        <v>10</v>
      </c>
    </row>
    <row r="1111" spans="1:6" x14ac:dyDescent="0.25">
      <c r="A1111" s="43" t="s">
        <v>1919</v>
      </c>
      <c r="B1111" s="42" t="s">
        <v>683</v>
      </c>
      <c r="C1111" s="42" t="s">
        <v>1653</v>
      </c>
      <c r="D1111" s="61">
        <v>5</v>
      </c>
      <c r="E1111" s="62">
        <v>0</v>
      </c>
      <c r="F1111" s="63">
        <v>5</v>
      </c>
    </row>
    <row r="1112" spans="1:6" x14ac:dyDescent="0.25">
      <c r="A1112" s="43" t="s">
        <v>1919</v>
      </c>
      <c r="B1112" s="42" t="s">
        <v>2484</v>
      </c>
      <c r="C1112" s="42" t="s">
        <v>1580</v>
      </c>
      <c r="D1112" s="61">
        <v>1</v>
      </c>
      <c r="E1112" s="62">
        <v>0</v>
      </c>
      <c r="F1112" s="63">
        <v>1</v>
      </c>
    </row>
    <row r="1113" spans="1:6" x14ac:dyDescent="0.25">
      <c r="A1113" s="43" t="s">
        <v>1919</v>
      </c>
      <c r="B1113" s="42" t="s">
        <v>2299</v>
      </c>
      <c r="C1113" s="42" t="s">
        <v>2312</v>
      </c>
      <c r="D1113" s="61">
        <v>8</v>
      </c>
      <c r="E1113" s="62">
        <v>0</v>
      </c>
      <c r="F1113" s="63">
        <v>8</v>
      </c>
    </row>
    <row r="1114" spans="1:6" x14ac:dyDescent="0.25">
      <c r="A1114" s="43" t="s">
        <v>1919</v>
      </c>
      <c r="B1114" s="42" t="s">
        <v>2309</v>
      </c>
      <c r="C1114" s="42" t="s">
        <v>2322</v>
      </c>
      <c r="D1114" s="61">
        <v>1</v>
      </c>
      <c r="E1114" s="62">
        <v>0</v>
      </c>
      <c r="F1114" s="63">
        <v>1</v>
      </c>
    </row>
    <row r="1115" spans="1:6" x14ac:dyDescent="0.25">
      <c r="A1115" s="43" t="s">
        <v>1919</v>
      </c>
      <c r="B1115" s="42" t="s">
        <v>593</v>
      </c>
      <c r="C1115" s="42" t="s">
        <v>1556</v>
      </c>
      <c r="D1115" s="61">
        <v>20</v>
      </c>
      <c r="E1115" s="62">
        <v>0</v>
      </c>
      <c r="F1115" s="63">
        <v>20</v>
      </c>
    </row>
    <row r="1116" spans="1:6" x14ac:dyDescent="0.25">
      <c r="A1116" s="43" t="s">
        <v>1919</v>
      </c>
      <c r="B1116" s="42" t="s">
        <v>2030</v>
      </c>
      <c r="C1116" s="42" t="s">
        <v>2048</v>
      </c>
      <c r="D1116" s="61">
        <v>1</v>
      </c>
      <c r="E1116" s="62">
        <v>0</v>
      </c>
      <c r="F1116" s="63">
        <v>1</v>
      </c>
    </row>
    <row r="1117" spans="1:6" x14ac:dyDescent="0.25">
      <c r="A1117" s="43" t="s">
        <v>1919</v>
      </c>
      <c r="B1117" s="42" t="s">
        <v>437</v>
      </c>
      <c r="C1117" s="42" t="s">
        <v>1394</v>
      </c>
      <c r="D1117" s="61">
        <v>5</v>
      </c>
      <c r="E1117" s="62">
        <v>0</v>
      </c>
      <c r="F1117" s="63">
        <v>5</v>
      </c>
    </row>
    <row r="1118" spans="1:6" x14ac:dyDescent="0.25">
      <c r="A1118" s="43" t="s">
        <v>1919</v>
      </c>
      <c r="B1118" s="42" t="s">
        <v>2126</v>
      </c>
      <c r="C1118" s="42" t="s">
        <v>2137</v>
      </c>
      <c r="D1118" s="61">
        <v>1</v>
      </c>
      <c r="E1118" s="62">
        <v>0</v>
      </c>
      <c r="F1118" s="63">
        <v>1</v>
      </c>
    </row>
    <row r="1119" spans="1:6" x14ac:dyDescent="0.25">
      <c r="A1119" s="43" t="s">
        <v>1919</v>
      </c>
      <c r="B1119" s="42" t="s">
        <v>2171</v>
      </c>
      <c r="C1119" s="42" t="s">
        <v>2179</v>
      </c>
      <c r="D1119" s="61">
        <v>1</v>
      </c>
      <c r="E1119" s="62">
        <v>0</v>
      </c>
      <c r="F1119" s="63">
        <v>1</v>
      </c>
    </row>
    <row r="1120" spans="1:6" x14ac:dyDescent="0.25">
      <c r="A1120" s="43" t="s">
        <v>1919</v>
      </c>
      <c r="B1120" s="42" t="s">
        <v>2184</v>
      </c>
      <c r="C1120" s="42" t="s">
        <v>2193</v>
      </c>
      <c r="D1120" s="61">
        <v>1</v>
      </c>
      <c r="E1120" s="62">
        <v>0</v>
      </c>
      <c r="F1120" s="63">
        <v>1</v>
      </c>
    </row>
    <row r="1121" spans="1:6" x14ac:dyDescent="0.25">
      <c r="A1121" s="43" t="s">
        <v>1919</v>
      </c>
      <c r="B1121" s="42" t="s">
        <v>2185</v>
      </c>
      <c r="C1121" s="42" t="s">
        <v>2194</v>
      </c>
      <c r="D1121" s="61">
        <v>1</v>
      </c>
      <c r="E1121" s="62">
        <v>0</v>
      </c>
      <c r="F1121" s="63">
        <v>1</v>
      </c>
    </row>
    <row r="1122" spans="1:6" x14ac:dyDescent="0.25">
      <c r="A1122" s="43" t="s">
        <v>1919</v>
      </c>
      <c r="B1122" s="42" t="s">
        <v>2182</v>
      </c>
      <c r="C1122" s="42" t="s">
        <v>2191</v>
      </c>
      <c r="D1122" s="61">
        <v>1</v>
      </c>
      <c r="E1122" s="62">
        <v>0</v>
      </c>
      <c r="F1122" s="63">
        <v>1</v>
      </c>
    </row>
    <row r="1123" spans="1:6" x14ac:dyDescent="0.25">
      <c r="A1123" s="43" t="s">
        <v>1919</v>
      </c>
      <c r="B1123" s="42" t="s">
        <v>2183</v>
      </c>
      <c r="C1123" s="42" t="s">
        <v>2192</v>
      </c>
      <c r="D1123" s="61">
        <v>1</v>
      </c>
      <c r="E1123" s="62">
        <v>0</v>
      </c>
      <c r="F1123" s="63">
        <v>1</v>
      </c>
    </row>
    <row r="1124" spans="1:6" x14ac:dyDescent="0.25">
      <c r="A1124" s="43" t="s">
        <v>1919</v>
      </c>
      <c r="B1124" s="42" t="s">
        <v>2086</v>
      </c>
      <c r="C1124" s="42" t="s">
        <v>2087</v>
      </c>
      <c r="D1124" s="61">
        <v>2</v>
      </c>
      <c r="E1124" s="62">
        <v>0</v>
      </c>
      <c r="F1124" s="63">
        <v>2</v>
      </c>
    </row>
    <row r="1125" spans="1:6" x14ac:dyDescent="0.25">
      <c r="A1125" s="43" t="s">
        <v>1919</v>
      </c>
      <c r="B1125" s="42" t="s">
        <v>2531</v>
      </c>
      <c r="C1125" s="42" t="s">
        <v>2436</v>
      </c>
      <c r="D1125" s="61">
        <v>6</v>
      </c>
      <c r="E1125" s="62">
        <v>0</v>
      </c>
      <c r="F1125" s="63">
        <v>6</v>
      </c>
    </row>
    <row r="1126" spans="1:6" x14ac:dyDescent="0.25">
      <c r="A1126" s="43" t="s">
        <v>1919</v>
      </c>
      <c r="B1126" s="42" t="s">
        <v>2567</v>
      </c>
      <c r="C1126" s="42" t="s">
        <v>2442</v>
      </c>
      <c r="D1126" s="61">
        <v>3</v>
      </c>
      <c r="E1126" s="62">
        <v>0</v>
      </c>
      <c r="F1126" s="63">
        <v>3</v>
      </c>
    </row>
    <row r="1127" spans="1:6" x14ac:dyDescent="0.25">
      <c r="A1127" s="43" t="s">
        <v>1919</v>
      </c>
      <c r="B1127" s="42" t="s">
        <v>2569</v>
      </c>
      <c r="C1127" s="42" t="s">
        <v>2444</v>
      </c>
      <c r="D1127" s="61">
        <v>8</v>
      </c>
      <c r="E1127" s="62">
        <v>0</v>
      </c>
      <c r="F1127" s="63">
        <v>8</v>
      </c>
    </row>
    <row r="1128" spans="1:6" x14ac:dyDescent="0.25">
      <c r="A1128" s="43" t="s">
        <v>1919</v>
      </c>
      <c r="B1128" s="42" t="s">
        <v>489</v>
      </c>
      <c r="C1128" s="42" t="s">
        <v>1450</v>
      </c>
      <c r="D1128" s="61">
        <v>1</v>
      </c>
      <c r="E1128" s="62">
        <v>0</v>
      </c>
      <c r="F1128" s="63">
        <v>1</v>
      </c>
    </row>
    <row r="1129" spans="1:6" x14ac:dyDescent="0.25">
      <c r="A1129" s="43" t="s">
        <v>1919</v>
      </c>
      <c r="B1129" s="42" t="s">
        <v>2535</v>
      </c>
      <c r="C1129" s="42" t="s">
        <v>2374</v>
      </c>
      <c r="D1129" s="61">
        <v>2</v>
      </c>
      <c r="E1129" s="62">
        <v>0</v>
      </c>
      <c r="F1129" s="63">
        <v>2</v>
      </c>
    </row>
    <row r="1130" spans="1:6" x14ac:dyDescent="0.25">
      <c r="A1130" s="43" t="s">
        <v>1919</v>
      </c>
      <c r="B1130" s="42" t="s">
        <v>2283</v>
      </c>
      <c r="C1130" s="42" t="s">
        <v>2284</v>
      </c>
      <c r="D1130" s="61">
        <v>180</v>
      </c>
      <c r="E1130" s="62">
        <v>0</v>
      </c>
      <c r="F1130" s="63">
        <v>180</v>
      </c>
    </row>
    <row r="1131" spans="1:6" x14ac:dyDescent="0.25">
      <c r="A1131" s="43" t="s">
        <v>1919</v>
      </c>
      <c r="B1131" s="42" t="s">
        <v>2533</v>
      </c>
      <c r="C1131" s="42" t="s">
        <v>2372</v>
      </c>
      <c r="D1131" s="61">
        <v>1</v>
      </c>
      <c r="E1131" s="62">
        <v>0</v>
      </c>
      <c r="F1131" s="63">
        <v>1</v>
      </c>
    </row>
    <row r="1132" spans="1:6" x14ac:dyDescent="0.25">
      <c r="A1132" s="43" t="s">
        <v>1919</v>
      </c>
      <c r="B1132" s="42" t="s">
        <v>2541</v>
      </c>
      <c r="C1132" s="42" t="s">
        <v>2378</v>
      </c>
      <c r="D1132" s="61">
        <v>1</v>
      </c>
      <c r="E1132" s="62">
        <v>0</v>
      </c>
      <c r="F1132" s="63">
        <v>1</v>
      </c>
    </row>
    <row r="1133" spans="1:6" x14ac:dyDescent="0.25">
      <c r="A1133" s="43" t="s">
        <v>1919</v>
      </c>
      <c r="B1133" s="42" t="s">
        <v>2225</v>
      </c>
      <c r="C1133" s="42" t="s">
        <v>2224</v>
      </c>
      <c r="D1133" s="61">
        <v>1</v>
      </c>
      <c r="E1133" s="62">
        <v>0</v>
      </c>
      <c r="F1133" s="63">
        <v>1</v>
      </c>
    </row>
    <row r="1134" spans="1:6" x14ac:dyDescent="0.25">
      <c r="A1134" s="43" t="s">
        <v>1919</v>
      </c>
      <c r="B1134" s="42" t="s">
        <v>318</v>
      </c>
      <c r="C1134" s="42" t="s">
        <v>1262</v>
      </c>
      <c r="D1134" s="61">
        <v>2</v>
      </c>
      <c r="E1134" s="62">
        <v>0</v>
      </c>
      <c r="F1134" s="63">
        <v>2</v>
      </c>
    </row>
    <row r="1135" spans="1:6" x14ac:dyDescent="0.25">
      <c r="A1135" s="43" t="s">
        <v>1919</v>
      </c>
      <c r="B1135" s="42" t="s">
        <v>820</v>
      </c>
      <c r="C1135" s="42" t="s">
        <v>1809</v>
      </c>
      <c r="D1135" s="61">
        <v>1</v>
      </c>
      <c r="E1135" s="62">
        <v>0</v>
      </c>
      <c r="F1135" s="63">
        <v>1</v>
      </c>
    </row>
    <row r="1136" spans="1:6" x14ac:dyDescent="0.25">
      <c r="A1136" s="43" t="s">
        <v>1919</v>
      </c>
      <c r="B1136" s="42" t="s">
        <v>2167</v>
      </c>
      <c r="C1136" s="42" t="s">
        <v>2174</v>
      </c>
      <c r="D1136" s="61">
        <v>1</v>
      </c>
      <c r="E1136" s="62">
        <v>0</v>
      </c>
      <c r="F1136" s="63">
        <v>1</v>
      </c>
    </row>
    <row r="1137" spans="1:6" x14ac:dyDescent="0.25">
      <c r="A1137" s="43" t="s">
        <v>1919</v>
      </c>
      <c r="B1137" s="42" t="s">
        <v>2166</v>
      </c>
      <c r="C1137" s="42" t="s">
        <v>2173</v>
      </c>
      <c r="D1137" s="61">
        <v>1</v>
      </c>
      <c r="E1137" s="62">
        <v>0</v>
      </c>
      <c r="F1137" s="63">
        <v>1</v>
      </c>
    </row>
    <row r="1138" spans="1:6" x14ac:dyDescent="0.25">
      <c r="A1138" s="43" t="s">
        <v>1919</v>
      </c>
      <c r="B1138" s="42" t="s">
        <v>2097</v>
      </c>
      <c r="C1138" s="42" t="s">
        <v>2096</v>
      </c>
      <c r="D1138" s="61">
        <v>1</v>
      </c>
      <c r="E1138" s="62">
        <v>0</v>
      </c>
      <c r="F1138" s="63">
        <v>1</v>
      </c>
    </row>
    <row r="1139" spans="1:6" x14ac:dyDescent="0.25">
      <c r="A1139" s="43" t="s">
        <v>1919</v>
      </c>
      <c r="B1139" s="42" t="s">
        <v>2172</v>
      </c>
      <c r="C1139" s="42" t="s">
        <v>2176</v>
      </c>
      <c r="D1139" s="61">
        <v>1</v>
      </c>
      <c r="E1139" s="62">
        <v>0</v>
      </c>
      <c r="F1139" s="63">
        <v>1</v>
      </c>
    </row>
    <row r="1140" spans="1:6" x14ac:dyDescent="0.25">
      <c r="A1140" s="43" t="s">
        <v>1919</v>
      </c>
      <c r="B1140" s="42" t="s">
        <v>2168</v>
      </c>
      <c r="C1140" s="42" t="s">
        <v>2175</v>
      </c>
      <c r="D1140" s="61">
        <v>1</v>
      </c>
      <c r="E1140" s="62">
        <v>0</v>
      </c>
      <c r="F1140" s="63">
        <v>1</v>
      </c>
    </row>
    <row r="1141" spans="1:6" x14ac:dyDescent="0.25">
      <c r="A1141" s="43" t="s">
        <v>1919</v>
      </c>
      <c r="B1141" s="42" t="s">
        <v>2181</v>
      </c>
      <c r="C1141" s="42" t="s">
        <v>2190</v>
      </c>
      <c r="D1141" s="61">
        <v>1</v>
      </c>
      <c r="E1141" s="62">
        <v>0</v>
      </c>
      <c r="F1141" s="63">
        <v>1</v>
      </c>
    </row>
    <row r="1142" spans="1:6" x14ac:dyDescent="0.25">
      <c r="A1142" s="43" t="s">
        <v>1919</v>
      </c>
      <c r="B1142" s="42" t="s">
        <v>859</v>
      </c>
      <c r="C1142" s="42" t="s">
        <v>1854</v>
      </c>
      <c r="D1142" s="61">
        <v>1</v>
      </c>
      <c r="E1142" s="62">
        <v>0</v>
      </c>
      <c r="F1142" s="63">
        <v>1</v>
      </c>
    </row>
    <row r="1143" spans="1:6" x14ac:dyDescent="0.25">
      <c r="A1143" s="43" t="s">
        <v>1919</v>
      </c>
      <c r="B1143" s="42" t="s">
        <v>2206</v>
      </c>
      <c r="C1143" s="42" t="s">
        <v>2207</v>
      </c>
      <c r="D1143" s="61">
        <v>2</v>
      </c>
      <c r="E1143" s="62">
        <v>0</v>
      </c>
      <c r="F1143" s="63">
        <v>2</v>
      </c>
    </row>
    <row r="1144" spans="1:6" x14ac:dyDescent="0.25">
      <c r="A1144" s="43" t="s">
        <v>1919</v>
      </c>
      <c r="B1144" s="42" t="s">
        <v>2574</v>
      </c>
      <c r="C1144" s="42" t="s">
        <v>2450</v>
      </c>
      <c r="D1144" s="61">
        <v>25</v>
      </c>
      <c r="E1144" s="62">
        <v>0</v>
      </c>
      <c r="F1144" s="63">
        <v>25</v>
      </c>
    </row>
    <row r="1145" spans="1:6" x14ac:dyDescent="0.25">
      <c r="A1145" s="43" t="s">
        <v>1919</v>
      </c>
      <c r="B1145" s="42" t="s">
        <v>2301</v>
      </c>
      <c r="C1145" s="42" t="s">
        <v>2314</v>
      </c>
      <c r="D1145" s="61">
        <v>3</v>
      </c>
      <c r="E1145" s="62">
        <v>0</v>
      </c>
      <c r="F1145" s="63">
        <v>3</v>
      </c>
    </row>
    <row r="1146" spans="1:6" x14ac:dyDescent="0.25">
      <c r="A1146" s="43" t="s">
        <v>1919</v>
      </c>
      <c r="B1146" s="42" t="s">
        <v>2300</v>
      </c>
      <c r="C1146" s="42" t="s">
        <v>2313</v>
      </c>
      <c r="D1146" s="61">
        <v>3</v>
      </c>
      <c r="E1146" s="62">
        <v>0</v>
      </c>
      <c r="F1146" s="63">
        <v>3</v>
      </c>
    </row>
    <row r="1147" spans="1:6" x14ac:dyDescent="0.25">
      <c r="A1147" s="43" t="s">
        <v>1919</v>
      </c>
      <c r="B1147" s="42" t="s">
        <v>2570</v>
      </c>
      <c r="C1147" s="42" t="s">
        <v>2445</v>
      </c>
      <c r="D1147" s="61">
        <v>165</v>
      </c>
      <c r="E1147" s="62">
        <v>0</v>
      </c>
      <c r="F1147" s="63">
        <v>165</v>
      </c>
    </row>
    <row r="1148" spans="1:6" x14ac:dyDescent="0.25">
      <c r="A1148" s="43" t="s">
        <v>1919</v>
      </c>
      <c r="B1148" s="42" t="s">
        <v>2571</v>
      </c>
      <c r="C1148" s="42" t="s">
        <v>2447</v>
      </c>
      <c r="D1148" s="61">
        <v>110</v>
      </c>
      <c r="E1148" s="62">
        <v>0</v>
      </c>
      <c r="F1148" s="63">
        <v>110</v>
      </c>
    </row>
    <row r="1149" spans="1:6" x14ac:dyDescent="0.25">
      <c r="A1149" s="43" t="s">
        <v>1919</v>
      </c>
      <c r="B1149" s="42" t="s">
        <v>2577</v>
      </c>
      <c r="C1149" s="42" t="s">
        <v>2453</v>
      </c>
      <c r="D1149" s="61">
        <v>80</v>
      </c>
      <c r="E1149" s="62">
        <v>0</v>
      </c>
      <c r="F1149" s="63">
        <v>80</v>
      </c>
    </row>
    <row r="1150" spans="1:6" x14ac:dyDescent="0.25">
      <c r="A1150" s="43" t="s">
        <v>1919</v>
      </c>
      <c r="B1150" s="42" t="s">
        <v>2572</v>
      </c>
      <c r="C1150" s="42" t="s">
        <v>2448</v>
      </c>
      <c r="D1150" s="61">
        <v>80</v>
      </c>
      <c r="E1150" s="62">
        <v>0</v>
      </c>
      <c r="F1150" s="63">
        <v>80</v>
      </c>
    </row>
    <row r="1151" spans="1:6" x14ac:dyDescent="0.25">
      <c r="A1151" s="43" t="s">
        <v>1919</v>
      </c>
      <c r="B1151" s="42" t="s">
        <v>1941</v>
      </c>
      <c r="C1151" s="42" t="s">
        <v>1961</v>
      </c>
      <c r="D1151" s="61">
        <v>2</v>
      </c>
      <c r="E1151" s="62">
        <v>0</v>
      </c>
      <c r="F1151" s="63">
        <v>2</v>
      </c>
    </row>
    <row r="1152" spans="1:6" x14ac:dyDescent="0.25">
      <c r="A1152" s="43" t="s">
        <v>1919</v>
      </c>
      <c r="B1152" s="42" t="s">
        <v>2263</v>
      </c>
      <c r="C1152" s="42" t="s">
        <v>2268</v>
      </c>
      <c r="D1152" s="61">
        <v>2</v>
      </c>
      <c r="E1152" s="62">
        <v>0</v>
      </c>
      <c r="F1152" s="63">
        <v>2</v>
      </c>
    </row>
    <row r="1153" spans="1:6" x14ac:dyDescent="0.25">
      <c r="A1153" s="43" t="s">
        <v>1919</v>
      </c>
      <c r="B1153" s="42" t="s">
        <v>2262</v>
      </c>
      <c r="C1153" s="42" t="s">
        <v>2267</v>
      </c>
      <c r="D1153" s="61">
        <v>5</v>
      </c>
      <c r="E1153" s="62">
        <v>0</v>
      </c>
      <c r="F1153" s="63">
        <v>5</v>
      </c>
    </row>
    <row r="1154" spans="1:6" x14ac:dyDescent="0.25">
      <c r="A1154" s="43" t="s">
        <v>1919</v>
      </c>
      <c r="B1154" s="42" t="s">
        <v>2611</v>
      </c>
      <c r="C1154" s="42" t="s">
        <v>2617</v>
      </c>
      <c r="D1154" s="61">
        <v>2</v>
      </c>
      <c r="E1154" s="62">
        <v>0</v>
      </c>
      <c r="F1154" s="63">
        <v>2</v>
      </c>
    </row>
    <row r="1155" spans="1:6" x14ac:dyDescent="0.25">
      <c r="A1155" s="43" t="s">
        <v>1919</v>
      </c>
      <c r="B1155" s="42" t="s">
        <v>127</v>
      </c>
      <c r="C1155" s="42" t="s">
        <v>1061</v>
      </c>
      <c r="D1155" s="61">
        <v>1</v>
      </c>
      <c r="E1155" s="62">
        <v>0</v>
      </c>
      <c r="F1155" s="63">
        <v>1</v>
      </c>
    </row>
    <row r="1156" spans="1:6" x14ac:dyDescent="0.25">
      <c r="A1156" s="43" t="s">
        <v>1919</v>
      </c>
      <c r="B1156" s="42" t="s">
        <v>2142</v>
      </c>
      <c r="C1156" s="42" t="s">
        <v>2143</v>
      </c>
      <c r="D1156" s="61">
        <v>1</v>
      </c>
      <c r="E1156" s="62">
        <v>0</v>
      </c>
      <c r="F1156" s="63">
        <v>1</v>
      </c>
    </row>
    <row r="1157" spans="1:6" x14ac:dyDescent="0.25">
      <c r="A1157" s="43" t="s">
        <v>1919</v>
      </c>
      <c r="B1157" s="42" t="s">
        <v>130</v>
      </c>
      <c r="C1157" s="42" t="s">
        <v>1064</v>
      </c>
      <c r="D1157" s="61">
        <v>4</v>
      </c>
      <c r="E1157" s="62">
        <v>0</v>
      </c>
      <c r="F1157" s="63">
        <v>4</v>
      </c>
    </row>
    <row r="1158" spans="1:6" x14ac:dyDescent="0.25">
      <c r="A1158" s="43" t="s">
        <v>1919</v>
      </c>
      <c r="B1158" s="42" t="s">
        <v>2141</v>
      </c>
      <c r="C1158" s="42" t="s">
        <v>1377</v>
      </c>
      <c r="D1158" s="61">
        <v>6</v>
      </c>
      <c r="E1158" s="62">
        <v>0</v>
      </c>
      <c r="F1158" s="63">
        <v>6</v>
      </c>
    </row>
    <row r="1159" spans="1:6" x14ac:dyDescent="0.25">
      <c r="A1159" s="43" t="s">
        <v>1919</v>
      </c>
      <c r="B1159" s="42" t="s">
        <v>2609</v>
      </c>
      <c r="C1159" s="42" t="s">
        <v>2615</v>
      </c>
      <c r="D1159" s="61">
        <v>1</v>
      </c>
      <c r="E1159" s="62">
        <v>0</v>
      </c>
      <c r="F1159" s="63">
        <v>1</v>
      </c>
    </row>
    <row r="1160" spans="1:6" x14ac:dyDescent="0.25">
      <c r="A1160" s="43" t="s">
        <v>1919</v>
      </c>
      <c r="B1160" s="42" t="s">
        <v>321</v>
      </c>
      <c r="C1160" s="42" t="s">
        <v>1266</v>
      </c>
      <c r="D1160" s="61">
        <v>1</v>
      </c>
      <c r="E1160" s="62">
        <v>0</v>
      </c>
      <c r="F1160" s="63">
        <v>1</v>
      </c>
    </row>
    <row r="1161" spans="1:6" x14ac:dyDescent="0.25">
      <c r="A1161" s="43" t="s">
        <v>1919</v>
      </c>
      <c r="B1161" s="42" t="s">
        <v>316</v>
      </c>
      <c r="C1161" s="42" t="s">
        <v>1260</v>
      </c>
      <c r="D1161" s="61">
        <v>3</v>
      </c>
      <c r="E1161" s="62">
        <v>0</v>
      </c>
      <c r="F1161" s="63">
        <v>3</v>
      </c>
    </row>
    <row r="1162" spans="1:6" x14ac:dyDescent="0.25">
      <c r="A1162" s="43" t="s">
        <v>1919</v>
      </c>
      <c r="B1162" s="42" t="s">
        <v>317</v>
      </c>
      <c r="C1162" s="42" t="s">
        <v>1261</v>
      </c>
      <c r="D1162" s="61">
        <v>1</v>
      </c>
      <c r="E1162" s="62">
        <v>0</v>
      </c>
      <c r="F1162" s="63">
        <v>1</v>
      </c>
    </row>
    <row r="1163" spans="1:6" x14ac:dyDescent="0.25">
      <c r="A1163" s="43" t="s">
        <v>1919</v>
      </c>
      <c r="B1163" s="42" t="s">
        <v>2140</v>
      </c>
      <c r="C1163" s="42" t="s">
        <v>2136</v>
      </c>
      <c r="D1163" s="61">
        <v>1</v>
      </c>
      <c r="E1163" s="62">
        <v>0</v>
      </c>
      <c r="F1163" s="63">
        <v>1</v>
      </c>
    </row>
    <row r="1164" spans="1:6" x14ac:dyDescent="0.25">
      <c r="A1164" s="43" t="s">
        <v>1919</v>
      </c>
      <c r="B1164" s="42" t="s">
        <v>2519</v>
      </c>
      <c r="C1164" s="42" t="s">
        <v>2139</v>
      </c>
      <c r="D1164" s="61">
        <v>12</v>
      </c>
      <c r="E1164" s="62">
        <v>0</v>
      </c>
      <c r="F1164" s="63">
        <v>12</v>
      </c>
    </row>
    <row r="1165" spans="1:6" x14ac:dyDescent="0.25">
      <c r="A1165" s="43" t="s">
        <v>1919</v>
      </c>
      <c r="B1165" s="42" t="s">
        <v>2501</v>
      </c>
      <c r="C1165" s="42" t="s">
        <v>1823</v>
      </c>
      <c r="D1165" s="61">
        <v>10</v>
      </c>
      <c r="E1165" s="62">
        <v>0</v>
      </c>
      <c r="F1165" s="63">
        <v>10</v>
      </c>
    </row>
    <row r="1166" spans="1:6" x14ac:dyDescent="0.25">
      <c r="A1166" s="43" t="s">
        <v>1919</v>
      </c>
      <c r="B1166" s="42" t="s">
        <v>291</v>
      </c>
      <c r="C1166" s="42" t="s">
        <v>1233</v>
      </c>
      <c r="D1166" s="61">
        <v>2</v>
      </c>
      <c r="E1166" s="62">
        <v>0</v>
      </c>
      <c r="F1166" s="63">
        <v>2</v>
      </c>
    </row>
    <row r="1167" spans="1:6" x14ac:dyDescent="0.25">
      <c r="A1167" s="43" t="s">
        <v>1919</v>
      </c>
      <c r="B1167" s="42" t="s">
        <v>2302</v>
      </c>
      <c r="C1167" s="42" t="s">
        <v>2315</v>
      </c>
      <c r="D1167" s="61">
        <v>1</v>
      </c>
      <c r="E1167" s="62">
        <v>0</v>
      </c>
      <c r="F1167" s="63">
        <v>1</v>
      </c>
    </row>
    <row r="1168" spans="1:6" x14ac:dyDescent="0.25">
      <c r="A1168" s="43" t="s">
        <v>1919</v>
      </c>
      <c r="B1168" s="42" t="s">
        <v>1902</v>
      </c>
      <c r="C1168" s="42" t="s">
        <v>1908</v>
      </c>
      <c r="D1168" s="61">
        <v>1</v>
      </c>
      <c r="E1168" s="62">
        <v>0</v>
      </c>
      <c r="F1168" s="63">
        <v>1</v>
      </c>
    </row>
    <row r="1169" spans="1:6" x14ac:dyDescent="0.25">
      <c r="A1169" s="43" t="s">
        <v>1919</v>
      </c>
      <c r="B1169" s="42" t="s">
        <v>2144</v>
      </c>
      <c r="C1169" s="42" t="s">
        <v>1292</v>
      </c>
      <c r="D1169" s="61">
        <v>1</v>
      </c>
      <c r="E1169" s="62">
        <v>0</v>
      </c>
      <c r="F1169" s="63">
        <v>1</v>
      </c>
    </row>
    <row r="1170" spans="1:6" x14ac:dyDescent="0.25">
      <c r="A1170" s="43" t="s">
        <v>1919</v>
      </c>
      <c r="B1170" s="42" t="s">
        <v>1903</v>
      </c>
      <c r="C1170" s="42" t="s">
        <v>1910</v>
      </c>
      <c r="D1170" s="61">
        <v>1</v>
      </c>
      <c r="E1170" s="62">
        <v>0</v>
      </c>
      <c r="F1170" s="63">
        <v>1</v>
      </c>
    </row>
    <row r="1171" spans="1:6" x14ac:dyDescent="0.25">
      <c r="A1171" s="43" t="s">
        <v>1919</v>
      </c>
      <c r="B1171" s="42" t="s">
        <v>221</v>
      </c>
      <c r="C1171" s="42" t="s">
        <v>1159</v>
      </c>
      <c r="D1171" s="61">
        <v>4</v>
      </c>
      <c r="E1171" s="62">
        <v>0</v>
      </c>
      <c r="F1171" s="63">
        <v>4</v>
      </c>
    </row>
    <row r="1172" spans="1:6" x14ac:dyDescent="0.25">
      <c r="A1172" s="43" t="s">
        <v>1919</v>
      </c>
      <c r="B1172" s="42" t="s">
        <v>2629</v>
      </c>
      <c r="C1172" s="42" t="s">
        <v>2631</v>
      </c>
      <c r="D1172" s="61">
        <v>7</v>
      </c>
      <c r="E1172" s="62">
        <v>0</v>
      </c>
      <c r="F1172" s="63">
        <v>7</v>
      </c>
    </row>
    <row r="1173" spans="1:6" x14ac:dyDescent="0.25">
      <c r="A1173" s="43" t="s">
        <v>1919</v>
      </c>
      <c r="B1173" s="42" t="s">
        <v>2630</v>
      </c>
      <c r="C1173" s="42" t="s">
        <v>2632</v>
      </c>
      <c r="D1173" s="61">
        <v>1</v>
      </c>
      <c r="E1173" s="62">
        <v>0</v>
      </c>
      <c r="F1173" s="63">
        <v>1</v>
      </c>
    </row>
    <row r="1174" spans="1:6" x14ac:dyDescent="0.25">
      <c r="A1174" s="43" t="s">
        <v>1919</v>
      </c>
      <c r="B1174" s="42" t="s">
        <v>2555</v>
      </c>
      <c r="C1174" s="42" t="s">
        <v>2600</v>
      </c>
      <c r="D1174" s="61">
        <v>3</v>
      </c>
      <c r="E1174" s="62">
        <v>0</v>
      </c>
      <c r="F1174" s="63">
        <v>3</v>
      </c>
    </row>
    <row r="1175" spans="1:6" x14ac:dyDescent="0.25">
      <c r="A1175" s="43" t="s">
        <v>1919</v>
      </c>
      <c r="B1175" s="42" t="s">
        <v>2034</v>
      </c>
      <c r="C1175" s="42" t="s">
        <v>2054</v>
      </c>
      <c r="D1175" s="61">
        <v>4</v>
      </c>
      <c r="E1175" s="62">
        <v>0</v>
      </c>
      <c r="F1175" s="63">
        <v>4</v>
      </c>
    </row>
    <row r="1176" spans="1:6" x14ac:dyDescent="0.25">
      <c r="A1176" s="43" t="s">
        <v>1919</v>
      </c>
      <c r="B1176" s="42" t="s">
        <v>2170</v>
      </c>
      <c r="C1176" s="42" t="s">
        <v>2178</v>
      </c>
      <c r="D1176" s="61">
        <v>3</v>
      </c>
      <c r="E1176" s="62">
        <v>0</v>
      </c>
      <c r="F1176" s="63">
        <v>3</v>
      </c>
    </row>
    <row r="1177" spans="1:6" x14ac:dyDescent="0.25">
      <c r="A1177" s="43" t="s">
        <v>1919</v>
      </c>
      <c r="B1177" s="42" t="s">
        <v>2557</v>
      </c>
      <c r="C1177" s="42" t="s">
        <v>2363</v>
      </c>
      <c r="D1177" s="61">
        <v>1</v>
      </c>
      <c r="E1177" s="62">
        <v>0</v>
      </c>
      <c r="F1177" s="63">
        <v>1</v>
      </c>
    </row>
    <row r="1178" spans="1:6" x14ac:dyDescent="0.25">
      <c r="A1178" s="43" t="s">
        <v>1919</v>
      </c>
      <c r="B1178" s="42" t="s">
        <v>2556</v>
      </c>
      <c r="C1178" s="42" t="s">
        <v>2362</v>
      </c>
      <c r="D1178" s="61">
        <v>2</v>
      </c>
      <c r="E1178" s="62">
        <v>0</v>
      </c>
      <c r="F1178" s="63">
        <v>2</v>
      </c>
    </row>
    <row r="1179" spans="1:6" x14ac:dyDescent="0.25">
      <c r="A1179" s="43" t="s">
        <v>1919</v>
      </c>
      <c r="B1179" s="42" t="s">
        <v>2148</v>
      </c>
      <c r="C1179" s="42" t="s">
        <v>2146</v>
      </c>
      <c r="D1179" s="61">
        <v>5</v>
      </c>
      <c r="E1179" s="62">
        <v>5</v>
      </c>
      <c r="F1179" s="63">
        <v>0</v>
      </c>
    </row>
    <row r="1180" spans="1:6" x14ac:dyDescent="0.25">
      <c r="A1180" s="43" t="s">
        <v>1919</v>
      </c>
      <c r="B1180" s="42" t="s">
        <v>2308</v>
      </c>
      <c r="C1180" s="42" t="s">
        <v>2321</v>
      </c>
      <c r="D1180" s="61">
        <v>1</v>
      </c>
      <c r="E1180" s="62">
        <v>0</v>
      </c>
      <c r="F1180" s="63">
        <v>1</v>
      </c>
    </row>
    <row r="1181" spans="1:6" x14ac:dyDescent="0.25">
      <c r="A1181" s="43" t="s">
        <v>1919</v>
      </c>
      <c r="B1181" s="42" t="s">
        <v>832</v>
      </c>
      <c r="C1181" s="42" t="s">
        <v>1822</v>
      </c>
      <c r="D1181" s="61">
        <v>2</v>
      </c>
      <c r="E1181" s="62">
        <v>0</v>
      </c>
      <c r="F1181" s="63">
        <v>2</v>
      </c>
    </row>
    <row r="1182" spans="1:6" x14ac:dyDescent="0.25">
      <c r="A1182" s="43" t="s">
        <v>1919</v>
      </c>
      <c r="B1182" s="42" t="s">
        <v>857</v>
      </c>
      <c r="C1182" s="42" t="s">
        <v>1852</v>
      </c>
      <c r="D1182" s="61">
        <v>1</v>
      </c>
      <c r="E1182" s="62">
        <v>0</v>
      </c>
      <c r="F1182" s="63">
        <v>1</v>
      </c>
    </row>
    <row r="1183" spans="1:6" x14ac:dyDescent="0.25">
      <c r="A1183" s="43" t="s">
        <v>1919</v>
      </c>
      <c r="B1183" s="42" t="s">
        <v>2125</v>
      </c>
      <c r="C1183" s="42" t="s">
        <v>2135</v>
      </c>
      <c r="D1183" s="61">
        <v>10</v>
      </c>
      <c r="E1183" s="62">
        <v>0</v>
      </c>
      <c r="F1183" s="63">
        <v>10</v>
      </c>
    </row>
    <row r="1184" spans="1:6" x14ac:dyDescent="0.25">
      <c r="A1184" s="43" t="s">
        <v>1919</v>
      </c>
      <c r="B1184" s="42" t="s">
        <v>2551</v>
      </c>
      <c r="C1184" s="42" t="s">
        <v>2358</v>
      </c>
      <c r="D1184" s="61">
        <v>1</v>
      </c>
      <c r="E1184" s="62">
        <v>0</v>
      </c>
      <c r="F1184" s="63">
        <v>1</v>
      </c>
    </row>
    <row r="1185" spans="1:6" x14ac:dyDescent="0.25">
      <c r="A1185" s="43" t="s">
        <v>1919</v>
      </c>
      <c r="B1185" s="42" t="s">
        <v>335</v>
      </c>
      <c r="C1185" s="42" t="s">
        <v>1280</v>
      </c>
      <c r="D1185" s="61">
        <v>1</v>
      </c>
      <c r="E1185" s="62">
        <v>0</v>
      </c>
      <c r="F1185" s="63">
        <v>1</v>
      </c>
    </row>
    <row r="1186" spans="1:6" x14ac:dyDescent="0.25">
      <c r="A1186" s="43" t="s">
        <v>1919</v>
      </c>
      <c r="B1186" s="42" t="s">
        <v>2561</v>
      </c>
      <c r="C1186" s="42" t="s">
        <v>2366</v>
      </c>
      <c r="D1186" s="61">
        <v>5</v>
      </c>
      <c r="E1186" s="62">
        <v>0</v>
      </c>
      <c r="F1186" s="63">
        <v>5</v>
      </c>
    </row>
    <row r="1187" spans="1:6" x14ac:dyDescent="0.25">
      <c r="A1187" s="43" t="s">
        <v>1919</v>
      </c>
      <c r="B1187" s="42" t="s">
        <v>149</v>
      </c>
      <c r="C1187" s="42" t="s">
        <v>1083</v>
      </c>
      <c r="D1187" s="61">
        <v>1</v>
      </c>
      <c r="E1187" s="62">
        <v>0</v>
      </c>
      <c r="F1187" s="63">
        <v>1</v>
      </c>
    </row>
    <row r="1188" spans="1:6" x14ac:dyDescent="0.25">
      <c r="A1188" s="43" t="s">
        <v>1919</v>
      </c>
      <c r="B1188" s="42" t="s">
        <v>2543</v>
      </c>
      <c r="C1188" s="42" t="s">
        <v>2380</v>
      </c>
      <c r="D1188" s="61">
        <v>8</v>
      </c>
      <c r="E1188" s="62">
        <v>0</v>
      </c>
      <c r="F1188" s="63">
        <v>8</v>
      </c>
    </row>
    <row r="1189" spans="1:6" x14ac:dyDescent="0.25">
      <c r="A1189" s="43" t="s">
        <v>1919</v>
      </c>
      <c r="B1189" s="42" t="s">
        <v>2074</v>
      </c>
      <c r="C1189" s="42" t="s">
        <v>2081</v>
      </c>
      <c r="D1189" s="61">
        <v>2</v>
      </c>
      <c r="E1189" s="62">
        <v>0</v>
      </c>
      <c r="F1189" s="63">
        <v>2</v>
      </c>
    </row>
    <row r="1190" spans="1:6" x14ac:dyDescent="0.25">
      <c r="A1190" s="43" t="s">
        <v>1919</v>
      </c>
      <c r="B1190" s="42" t="s">
        <v>2516</v>
      </c>
      <c r="C1190" s="42" t="s">
        <v>2053</v>
      </c>
      <c r="D1190" s="61">
        <v>1</v>
      </c>
      <c r="E1190" s="62">
        <v>0</v>
      </c>
      <c r="F1190" s="63">
        <v>1</v>
      </c>
    </row>
    <row r="1191" spans="1:6" x14ac:dyDescent="0.25">
      <c r="A1191" s="43" t="s">
        <v>1919</v>
      </c>
      <c r="B1191" s="42" t="s">
        <v>1924</v>
      </c>
      <c r="C1191" s="42" t="s">
        <v>1943</v>
      </c>
      <c r="D1191" s="61">
        <v>1</v>
      </c>
      <c r="E1191" s="62">
        <v>0</v>
      </c>
      <c r="F1191" s="63">
        <v>1</v>
      </c>
    </row>
    <row r="1192" spans="1:6" x14ac:dyDescent="0.25">
      <c r="A1192" s="43" t="s">
        <v>1919</v>
      </c>
      <c r="B1192" s="42" t="s">
        <v>1925</v>
      </c>
      <c r="C1192" s="42" t="s">
        <v>1944</v>
      </c>
      <c r="D1192" s="61">
        <v>1</v>
      </c>
      <c r="E1192" s="62">
        <v>0</v>
      </c>
      <c r="F1192" s="63">
        <v>1</v>
      </c>
    </row>
    <row r="1193" spans="1:6" x14ac:dyDescent="0.25">
      <c r="A1193" s="43" t="s">
        <v>1919</v>
      </c>
      <c r="B1193" s="42" t="s">
        <v>332</v>
      </c>
      <c r="C1193" s="42" t="s">
        <v>1277</v>
      </c>
      <c r="D1193" s="61">
        <v>1</v>
      </c>
      <c r="E1193" s="62">
        <v>0</v>
      </c>
      <c r="F1193" s="63">
        <v>1</v>
      </c>
    </row>
    <row r="1194" spans="1:6" x14ac:dyDescent="0.25">
      <c r="A1194" s="43" t="s">
        <v>1919</v>
      </c>
      <c r="B1194" s="42" t="s">
        <v>333</v>
      </c>
      <c r="C1194" s="42" t="s">
        <v>1278</v>
      </c>
      <c r="D1194" s="61">
        <v>1</v>
      </c>
      <c r="E1194" s="62">
        <v>0</v>
      </c>
      <c r="F1194" s="63">
        <v>1</v>
      </c>
    </row>
    <row r="1195" spans="1:6" x14ac:dyDescent="0.25">
      <c r="A1195" s="43" t="s">
        <v>1919</v>
      </c>
      <c r="B1195" s="42" t="s">
        <v>2576</v>
      </c>
      <c r="C1195" s="42" t="s">
        <v>2452</v>
      </c>
      <c r="D1195" s="61">
        <v>12</v>
      </c>
      <c r="E1195" s="62">
        <v>0</v>
      </c>
      <c r="F1195" s="63">
        <v>12</v>
      </c>
    </row>
    <row r="1196" spans="1:6" x14ac:dyDescent="0.25">
      <c r="A1196" s="43" t="s">
        <v>1919</v>
      </c>
      <c r="B1196" s="42" t="s">
        <v>2559</v>
      </c>
      <c r="C1196" s="42" t="s">
        <v>2365</v>
      </c>
      <c r="D1196" s="61">
        <v>5</v>
      </c>
      <c r="E1196" s="62">
        <v>0</v>
      </c>
      <c r="F1196" s="63">
        <v>5</v>
      </c>
    </row>
    <row r="1197" spans="1:6" x14ac:dyDescent="0.25">
      <c r="A1197" s="43" t="s">
        <v>1919</v>
      </c>
      <c r="B1197" s="42" t="s">
        <v>2188</v>
      </c>
      <c r="C1197" s="42" t="s">
        <v>2197</v>
      </c>
      <c r="D1197" s="61">
        <v>3</v>
      </c>
      <c r="E1197" s="62">
        <v>0</v>
      </c>
      <c r="F1197" s="63">
        <v>3</v>
      </c>
    </row>
    <row r="1198" spans="1:6" x14ac:dyDescent="0.25">
      <c r="A1198" s="43" t="s">
        <v>1919</v>
      </c>
      <c r="B1198" s="42" t="s">
        <v>2071</v>
      </c>
      <c r="C1198" s="42" t="s">
        <v>2078</v>
      </c>
      <c r="D1198" s="61">
        <v>1</v>
      </c>
      <c r="E1198" s="62">
        <v>0</v>
      </c>
      <c r="F1198" s="63">
        <v>1</v>
      </c>
    </row>
    <row r="1199" spans="1:6" x14ac:dyDescent="0.25">
      <c r="A1199" s="43" t="s">
        <v>1919</v>
      </c>
      <c r="B1199" s="42" t="s">
        <v>2518</v>
      </c>
      <c r="C1199" s="42" t="s">
        <v>2129</v>
      </c>
      <c r="D1199" s="61">
        <v>1</v>
      </c>
      <c r="E1199" s="62">
        <v>0</v>
      </c>
      <c r="F1199" s="63">
        <v>1</v>
      </c>
    </row>
    <row r="1200" spans="1:6" x14ac:dyDescent="0.25">
      <c r="A1200" s="43" t="s">
        <v>1919</v>
      </c>
      <c r="B1200" s="42" t="s">
        <v>2123</v>
      </c>
      <c r="C1200" s="42" t="s">
        <v>2133</v>
      </c>
      <c r="D1200" s="61">
        <v>1</v>
      </c>
      <c r="E1200" s="62">
        <v>0</v>
      </c>
      <c r="F1200" s="63">
        <v>1</v>
      </c>
    </row>
    <row r="1201" spans="1:6" x14ac:dyDescent="0.25">
      <c r="A1201" s="43" t="s">
        <v>1919</v>
      </c>
      <c r="B1201" s="42" t="s">
        <v>2121</v>
      </c>
      <c r="C1201" s="42" t="s">
        <v>2131</v>
      </c>
      <c r="D1201" s="61">
        <v>1</v>
      </c>
      <c r="E1201" s="62">
        <v>0</v>
      </c>
      <c r="F1201" s="63">
        <v>1</v>
      </c>
    </row>
    <row r="1202" spans="1:6" x14ac:dyDescent="0.25">
      <c r="A1202" s="43" t="s">
        <v>1919</v>
      </c>
      <c r="B1202" s="42" t="s">
        <v>2120</v>
      </c>
      <c r="C1202" s="42" t="s">
        <v>2130</v>
      </c>
      <c r="D1202" s="61">
        <v>2</v>
      </c>
      <c r="E1202" s="62">
        <v>0</v>
      </c>
      <c r="F1202" s="63">
        <v>2</v>
      </c>
    </row>
    <row r="1203" spans="1:6" x14ac:dyDescent="0.25">
      <c r="A1203" s="43" t="s">
        <v>1919</v>
      </c>
      <c r="B1203" s="42" t="s">
        <v>2122</v>
      </c>
      <c r="C1203" s="42" t="s">
        <v>2132</v>
      </c>
      <c r="D1203" s="61">
        <v>6</v>
      </c>
      <c r="E1203" s="62">
        <v>0</v>
      </c>
      <c r="F1203" s="63">
        <v>6</v>
      </c>
    </row>
    <row r="1204" spans="1:6" x14ac:dyDescent="0.25">
      <c r="A1204" s="43" t="s">
        <v>1919</v>
      </c>
      <c r="B1204" s="42" t="s">
        <v>682</v>
      </c>
      <c r="C1204" s="42" t="s">
        <v>1652</v>
      </c>
      <c r="D1204" s="61">
        <v>1</v>
      </c>
      <c r="E1204" s="62">
        <v>0</v>
      </c>
      <c r="F1204" s="63">
        <v>1</v>
      </c>
    </row>
    <row r="1205" spans="1:6" x14ac:dyDescent="0.25">
      <c r="A1205" s="43" t="s">
        <v>1919</v>
      </c>
      <c r="B1205" s="42" t="s">
        <v>415</v>
      </c>
      <c r="C1205" s="42" t="s">
        <v>1371</v>
      </c>
      <c r="D1205" s="61">
        <v>2</v>
      </c>
      <c r="E1205" s="62">
        <v>0</v>
      </c>
      <c r="F1205" s="63">
        <v>2</v>
      </c>
    </row>
    <row r="1206" spans="1:6" x14ac:dyDescent="0.25">
      <c r="A1206" s="43" t="s">
        <v>1919</v>
      </c>
      <c r="B1206" s="42" t="s">
        <v>2310</v>
      </c>
      <c r="C1206" s="42" t="s">
        <v>2323</v>
      </c>
      <c r="D1206" s="61">
        <v>1</v>
      </c>
      <c r="E1206" s="62">
        <v>0</v>
      </c>
      <c r="F1206" s="63">
        <v>1</v>
      </c>
    </row>
    <row r="1207" spans="1:6" x14ac:dyDescent="0.25">
      <c r="A1207" s="43" t="s">
        <v>1919</v>
      </c>
      <c r="B1207" s="42" t="s">
        <v>2326</v>
      </c>
      <c r="C1207" s="42" t="s">
        <v>2327</v>
      </c>
      <c r="D1207" s="61">
        <v>6</v>
      </c>
      <c r="E1207" s="62">
        <v>0</v>
      </c>
      <c r="F1207" s="63">
        <v>6</v>
      </c>
    </row>
    <row r="1208" spans="1:6" x14ac:dyDescent="0.25">
      <c r="A1208" s="43" t="s">
        <v>1919</v>
      </c>
      <c r="B1208" s="42" t="s">
        <v>2523</v>
      </c>
      <c r="C1208" s="42" t="s">
        <v>2249</v>
      </c>
      <c r="D1208" s="61">
        <v>3</v>
      </c>
      <c r="E1208" s="62">
        <v>0</v>
      </c>
      <c r="F1208" s="63">
        <v>3</v>
      </c>
    </row>
    <row r="1209" spans="1:6" x14ac:dyDescent="0.25">
      <c r="A1209" s="43" t="s">
        <v>1919</v>
      </c>
      <c r="B1209" s="42" t="s">
        <v>2513</v>
      </c>
      <c r="C1209" s="42" t="s">
        <v>1981</v>
      </c>
      <c r="D1209" s="61">
        <v>6</v>
      </c>
      <c r="E1209" s="62">
        <v>0</v>
      </c>
      <c r="F1209" s="63">
        <v>6</v>
      </c>
    </row>
    <row r="1210" spans="1:6" x14ac:dyDescent="0.25">
      <c r="A1210" s="43" t="s">
        <v>1919</v>
      </c>
      <c r="B1210" s="42" t="s">
        <v>161</v>
      </c>
      <c r="C1210" s="42" t="s">
        <v>1096</v>
      </c>
      <c r="D1210" s="61">
        <v>1</v>
      </c>
      <c r="E1210" s="62">
        <v>0</v>
      </c>
      <c r="F1210" s="63">
        <v>1</v>
      </c>
    </row>
    <row r="1211" spans="1:6" x14ac:dyDescent="0.25">
      <c r="A1211" s="43" t="s">
        <v>1919</v>
      </c>
      <c r="B1211" s="42" t="s">
        <v>2575</v>
      </c>
      <c r="C1211" s="42" t="s">
        <v>2451</v>
      </c>
      <c r="D1211" s="61">
        <v>10</v>
      </c>
      <c r="E1211" s="62">
        <v>0</v>
      </c>
      <c r="F1211" s="63">
        <v>10</v>
      </c>
    </row>
    <row r="1212" spans="1:6" x14ac:dyDescent="0.25">
      <c r="A1212" s="43" t="s">
        <v>1919</v>
      </c>
      <c r="B1212" s="42" t="s">
        <v>2568</v>
      </c>
      <c r="C1212" s="42" t="s">
        <v>2443</v>
      </c>
      <c r="D1212" s="61">
        <v>8</v>
      </c>
      <c r="E1212" s="62">
        <v>0</v>
      </c>
      <c r="F1212" s="63">
        <v>8</v>
      </c>
    </row>
    <row r="1213" spans="1:6" x14ac:dyDescent="0.25">
      <c r="A1213" s="43" t="s">
        <v>1919</v>
      </c>
      <c r="B1213" s="42" t="s">
        <v>1963</v>
      </c>
      <c r="C1213" s="42" t="s">
        <v>1976</v>
      </c>
      <c r="D1213" s="61">
        <v>5</v>
      </c>
      <c r="E1213" s="62">
        <v>0</v>
      </c>
      <c r="F1213" s="63">
        <v>5</v>
      </c>
    </row>
    <row r="1214" spans="1:6" x14ac:dyDescent="0.25">
      <c r="A1214" s="43" t="s">
        <v>1919</v>
      </c>
      <c r="B1214" s="42" t="s">
        <v>2532</v>
      </c>
      <c r="C1214" s="42" t="s">
        <v>2371</v>
      </c>
      <c r="D1214" s="61">
        <v>3</v>
      </c>
      <c r="E1214" s="62">
        <v>0</v>
      </c>
      <c r="F1214" s="63">
        <v>3</v>
      </c>
    </row>
    <row r="1215" spans="1:6" x14ac:dyDescent="0.25">
      <c r="A1215" s="43" t="s">
        <v>1919</v>
      </c>
      <c r="B1215" s="42" t="s">
        <v>2527</v>
      </c>
      <c r="C1215" s="42" t="s">
        <v>2432</v>
      </c>
      <c r="D1215" s="61">
        <v>3</v>
      </c>
      <c r="E1215" s="62">
        <v>0</v>
      </c>
      <c r="F1215" s="63">
        <v>3</v>
      </c>
    </row>
    <row r="1216" spans="1:6" x14ac:dyDescent="0.25">
      <c r="A1216" s="43" t="s">
        <v>1919</v>
      </c>
      <c r="B1216" s="42" t="s">
        <v>2212</v>
      </c>
      <c r="C1216" s="42" t="s">
        <v>2213</v>
      </c>
      <c r="D1216" s="61">
        <v>1</v>
      </c>
      <c r="E1216" s="62">
        <v>0</v>
      </c>
      <c r="F1216" s="63">
        <v>1</v>
      </c>
    </row>
    <row r="1217" spans="1:6" x14ac:dyDescent="0.25">
      <c r="A1217" s="43" t="s">
        <v>1919</v>
      </c>
      <c r="B1217" s="42" t="s">
        <v>2481</v>
      </c>
      <c r="C1217" s="42" t="s">
        <v>1496</v>
      </c>
      <c r="D1217" s="61">
        <v>3</v>
      </c>
      <c r="E1217" s="62">
        <v>0</v>
      </c>
      <c r="F1217" s="63">
        <v>3</v>
      </c>
    </row>
    <row r="1218" spans="1:6" x14ac:dyDescent="0.25">
      <c r="A1218" s="43" t="s">
        <v>1919</v>
      </c>
      <c r="B1218" s="42" t="s">
        <v>534</v>
      </c>
      <c r="C1218" s="42" t="s">
        <v>1497</v>
      </c>
      <c r="D1218" s="61">
        <v>1</v>
      </c>
      <c r="E1218" s="62">
        <v>0</v>
      </c>
      <c r="F1218" s="63">
        <v>1</v>
      </c>
    </row>
    <row r="1219" spans="1:6" x14ac:dyDescent="0.25">
      <c r="A1219" s="43" t="s">
        <v>1919</v>
      </c>
      <c r="B1219" s="42" t="s">
        <v>694</v>
      </c>
      <c r="C1219" s="42" t="s">
        <v>1666</v>
      </c>
      <c r="D1219" s="61">
        <v>2</v>
      </c>
      <c r="E1219" s="62">
        <v>0</v>
      </c>
      <c r="F1219" s="63">
        <v>2</v>
      </c>
    </row>
    <row r="1220" spans="1:6" x14ac:dyDescent="0.25">
      <c r="A1220" s="43" t="s">
        <v>1919</v>
      </c>
      <c r="B1220" s="42" t="s">
        <v>2606</v>
      </c>
      <c r="C1220" s="42" t="s">
        <v>2612</v>
      </c>
      <c r="D1220" s="61">
        <v>2</v>
      </c>
      <c r="E1220" s="62">
        <v>0</v>
      </c>
      <c r="F1220" s="63">
        <v>2</v>
      </c>
    </row>
    <row r="1221" spans="1:6" x14ac:dyDescent="0.25">
      <c r="A1221" s="43" t="s">
        <v>1919</v>
      </c>
      <c r="B1221" s="42" t="s">
        <v>2306</v>
      </c>
      <c r="C1221" s="42" t="s">
        <v>2319</v>
      </c>
      <c r="D1221" s="61">
        <v>1</v>
      </c>
      <c r="E1221" s="62">
        <v>0</v>
      </c>
      <c r="F1221" s="63">
        <v>1</v>
      </c>
    </row>
    <row r="1222" spans="1:6" x14ac:dyDescent="0.25">
      <c r="A1222" s="43" t="s">
        <v>1919</v>
      </c>
      <c r="B1222" s="42" t="s">
        <v>2305</v>
      </c>
      <c r="C1222" s="42" t="s">
        <v>2318</v>
      </c>
      <c r="D1222" s="61">
        <v>1</v>
      </c>
      <c r="E1222" s="62">
        <v>0</v>
      </c>
      <c r="F1222" s="63">
        <v>1</v>
      </c>
    </row>
    <row r="1223" spans="1:6" x14ac:dyDescent="0.25">
      <c r="A1223" s="43" t="s">
        <v>1919</v>
      </c>
      <c r="B1223" s="42" t="s">
        <v>2550</v>
      </c>
      <c r="C1223" s="42" t="s">
        <v>2357</v>
      </c>
      <c r="D1223" s="61">
        <v>2</v>
      </c>
      <c r="E1223" s="62">
        <v>0</v>
      </c>
      <c r="F1223" s="63">
        <v>2</v>
      </c>
    </row>
    <row r="1224" spans="1:6" x14ac:dyDescent="0.25">
      <c r="A1224" s="43" t="s">
        <v>1919</v>
      </c>
      <c r="B1224" s="42" t="s">
        <v>2549</v>
      </c>
      <c r="C1224" s="42" t="s">
        <v>2356</v>
      </c>
      <c r="D1224" s="61">
        <v>2</v>
      </c>
      <c r="E1224" s="62">
        <v>0</v>
      </c>
      <c r="F1224" s="63">
        <v>2</v>
      </c>
    </row>
    <row r="1225" spans="1:6" x14ac:dyDescent="0.25">
      <c r="A1225" s="43" t="s">
        <v>1919</v>
      </c>
      <c r="B1225" s="42" t="s">
        <v>2215</v>
      </c>
      <c r="C1225" s="42" t="s">
        <v>2220</v>
      </c>
      <c r="D1225" s="61">
        <v>30</v>
      </c>
      <c r="E1225" s="62">
        <v>0</v>
      </c>
      <c r="F1225" s="63">
        <v>30</v>
      </c>
    </row>
    <row r="1226" spans="1:6" x14ac:dyDescent="0.25">
      <c r="A1226" s="43" t="s">
        <v>1919</v>
      </c>
      <c r="B1226" s="42" t="s">
        <v>2530</v>
      </c>
      <c r="C1226" s="42" t="s">
        <v>2435</v>
      </c>
      <c r="D1226" s="61">
        <v>20</v>
      </c>
      <c r="E1226" s="62">
        <v>0</v>
      </c>
      <c r="F1226" s="63">
        <v>20</v>
      </c>
    </row>
    <row r="1227" spans="1:6" x14ac:dyDescent="0.25">
      <c r="A1227" s="43" t="s">
        <v>1919</v>
      </c>
      <c r="B1227" s="42" t="s">
        <v>2548</v>
      </c>
      <c r="C1227" s="42" t="s">
        <v>2355</v>
      </c>
      <c r="D1227" s="61">
        <v>1</v>
      </c>
      <c r="E1227" s="62">
        <v>0</v>
      </c>
      <c r="F1227" s="63">
        <v>1</v>
      </c>
    </row>
    <row r="1228" spans="1:6" x14ac:dyDescent="0.25">
      <c r="A1228" s="43" t="s">
        <v>1919</v>
      </c>
      <c r="B1228" s="42" t="s">
        <v>2566</v>
      </c>
      <c r="C1228" s="42" t="s">
        <v>2440</v>
      </c>
      <c r="D1228" s="61">
        <v>3</v>
      </c>
      <c r="E1228" s="62">
        <v>0</v>
      </c>
      <c r="F1228" s="63">
        <v>3</v>
      </c>
    </row>
    <row r="1229" spans="1:6" x14ac:dyDescent="0.25">
      <c r="A1229" s="43" t="s">
        <v>1919</v>
      </c>
      <c r="B1229" s="42" t="s">
        <v>2094</v>
      </c>
      <c r="C1229" s="42" t="s">
        <v>2095</v>
      </c>
      <c r="D1229" s="61">
        <v>2</v>
      </c>
      <c r="E1229" s="62">
        <v>0</v>
      </c>
      <c r="F1229" s="63">
        <v>2</v>
      </c>
    </row>
    <row r="1230" spans="1:6" x14ac:dyDescent="0.25">
      <c r="A1230" s="43" t="s">
        <v>1919</v>
      </c>
      <c r="B1230" s="42" t="s">
        <v>2298</v>
      </c>
      <c r="C1230" s="42" t="s">
        <v>2311</v>
      </c>
      <c r="D1230" s="61">
        <v>25</v>
      </c>
      <c r="E1230" s="62">
        <v>0</v>
      </c>
      <c r="F1230" s="63">
        <v>25</v>
      </c>
    </row>
    <row r="1231" spans="1:6" x14ac:dyDescent="0.25">
      <c r="A1231" s="43" t="s">
        <v>1919</v>
      </c>
      <c r="B1231" s="42" t="s">
        <v>2307</v>
      </c>
      <c r="C1231" s="42" t="s">
        <v>2320</v>
      </c>
      <c r="D1231" s="61">
        <v>30</v>
      </c>
      <c r="E1231" s="62">
        <v>0</v>
      </c>
      <c r="F1231" s="63">
        <v>30</v>
      </c>
    </row>
    <row r="1232" spans="1:6" x14ac:dyDescent="0.25">
      <c r="A1232" s="43" t="s">
        <v>1919</v>
      </c>
      <c r="B1232" s="42" t="s">
        <v>1940</v>
      </c>
      <c r="C1232" s="42" t="s">
        <v>1960</v>
      </c>
      <c r="D1232" s="61">
        <v>3</v>
      </c>
      <c r="E1232" s="62">
        <v>0</v>
      </c>
      <c r="F1232" s="63">
        <v>3</v>
      </c>
    </row>
    <row r="1233" spans="1:6" x14ac:dyDescent="0.25">
      <c r="A1233" s="43" t="s">
        <v>1919</v>
      </c>
      <c r="B1233" s="42" t="s">
        <v>1938</v>
      </c>
      <c r="C1233" s="42" t="s">
        <v>1958</v>
      </c>
      <c r="D1233" s="61">
        <v>1</v>
      </c>
      <c r="E1233" s="62">
        <v>0</v>
      </c>
      <c r="F1233" s="63">
        <v>1</v>
      </c>
    </row>
    <row r="1234" spans="1:6" x14ac:dyDescent="0.25">
      <c r="A1234" s="43" t="s">
        <v>1919</v>
      </c>
      <c r="B1234" s="42" t="s">
        <v>2256</v>
      </c>
      <c r="C1234" s="42" t="s">
        <v>2261</v>
      </c>
      <c r="D1234" s="61">
        <v>35</v>
      </c>
      <c r="E1234" s="62">
        <v>0</v>
      </c>
      <c r="F1234" s="63">
        <v>35</v>
      </c>
    </row>
    <row r="1235" spans="1:6" x14ac:dyDescent="0.25">
      <c r="A1235" s="43" t="s">
        <v>1919</v>
      </c>
      <c r="B1235" s="42" t="s">
        <v>2098</v>
      </c>
      <c r="C1235" s="42" t="s">
        <v>2099</v>
      </c>
      <c r="D1235" s="61">
        <v>1.5</v>
      </c>
      <c r="E1235" s="62">
        <v>0</v>
      </c>
      <c r="F1235" s="63">
        <v>1.5</v>
      </c>
    </row>
    <row r="1236" spans="1:6" x14ac:dyDescent="0.25">
      <c r="A1236" s="43" t="s">
        <v>1919</v>
      </c>
      <c r="B1236" s="42" t="s">
        <v>2546</v>
      </c>
      <c r="C1236" s="42" t="s">
        <v>2352</v>
      </c>
      <c r="D1236" s="61">
        <v>20</v>
      </c>
      <c r="E1236" s="62">
        <v>0</v>
      </c>
      <c r="F1236" s="63">
        <v>20</v>
      </c>
    </row>
    <row r="1237" spans="1:6" x14ac:dyDescent="0.25">
      <c r="A1237" s="43" t="s">
        <v>1919</v>
      </c>
      <c r="B1237" s="42" t="s">
        <v>2265</v>
      </c>
      <c r="C1237" s="42" t="s">
        <v>2270</v>
      </c>
      <c r="D1237" s="61">
        <v>10</v>
      </c>
      <c r="E1237" s="62">
        <v>0</v>
      </c>
      <c r="F1237" s="63">
        <v>10</v>
      </c>
    </row>
    <row r="1238" spans="1:6" x14ac:dyDescent="0.25">
      <c r="A1238" s="43" t="s">
        <v>1919</v>
      </c>
      <c r="B1238" s="42" t="s">
        <v>2216</v>
      </c>
      <c r="C1238" s="42" t="s">
        <v>2221</v>
      </c>
      <c r="D1238" s="61">
        <v>3</v>
      </c>
      <c r="E1238" s="62">
        <v>0</v>
      </c>
      <c r="F1238" s="63">
        <v>3</v>
      </c>
    </row>
    <row r="1239" spans="1:6" x14ac:dyDescent="0.25">
      <c r="A1239" s="43" t="s">
        <v>1919</v>
      </c>
      <c r="B1239" s="42" t="s">
        <v>2217</v>
      </c>
      <c r="C1239" s="42" t="s">
        <v>2222</v>
      </c>
      <c r="D1239" s="61">
        <v>2</v>
      </c>
      <c r="E1239" s="62">
        <v>0</v>
      </c>
      <c r="F1239" s="63">
        <v>2</v>
      </c>
    </row>
    <row r="1240" spans="1:6" x14ac:dyDescent="0.25">
      <c r="A1240" s="43" t="s">
        <v>1919</v>
      </c>
      <c r="B1240" s="42" t="s">
        <v>2246</v>
      </c>
      <c r="C1240" s="42" t="s">
        <v>2248</v>
      </c>
      <c r="D1240" s="61">
        <v>2</v>
      </c>
      <c r="E1240" s="62">
        <v>0</v>
      </c>
      <c r="F1240" s="63">
        <v>2</v>
      </c>
    </row>
    <row r="1241" spans="1:6" x14ac:dyDescent="0.25">
      <c r="A1241" s="43" t="s">
        <v>1919</v>
      </c>
      <c r="B1241" s="42" t="s">
        <v>398</v>
      </c>
      <c r="C1241" s="42" t="s">
        <v>1353</v>
      </c>
      <c r="D1241" s="61">
        <v>2</v>
      </c>
      <c r="E1241" s="62">
        <v>0</v>
      </c>
      <c r="F1241" s="63">
        <v>2</v>
      </c>
    </row>
    <row r="1242" spans="1:6" x14ac:dyDescent="0.25">
      <c r="A1242" s="43" t="s">
        <v>1919</v>
      </c>
      <c r="B1242" s="42" t="s">
        <v>2020</v>
      </c>
      <c r="C1242" s="42" t="s">
        <v>2021</v>
      </c>
      <c r="D1242" s="61">
        <v>1</v>
      </c>
      <c r="E1242" s="62">
        <v>0</v>
      </c>
      <c r="F1242" s="63">
        <v>1</v>
      </c>
    </row>
    <row r="1243" spans="1:6" x14ac:dyDescent="0.25">
      <c r="A1243" s="43" t="s">
        <v>1919</v>
      </c>
      <c r="B1243" s="42" t="s">
        <v>568</v>
      </c>
      <c r="C1243" s="42" t="s">
        <v>1532</v>
      </c>
      <c r="D1243" s="61">
        <v>1</v>
      </c>
      <c r="E1243" s="62">
        <v>0</v>
      </c>
      <c r="F1243" s="63">
        <v>1</v>
      </c>
    </row>
    <row r="1244" spans="1:6" x14ac:dyDescent="0.25">
      <c r="A1244" s="43" t="s">
        <v>1919</v>
      </c>
      <c r="B1244" s="42" t="s">
        <v>575</v>
      </c>
      <c r="C1244" s="42" t="s">
        <v>1539</v>
      </c>
      <c r="D1244" s="61">
        <v>1</v>
      </c>
      <c r="E1244" s="62">
        <v>0</v>
      </c>
      <c r="F1244" s="63">
        <v>1</v>
      </c>
    </row>
    <row r="1245" spans="1:6" x14ac:dyDescent="0.25">
      <c r="A1245" s="43" t="s">
        <v>1919</v>
      </c>
      <c r="B1245" s="42" t="s">
        <v>59</v>
      </c>
      <c r="C1245" s="42" t="s">
        <v>988</v>
      </c>
      <c r="D1245" s="61">
        <v>1</v>
      </c>
      <c r="E1245" s="62">
        <v>0</v>
      </c>
      <c r="F1245" s="63">
        <v>1</v>
      </c>
    </row>
    <row r="1246" spans="1:6" x14ac:dyDescent="0.25">
      <c r="A1246" s="43" t="s">
        <v>1919</v>
      </c>
      <c r="B1246" s="42" t="s">
        <v>2608</v>
      </c>
      <c r="C1246" s="42" t="s">
        <v>2614</v>
      </c>
      <c r="D1246" s="61">
        <v>1</v>
      </c>
      <c r="E1246" s="62">
        <v>0</v>
      </c>
      <c r="F1246" s="63">
        <v>1</v>
      </c>
    </row>
    <row r="1247" spans="1:6" x14ac:dyDescent="0.25">
      <c r="A1247" s="43" t="s">
        <v>1919</v>
      </c>
      <c r="B1247" s="42" t="s">
        <v>2538</v>
      </c>
      <c r="C1247" s="42" t="s">
        <v>2599</v>
      </c>
      <c r="D1247" s="61">
        <v>3</v>
      </c>
      <c r="E1247" s="62">
        <v>0</v>
      </c>
      <c r="F1247" s="63">
        <v>3</v>
      </c>
    </row>
    <row r="1248" spans="1:6" x14ac:dyDescent="0.25">
      <c r="A1248" s="43" t="s">
        <v>1919</v>
      </c>
      <c r="B1248" s="42" t="s">
        <v>2540</v>
      </c>
      <c r="C1248" s="42" t="s">
        <v>2377</v>
      </c>
      <c r="D1248" s="61">
        <v>2</v>
      </c>
      <c r="E1248" s="62">
        <v>0</v>
      </c>
      <c r="F1248" s="63">
        <v>2</v>
      </c>
    </row>
    <row r="1249" spans="1:6" x14ac:dyDescent="0.25">
      <c r="A1249" s="43" t="s">
        <v>1919</v>
      </c>
      <c r="B1249" s="42" t="s">
        <v>802</v>
      </c>
      <c r="C1249" s="42" t="s">
        <v>1787</v>
      </c>
      <c r="D1249" s="61">
        <v>3</v>
      </c>
      <c r="E1249" s="62">
        <v>0</v>
      </c>
      <c r="F1249" s="63">
        <v>3</v>
      </c>
    </row>
    <row r="1250" spans="1:6" x14ac:dyDescent="0.25">
      <c r="A1250" s="43" t="s">
        <v>1919</v>
      </c>
      <c r="B1250" s="42" t="s">
        <v>2539</v>
      </c>
      <c r="C1250" s="42" t="s">
        <v>2376</v>
      </c>
      <c r="D1250" s="61">
        <v>5</v>
      </c>
      <c r="E1250" s="62">
        <v>0</v>
      </c>
      <c r="F1250" s="63">
        <v>5</v>
      </c>
    </row>
    <row r="1251" spans="1:6" x14ac:dyDescent="0.25">
      <c r="A1251" s="43" t="s">
        <v>1919</v>
      </c>
      <c r="B1251" s="42" t="s">
        <v>2558</v>
      </c>
      <c r="C1251" s="42" t="s">
        <v>2364</v>
      </c>
      <c r="D1251" s="61">
        <v>1</v>
      </c>
      <c r="E1251" s="62">
        <v>0</v>
      </c>
      <c r="F1251" s="63">
        <v>1</v>
      </c>
    </row>
    <row r="1252" spans="1:6" x14ac:dyDescent="0.25">
      <c r="A1252" s="43" t="s">
        <v>1919</v>
      </c>
      <c r="B1252" s="42" t="s">
        <v>2544</v>
      </c>
      <c r="C1252" s="42" t="s">
        <v>2381</v>
      </c>
      <c r="D1252" s="61">
        <v>1</v>
      </c>
      <c r="E1252" s="62">
        <v>0</v>
      </c>
      <c r="F1252" s="63">
        <v>1</v>
      </c>
    </row>
    <row r="1253" spans="1:6" x14ac:dyDescent="0.25">
      <c r="A1253" s="43" t="s">
        <v>1919</v>
      </c>
      <c r="B1253" s="42" t="s">
        <v>2514</v>
      </c>
      <c r="C1253" s="42" t="s">
        <v>1982</v>
      </c>
      <c r="D1253" s="61">
        <v>100</v>
      </c>
      <c r="E1253" s="62">
        <v>0</v>
      </c>
      <c r="F1253" s="63">
        <v>100</v>
      </c>
    </row>
    <row r="1254" spans="1:6" x14ac:dyDescent="0.25">
      <c r="A1254" s="43" t="s">
        <v>1919</v>
      </c>
      <c r="B1254" s="42" t="s">
        <v>1974</v>
      </c>
      <c r="C1254" s="42" t="s">
        <v>1988</v>
      </c>
      <c r="D1254" s="61">
        <v>1</v>
      </c>
      <c r="E1254" s="62">
        <v>0</v>
      </c>
      <c r="F1254" s="63">
        <v>1</v>
      </c>
    </row>
    <row r="1255" spans="1:6" x14ac:dyDescent="0.25">
      <c r="A1255" s="43" t="s">
        <v>1919</v>
      </c>
      <c r="B1255" s="42" t="s">
        <v>2304</v>
      </c>
      <c r="C1255" s="42" t="s">
        <v>2317</v>
      </c>
      <c r="D1255" s="61">
        <v>3</v>
      </c>
      <c r="E1255" s="62">
        <v>0</v>
      </c>
      <c r="F1255" s="63">
        <v>3</v>
      </c>
    </row>
    <row r="1256" spans="1:6" x14ac:dyDescent="0.25">
      <c r="A1256" s="43" t="s">
        <v>1919</v>
      </c>
      <c r="B1256" s="42" t="s">
        <v>2303</v>
      </c>
      <c r="C1256" s="42" t="s">
        <v>2316</v>
      </c>
      <c r="D1256" s="61">
        <v>3</v>
      </c>
      <c r="E1256" s="62">
        <v>0</v>
      </c>
      <c r="F1256" s="63">
        <v>3</v>
      </c>
    </row>
    <row r="1257" spans="1:6" x14ac:dyDescent="0.25">
      <c r="A1257" s="43" t="s">
        <v>1919</v>
      </c>
      <c r="B1257" s="42" t="s">
        <v>2607</v>
      </c>
      <c r="C1257" s="42" t="s">
        <v>2613</v>
      </c>
      <c r="D1257" s="61">
        <v>1</v>
      </c>
      <c r="E1257" s="62">
        <v>0</v>
      </c>
      <c r="F1257" s="63">
        <v>1</v>
      </c>
    </row>
    <row r="1258" spans="1:6" x14ac:dyDescent="0.25">
      <c r="A1258" s="43" t="s">
        <v>1919</v>
      </c>
      <c r="B1258" s="42" t="s">
        <v>1937</v>
      </c>
      <c r="C1258" s="42" t="s">
        <v>1957</v>
      </c>
      <c r="D1258" s="61">
        <v>8</v>
      </c>
      <c r="E1258" s="62">
        <v>0</v>
      </c>
      <c r="F1258" s="63">
        <v>8</v>
      </c>
    </row>
    <row r="1259" spans="1:6" x14ac:dyDescent="0.25">
      <c r="A1259" s="43" t="s">
        <v>1919</v>
      </c>
      <c r="B1259" s="42" t="s">
        <v>2272</v>
      </c>
      <c r="C1259" s="42" t="s">
        <v>2273</v>
      </c>
      <c r="D1259" s="61">
        <v>15</v>
      </c>
      <c r="E1259" s="62">
        <v>0</v>
      </c>
      <c r="F1259" s="63">
        <v>15</v>
      </c>
    </row>
    <row r="1260" spans="1:6" x14ac:dyDescent="0.25">
      <c r="A1260" s="43" t="s">
        <v>1919</v>
      </c>
      <c r="B1260" s="42" t="s">
        <v>2264</v>
      </c>
      <c r="C1260" s="42" t="s">
        <v>2269</v>
      </c>
      <c r="D1260" s="61">
        <v>25</v>
      </c>
      <c r="E1260" s="62">
        <v>0</v>
      </c>
      <c r="F1260" s="63">
        <v>25</v>
      </c>
    </row>
    <row r="1261" spans="1:6" x14ac:dyDescent="0.25">
      <c r="A1261" s="43" t="s">
        <v>1919</v>
      </c>
      <c r="B1261" s="42" t="s">
        <v>1975</v>
      </c>
      <c r="C1261" s="42" t="s">
        <v>1989</v>
      </c>
      <c r="D1261" s="61">
        <v>1</v>
      </c>
      <c r="E1261" s="62">
        <v>0</v>
      </c>
      <c r="F1261" s="63">
        <v>1</v>
      </c>
    </row>
    <row r="1262" spans="1:6" x14ac:dyDescent="0.25">
      <c r="A1262" s="43" t="s">
        <v>1919</v>
      </c>
      <c r="B1262" s="42" t="s">
        <v>128</v>
      </c>
      <c r="C1262" s="42" t="s">
        <v>1062</v>
      </c>
      <c r="D1262" s="61">
        <v>1</v>
      </c>
      <c r="E1262" s="62">
        <v>0</v>
      </c>
      <c r="F1262" s="63">
        <v>1</v>
      </c>
    </row>
    <row r="1263" spans="1:6" x14ac:dyDescent="0.25">
      <c r="A1263" s="43" t="s">
        <v>1919</v>
      </c>
      <c r="B1263" s="42" t="s">
        <v>486</v>
      </c>
      <c r="C1263" s="42" t="s">
        <v>1447</v>
      </c>
      <c r="D1263" s="61">
        <v>1</v>
      </c>
      <c r="E1263" s="62">
        <v>0</v>
      </c>
      <c r="F1263" s="63">
        <v>1</v>
      </c>
    </row>
    <row r="1264" spans="1:6" x14ac:dyDescent="0.25">
      <c r="A1264" s="43" t="s">
        <v>1919</v>
      </c>
      <c r="B1264" s="42" t="s">
        <v>855</v>
      </c>
      <c r="C1264" s="42" t="s">
        <v>1849</v>
      </c>
      <c r="D1264" s="61">
        <v>1</v>
      </c>
      <c r="E1264" s="62">
        <v>0</v>
      </c>
      <c r="F1264" s="63">
        <v>1</v>
      </c>
    </row>
    <row r="1265" spans="1:6" x14ac:dyDescent="0.25">
      <c r="A1265" s="43" t="s">
        <v>1919</v>
      </c>
      <c r="B1265" s="42" t="s">
        <v>2545</v>
      </c>
      <c r="C1265" s="42" t="s">
        <v>2382</v>
      </c>
      <c r="D1265" s="61">
        <v>10</v>
      </c>
      <c r="E1265" s="62">
        <v>0</v>
      </c>
      <c r="F1265" s="63">
        <v>10</v>
      </c>
    </row>
    <row r="1266" spans="1:6" x14ac:dyDescent="0.25">
      <c r="A1266" s="43" t="s">
        <v>1919</v>
      </c>
      <c r="B1266" s="42" t="s">
        <v>2542</v>
      </c>
      <c r="C1266" s="42" t="s">
        <v>2379</v>
      </c>
      <c r="D1266" s="61">
        <v>1</v>
      </c>
      <c r="E1266" s="62">
        <v>0</v>
      </c>
      <c r="F1266" s="63">
        <v>1</v>
      </c>
    </row>
    <row r="1267" spans="1:6" x14ac:dyDescent="0.25">
      <c r="A1267" s="43" t="s">
        <v>1919</v>
      </c>
      <c r="B1267" s="42" t="s">
        <v>2534</v>
      </c>
      <c r="C1267" s="42" t="s">
        <v>2373</v>
      </c>
      <c r="D1267" s="61">
        <v>3</v>
      </c>
      <c r="E1267" s="62">
        <v>0</v>
      </c>
      <c r="F1267" s="63">
        <v>3</v>
      </c>
    </row>
    <row r="1268" spans="1:6" x14ac:dyDescent="0.25">
      <c r="A1268" s="43" t="s">
        <v>1919</v>
      </c>
      <c r="B1268" s="42" t="s">
        <v>2187</v>
      </c>
      <c r="C1268" s="42" t="s">
        <v>2196</v>
      </c>
      <c r="D1268" s="61">
        <v>3</v>
      </c>
      <c r="E1268" s="62">
        <v>0</v>
      </c>
      <c r="F1268" s="63">
        <v>3</v>
      </c>
    </row>
    <row r="1269" spans="1:6" x14ac:dyDescent="0.25">
      <c r="A1269" s="43" t="s">
        <v>1919</v>
      </c>
      <c r="B1269" s="42" t="s">
        <v>889</v>
      </c>
      <c r="C1269" s="42" t="s">
        <v>1892</v>
      </c>
      <c r="D1269" s="61">
        <v>1</v>
      </c>
      <c r="E1269" s="62">
        <v>0</v>
      </c>
      <c r="F1269" s="63">
        <v>1</v>
      </c>
    </row>
    <row r="1270" spans="1:6" x14ac:dyDescent="0.25">
      <c r="A1270" s="43" t="s">
        <v>1919</v>
      </c>
      <c r="B1270" s="42" t="s">
        <v>2562</v>
      </c>
      <c r="C1270" s="42" t="s">
        <v>2427</v>
      </c>
      <c r="D1270" s="61">
        <v>3</v>
      </c>
      <c r="E1270" s="62">
        <v>0</v>
      </c>
      <c r="F1270" s="63">
        <v>3</v>
      </c>
    </row>
    <row r="1271" spans="1:6" x14ac:dyDescent="0.25">
      <c r="A1271" s="43" t="s">
        <v>1919</v>
      </c>
      <c r="B1271" s="42" t="s">
        <v>2279</v>
      </c>
      <c r="C1271" s="42" t="s">
        <v>2280</v>
      </c>
      <c r="D1271" s="61">
        <v>3</v>
      </c>
      <c r="E1271" s="62">
        <v>0</v>
      </c>
      <c r="F1271" s="63">
        <v>3</v>
      </c>
    </row>
    <row r="1272" spans="1:6" x14ac:dyDescent="0.25">
      <c r="A1272" s="43" t="s">
        <v>1919</v>
      </c>
      <c r="B1272" s="42" t="s">
        <v>2522</v>
      </c>
      <c r="C1272" s="42" t="s">
        <v>2219</v>
      </c>
      <c r="D1272" s="61">
        <v>45</v>
      </c>
      <c r="E1272" s="62">
        <v>0</v>
      </c>
      <c r="F1272" s="63">
        <v>45</v>
      </c>
    </row>
    <row r="1273" spans="1:6" x14ac:dyDescent="0.25">
      <c r="A1273" s="43" t="s">
        <v>1919</v>
      </c>
      <c r="B1273" s="42" t="s">
        <v>1926</v>
      </c>
      <c r="C1273" s="42" t="s">
        <v>1945</v>
      </c>
      <c r="D1273" s="61">
        <v>10</v>
      </c>
      <c r="E1273" s="62">
        <v>0</v>
      </c>
      <c r="F1273" s="63">
        <v>10</v>
      </c>
    </row>
    <row r="1274" spans="1:6" x14ac:dyDescent="0.25">
      <c r="A1274" s="43" t="s">
        <v>1919</v>
      </c>
      <c r="B1274" s="42" t="s">
        <v>1927</v>
      </c>
      <c r="C1274" s="42" t="s">
        <v>1946</v>
      </c>
      <c r="D1274" s="61">
        <v>10</v>
      </c>
      <c r="E1274" s="62">
        <v>0</v>
      </c>
      <c r="F1274" s="63">
        <v>10</v>
      </c>
    </row>
    <row r="1275" spans="1:6" x14ac:dyDescent="0.25">
      <c r="A1275" s="43" t="s">
        <v>1919</v>
      </c>
      <c r="B1275" s="42" t="s">
        <v>2537</v>
      </c>
      <c r="C1275" s="42" t="s">
        <v>2351</v>
      </c>
      <c r="D1275" s="61">
        <v>40</v>
      </c>
      <c r="E1275" s="62">
        <v>0</v>
      </c>
      <c r="F1275" s="63">
        <v>40</v>
      </c>
    </row>
    <row r="1276" spans="1:6" x14ac:dyDescent="0.25">
      <c r="A1276" s="43" t="s">
        <v>1919</v>
      </c>
      <c r="B1276" s="42" t="s">
        <v>2552</v>
      </c>
      <c r="C1276" s="42" t="s">
        <v>2359</v>
      </c>
      <c r="D1276" s="61">
        <v>1</v>
      </c>
      <c r="E1276" s="62">
        <v>0</v>
      </c>
      <c r="F1276" s="63">
        <v>1</v>
      </c>
    </row>
    <row r="1277" spans="1:6" x14ac:dyDescent="0.25">
      <c r="A1277" s="43" t="s">
        <v>1919</v>
      </c>
      <c r="B1277" s="42" t="s">
        <v>2250</v>
      </c>
      <c r="C1277" s="42" t="s">
        <v>2251</v>
      </c>
      <c r="D1277" s="61">
        <v>5</v>
      </c>
      <c r="E1277" s="62">
        <v>0</v>
      </c>
      <c r="F1277" s="63">
        <v>5</v>
      </c>
    </row>
    <row r="1278" spans="1:6" x14ac:dyDescent="0.25">
      <c r="A1278" s="43" t="s">
        <v>1919</v>
      </c>
      <c r="B1278" s="42" t="s">
        <v>2159</v>
      </c>
      <c r="C1278" s="42" t="s">
        <v>1129</v>
      </c>
      <c r="D1278" s="61">
        <v>10</v>
      </c>
      <c r="E1278" s="62">
        <v>0</v>
      </c>
      <c r="F1278" s="63">
        <v>10</v>
      </c>
    </row>
    <row r="1279" spans="1:6" x14ac:dyDescent="0.25">
      <c r="A1279" s="43" t="s">
        <v>1919</v>
      </c>
      <c r="B1279" s="42" t="s">
        <v>2151</v>
      </c>
      <c r="C1279" s="42" t="s">
        <v>2154</v>
      </c>
      <c r="D1279" s="61">
        <v>25</v>
      </c>
      <c r="E1279" s="62">
        <v>0</v>
      </c>
      <c r="F1279" s="63">
        <v>25</v>
      </c>
    </row>
    <row r="1280" spans="1:6" x14ac:dyDescent="0.25">
      <c r="A1280" s="43" t="s">
        <v>1919</v>
      </c>
      <c r="B1280" s="42" t="s">
        <v>2186</v>
      </c>
      <c r="C1280" s="42" t="s">
        <v>2195</v>
      </c>
      <c r="D1280" s="61">
        <v>1</v>
      </c>
      <c r="E1280" s="62">
        <v>0</v>
      </c>
      <c r="F1280" s="63">
        <v>1</v>
      </c>
    </row>
    <row r="1281" spans="1:6" x14ac:dyDescent="0.25">
      <c r="A1281" s="43" t="s">
        <v>1919</v>
      </c>
      <c r="B1281" s="42" t="s">
        <v>282</v>
      </c>
      <c r="C1281" s="42" t="s">
        <v>1224</v>
      </c>
      <c r="D1281" s="61">
        <v>6</v>
      </c>
      <c r="E1281" s="62">
        <v>0</v>
      </c>
      <c r="F1281" s="63">
        <v>6</v>
      </c>
    </row>
    <row r="1282" spans="1:6" x14ac:dyDescent="0.25">
      <c r="A1282" s="43" t="s">
        <v>1919</v>
      </c>
      <c r="B1282" s="42" t="s">
        <v>285</v>
      </c>
      <c r="C1282" s="42" t="s">
        <v>1227</v>
      </c>
      <c r="D1282" s="61">
        <v>4</v>
      </c>
      <c r="E1282" s="62">
        <v>0</v>
      </c>
      <c r="F1282" s="63">
        <v>4</v>
      </c>
    </row>
    <row r="1283" spans="1:6" x14ac:dyDescent="0.25">
      <c r="A1283" s="43" t="s">
        <v>1919</v>
      </c>
      <c r="B1283" s="42" t="s">
        <v>2218</v>
      </c>
      <c r="C1283" s="42" t="s">
        <v>2223</v>
      </c>
      <c r="D1283" s="61">
        <v>1</v>
      </c>
      <c r="E1283" s="62">
        <v>0</v>
      </c>
      <c r="F1283" s="63">
        <v>1</v>
      </c>
    </row>
    <row r="1284" spans="1:6" x14ac:dyDescent="0.25">
      <c r="A1284" s="43" t="s">
        <v>1919</v>
      </c>
      <c r="B1284" s="42" t="s">
        <v>1931</v>
      </c>
      <c r="C1284" s="42" t="s">
        <v>1951</v>
      </c>
      <c r="D1284" s="61">
        <v>2</v>
      </c>
      <c r="E1284" s="62">
        <v>0</v>
      </c>
      <c r="F1284" s="63">
        <v>2</v>
      </c>
    </row>
    <row r="1285" spans="1:6" x14ac:dyDescent="0.25">
      <c r="A1285" s="43" t="s">
        <v>1919</v>
      </c>
      <c r="B1285" s="42" t="s">
        <v>1933</v>
      </c>
      <c r="C1285" s="42" t="s">
        <v>1953</v>
      </c>
      <c r="D1285" s="61">
        <v>3</v>
      </c>
      <c r="E1285" s="62">
        <v>0</v>
      </c>
      <c r="F1285" s="63">
        <v>3</v>
      </c>
    </row>
    <row r="1286" spans="1:6" x14ac:dyDescent="0.25">
      <c r="A1286" s="43" t="s">
        <v>1919</v>
      </c>
      <c r="B1286" s="42" t="s">
        <v>1930</v>
      </c>
      <c r="C1286" s="42" t="s">
        <v>1950</v>
      </c>
      <c r="D1286" s="61">
        <v>2</v>
      </c>
      <c r="E1286" s="62">
        <v>0</v>
      </c>
      <c r="F1286" s="63">
        <v>2</v>
      </c>
    </row>
    <row r="1287" spans="1:6" x14ac:dyDescent="0.25">
      <c r="A1287" s="43" t="s">
        <v>1919</v>
      </c>
      <c r="B1287" s="42" t="s">
        <v>266</v>
      </c>
      <c r="C1287" s="42" t="s">
        <v>1206</v>
      </c>
      <c r="D1287" s="61">
        <v>1</v>
      </c>
      <c r="E1287" s="62">
        <v>0</v>
      </c>
      <c r="F1287" s="63">
        <v>1</v>
      </c>
    </row>
    <row r="1288" spans="1:6" x14ac:dyDescent="0.25">
      <c r="A1288" s="43" t="s">
        <v>1919</v>
      </c>
      <c r="B1288" s="42" t="s">
        <v>2291</v>
      </c>
      <c r="C1288" s="42" t="s">
        <v>2296</v>
      </c>
      <c r="D1288" s="61">
        <v>1</v>
      </c>
      <c r="E1288" s="62">
        <v>0</v>
      </c>
      <c r="F1288" s="63">
        <v>1</v>
      </c>
    </row>
    <row r="1289" spans="1:6" x14ac:dyDescent="0.25">
      <c r="A1289" s="43" t="s">
        <v>1919</v>
      </c>
      <c r="B1289" s="42" t="s">
        <v>2255</v>
      </c>
      <c r="C1289" s="42" t="s">
        <v>2260</v>
      </c>
      <c r="D1289" s="61">
        <v>1</v>
      </c>
      <c r="E1289" s="62">
        <v>0</v>
      </c>
      <c r="F1289" s="63">
        <v>1</v>
      </c>
    </row>
    <row r="1290" spans="1:6" x14ac:dyDescent="0.25">
      <c r="A1290" s="43" t="s">
        <v>1919</v>
      </c>
      <c r="B1290" s="42" t="s">
        <v>2119</v>
      </c>
      <c r="C1290" s="42" t="s">
        <v>2128</v>
      </c>
      <c r="D1290" s="61">
        <v>1</v>
      </c>
      <c r="E1290" s="62">
        <v>0</v>
      </c>
      <c r="F1290" s="63">
        <v>1</v>
      </c>
    </row>
    <row r="1291" spans="1:6" x14ac:dyDescent="0.25">
      <c r="A1291" s="43" t="s">
        <v>1919</v>
      </c>
      <c r="B1291" s="42" t="s">
        <v>1904</v>
      </c>
      <c r="C1291" s="42" t="s">
        <v>1911</v>
      </c>
      <c r="D1291" s="61">
        <v>1</v>
      </c>
      <c r="E1291" s="62">
        <v>0</v>
      </c>
      <c r="F1291" s="63">
        <v>1</v>
      </c>
    </row>
    <row r="1292" spans="1:6" x14ac:dyDescent="0.25">
      <c r="A1292" s="43" t="s">
        <v>1919</v>
      </c>
      <c r="B1292" s="42" t="s">
        <v>2560</v>
      </c>
      <c r="C1292" s="42" t="s">
        <v>2601</v>
      </c>
      <c r="D1292" s="61">
        <v>1</v>
      </c>
      <c r="E1292" s="62">
        <v>0</v>
      </c>
      <c r="F1292" s="63">
        <v>1</v>
      </c>
    </row>
    <row r="1293" spans="1:6" x14ac:dyDescent="0.25">
      <c r="A1293" s="43" t="s">
        <v>1919</v>
      </c>
      <c r="B1293" s="42" t="s">
        <v>210</v>
      </c>
      <c r="C1293" s="42" t="s">
        <v>1148</v>
      </c>
      <c r="D1293" s="61">
        <v>3</v>
      </c>
      <c r="E1293" s="62">
        <v>0</v>
      </c>
      <c r="F1293" s="63">
        <v>3</v>
      </c>
    </row>
    <row r="1294" spans="1:6" x14ac:dyDescent="0.25">
      <c r="A1294" s="43" t="s">
        <v>1919</v>
      </c>
      <c r="B1294" s="42" t="s">
        <v>2200</v>
      </c>
      <c r="C1294" s="42" t="s">
        <v>2201</v>
      </c>
      <c r="D1294" s="61">
        <v>1</v>
      </c>
      <c r="E1294" s="62">
        <v>0</v>
      </c>
      <c r="F1294" s="63">
        <v>1</v>
      </c>
    </row>
    <row r="1295" spans="1:6" x14ac:dyDescent="0.25">
      <c r="A1295" s="43" t="s">
        <v>1919</v>
      </c>
      <c r="B1295" s="42" t="s">
        <v>2199</v>
      </c>
      <c r="C1295" s="42" t="s">
        <v>2198</v>
      </c>
      <c r="D1295" s="61">
        <v>1</v>
      </c>
      <c r="E1295" s="62">
        <v>0</v>
      </c>
      <c r="F1295" s="63">
        <v>1</v>
      </c>
    </row>
    <row r="1296" spans="1:6" x14ac:dyDescent="0.25">
      <c r="A1296" s="43" t="s">
        <v>1919</v>
      </c>
      <c r="B1296" s="42" t="s">
        <v>745</v>
      </c>
      <c r="C1296" s="42" t="s">
        <v>1722</v>
      </c>
      <c r="D1296" s="61">
        <v>2</v>
      </c>
      <c r="E1296" s="62">
        <v>0</v>
      </c>
      <c r="F1296" s="63">
        <v>2</v>
      </c>
    </row>
    <row r="1297" spans="1:6" x14ac:dyDescent="0.25">
      <c r="A1297" s="43" t="s">
        <v>1919</v>
      </c>
      <c r="B1297" s="42" t="s">
        <v>1964</v>
      </c>
      <c r="C1297" s="42" t="s">
        <v>1977</v>
      </c>
      <c r="D1297" s="61">
        <v>5</v>
      </c>
      <c r="E1297" s="62">
        <v>0</v>
      </c>
      <c r="F1297" s="63">
        <v>5</v>
      </c>
    </row>
    <row r="1298" spans="1:6" x14ac:dyDescent="0.25">
      <c r="A1298" s="43" t="s">
        <v>1919</v>
      </c>
      <c r="B1298" s="42" t="s">
        <v>2529</v>
      </c>
      <c r="C1298" s="42" t="s">
        <v>2434</v>
      </c>
      <c r="D1298" s="61">
        <v>1</v>
      </c>
      <c r="E1298" s="62">
        <v>0</v>
      </c>
      <c r="F1298" s="63">
        <v>1</v>
      </c>
    </row>
    <row r="1299" spans="1:6" x14ac:dyDescent="0.25">
      <c r="A1299" s="43" t="s">
        <v>1919</v>
      </c>
      <c r="B1299" s="42" t="s">
        <v>2528</v>
      </c>
      <c r="C1299" s="42" t="s">
        <v>2433</v>
      </c>
      <c r="D1299" s="61">
        <v>1</v>
      </c>
      <c r="E1299" s="62">
        <v>0</v>
      </c>
      <c r="F1299" s="63">
        <v>1</v>
      </c>
    </row>
    <row r="1300" spans="1:6" x14ac:dyDescent="0.25">
      <c r="A1300" s="43" t="s">
        <v>1919</v>
      </c>
      <c r="B1300" s="42" t="s">
        <v>2324</v>
      </c>
      <c r="C1300" s="42" t="s">
        <v>2325</v>
      </c>
      <c r="D1300" s="61">
        <v>2</v>
      </c>
      <c r="E1300" s="62">
        <v>0</v>
      </c>
      <c r="F1300" s="63">
        <v>2</v>
      </c>
    </row>
    <row r="1301" spans="1:6" x14ac:dyDescent="0.25">
      <c r="A1301" s="43" t="s">
        <v>1919</v>
      </c>
      <c r="B1301" s="42" t="s">
        <v>608</v>
      </c>
      <c r="C1301" s="42" t="s">
        <v>1572</v>
      </c>
      <c r="D1301" s="61">
        <v>1</v>
      </c>
      <c r="E1301" s="62">
        <v>0</v>
      </c>
      <c r="F1301" s="63">
        <v>1</v>
      </c>
    </row>
    <row r="1302" spans="1:6" x14ac:dyDescent="0.25">
      <c r="A1302" s="43" t="s">
        <v>1919</v>
      </c>
      <c r="B1302" s="42" t="s">
        <v>2573</v>
      </c>
      <c r="C1302" s="42" t="s">
        <v>2449</v>
      </c>
      <c r="D1302" s="61">
        <v>1.6</v>
      </c>
      <c r="E1302" s="62">
        <v>0</v>
      </c>
      <c r="F1302" s="63">
        <v>1.6</v>
      </c>
    </row>
    <row r="1303" spans="1:6" x14ac:dyDescent="0.25">
      <c r="A1303" s="43" t="s">
        <v>1919</v>
      </c>
      <c r="B1303" s="42" t="s">
        <v>795</v>
      </c>
      <c r="C1303" s="42" t="s">
        <v>1778</v>
      </c>
      <c r="D1303" s="61">
        <v>5</v>
      </c>
      <c r="E1303" s="62">
        <v>0</v>
      </c>
      <c r="F1303" s="63">
        <v>5</v>
      </c>
    </row>
    <row r="1304" spans="1:6" x14ac:dyDescent="0.25">
      <c r="A1304" s="43" t="s">
        <v>1919</v>
      </c>
      <c r="B1304" s="42" t="s">
        <v>2088</v>
      </c>
      <c r="C1304" s="42" t="s">
        <v>2090</v>
      </c>
      <c r="D1304" s="61">
        <v>6</v>
      </c>
      <c r="E1304" s="62">
        <v>0</v>
      </c>
      <c r="F1304" s="63">
        <v>6</v>
      </c>
    </row>
    <row r="1305" spans="1:6" x14ac:dyDescent="0.25">
      <c r="A1305" s="43" t="s">
        <v>1919</v>
      </c>
      <c r="B1305" s="42" t="s">
        <v>2563</v>
      </c>
      <c r="C1305" s="42" t="s">
        <v>2602</v>
      </c>
      <c r="D1305" s="61">
        <v>6</v>
      </c>
      <c r="E1305" s="62">
        <v>0</v>
      </c>
      <c r="F1305" s="63">
        <v>6</v>
      </c>
    </row>
    <row r="1306" spans="1:6" x14ac:dyDescent="0.25">
      <c r="A1306" s="43" t="s">
        <v>1919</v>
      </c>
      <c r="B1306" s="42" t="s">
        <v>2536</v>
      </c>
      <c r="C1306" s="42" t="s">
        <v>2375</v>
      </c>
      <c r="D1306" s="61">
        <v>2</v>
      </c>
      <c r="E1306" s="62">
        <v>0</v>
      </c>
      <c r="F1306" s="63">
        <v>2</v>
      </c>
    </row>
    <row r="1307" spans="1:6" x14ac:dyDescent="0.25">
      <c r="A1307" s="43" t="s">
        <v>1919</v>
      </c>
      <c r="B1307" s="42" t="s">
        <v>2202</v>
      </c>
      <c r="C1307" s="42" t="s">
        <v>2203</v>
      </c>
      <c r="D1307" s="61">
        <v>2</v>
      </c>
      <c r="E1307" s="62">
        <v>0</v>
      </c>
      <c r="F1307" s="63">
        <v>2</v>
      </c>
    </row>
    <row r="1308" spans="1:6" x14ac:dyDescent="0.25">
      <c r="A1308" s="43" t="s">
        <v>1919</v>
      </c>
      <c r="B1308" s="42" t="s">
        <v>2165</v>
      </c>
      <c r="C1308" s="42" t="s">
        <v>2156</v>
      </c>
      <c r="D1308" s="61">
        <v>3</v>
      </c>
      <c r="E1308" s="62">
        <v>0</v>
      </c>
      <c r="F1308" s="63">
        <v>3</v>
      </c>
    </row>
    <row r="1309" spans="1:6" x14ac:dyDescent="0.25">
      <c r="A1309" s="43" t="s">
        <v>1919</v>
      </c>
      <c r="B1309" s="42" t="s">
        <v>2244</v>
      </c>
      <c r="C1309" s="42" t="s">
        <v>2328</v>
      </c>
      <c r="D1309" s="61">
        <v>6</v>
      </c>
      <c r="E1309" s="62">
        <v>0</v>
      </c>
      <c r="F1309" s="63">
        <v>6</v>
      </c>
    </row>
    <row r="1310" spans="1:6" x14ac:dyDescent="0.25">
      <c r="A1310" s="43" t="s">
        <v>1919</v>
      </c>
      <c r="B1310" s="42" t="s">
        <v>734</v>
      </c>
      <c r="C1310" s="42" t="s">
        <v>1711</v>
      </c>
      <c r="D1310" s="61">
        <v>2</v>
      </c>
      <c r="E1310" s="62">
        <v>0</v>
      </c>
      <c r="F1310" s="63">
        <v>2</v>
      </c>
    </row>
    <row r="1311" spans="1:6" x14ac:dyDescent="0.25">
      <c r="A1311" s="43" t="s">
        <v>1919</v>
      </c>
      <c r="B1311" s="42" t="s">
        <v>2254</v>
      </c>
      <c r="C1311" s="42" t="s">
        <v>2259</v>
      </c>
      <c r="D1311" s="61">
        <v>30</v>
      </c>
      <c r="E1311" s="62">
        <v>0</v>
      </c>
      <c r="F1311" s="63">
        <v>30</v>
      </c>
    </row>
    <row r="1312" spans="1:6" x14ac:dyDescent="0.25">
      <c r="A1312" s="43" t="s">
        <v>1919</v>
      </c>
      <c r="B1312" s="42" t="s">
        <v>280</v>
      </c>
      <c r="C1312" s="42" t="s">
        <v>1222</v>
      </c>
      <c r="D1312" s="61">
        <v>2</v>
      </c>
      <c r="E1312" s="62">
        <v>0</v>
      </c>
      <c r="F1312" s="63">
        <v>2</v>
      </c>
    </row>
    <row r="1313" spans="1:6" x14ac:dyDescent="0.25">
      <c r="A1313" s="43" t="s">
        <v>1919</v>
      </c>
      <c r="B1313" s="42" t="s">
        <v>2253</v>
      </c>
      <c r="C1313" s="42" t="s">
        <v>2258</v>
      </c>
      <c r="D1313" s="61">
        <v>5</v>
      </c>
      <c r="E1313" s="62">
        <v>0</v>
      </c>
      <c r="F1313" s="63">
        <v>5</v>
      </c>
    </row>
    <row r="1314" spans="1:6" x14ac:dyDescent="0.25">
      <c r="A1314" s="43" t="s">
        <v>1919</v>
      </c>
      <c r="B1314" s="42" t="s">
        <v>2252</v>
      </c>
      <c r="C1314" s="42" t="s">
        <v>2257</v>
      </c>
      <c r="D1314" s="61">
        <v>10</v>
      </c>
      <c r="E1314" s="62">
        <v>0</v>
      </c>
      <c r="F1314" s="63">
        <v>10</v>
      </c>
    </row>
    <row r="1315" spans="1:6" x14ac:dyDescent="0.25">
      <c r="A1315" s="43" t="s">
        <v>1919</v>
      </c>
      <c r="B1315" s="42" t="s">
        <v>2554</v>
      </c>
      <c r="C1315" s="42" t="s">
        <v>2361</v>
      </c>
      <c r="D1315" s="61">
        <v>3</v>
      </c>
      <c r="E1315" s="62">
        <v>0</v>
      </c>
      <c r="F1315" s="63">
        <v>3</v>
      </c>
    </row>
    <row r="1316" spans="1:6" x14ac:dyDescent="0.25">
      <c r="A1316" s="43" t="s">
        <v>1919</v>
      </c>
      <c r="B1316" s="42" t="s">
        <v>2553</v>
      </c>
      <c r="C1316" s="42" t="s">
        <v>2360</v>
      </c>
      <c r="D1316" s="61">
        <v>5</v>
      </c>
      <c r="E1316" s="62">
        <v>0</v>
      </c>
      <c r="F1316" s="63">
        <v>5</v>
      </c>
    </row>
    <row r="1317" spans="1:6" x14ac:dyDescent="0.25">
      <c r="A1317" s="43" t="s">
        <v>1919</v>
      </c>
      <c r="B1317" s="42" t="s">
        <v>2124</v>
      </c>
      <c r="C1317" s="42" t="s">
        <v>2134</v>
      </c>
      <c r="D1317" s="61">
        <v>1</v>
      </c>
      <c r="E1317" s="62">
        <v>0</v>
      </c>
      <c r="F1317" s="63">
        <v>1</v>
      </c>
    </row>
    <row r="1318" spans="1:6" x14ac:dyDescent="0.25">
      <c r="A1318" s="43" t="s">
        <v>1919</v>
      </c>
      <c r="B1318" s="42" t="s">
        <v>1934</v>
      </c>
      <c r="C1318" s="42" t="s">
        <v>1954</v>
      </c>
      <c r="D1318" s="61">
        <v>2</v>
      </c>
      <c r="E1318" s="62">
        <v>0</v>
      </c>
      <c r="F1318" s="63">
        <v>2</v>
      </c>
    </row>
    <row r="1319" spans="1:6" x14ac:dyDescent="0.25">
      <c r="A1319" s="43" t="s">
        <v>1919</v>
      </c>
      <c r="B1319" s="42" t="s">
        <v>1936</v>
      </c>
      <c r="C1319" s="42" t="s">
        <v>1956</v>
      </c>
      <c r="D1319" s="61">
        <v>1</v>
      </c>
      <c r="E1319" s="62">
        <v>0</v>
      </c>
      <c r="F1319" s="63">
        <v>1</v>
      </c>
    </row>
    <row r="1320" spans="1:6" x14ac:dyDescent="0.25">
      <c r="A1320" s="43" t="s">
        <v>1919</v>
      </c>
      <c r="B1320" s="42" t="s">
        <v>561</v>
      </c>
      <c r="C1320" s="42" t="s">
        <v>1525</v>
      </c>
      <c r="D1320" s="61">
        <v>2</v>
      </c>
      <c r="E1320" s="62">
        <v>0</v>
      </c>
      <c r="F1320" s="63">
        <v>2</v>
      </c>
    </row>
    <row r="1321" spans="1:6" x14ac:dyDescent="0.25">
      <c r="A1321" s="43" t="s">
        <v>1919</v>
      </c>
      <c r="B1321" s="42" t="s">
        <v>2496</v>
      </c>
      <c r="C1321" s="42" t="s">
        <v>1771</v>
      </c>
      <c r="D1321" s="61">
        <v>7</v>
      </c>
      <c r="E1321" s="62">
        <v>0</v>
      </c>
      <c r="F1321" s="63">
        <v>7</v>
      </c>
    </row>
    <row r="1322" spans="1:6" x14ac:dyDescent="0.25">
      <c r="A1322" s="43" t="s">
        <v>1919</v>
      </c>
      <c r="B1322" s="42" t="s">
        <v>576</v>
      </c>
      <c r="C1322" s="42" t="s">
        <v>1540</v>
      </c>
      <c r="D1322" s="61">
        <v>1</v>
      </c>
      <c r="E1322" s="62">
        <v>0</v>
      </c>
      <c r="F1322" s="63">
        <v>1</v>
      </c>
    </row>
    <row r="1323" spans="1:6" x14ac:dyDescent="0.25">
      <c r="A1323" s="43" t="s">
        <v>1919</v>
      </c>
      <c r="B1323" s="42" t="s">
        <v>2621</v>
      </c>
      <c r="C1323" s="42" t="s">
        <v>2625</v>
      </c>
      <c r="D1323" s="61">
        <v>6.48</v>
      </c>
      <c r="E1323" s="62">
        <v>0</v>
      </c>
      <c r="F1323" s="63">
        <v>6.48</v>
      </c>
    </row>
    <row r="1324" spans="1:6" x14ac:dyDescent="0.25">
      <c r="A1324" s="43" t="s">
        <v>1919</v>
      </c>
      <c r="B1324" s="42" t="s">
        <v>2620</v>
      </c>
      <c r="C1324" s="42" t="s">
        <v>2624</v>
      </c>
      <c r="D1324" s="61">
        <v>9.9550000000000001</v>
      </c>
      <c r="E1324" s="62">
        <v>0</v>
      </c>
      <c r="F1324" s="63">
        <v>9.9550000000000001</v>
      </c>
    </row>
    <row r="1325" spans="1:6" x14ac:dyDescent="0.25">
      <c r="A1325" s="43" t="s">
        <v>1919</v>
      </c>
      <c r="B1325" s="42" t="s">
        <v>2619</v>
      </c>
      <c r="C1325" s="42" t="s">
        <v>2623</v>
      </c>
      <c r="D1325" s="61">
        <v>5.9649999999999999</v>
      </c>
      <c r="E1325" s="62">
        <v>0</v>
      </c>
      <c r="F1325" s="63">
        <v>5.9649999999999999</v>
      </c>
    </row>
    <row r="1326" spans="1:6" x14ac:dyDescent="0.25">
      <c r="A1326" s="43" t="s">
        <v>1919</v>
      </c>
      <c r="B1326" s="42" t="s">
        <v>2618</v>
      </c>
      <c r="C1326" s="42" t="s">
        <v>2622</v>
      </c>
      <c r="D1326" s="61">
        <v>0.5</v>
      </c>
      <c r="E1326" s="62">
        <v>0</v>
      </c>
      <c r="F1326" s="63">
        <v>0.5</v>
      </c>
    </row>
    <row r="1327" spans="1:6" x14ac:dyDescent="0.25">
      <c r="A1327" s="43" t="s">
        <v>1919</v>
      </c>
      <c r="B1327" s="42" t="s">
        <v>2180</v>
      </c>
      <c r="C1327" s="42" t="s">
        <v>2189</v>
      </c>
      <c r="D1327" s="61">
        <v>3</v>
      </c>
      <c r="E1327" s="62">
        <v>0</v>
      </c>
      <c r="F1327" s="63">
        <v>3</v>
      </c>
    </row>
    <row r="1328" spans="1:6" x14ac:dyDescent="0.25">
      <c r="A1328" s="43" t="s">
        <v>1919</v>
      </c>
      <c r="B1328" s="42" t="s">
        <v>2610</v>
      </c>
      <c r="C1328" s="42" t="s">
        <v>2616</v>
      </c>
      <c r="D1328" s="61">
        <v>1</v>
      </c>
      <c r="E1328" s="62">
        <v>0</v>
      </c>
      <c r="F1328" s="63">
        <v>1</v>
      </c>
    </row>
    <row r="1329" spans="1:6" x14ac:dyDescent="0.25">
      <c r="A1329" s="43" t="s">
        <v>1919</v>
      </c>
      <c r="B1329" s="42" t="s">
        <v>1928</v>
      </c>
      <c r="C1329" s="42" t="s">
        <v>1947</v>
      </c>
      <c r="D1329" s="61">
        <v>1</v>
      </c>
      <c r="E1329" s="62">
        <v>0</v>
      </c>
      <c r="F1329" s="63">
        <v>1</v>
      </c>
    </row>
    <row r="1330" spans="1:6" x14ac:dyDescent="0.25">
      <c r="A1330" s="43" t="s">
        <v>1919</v>
      </c>
      <c r="B1330" s="42" t="s">
        <v>325</v>
      </c>
      <c r="C1330" s="42" t="s">
        <v>1270</v>
      </c>
      <c r="D1330" s="61">
        <v>1</v>
      </c>
      <c r="E1330" s="62">
        <v>0</v>
      </c>
      <c r="F1330" s="63">
        <v>1</v>
      </c>
    </row>
    <row r="1331" spans="1:6" x14ac:dyDescent="0.25">
      <c r="A1331" s="43" t="s">
        <v>1919</v>
      </c>
      <c r="B1331" s="42" t="s">
        <v>2565</v>
      </c>
      <c r="C1331" s="42" t="s">
        <v>2454</v>
      </c>
      <c r="D1331" s="61">
        <v>2</v>
      </c>
      <c r="E1331" s="62">
        <v>0</v>
      </c>
      <c r="F1331" s="63">
        <v>2</v>
      </c>
    </row>
    <row r="1332" spans="1:6" x14ac:dyDescent="0.25">
      <c r="A1332" s="45" t="s">
        <v>1919</v>
      </c>
      <c r="B1332" s="46" t="s">
        <v>2564</v>
      </c>
      <c r="C1332" s="46" t="s">
        <v>2438</v>
      </c>
      <c r="D1332" s="66">
        <v>1</v>
      </c>
      <c r="E1332" s="67">
        <v>0</v>
      </c>
      <c r="F1332" s="68">
        <v>1</v>
      </c>
    </row>
    <row r="1333" spans="1:6" ht="15.6" x14ac:dyDescent="0.3">
      <c r="A1333"/>
      <c r="B1333"/>
      <c r="C1333"/>
      <c r="D1333"/>
      <c r="E1333"/>
      <c r="F1333"/>
    </row>
    <row r="1334" spans="1:6" ht="15.6" x14ac:dyDescent="0.3">
      <c r="A1334"/>
      <c r="B1334"/>
      <c r="C1334"/>
      <c r="D1334"/>
      <c r="E1334"/>
      <c r="F1334"/>
    </row>
    <row r="1335" spans="1:6" ht="15.6" x14ac:dyDescent="0.3">
      <c r="A1335"/>
      <c r="B1335"/>
      <c r="C1335"/>
      <c r="D1335"/>
      <c r="E1335"/>
      <c r="F1335"/>
    </row>
    <row r="1336" spans="1:6" ht="15.6" x14ac:dyDescent="0.3">
      <c r="A1336"/>
      <c r="B1336"/>
      <c r="C1336"/>
      <c r="D1336"/>
      <c r="E1336"/>
      <c r="F1336"/>
    </row>
    <row r="1337" spans="1:6" ht="15.6" x14ac:dyDescent="0.3">
      <c r="A1337"/>
      <c r="B1337"/>
      <c r="C1337"/>
      <c r="D1337"/>
      <c r="E1337"/>
      <c r="F1337"/>
    </row>
    <row r="1338" spans="1:6" ht="15.6" x14ac:dyDescent="0.3">
      <c r="A1338"/>
      <c r="B1338"/>
      <c r="C1338"/>
      <c r="D1338"/>
      <c r="E1338"/>
      <c r="F1338"/>
    </row>
    <row r="1339" spans="1:6" ht="15.6" x14ac:dyDescent="0.3">
      <c r="A1339"/>
      <c r="B1339"/>
      <c r="C1339"/>
      <c r="D1339"/>
      <c r="E1339"/>
      <c r="F1339"/>
    </row>
    <row r="1340" spans="1:6" ht="15.6" x14ac:dyDescent="0.3">
      <c r="A1340"/>
      <c r="B1340"/>
      <c r="C1340"/>
      <c r="D1340"/>
      <c r="E1340"/>
      <c r="F1340"/>
    </row>
    <row r="1341" spans="1:6" ht="15.6" x14ac:dyDescent="0.3">
      <c r="A1341"/>
      <c r="B1341"/>
      <c r="C1341"/>
      <c r="D1341"/>
      <c r="E1341"/>
      <c r="F1341"/>
    </row>
    <row r="1342" spans="1:6" ht="15.6" x14ac:dyDescent="0.3">
      <c r="A1342"/>
      <c r="B1342"/>
      <c r="C1342"/>
      <c r="D1342"/>
      <c r="E1342"/>
      <c r="F1342"/>
    </row>
    <row r="1343" spans="1:6" ht="15.6" x14ac:dyDescent="0.3">
      <c r="A1343"/>
      <c r="B1343"/>
      <c r="C1343"/>
      <c r="D1343"/>
      <c r="E1343"/>
      <c r="F1343"/>
    </row>
    <row r="1344" spans="1:6" ht="15.6" x14ac:dyDescent="0.3">
      <c r="A1344"/>
      <c r="B1344"/>
      <c r="C1344"/>
      <c r="D1344"/>
      <c r="E1344"/>
      <c r="F1344"/>
    </row>
    <row r="1345" spans="1:6" ht="15.6" x14ac:dyDescent="0.3">
      <c r="A1345"/>
      <c r="B1345"/>
      <c r="C1345"/>
      <c r="D1345"/>
      <c r="E1345"/>
      <c r="F1345"/>
    </row>
    <row r="1346" spans="1:6" ht="15.6" x14ac:dyDescent="0.3">
      <c r="A1346"/>
      <c r="B1346"/>
      <c r="C1346"/>
      <c r="D1346"/>
      <c r="E1346"/>
      <c r="F1346"/>
    </row>
    <row r="1347" spans="1:6" ht="15.6" x14ac:dyDescent="0.3">
      <c r="A1347"/>
      <c r="B1347"/>
      <c r="C1347"/>
      <c r="D1347"/>
      <c r="E1347"/>
      <c r="F1347"/>
    </row>
    <row r="1348" spans="1:6" ht="15.6" x14ac:dyDescent="0.3">
      <c r="A1348"/>
      <c r="B1348"/>
      <c r="C1348"/>
      <c r="D1348"/>
      <c r="E1348"/>
      <c r="F1348"/>
    </row>
    <row r="1349" spans="1:6" ht="15.6" x14ac:dyDescent="0.3">
      <c r="A1349"/>
      <c r="B1349"/>
      <c r="C1349"/>
      <c r="D1349"/>
      <c r="E1349"/>
      <c r="F1349"/>
    </row>
    <row r="1350" spans="1:6" ht="15.6" x14ac:dyDescent="0.3">
      <c r="A1350"/>
      <c r="B1350"/>
      <c r="C1350"/>
      <c r="D1350"/>
      <c r="E1350"/>
      <c r="F1350"/>
    </row>
    <row r="1351" spans="1:6" ht="15.6" x14ac:dyDescent="0.3">
      <c r="A1351"/>
      <c r="B1351"/>
      <c r="C1351"/>
      <c r="D1351"/>
      <c r="E1351"/>
      <c r="F1351"/>
    </row>
    <row r="1352" spans="1:6" ht="15.6" x14ac:dyDescent="0.3">
      <c r="A1352"/>
      <c r="B1352"/>
      <c r="C1352"/>
      <c r="D1352"/>
      <c r="E1352"/>
      <c r="F1352"/>
    </row>
    <row r="1353" spans="1:6" ht="15.6" x14ac:dyDescent="0.3">
      <c r="A1353"/>
      <c r="B1353"/>
      <c r="C1353"/>
      <c r="D1353"/>
      <c r="E1353"/>
      <c r="F1353"/>
    </row>
    <row r="1354" spans="1:6" ht="15.6" x14ac:dyDescent="0.3">
      <c r="A1354"/>
      <c r="B1354"/>
      <c r="C1354"/>
      <c r="D1354"/>
      <c r="E1354"/>
      <c r="F1354"/>
    </row>
    <row r="1355" spans="1:6" ht="15.6" x14ac:dyDescent="0.3">
      <c r="A1355"/>
      <c r="B1355"/>
      <c r="C1355"/>
      <c r="D1355"/>
      <c r="E1355"/>
      <c r="F1355"/>
    </row>
    <row r="1356" spans="1:6" ht="15.6" x14ac:dyDescent="0.3">
      <c r="A1356"/>
      <c r="B1356"/>
      <c r="C1356"/>
      <c r="D1356"/>
      <c r="E1356"/>
      <c r="F1356"/>
    </row>
    <row r="1357" spans="1:6" ht="15.6" x14ac:dyDescent="0.3">
      <c r="A1357"/>
      <c r="B1357"/>
      <c r="C1357"/>
      <c r="D1357"/>
      <c r="E1357"/>
      <c r="F1357"/>
    </row>
    <row r="1358" spans="1:6" ht="15.6" x14ac:dyDescent="0.3">
      <c r="A1358"/>
      <c r="B1358"/>
      <c r="C1358"/>
      <c r="D1358"/>
      <c r="E1358"/>
      <c r="F1358"/>
    </row>
    <row r="1359" spans="1:6" ht="15.6" x14ac:dyDescent="0.3">
      <c r="A1359"/>
      <c r="B1359"/>
      <c r="C1359"/>
      <c r="D1359"/>
      <c r="E1359"/>
      <c r="F1359"/>
    </row>
    <row r="1360" spans="1:6" ht="15.6" x14ac:dyDescent="0.3">
      <c r="A1360"/>
      <c r="B1360"/>
      <c r="C1360"/>
      <c r="D1360"/>
      <c r="E1360"/>
      <c r="F1360"/>
    </row>
    <row r="1361" spans="1:6" ht="15.6" x14ac:dyDescent="0.3">
      <c r="A1361"/>
      <c r="B1361"/>
      <c r="C1361"/>
      <c r="D1361"/>
      <c r="E1361"/>
      <c r="F1361"/>
    </row>
    <row r="1362" spans="1:6" ht="15.6" x14ac:dyDescent="0.3">
      <c r="A1362"/>
      <c r="B1362"/>
      <c r="C1362"/>
      <c r="D1362"/>
      <c r="E1362"/>
      <c r="F1362"/>
    </row>
    <row r="1363" spans="1:6" ht="15.6" x14ac:dyDescent="0.3">
      <c r="A1363"/>
      <c r="B1363"/>
      <c r="C1363"/>
      <c r="D1363"/>
      <c r="E1363"/>
      <c r="F1363"/>
    </row>
    <row r="1364" spans="1:6" ht="15.6" x14ac:dyDescent="0.3">
      <c r="A1364"/>
      <c r="B1364"/>
      <c r="C1364"/>
      <c r="D1364"/>
      <c r="E1364"/>
      <c r="F1364"/>
    </row>
    <row r="1365" spans="1:6" ht="15.6" x14ac:dyDescent="0.3">
      <c r="A1365"/>
      <c r="B1365"/>
      <c r="C1365"/>
      <c r="D1365"/>
      <c r="E1365"/>
      <c r="F1365"/>
    </row>
    <row r="1366" spans="1:6" ht="15.6" x14ac:dyDescent="0.3">
      <c r="A1366"/>
      <c r="B1366"/>
      <c r="C1366"/>
      <c r="D1366"/>
      <c r="E1366"/>
      <c r="F1366"/>
    </row>
    <row r="1367" spans="1:6" ht="15.6" x14ac:dyDescent="0.3">
      <c r="A1367"/>
      <c r="B1367"/>
      <c r="C1367"/>
      <c r="D1367"/>
      <c r="E1367"/>
      <c r="F1367"/>
    </row>
    <row r="1368" spans="1:6" ht="15.6" x14ac:dyDescent="0.3">
      <c r="A1368"/>
      <c r="B1368"/>
      <c r="C1368"/>
      <c r="D1368"/>
      <c r="E1368"/>
      <c r="F1368"/>
    </row>
    <row r="1369" spans="1:6" ht="15.6" x14ac:dyDescent="0.3">
      <c r="A1369"/>
      <c r="B1369"/>
      <c r="C1369"/>
      <c r="D1369"/>
      <c r="E1369"/>
      <c r="F1369"/>
    </row>
    <row r="1370" spans="1:6" ht="15.6" x14ac:dyDescent="0.3">
      <c r="A1370"/>
      <c r="B1370"/>
      <c r="C1370"/>
      <c r="D1370"/>
      <c r="E1370"/>
      <c r="F1370"/>
    </row>
    <row r="1371" spans="1:6" ht="15.6" x14ac:dyDescent="0.3">
      <c r="A1371"/>
      <c r="B1371"/>
      <c r="C1371"/>
      <c r="D1371"/>
      <c r="E1371"/>
      <c r="F1371"/>
    </row>
    <row r="1372" spans="1:6" ht="15.6" x14ac:dyDescent="0.3">
      <c r="A1372"/>
      <c r="B1372"/>
      <c r="C1372"/>
      <c r="D1372"/>
      <c r="E1372"/>
      <c r="F1372"/>
    </row>
    <row r="1373" spans="1:6" ht="15.6" x14ac:dyDescent="0.3">
      <c r="A1373"/>
      <c r="B1373"/>
      <c r="C1373"/>
      <c r="D1373"/>
      <c r="E1373"/>
      <c r="F1373"/>
    </row>
    <row r="1374" spans="1:6" ht="15.6" x14ac:dyDescent="0.3">
      <c r="A1374"/>
      <c r="B1374"/>
      <c r="C1374"/>
      <c r="D1374"/>
      <c r="E1374"/>
      <c r="F1374"/>
    </row>
    <row r="1375" spans="1:6" ht="15.6" x14ac:dyDescent="0.3">
      <c r="A1375"/>
      <c r="B1375"/>
      <c r="C1375"/>
      <c r="D1375"/>
      <c r="E1375"/>
      <c r="F1375"/>
    </row>
    <row r="1376" spans="1:6" ht="15.6" x14ac:dyDescent="0.3">
      <c r="A1376"/>
      <c r="B1376"/>
      <c r="C1376"/>
      <c r="D1376"/>
      <c r="E1376"/>
      <c r="F1376"/>
    </row>
    <row r="1377" spans="1:6" ht="15.6" x14ac:dyDescent="0.3">
      <c r="A1377"/>
      <c r="B1377"/>
      <c r="C1377"/>
      <c r="D1377"/>
      <c r="E1377"/>
      <c r="F1377"/>
    </row>
    <row r="1378" spans="1:6" ht="15.6" x14ac:dyDescent="0.3">
      <c r="A1378"/>
      <c r="B1378"/>
      <c r="C1378"/>
      <c r="D1378"/>
      <c r="E1378"/>
      <c r="F1378"/>
    </row>
    <row r="1379" spans="1:6" ht="15.6" x14ac:dyDescent="0.3">
      <c r="A1379"/>
      <c r="B1379"/>
      <c r="C1379"/>
      <c r="D1379"/>
      <c r="E1379"/>
      <c r="F1379"/>
    </row>
    <row r="1380" spans="1:6" ht="15.6" x14ac:dyDescent="0.3">
      <c r="A1380"/>
      <c r="B1380"/>
      <c r="C1380"/>
      <c r="D1380"/>
      <c r="E1380"/>
      <c r="F1380"/>
    </row>
    <row r="1381" spans="1:6" ht="15.6" x14ac:dyDescent="0.3">
      <c r="A1381"/>
      <c r="B1381"/>
      <c r="C1381"/>
      <c r="D1381"/>
      <c r="E1381"/>
      <c r="F1381"/>
    </row>
    <row r="1382" spans="1:6" ht="15.6" x14ac:dyDescent="0.3">
      <c r="A1382"/>
      <c r="B1382"/>
      <c r="C1382"/>
      <c r="D1382"/>
      <c r="E1382"/>
      <c r="F1382"/>
    </row>
    <row r="1383" spans="1:6" ht="15.6" x14ac:dyDescent="0.3">
      <c r="A1383"/>
      <c r="B1383"/>
      <c r="C1383"/>
      <c r="D1383"/>
      <c r="E1383"/>
      <c r="F1383"/>
    </row>
    <row r="1384" spans="1:6" ht="15.6" x14ac:dyDescent="0.3">
      <c r="A1384"/>
      <c r="B1384"/>
      <c r="C1384"/>
      <c r="D1384"/>
      <c r="E1384"/>
      <c r="F1384"/>
    </row>
    <row r="1385" spans="1:6" ht="15.6" x14ac:dyDescent="0.3">
      <c r="A1385"/>
      <c r="B1385"/>
      <c r="C1385"/>
      <c r="D1385"/>
      <c r="E1385"/>
      <c r="F1385"/>
    </row>
    <row r="1386" spans="1:6" ht="15.6" x14ac:dyDescent="0.3">
      <c r="A1386"/>
      <c r="B1386"/>
      <c r="C1386"/>
      <c r="D1386"/>
      <c r="E1386"/>
      <c r="F1386"/>
    </row>
    <row r="1387" spans="1:6" ht="15.6" x14ac:dyDescent="0.3">
      <c r="A1387"/>
      <c r="B1387"/>
      <c r="C1387"/>
      <c r="D1387"/>
      <c r="E1387"/>
      <c r="F1387"/>
    </row>
    <row r="1388" spans="1:6" ht="15.6" x14ac:dyDescent="0.3">
      <c r="A1388"/>
      <c r="B1388"/>
      <c r="C1388"/>
      <c r="D1388"/>
      <c r="E1388"/>
      <c r="F1388"/>
    </row>
    <row r="1389" spans="1:6" ht="15.6" x14ac:dyDescent="0.3">
      <c r="A1389"/>
      <c r="B1389"/>
      <c r="C1389"/>
      <c r="D1389"/>
      <c r="E1389"/>
      <c r="F1389"/>
    </row>
    <row r="1390" spans="1:6" ht="15.6" x14ac:dyDescent="0.3">
      <c r="A1390"/>
      <c r="B1390"/>
      <c r="C1390"/>
      <c r="D1390"/>
      <c r="E1390"/>
      <c r="F1390"/>
    </row>
    <row r="1391" spans="1:6" ht="15.6" x14ac:dyDescent="0.3">
      <c r="A1391"/>
      <c r="B1391"/>
      <c r="C1391"/>
      <c r="D1391"/>
      <c r="E1391"/>
      <c r="F1391"/>
    </row>
    <row r="1392" spans="1:6" ht="15.6" x14ac:dyDescent="0.3">
      <c r="A1392"/>
      <c r="B1392"/>
      <c r="C1392"/>
      <c r="D1392"/>
      <c r="E1392"/>
      <c r="F1392"/>
    </row>
    <row r="1393" spans="1:6" ht="15.6" x14ac:dyDescent="0.3">
      <c r="A1393"/>
      <c r="B1393"/>
      <c r="C1393"/>
      <c r="D1393"/>
      <c r="E1393"/>
      <c r="F1393"/>
    </row>
    <row r="1394" spans="1:6" ht="15.6" x14ac:dyDescent="0.3">
      <c r="A1394"/>
      <c r="B1394"/>
      <c r="C1394"/>
      <c r="D1394"/>
      <c r="E1394"/>
      <c r="F1394"/>
    </row>
    <row r="1395" spans="1:6" ht="15.6" x14ac:dyDescent="0.3">
      <c r="A1395"/>
      <c r="B1395"/>
      <c r="C1395"/>
      <c r="D1395"/>
      <c r="E1395"/>
      <c r="F1395"/>
    </row>
    <row r="1396" spans="1:6" ht="15.6" x14ac:dyDescent="0.3">
      <c r="A1396"/>
      <c r="B1396"/>
      <c r="C1396"/>
      <c r="D1396"/>
      <c r="E1396"/>
      <c r="F1396"/>
    </row>
    <row r="1397" spans="1:6" ht="15.6" x14ac:dyDescent="0.3">
      <c r="A1397"/>
      <c r="B1397"/>
      <c r="C1397"/>
      <c r="D1397"/>
      <c r="E1397"/>
      <c r="F1397"/>
    </row>
    <row r="1398" spans="1:6" ht="15.6" x14ac:dyDescent="0.3">
      <c r="A1398"/>
      <c r="B1398"/>
      <c r="C1398"/>
      <c r="D1398"/>
      <c r="E1398"/>
      <c r="F1398"/>
    </row>
    <row r="1399" spans="1:6" ht="15.6" x14ac:dyDescent="0.3">
      <c r="A1399"/>
      <c r="B1399"/>
      <c r="C1399"/>
      <c r="D1399"/>
      <c r="E1399"/>
      <c r="F1399"/>
    </row>
    <row r="1400" spans="1:6" ht="15.6" x14ac:dyDescent="0.3">
      <c r="A1400"/>
      <c r="B1400"/>
      <c r="C1400"/>
      <c r="D1400"/>
      <c r="E1400"/>
      <c r="F1400"/>
    </row>
    <row r="1401" spans="1:6" ht="15.6" x14ac:dyDescent="0.3">
      <c r="A1401"/>
      <c r="B1401"/>
      <c r="C1401"/>
      <c r="D1401"/>
      <c r="E1401"/>
      <c r="F1401"/>
    </row>
    <row r="1402" spans="1:6" ht="15.6" x14ac:dyDescent="0.3">
      <c r="A1402"/>
      <c r="B1402"/>
      <c r="C1402"/>
      <c r="D1402"/>
      <c r="E1402"/>
      <c r="F1402"/>
    </row>
    <row r="1403" spans="1:6" ht="15.6" x14ac:dyDescent="0.3">
      <c r="A1403"/>
      <c r="B1403"/>
      <c r="C1403"/>
      <c r="D1403"/>
      <c r="E1403"/>
      <c r="F1403"/>
    </row>
    <row r="1404" spans="1:6" ht="15.6" x14ac:dyDescent="0.3">
      <c r="A1404"/>
      <c r="B1404"/>
      <c r="C1404"/>
      <c r="D1404"/>
      <c r="E1404"/>
      <c r="F1404"/>
    </row>
    <row r="1405" spans="1:6" ht="15.6" x14ac:dyDescent="0.3">
      <c r="A1405"/>
      <c r="B1405"/>
      <c r="C1405"/>
      <c r="D1405"/>
      <c r="E1405"/>
      <c r="F1405"/>
    </row>
    <row r="1406" spans="1:6" ht="15.6" x14ac:dyDescent="0.3">
      <c r="A1406"/>
      <c r="B1406"/>
      <c r="C1406"/>
      <c r="D1406"/>
      <c r="E1406"/>
      <c r="F1406"/>
    </row>
    <row r="1407" spans="1:6" ht="15.6" x14ac:dyDescent="0.3">
      <c r="A1407"/>
      <c r="B1407"/>
      <c r="C1407"/>
      <c r="D1407"/>
      <c r="E1407"/>
      <c r="F1407"/>
    </row>
    <row r="1408" spans="1:6" ht="15.6" x14ac:dyDescent="0.3">
      <c r="A1408"/>
      <c r="B1408"/>
      <c r="C1408"/>
      <c r="D1408"/>
      <c r="E1408"/>
      <c r="F1408"/>
    </row>
    <row r="1409" spans="1:6" ht="15.6" x14ac:dyDescent="0.3">
      <c r="A1409"/>
      <c r="B1409"/>
      <c r="C1409"/>
      <c r="D1409"/>
      <c r="E1409"/>
      <c r="F1409"/>
    </row>
    <row r="1410" spans="1:6" ht="15.6" x14ac:dyDescent="0.3">
      <c r="A1410"/>
      <c r="B1410"/>
      <c r="C1410"/>
      <c r="D1410"/>
      <c r="E1410"/>
      <c r="F1410"/>
    </row>
    <row r="1411" spans="1:6" ht="15.6" x14ac:dyDescent="0.3">
      <c r="A1411"/>
      <c r="B1411"/>
      <c r="C1411"/>
      <c r="D1411"/>
      <c r="E1411"/>
      <c r="F1411"/>
    </row>
    <row r="1412" spans="1:6" ht="15.6" x14ac:dyDescent="0.3">
      <c r="A1412"/>
      <c r="B1412"/>
      <c r="C1412"/>
      <c r="D1412"/>
      <c r="E1412"/>
      <c r="F1412"/>
    </row>
    <row r="1413" spans="1:6" ht="15.6" x14ac:dyDescent="0.3">
      <c r="A1413"/>
      <c r="B1413"/>
      <c r="C1413"/>
      <c r="D1413"/>
      <c r="E1413"/>
      <c r="F1413"/>
    </row>
    <row r="1414" spans="1:6" ht="15.6" x14ac:dyDescent="0.3">
      <c r="A1414"/>
      <c r="B1414"/>
      <c r="C1414"/>
      <c r="D1414"/>
      <c r="E1414"/>
      <c r="F1414"/>
    </row>
    <row r="1415" spans="1:6" ht="15.6" x14ac:dyDescent="0.3">
      <c r="A1415"/>
      <c r="B1415"/>
      <c r="C1415"/>
      <c r="D1415"/>
      <c r="E1415"/>
      <c r="F1415"/>
    </row>
    <row r="1416" spans="1:6" ht="15.6" x14ac:dyDescent="0.3">
      <c r="A1416"/>
      <c r="B1416"/>
      <c r="C1416"/>
      <c r="D1416"/>
      <c r="E1416"/>
      <c r="F1416"/>
    </row>
    <row r="1417" spans="1:6" ht="15.6" x14ac:dyDescent="0.3">
      <c r="A1417"/>
      <c r="B1417"/>
      <c r="C1417"/>
      <c r="D1417"/>
      <c r="E1417"/>
      <c r="F1417"/>
    </row>
    <row r="1418" spans="1:6" ht="15.6" x14ac:dyDescent="0.3">
      <c r="A1418"/>
      <c r="B1418"/>
      <c r="C1418"/>
      <c r="D1418"/>
      <c r="E1418"/>
      <c r="F1418"/>
    </row>
    <row r="1419" spans="1:6" ht="15.6" x14ac:dyDescent="0.3">
      <c r="A1419"/>
      <c r="B1419"/>
      <c r="C1419"/>
      <c r="D1419"/>
      <c r="E1419"/>
      <c r="F1419"/>
    </row>
    <row r="1420" spans="1:6" ht="15.6" x14ac:dyDescent="0.3">
      <c r="A1420"/>
      <c r="B1420"/>
      <c r="C1420"/>
      <c r="D1420"/>
      <c r="E1420"/>
      <c r="F1420"/>
    </row>
    <row r="1421" spans="1:6" ht="15.6" x14ac:dyDescent="0.3">
      <c r="A1421"/>
      <c r="B1421"/>
      <c r="C1421"/>
      <c r="D1421"/>
      <c r="E1421"/>
      <c r="F1421"/>
    </row>
    <row r="1422" spans="1:6" ht="15.6" x14ac:dyDescent="0.3">
      <c r="A1422"/>
      <c r="B1422"/>
      <c r="C1422"/>
      <c r="D1422"/>
      <c r="E1422"/>
      <c r="F1422"/>
    </row>
    <row r="1423" spans="1:6" ht="15.6" x14ac:dyDescent="0.3">
      <c r="A1423"/>
      <c r="B1423"/>
      <c r="C1423"/>
      <c r="D1423"/>
      <c r="E1423"/>
      <c r="F1423"/>
    </row>
    <row r="1424" spans="1:6" ht="15.6" x14ac:dyDescent="0.3">
      <c r="A1424"/>
      <c r="B1424"/>
      <c r="C1424"/>
      <c r="D1424"/>
      <c r="E1424"/>
      <c r="F1424"/>
    </row>
    <row r="1425" spans="1:6" ht="15.6" x14ac:dyDescent="0.3">
      <c r="A1425"/>
      <c r="B1425"/>
      <c r="C1425"/>
      <c r="D1425"/>
      <c r="E1425"/>
      <c r="F1425"/>
    </row>
    <row r="1426" spans="1:6" ht="15.6" x14ac:dyDescent="0.3">
      <c r="A1426"/>
      <c r="B1426"/>
      <c r="C1426"/>
      <c r="D1426"/>
      <c r="E1426"/>
      <c r="F1426"/>
    </row>
    <row r="1427" spans="1:6" ht="15.6" x14ac:dyDescent="0.3">
      <c r="A1427"/>
      <c r="B1427"/>
      <c r="C1427"/>
      <c r="D1427"/>
      <c r="E1427"/>
      <c r="F1427"/>
    </row>
    <row r="1428" spans="1:6" ht="15.6" x14ac:dyDescent="0.3">
      <c r="A1428"/>
      <c r="B1428"/>
      <c r="C1428"/>
      <c r="D1428"/>
      <c r="E1428"/>
      <c r="F1428"/>
    </row>
    <row r="1429" spans="1:6" ht="15.6" x14ac:dyDescent="0.3">
      <c r="A1429"/>
      <c r="B1429"/>
      <c r="C1429"/>
      <c r="D1429"/>
      <c r="E1429"/>
      <c r="F1429"/>
    </row>
    <row r="1430" spans="1:6" ht="15.6" x14ac:dyDescent="0.3">
      <c r="A1430"/>
      <c r="B1430"/>
      <c r="C1430"/>
      <c r="D1430"/>
      <c r="E1430"/>
      <c r="F1430"/>
    </row>
    <row r="1431" spans="1:6" ht="15.6" x14ac:dyDescent="0.3">
      <c r="A1431"/>
      <c r="B1431"/>
      <c r="C1431"/>
      <c r="D1431"/>
      <c r="E1431"/>
      <c r="F1431"/>
    </row>
    <row r="1432" spans="1:6" ht="15.6" x14ac:dyDescent="0.3">
      <c r="A1432"/>
      <c r="B1432"/>
      <c r="C1432"/>
      <c r="D1432"/>
      <c r="E1432"/>
      <c r="F1432"/>
    </row>
    <row r="1433" spans="1:6" ht="15.6" x14ac:dyDescent="0.3">
      <c r="A1433"/>
      <c r="B1433"/>
      <c r="C1433"/>
      <c r="D1433"/>
      <c r="E1433"/>
      <c r="F1433"/>
    </row>
    <row r="1434" spans="1:6" ht="15.6" x14ac:dyDescent="0.3">
      <c r="A1434"/>
      <c r="B1434"/>
      <c r="C1434"/>
      <c r="D1434"/>
      <c r="E1434"/>
      <c r="F1434"/>
    </row>
    <row r="1435" spans="1:6" ht="15.6" x14ac:dyDescent="0.3">
      <c r="A1435"/>
      <c r="B1435"/>
      <c r="C1435"/>
      <c r="D1435"/>
      <c r="E1435"/>
      <c r="F1435"/>
    </row>
    <row r="1436" spans="1:6" ht="15.6" x14ac:dyDescent="0.3">
      <c r="A1436"/>
      <c r="B1436"/>
      <c r="C1436"/>
      <c r="D1436"/>
      <c r="E1436"/>
      <c r="F1436"/>
    </row>
    <row r="1437" spans="1:6" ht="15.6" x14ac:dyDescent="0.3">
      <c r="A1437"/>
      <c r="B1437"/>
      <c r="C1437"/>
      <c r="D1437"/>
      <c r="E1437"/>
      <c r="F1437"/>
    </row>
    <row r="1438" spans="1:6" ht="15.6" x14ac:dyDescent="0.3">
      <c r="A1438"/>
      <c r="B1438"/>
      <c r="C1438"/>
      <c r="D1438"/>
      <c r="E1438"/>
      <c r="F1438"/>
    </row>
    <row r="1439" spans="1:6" ht="15.6" x14ac:dyDescent="0.3">
      <c r="A1439"/>
      <c r="B1439"/>
      <c r="C1439"/>
      <c r="D1439"/>
      <c r="E1439"/>
      <c r="F1439"/>
    </row>
    <row r="1440" spans="1:6" ht="15.6" x14ac:dyDescent="0.3">
      <c r="A1440"/>
      <c r="B1440"/>
      <c r="C1440"/>
      <c r="D1440"/>
      <c r="E1440"/>
      <c r="F1440"/>
    </row>
    <row r="1441" spans="1:6" ht="15.6" x14ac:dyDescent="0.3">
      <c r="A1441"/>
      <c r="B1441"/>
      <c r="C1441"/>
      <c r="D1441"/>
      <c r="E1441"/>
      <c r="F1441"/>
    </row>
    <row r="1442" spans="1:6" ht="15.6" x14ac:dyDescent="0.3">
      <c r="A1442"/>
      <c r="B1442"/>
      <c r="C1442"/>
      <c r="D1442"/>
      <c r="E1442"/>
      <c r="F1442"/>
    </row>
    <row r="1443" spans="1:6" ht="15.6" x14ac:dyDescent="0.3">
      <c r="A1443"/>
      <c r="B1443"/>
      <c r="C1443"/>
      <c r="D1443"/>
      <c r="E1443"/>
      <c r="F1443"/>
    </row>
    <row r="1444" spans="1:6" ht="15.6" x14ac:dyDescent="0.3">
      <c r="A1444"/>
      <c r="B1444"/>
      <c r="C1444"/>
      <c r="D1444"/>
      <c r="E1444"/>
      <c r="F1444"/>
    </row>
    <row r="1445" spans="1:6" ht="15.6" x14ac:dyDescent="0.3">
      <c r="A1445"/>
      <c r="B1445"/>
      <c r="C1445"/>
      <c r="D1445"/>
      <c r="E1445"/>
      <c r="F1445"/>
    </row>
    <row r="1446" spans="1:6" ht="15.6" x14ac:dyDescent="0.3">
      <c r="A1446"/>
      <c r="B1446"/>
      <c r="C1446"/>
      <c r="D1446"/>
      <c r="E1446"/>
      <c r="F1446"/>
    </row>
    <row r="1447" spans="1:6" ht="15.6" x14ac:dyDescent="0.3">
      <c r="A1447"/>
      <c r="B1447"/>
      <c r="C1447"/>
      <c r="D1447"/>
      <c r="E1447"/>
      <c r="F1447"/>
    </row>
    <row r="1448" spans="1:6" ht="15.6" x14ac:dyDescent="0.3">
      <c r="A1448"/>
      <c r="B1448"/>
      <c r="C1448"/>
      <c r="D1448"/>
      <c r="E1448"/>
      <c r="F1448"/>
    </row>
    <row r="1449" spans="1:6" ht="15.6" x14ac:dyDescent="0.3">
      <c r="A1449"/>
      <c r="B1449"/>
      <c r="C1449"/>
      <c r="D1449"/>
      <c r="E1449"/>
      <c r="F1449"/>
    </row>
    <row r="1450" spans="1:6" ht="15.6" x14ac:dyDescent="0.3">
      <c r="A1450"/>
      <c r="B1450"/>
      <c r="C1450"/>
      <c r="D1450"/>
      <c r="E1450"/>
      <c r="F1450"/>
    </row>
    <row r="1451" spans="1:6" ht="15.6" x14ac:dyDescent="0.3">
      <c r="A1451"/>
      <c r="B1451"/>
      <c r="C1451"/>
      <c r="D1451"/>
      <c r="E1451"/>
      <c r="F1451"/>
    </row>
    <row r="1452" spans="1:6" ht="15.6" x14ac:dyDescent="0.3">
      <c r="A1452"/>
      <c r="B1452"/>
      <c r="C1452"/>
      <c r="D1452"/>
      <c r="E1452"/>
      <c r="F1452"/>
    </row>
    <row r="1453" spans="1:6" ht="15.6" x14ac:dyDescent="0.3">
      <c r="A1453"/>
      <c r="B1453"/>
      <c r="C1453"/>
      <c r="D1453"/>
      <c r="E1453"/>
      <c r="F1453"/>
    </row>
    <row r="1454" spans="1:6" ht="15.6" x14ac:dyDescent="0.3">
      <c r="A1454"/>
      <c r="B1454"/>
      <c r="C1454"/>
      <c r="D1454"/>
      <c r="E1454"/>
      <c r="F1454"/>
    </row>
    <row r="1455" spans="1:6" ht="15.6" x14ac:dyDescent="0.3">
      <c r="A1455"/>
      <c r="B1455"/>
      <c r="C1455"/>
      <c r="D1455"/>
      <c r="E1455"/>
      <c r="F1455"/>
    </row>
    <row r="1456" spans="1:6" ht="15.6" x14ac:dyDescent="0.3">
      <c r="A1456"/>
      <c r="B1456"/>
      <c r="C1456"/>
      <c r="D1456"/>
      <c r="E1456"/>
      <c r="F1456"/>
    </row>
    <row r="1457" spans="1:6" ht="15.6" x14ac:dyDescent="0.3">
      <c r="A1457"/>
      <c r="B1457"/>
      <c r="C1457"/>
      <c r="D1457"/>
      <c r="E1457"/>
      <c r="F1457"/>
    </row>
    <row r="1458" spans="1:6" ht="15.6" x14ac:dyDescent="0.3">
      <c r="A1458"/>
      <c r="B1458"/>
      <c r="C1458"/>
      <c r="D1458"/>
      <c r="E1458"/>
      <c r="F1458"/>
    </row>
    <row r="1459" spans="1:6" ht="15.6" x14ac:dyDescent="0.3">
      <c r="A1459"/>
      <c r="B1459"/>
      <c r="C1459"/>
      <c r="D1459"/>
      <c r="E1459"/>
      <c r="F1459"/>
    </row>
    <row r="1460" spans="1:6" ht="15.6" x14ac:dyDescent="0.3">
      <c r="A1460"/>
      <c r="B1460"/>
      <c r="C1460"/>
      <c r="D1460"/>
      <c r="E1460"/>
      <c r="F1460"/>
    </row>
    <row r="1461" spans="1:6" ht="15.6" x14ac:dyDescent="0.3">
      <c r="A1461"/>
      <c r="B1461"/>
      <c r="C1461"/>
      <c r="D1461"/>
      <c r="E1461"/>
      <c r="F1461"/>
    </row>
    <row r="1462" spans="1:6" ht="15.6" x14ac:dyDescent="0.3">
      <c r="A1462"/>
      <c r="B1462"/>
      <c r="C1462"/>
      <c r="D1462"/>
      <c r="E1462"/>
      <c r="F1462"/>
    </row>
    <row r="1463" spans="1:6" ht="15.6" x14ac:dyDescent="0.3">
      <c r="A1463"/>
      <c r="B1463"/>
      <c r="C1463"/>
      <c r="D1463"/>
      <c r="E1463"/>
      <c r="F1463"/>
    </row>
    <row r="1464" spans="1:6" ht="15.6" x14ac:dyDescent="0.3">
      <c r="A1464"/>
      <c r="B1464"/>
      <c r="C1464"/>
      <c r="D1464"/>
      <c r="E1464"/>
      <c r="F1464"/>
    </row>
    <row r="1465" spans="1:6" ht="15.6" x14ac:dyDescent="0.3">
      <c r="A1465"/>
      <c r="B1465"/>
      <c r="C1465"/>
      <c r="D1465"/>
      <c r="E1465"/>
      <c r="F1465"/>
    </row>
    <row r="1466" spans="1:6" ht="15.6" x14ac:dyDescent="0.3">
      <c r="A1466"/>
      <c r="B1466"/>
      <c r="C1466"/>
      <c r="D1466"/>
      <c r="E1466"/>
      <c r="F1466"/>
    </row>
    <row r="1467" spans="1:6" ht="15.6" x14ac:dyDescent="0.3">
      <c r="A1467"/>
      <c r="B1467"/>
      <c r="C1467"/>
      <c r="D1467"/>
      <c r="E1467"/>
      <c r="F1467"/>
    </row>
    <row r="1468" spans="1:6" ht="15.6" x14ac:dyDescent="0.3">
      <c r="A1468"/>
      <c r="B1468"/>
      <c r="C1468"/>
      <c r="D1468"/>
      <c r="E1468"/>
      <c r="F1468"/>
    </row>
    <row r="1469" spans="1:6" ht="15.6" x14ac:dyDescent="0.3">
      <c r="A1469"/>
      <c r="B1469"/>
      <c r="C1469"/>
      <c r="D1469"/>
      <c r="E1469"/>
      <c r="F1469"/>
    </row>
    <row r="1470" spans="1:6" ht="15.6" x14ac:dyDescent="0.3">
      <c r="A1470"/>
      <c r="B1470"/>
      <c r="C1470"/>
      <c r="D1470"/>
      <c r="E1470"/>
      <c r="F1470"/>
    </row>
    <row r="1471" spans="1:6" ht="15.6" x14ac:dyDescent="0.3">
      <c r="A1471"/>
      <c r="B1471"/>
      <c r="C1471"/>
      <c r="D1471"/>
      <c r="E1471"/>
      <c r="F1471"/>
    </row>
    <row r="1472" spans="1:6" ht="15.6" x14ac:dyDescent="0.3">
      <c r="A1472"/>
      <c r="B1472"/>
      <c r="C1472"/>
      <c r="D1472"/>
      <c r="E1472"/>
      <c r="F1472"/>
    </row>
    <row r="1473" spans="1:6" ht="15.6" x14ac:dyDescent="0.3">
      <c r="A1473"/>
      <c r="B1473"/>
      <c r="C1473"/>
      <c r="D1473"/>
      <c r="E1473"/>
      <c r="F1473"/>
    </row>
    <row r="1474" spans="1:6" ht="15.6" x14ac:dyDescent="0.3">
      <c r="A1474"/>
      <c r="B1474"/>
      <c r="C1474"/>
      <c r="D1474"/>
      <c r="E1474"/>
      <c r="F1474"/>
    </row>
    <row r="1475" spans="1:6" ht="15.6" x14ac:dyDescent="0.3">
      <c r="A1475"/>
      <c r="B1475"/>
      <c r="C1475"/>
      <c r="D1475"/>
      <c r="E1475"/>
      <c r="F1475"/>
    </row>
    <row r="1476" spans="1:6" ht="15.6" x14ac:dyDescent="0.3">
      <c r="A1476"/>
      <c r="B1476"/>
      <c r="C1476"/>
      <c r="D1476"/>
      <c r="E1476"/>
      <c r="F1476"/>
    </row>
    <row r="1477" spans="1:6" ht="15.6" x14ac:dyDescent="0.3">
      <c r="A1477"/>
      <c r="B1477"/>
      <c r="C1477"/>
      <c r="D1477"/>
      <c r="E1477"/>
      <c r="F1477"/>
    </row>
    <row r="1478" spans="1:6" ht="15.6" x14ac:dyDescent="0.3">
      <c r="A1478"/>
      <c r="B1478"/>
      <c r="C1478"/>
      <c r="D1478"/>
      <c r="E1478"/>
      <c r="F1478"/>
    </row>
    <row r="1479" spans="1:6" ht="15.6" x14ac:dyDescent="0.3">
      <c r="A1479"/>
      <c r="B1479"/>
      <c r="C1479"/>
      <c r="D1479"/>
      <c r="E1479"/>
      <c r="F1479"/>
    </row>
    <row r="1480" spans="1:6" ht="15.6" x14ac:dyDescent="0.3">
      <c r="A1480"/>
      <c r="B1480"/>
      <c r="C1480"/>
      <c r="D1480"/>
      <c r="E1480"/>
      <c r="F1480"/>
    </row>
    <row r="1481" spans="1:6" ht="15.6" x14ac:dyDescent="0.3">
      <c r="A1481"/>
      <c r="B1481"/>
      <c r="C1481"/>
      <c r="D1481"/>
      <c r="E1481"/>
      <c r="F1481"/>
    </row>
    <row r="1482" spans="1:6" ht="15.6" x14ac:dyDescent="0.3">
      <c r="A1482"/>
      <c r="B1482"/>
      <c r="C1482"/>
      <c r="D1482"/>
      <c r="E1482"/>
      <c r="F1482"/>
    </row>
    <row r="1483" spans="1:6" ht="15.6" x14ac:dyDescent="0.3">
      <c r="A1483"/>
      <c r="B1483"/>
      <c r="C1483"/>
      <c r="D1483"/>
      <c r="E1483"/>
      <c r="F1483"/>
    </row>
    <row r="1484" spans="1:6" ht="15.6" x14ac:dyDescent="0.3">
      <c r="A1484"/>
      <c r="B1484"/>
      <c r="C1484"/>
      <c r="D1484"/>
      <c r="E1484"/>
      <c r="F1484"/>
    </row>
    <row r="1485" spans="1:6" ht="15.6" x14ac:dyDescent="0.3">
      <c r="A1485"/>
      <c r="B1485"/>
      <c r="C1485"/>
      <c r="D1485"/>
      <c r="E1485"/>
      <c r="F1485"/>
    </row>
    <row r="1486" spans="1:6" ht="15.6" x14ac:dyDescent="0.3">
      <c r="A1486"/>
      <c r="B1486"/>
      <c r="C1486"/>
      <c r="D1486"/>
      <c r="E1486"/>
      <c r="F1486"/>
    </row>
    <row r="1487" spans="1:6" ht="15.6" x14ac:dyDescent="0.3">
      <c r="A1487"/>
      <c r="B1487"/>
      <c r="C1487"/>
      <c r="D1487"/>
      <c r="E1487"/>
      <c r="F1487"/>
    </row>
    <row r="1488" spans="1:6" ht="15.6" x14ac:dyDescent="0.3">
      <c r="A1488"/>
      <c r="B1488"/>
      <c r="C1488"/>
      <c r="D1488"/>
      <c r="E1488"/>
      <c r="F1488"/>
    </row>
    <row r="1489" spans="1:6" ht="15.6" x14ac:dyDescent="0.3">
      <c r="A1489"/>
      <c r="B1489"/>
      <c r="C1489"/>
      <c r="D1489"/>
      <c r="E1489"/>
      <c r="F1489"/>
    </row>
    <row r="1490" spans="1:6" ht="15.6" x14ac:dyDescent="0.3">
      <c r="A1490"/>
      <c r="B1490"/>
      <c r="C1490"/>
      <c r="D1490"/>
      <c r="E1490"/>
      <c r="F1490"/>
    </row>
    <row r="1491" spans="1:6" ht="15.6" x14ac:dyDescent="0.3">
      <c r="A1491"/>
      <c r="B1491"/>
      <c r="C1491"/>
      <c r="D1491"/>
      <c r="E1491"/>
      <c r="F1491"/>
    </row>
    <row r="1492" spans="1:6" ht="15.6" x14ac:dyDescent="0.3">
      <c r="A1492"/>
      <c r="B1492"/>
      <c r="C1492"/>
      <c r="D1492"/>
      <c r="E1492"/>
      <c r="F1492"/>
    </row>
    <row r="1493" spans="1:6" ht="15.6" x14ac:dyDescent="0.3">
      <c r="A1493"/>
      <c r="B1493"/>
      <c r="C1493"/>
      <c r="D1493"/>
      <c r="E1493"/>
      <c r="F1493"/>
    </row>
    <row r="1494" spans="1:6" ht="15.6" x14ac:dyDescent="0.3">
      <c r="A1494"/>
      <c r="B1494"/>
      <c r="C1494"/>
      <c r="D1494"/>
      <c r="E1494"/>
      <c r="F1494"/>
    </row>
    <row r="1495" spans="1:6" ht="15.6" x14ac:dyDescent="0.3">
      <c r="A1495"/>
      <c r="B1495"/>
      <c r="C1495"/>
      <c r="D1495"/>
      <c r="E1495"/>
      <c r="F1495"/>
    </row>
    <row r="1496" spans="1:6" ht="15.6" x14ac:dyDescent="0.3">
      <c r="A1496"/>
      <c r="B1496"/>
      <c r="C1496"/>
      <c r="D1496"/>
      <c r="E1496"/>
      <c r="F1496"/>
    </row>
    <row r="1497" spans="1:6" ht="15.6" x14ac:dyDescent="0.3">
      <c r="A1497"/>
      <c r="B1497"/>
      <c r="C1497"/>
      <c r="D1497"/>
      <c r="E1497"/>
      <c r="F1497"/>
    </row>
    <row r="1498" spans="1:6" ht="15.6" x14ac:dyDescent="0.3">
      <c r="A1498"/>
      <c r="B1498"/>
      <c r="C1498"/>
      <c r="D1498"/>
      <c r="E1498"/>
      <c r="F1498"/>
    </row>
    <row r="1499" spans="1:6" ht="15.6" x14ac:dyDescent="0.3">
      <c r="A1499"/>
      <c r="B1499"/>
      <c r="C1499"/>
      <c r="D1499"/>
      <c r="E1499"/>
      <c r="F1499"/>
    </row>
    <row r="1500" spans="1:6" ht="15.6" x14ac:dyDescent="0.3">
      <c r="A1500"/>
      <c r="B1500"/>
      <c r="C1500"/>
      <c r="D1500"/>
      <c r="E1500"/>
      <c r="F1500"/>
    </row>
    <row r="1501" spans="1:6" ht="15.6" x14ac:dyDescent="0.3">
      <c r="A1501"/>
      <c r="B1501"/>
      <c r="C1501"/>
      <c r="D1501"/>
      <c r="E1501"/>
      <c r="F1501"/>
    </row>
    <row r="1502" spans="1:6" ht="15.6" x14ac:dyDescent="0.3">
      <c r="A1502"/>
      <c r="B1502"/>
      <c r="C1502"/>
      <c r="D1502"/>
      <c r="E1502"/>
      <c r="F1502"/>
    </row>
    <row r="1503" spans="1:6" ht="15.6" x14ac:dyDescent="0.3">
      <c r="A1503"/>
      <c r="B1503"/>
      <c r="C1503"/>
      <c r="D1503"/>
      <c r="E1503"/>
      <c r="F1503"/>
    </row>
    <row r="1504" spans="1:6" ht="15.6" x14ac:dyDescent="0.3">
      <c r="A1504"/>
      <c r="B1504"/>
      <c r="C1504"/>
      <c r="D1504"/>
      <c r="E1504"/>
      <c r="F1504"/>
    </row>
    <row r="1505" spans="1:6" ht="15.6" x14ac:dyDescent="0.3">
      <c r="A1505"/>
      <c r="B1505"/>
      <c r="C1505"/>
      <c r="D1505"/>
      <c r="E1505"/>
      <c r="F1505"/>
    </row>
    <row r="1506" spans="1:6" ht="15.6" x14ac:dyDescent="0.3">
      <c r="A1506"/>
      <c r="B1506"/>
      <c r="C1506"/>
      <c r="D1506"/>
      <c r="E1506"/>
      <c r="F1506"/>
    </row>
    <row r="1507" spans="1:6" ht="15.6" x14ac:dyDescent="0.3">
      <c r="A1507"/>
      <c r="B1507"/>
      <c r="C1507"/>
      <c r="D1507"/>
      <c r="E1507"/>
      <c r="F1507"/>
    </row>
    <row r="1508" spans="1:6" ht="15.6" x14ac:dyDescent="0.3">
      <c r="A1508"/>
      <c r="B1508"/>
      <c r="C1508"/>
      <c r="D1508"/>
      <c r="E1508"/>
      <c r="F1508"/>
    </row>
    <row r="1509" spans="1:6" ht="15.6" x14ac:dyDescent="0.3">
      <c r="A1509"/>
      <c r="B1509"/>
      <c r="C1509"/>
      <c r="D1509"/>
      <c r="E1509"/>
      <c r="F1509"/>
    </row>
    <row r="1510" spans="1:6" ht="15.6" x14ac:dyDescent="0.3">
      <c r="A1510"/>
      <c r="B1510"/>
      <c r="C1510"/>
      <c r="D1510"/>
      <c r="E1510"/>
      <c r="F1510"/>
    </row>
    <row r="1511" spans="1:6" ht="15.6" x14ac:dyDescent="0.3">
      <c r="A1511"/>
      <c r="B1511"/>
      <c r="C1511"/>
      <c r="D1511"/>
      <c r="E1511"/>
      <c r="F1511"/>
    </row>
    <row r="1512" spans="1:6" ht="15.6" x14ac:dyDescent="0.3">
      <c r="A1512"/>
      <c r="B1512"/>
      <c r="C1512"/>
      <c r="D1512"/>
      <c r="E1512"/>
      <c r="F1512"/>
    </row>
    <row r="1513" spans="1:6" ht="15.6" x14ac:dyDescent="0.3">
      <c r="A1513"/>
      <c r="B1513"/>
      <c r="C1513"/>
      <c r="D1513"/>
      <c r="E1513"/>
      <c r="F1513"/>
    </row>
    <row r="1514" spans="1:6" ht="15.6" x14ac:dyDescent="0.3">
      <c r="A1514"/>
      <c r="B1514"/>
      <c r="C1514"/>
      <c r="D1514"/>
      <c r="E1514"/>
      <c r="F1514"/>
    </row>
    <row r="1515" spans="1:6" ht="15.6" x14ac:dyDescent="0.3">
      <c r="A1515"/>
      <c r="B1515"/>
      <c r="C1515"/>
      <c r="D1515"/>
      <c r="E1515"/>
      <c r="F1515"/>
    </row>
    <row r="1516" spans="1:6" ht="15.6" x14ac:dyDescent="0.3">
      <c r="A1516"/>
      <c r="B1516"/>
      <c r="C1516"/>
      <c r="D1516"/>
      <c r="E1516"/>
      <c r="F1516"/>
    </row>
    <row r="1517" spans="1:6" ht="15.6" x14ac:dyDescent="0.3">
      <c r="A1517"/>
      <c r="B1517"/>
      <c r="C1517"/>
      <c r="D1517"/>
      <c r="E1517"/>
      <c r="F1517"/>
    </row>
    <row r="1518" spans="1:6" ht="15.6" x14ac:dyDescent="0.3">
      <c r="A1518"/>
      <c r="B1518"/>
      <c r="C1518"/>
      <c r="D1518"/>
      <c r="E1518"/>
      <c r="F1518"/>
    </row>
    <row r="1519" spans="1:6" ht="15.6" x14ac:dyDescent="0.3">
      <c r="A1519"/>
      <c r="B1519"/>
      <c r="C1519"/>
      <c r="D1519"/>
      <c r="E1519"/>
      <c r="F1519"/>
    </row>
    <row r="1520" spans="1:6" ht="15.6" x14ac:dyDescent="0.3">
      <c r="A1520"/>
      <c r="B1520"/>
      <c r="C1520"/>
      <c r="D1520"/>
      <c r="E1520"/>
      <c r="F1520"/>
    </row>
    <row r="1521" spans="1:6" ht="15.6" x14ac:dyDescent="0.3">
      <c r="A1521"/>
      <c r="B1521"/>
      <c r="C1521"/>
      <c r="D1521"/>
      <c r="E1521"/>
      <c r="F1521"/>
    </row>
    <row r="1522" spans="1:6" ht="15.6" x14ac:dyDescent="0.3">
      <c r="A1522"/>
      <c r="B1522"/>
      <c r="C1522"/>
      <c r="D1522"/>
      <c r="E1522"/>
      <c r="F1522"/>
    </row>
    <row r="1523" spans="1:6" ht="15.6" x14ac:dyDescent="0.3">
      <c r="A1523"/>
      <c r="B1523"/>
      <c r="C1523"/>
      <c r="D1523"/>
      <c r="E1523"/>
      <c r="F1523"/>
    </row>
    <row r="1524" spans="1:6" ht="15.6" x14ac:dyDescent="0.3">
      <c r="A1524"/>
      <c r="B1524"/>
      <c r="C1524"/>
      <c r="D1524"/>
      <c r="E1524"/>
      <c r="F1524"/>
    </row>
    <row r="1525" spans="1:6" ht="15.6" x14ac:dyDescent="0.3">
      <c r="A1525"/>
      <c r="B1525"/>
      <c r="C1525"/>
      <c r="D1525"/>
      <c r="E1525"/>
      <c r="F1525"/>
    </row>
    <row r="1526" spans="1:6" ht="15.6" x14ac:dyDescent="0.3">
      <c r="A1526"/>
      <c r="B1526"/>
      <c r="C1526"/>
      <c r="D1526"/>
      <c r="E1526"/>
      <c r="F1526"/>
    </row>
    <row r="1527" spans="1:6" ht="15.6" x14ac:dyDescent="0.3">
      <c r="A1527"/>
      <c r="B1527"/>
      <c r="C1527"/>
      <c r="D1527"/>
      <c r="E1527"/>
      <c r="F1527"/>
    </row>
    <row r="1528" spans="1:6" ht="15.6" x14ac:dyDescent="0.3">
      <c r="A1528"/>
      <c r="B1528"/>
      <c r="C1528"/>
      <c r="D1528"/>
      <c r="E1528"/>
      <c r="F1528"/>
    </row>
    <row r="1529" spans="1:6" ht="15.6" x14ac:dyDescent="0.3">
      <c r="A1529"/>
      <c r="B1529"/>
      <c r="C1529"/>
      <c r="D1529"/>
      <c r="E1529"/>
      <c r="F1529"/>
    </row>
    <row r="1530" spans="1:6" ht="15.6" x14ac:dyDescent="0.3">
      <c r="A1530"/>
      <c r="B1530"/>
      <c r="C1530"/>
      <c r="D1530"/>
      <c r="E1530"/>
      <c r="F1530"/>
    </row>
    <row r="1531" spans="1:6" ht="15.6" x14ac:dyDescent="0.3">
      <c r="A1531"/>
      <c r="B1531"/>
      <c r="C1531"/>
      <c r="D1531"/>
      <c r="E1531"/>
      <c r="F1531"/>
    </row>
    <row r="1532" spans="1:6" ht="15.6" x14ac:dyDescent="0.3">
      <c r="A1532"/>
      <c r="B1532"/>
      <c r="C1532"/>
      <c r="D1532"/>
      <c r="E1532"/>
      <c r="F1532"/>
    </row>
    <row r="1533" spans="1:6" ht="15.6" x14ac:dyDescent="0.3">
      <c r="A1533"/>
      <c r="B1533"/>
      <c r="C1533"/>
      <c r="D1533"/>
      <c r="E1533"/>
      <c r="F1533"/>
    </row>
    <row r="1534" spans="1:6" ht="15.6" x14ac:dyDescent="0.3">
      <c r="A1534"/>
      <c r="B1534"/>
      <c r="C1534"/>
      <c r="D1534"/>
      <c r="E1534"/>
      <c r="F1534"/>
    </row>
    <row r="1535" spans="1:6" ht="15.6" x14ac:dyDescent="0.3">
      <c r="A1535"/>
      <c r="B1535"/>
      <c r="C1535"/>
      <c r="D1535"/>
      <c r="E1535"/>
      <c r="F1535"/>
    </row>
    <row r="1536" spans="1:6" ht="15.6" x14ac:dyDescent="0.3">
      <c r="A1536"/>
      <c r="B1536"/>
      <c r="C1536"/>
      <c r="D1536"/>
      <c r="E1536"/>
      <c r="F1536"/>
    </row>
    <row r="1537" spans="1:6" ht="15.6" x14ac:dyDescent="0.3">
      <c r="A1537"/>
      <c r="B1537"/>
      <c r="C1537"/>
      <c r="D1537"/>
      <c r="E1537"/>
      <c r="F1537"/>
    </row>
    <row r="1538" spans="1:6" ht="15.6" x14ac:dyDescent="0.3">
      <c r="A1538"/>
      <c r="B1538"/>
      <c r="C1538"/>
      <c r="D1538"/>
      <c r="E1538"/>
      <c r="F1538"/>
    </row>
    <row r="1539" spans="1:6" ht="15.6" x14ac:dyDescent="0.3">
      <c r="A1539"/>
      <c r="B1539"/>
      <c r="C1539"/>
      <c r="D1539"/>
      <c r="E1539"/>
      <c r="F1539"/>
    </row>
    <row r="1540" spans="1:6" ht="15.6" x14ac:dyDescent="0.3">
      <c r="A1540"/>
      <c r="B1540"/>
      <c r="C1540"/>
      <c r="D1540"/>
      <c r="E1540"/>
      <c r="F1540"/>
    </row>
    <row r="1541" spans="1:6" ht="15.6" x14ac:dyDescent="0.3">
      <c r="A1541"/>
      <c r="B1541"/>
      <c r="C1541"/>
      <c r="D1541"/>
      <c r="E1541"/>
      <c r="F1541"/>
    </row>
    <row r="1542" spans="1:6" ht="15.6" x14ac:dyDescent="0.3">
      <c r="A1542"/>
      <c r="B1542"/>
      <c r="C1542"/>
      <c r="D1542"/>
      <c r="E1542"/>
      <c r="F1542"/>
    </row>
    <row r="1543" spans="1:6" ht="15.6" x14ac:dyDescent="0.3">
      <c r="A1543"/>
      <c r="B1543"/>
      <c r="C1543"/>
      <c r="D1543"/>
      <c r="E1543"/>
      <c r="F1543"/>
    </row>
    <row r="1544" spans="1:6" ht="15.6" x14ac:dyDescent="0.3">
      <c r="A1544"/>
      <c r="B1544"/>
      <c r="C1544"/>
      <c r="D1544"/>
      <c r="E1544"/>
      <c r="F1544"/>
    </row>
    <row r="1545" spans="1:6" ht="15.6" x14ac:dyDescent="0.3">
      <c r="A1545"/>
      <c r="B1545"/>
      <c r="C1545"/>
      <c r="D1545"/>
      <c r="E1545"/>
      <c r="F1545"/>
    </row>
    <row r="1546" spans="1:6" ht="15.6" x14ac:dyDescent="0.3">
      <c r="A1546"/>
      <c r="B1546"/>
      <c r="C1546"/>
      <c r="D1546"/>
      <c r="E1546"/>
      <c r="F1546"/>
    </row>
    <row r="1547" spans="1:6" ht="15.6" x14ac:dyDescent="0.3">
      <c r="A1547"/>
      <c r="B1547"/>
      <c r="C1547"/>
      <c r="D1547"/>
      <c r="E1547"/>
      <c r="F1547"/>
    </row>
    <row r="1548" spans="1:6" ht="15.6" x14ac:dyDescent="0.3">
      <c r="A1548"/>
      <c r="B1548"/>
      <c r="C1548"/>
      <c r="D1548"/>
      <c r="E1548"/>
      <c r="F1548"/>
    </row>
    <row r="1549" spans="1:6" ht="15.6" x14ac:dyDescent="0.3">
      <c r="A1549"/>
      <c r="B1549"/>
      <c r="C1549"/>
      <c r="D1549"/>
      <c r="E1549"/>
      <c r="F1549"/>
    </row>
    <row r="1550" spans="1:6" ht="15.6" x14ac:dyDescent="0.3">
      <c r="A1550"/>
      <c r="B1550"/>
      <c r="C1550"/>
      <c r="D1550"/>
      <c r="E1550"/>
      <c r="F1550"/>
    </row>
    <row r="1551" spans="1:6" ht="15.6" x14ac:dyDescent="0.3">
      <c r="A1551"/>
      <c r="B1551"/>
      <c r="C1551"/>
      <c r="D1551"/>
      <c r="E1551"/>
      <c r="F1551"/>
    </row>
    <row r="1552" spans="1:6" ht="15.6" x14ac:dyDescent="0.3">
      <c r="A1552"/>
      <c r="B1552"/>
      <c r="C1552"/>
      <c r="D1552"/>
      <c r="E1552"/>
      <c r="F1552"/>
    </row>
    <row r="1553" spans="1:6" ht="15.6" x14ac:dyDescent="0.3">
      <c r="A1553"/>
      <c r="B1553"/>
      <c r="C1553"/>
      <c r="D1553"/>
      <c r="E1553"/>
      <c r="F1553"/>
    </row>
    <row r="1554" spans="1:6" ht="15.6" x14ac:dyDescent="0.3">
      <c r="A1554"/>
      <c r="B1554"/>
      <c r="C1554"/>
      <c r="D1554"/>
      <c r="E1554"/>
      <c r="F1554"/>
    </row>
    <row r="1555" spans="1:6" ht="15.6" x14ac:dyDescent="0.3">
      <c r="A1555"/>
      <c r="B1555"/>
      <c r="C1555"/>
      <c r="D1555"/>
      <c r="E1555"/>
      <c r="F1555"/>
    </row>
    <row r="1556" spans="1:6" ht="15.6" x14ac:dyDescent="0.3">
      <c r="A1556"/>
      <c r="B1556"/>
      <c r="C1556"/>
      <c r="D1556"/>
      <c r="E1556"/>
      <c r="F1556"/>
    </row>
    <row r="1557" spans="1:6" ht="15.6" x14ac:dyDescent="0.3">
      <c r="A1557"/>
      <c r="B1557"/>
      <c r="C1557"/>
      <c r="D1557"/>
      <c r="E1557"/>
      <c r="F1557"/>
    </row>
    <row r="1558" spans="1:6" ht="15.6" x14ac:dyDescent="0.3">
      <c r="A1558"/>
      <c r="B1558"/>
      <c r="C1558"/>
      <c r="D1558"/>
      <c r="E1558"/>
      <c r="F1558"/>
    </row>
    <row r="1559" spans="1:6" ht="15.6" x14ac:dyDescent="0.3">
      <c r="A1559"/>
      <c r="B1559"/>
      <c r="C1559"/>
      <c r="D1559"/>
      <c r="E1559"/>
      <c r="F1559"/>
    </row>
    <row r="1560" spans="1:6" ht="15.6" x14ac:dyDescent="0.3">
      <c r="A1560"/>
      <c r="B1560"/>
      <c r="C1560"/>
      <c r="D1560"/>
      <c r="E1560"/>
      <c r="F1560"/>
    </row>
    <row r="1561" spans="1:6" ht="15.6" x14ac:dyDescent="0.3">
      <c r="A1561"/>
      <c r="B1561"/>
      <c r="C1561"/>
      <c r="D1561"/>
      <c r="E1561"/>
      <c r="F1561"/>
    </row>
    <row r="1562" spans="1:6" ht="15.6" x14ac:dyDescent="0.3">
      <c r="A1562"/>
      <c r="B1562"/>
      <c r="C1562"/>
      <c r="D1562"/>
      <c r="E1562"/>
      <c r="F1562"/>
    </row>
    <row r="1563" spans="1:6" ht="15.6" x14ac:dyDescent="0.3">
      <c r="A1563"/>
      <c r="B1563"/>
      <c r="C1563"/>
      <c r="D1563"/>
      <c r="E1563"/>
      <c r="F1563"/>
    </row>
    <row r="1564" spans="1:6" ht="15.6" x14ac:dyDescent="0.3">
      <c r="A1564"/>
      <c r="B1564"/>
      <c r="C1564"/>
      <c r="D1564"/>
      <c r="E1564"/>
      <c r="F1564"/>
    </row>
    <row r="1565" spans="1:6" ht="15.6" x14ac:dyDescent="0.3">
      <c r="A1565"/>
      <c r="B1565"/>
      <c r="C1565"/>
      <c r="D1565"/>
      <c r="E1565"/>
      <c r="F1565"/>
    </row>
    <row r="1566" spans="1:6" ht="15.6" x14ac:dyDescent="0.3">
      <c r="A1566"/>
      <c r="B1566"/>
      <c r="C1566"/>
      <c r="D1566"/>
      <c r="E1566"/>
      <c r="F1566"/>
    </row>
    <row r="1567" spans="1:6" ht="15.6" x14ac:dyDescent="0.3">
      <c r="A1567"/>
      <c r="B1567"/>
      <c r="C1567"/>
      <c r="D1567"/>
      <c r="E1567"/>
      <c r="F1567"/>
    </row>
    <row r="1568" spans="1:6" ht="15.6" x14ac:dyDescent="0.3">
      <c r="A1568"/>
      <c r="B1568"/>
      <c r="C1568"/>
      <c r="D1568"/>
      <c r="E1568"/>
      <c r="F1568"/>
    </row>
    <row r="1569" spans="1:6" ht="15.6" x14ac:dyDescent="0.3">
      <c r="A1569"/>
      <c r="B1569"/>
      <c r="C1569"/>
      <c r="D1569"/>
      <c r="E1569"/>
      <c r="F1569"/>
    </row>
    <row r="1570" spans="1:6" ht="15.6" x14ac:dyDescent="0.3">
      <c r="A1570"/>
      <c r="B1570"/>
      <c r="C1570"/>
      <c r="D1570"/>
      <c r="E1570"/>
      <c r="F1570"/>
    </row>
    <row r="1571" spans="1:6" ht="15.6" x14ac:dyDescent="0.3">
      <c r="A1571"/>
      <c r="B1571"/>
      <c r="C1571"/>
      <c r="D1571"/>
      <c r="E1571"/>
      <c r="F1571"/>
    </row>
    <row r="1572" spans="1:6" ht="15.6" x14ac:dyDescent="0.3">
      <c r="A1572"/>
      <c r="B1572"/>
      <c r="C1572"/>
      <c r="D1572"/>
      <c r="E1572"/>
      <c r="F1572"/>
    </row>
    <row r="1573" spans="1:6" ht="15.6" x14ac:dyDescent="0.3">
      <c r="A1573"/>
      <c r="B1573"/>
      <c r="C1573"/>
      <c r="D1573"/>
      <c r="E1573"/>
      <c r="F1573"/>
    </row>
    <row r="1574" spans="1:6" ht="15.6" x14ac:dyDescent="0.3">
      <c r="A1574"/>
      <c r="B1574"/>
      <c r="C1574"/>
      <c r="D1574"/>
      <c r="E1574"/>
      <c r="F1574"/>
    </row>
    <row r="1575" spans="1:6" ht="15.6" x14ac:dyDescent="0.3">
      <c r="A1575"/>
      <c r="B1575"/>
      <c r="C1575"/>
      <c r="D1575"/>
      <c r="E1575"/>
      <c r="F1575"/>
    </row>
    <row r="1576" spans="1:6" ht="15.6" x14ac:dyDescent="0.3">
      <c r="A1576"/>
      <c r="B1576"/>
      <c r="C1576"/>
      <c r="D1576"/>
      <c r="E1576"/>
      <c r="F1576"/>
    </row>
    <row r="1577" spans="1:6" ht="15.6" x14ac:dyDescent="0.3">
      <c r="A1577"/>
      <c r="B1577"/>
      <c r="C1577"/>
      <c r="D1577"/>
      <c r="E1577"/>
      <c r="F1577"/>
    </row>
    <row r="1578" spans="1:6" ht="15.6" x14ac:dyDescent="0.3">
      <c r="A1578"/>
      <c r="B1578"/>
      <c r="C1578"/>
      <c r="D1578"/>
      <c r="E1578"/>
      <c r="F1578"/>
    </row>
    <row r="1579" spans="1:6" ht="15.6" x14ac:dyDescent="0.3">
      <c r="A1579"/>
      <c r="B1579"/>
      <c r="C1579"/>
      <c r="D1579"/>
      <c r="E1579"/>
      <c r="F1579"/>
    </row>
    <row r="1580" spans="1:6" ht="15.6" x14ac:dyDescent="0.3">
      <c r="A1580"/>
      <c r="B1580"/>
      <c r="C1580"/>
      <c r="D1580"/>
      <c r="E1580"/>
      <c r="F1580"/>
    </row>
    <row r="1581" spans="1:6" ht="15.6" x14ac:dyDescent="0.3">
      <c r="A1581"/>
      <c r="B1581"/>
      <c r="C1581"/>
      <c r="D1581"/>
      <c r="E1581"/>
      <c r="F1581"/>
    </row>
    <row r="1582" spans="1:6" ht="15.6" x14ac:dyDescent="0.3">
      <c r="A1582"/>
      <c r="B1582"/>
      <c r="C1582"/>
      <c r="D1582"/>
      <c r="E1582"/>
      <c r="F1582"/>
    </row>
    <row r="1583" spans="1:6" ht="15.6" x14ac:dyDescent="0.3">
      <c r="A1583"/>
      <c r="B1583"/>
      <c r="C1583"/>
      <c r="D1583"/>
      <c r="E1583"/>
      <c r="F1583"/>
    </row>
    <row r="1584" spans="1:6" ht="15.6" x14ac:dyDescent="0.3">
      <c r="A1584"/>
      <c r="B1584"/>
      <c r="C1584"/>
      <c r="D1584"/>
      <c r="E1584"/>
      <c r="F1584"/>
    </row>
    <row r="1585" spans="1:6" ht="15.6" x14ac:dyDescent="0.3">
      <c r="A1585"/>
      <c r="B1585"/>
      <c r="C1585"/>
      <c r="D1585"/>
      <c r="E1585"/>
      <c r="F1585"/>
    </row>
    <row r="1586" spans="1:6" ht="15.6" x14ac:dyDescent="0.3">
      <c r="A1586"/>
      <c r="B1586"/>
      <c r="C1586"/>
      <c r="D1586"/>
      <c r="E1586"/>
      <c r="F1586"/>
    </row>
    <row r="1587" spans="1:6" ht="15.6" x14ac:dyDescent="0.3">
      <c r="A1587"/>
      <c r="B1587"/>
      <c r="C1587"/>
      <c r="D1587"/>
      <c r="E1587"/>
      <c r="F1587"/>
    </row>
    <row r="1588" spans="1:6" ht="15.6" x14ac:dyDescent="0.3">
      <c r="A1588"/>
      <c r="B1588"/>
      <c r="C1588"/>
      <c r="D1588"/>
      <c r="E1588"/>
      <c r="F1588"/>
    </row>
    <row r="1589" spans="1:6" ht="15.6" x14ac:dyDescent="0.3">
      <c r="A1589"/>
      <c r="B1589"/>
      <c r="C1589"/>
      <c r="D1589"/>
      <c r="E1589"/>
      <c r="F1589"/>
    </row>
    <row r="1590" spans="1:6" ht="15.6" x14ac:dyDescent="0.3">
      <c r="A1590"/>
      <c r="B1590"/>
      <c r="C1590"/>
      <c r="D1590"/>
      <c r="E1590"/>
      <c r="F1590"/>
    </row>
    <row r="1591" spans="1:6" ht="15.6" x14ac:dyDescent="0.3">
      <c r="A1591"/>
      <c r="B1591"/>
      <c r="C1591"/>
      <c r="D1591"/>
      <c r="E1591"/>
      <c r="F1591"/>
    </row>
    <row r="1592" spans="1:6" ht="15.6" x14ac:dyDescent="0.3">
      <c r="A1592"/>
      <c r="B1592"/>
      <c r="C1592"/>
      <c r="D1592"/>
      <c r="E1592"/>
      <c r="F1592"/>
    </row>
    <row r="1593" spans="1:6" ht="15.6" x14ac:dyDescent="0.3">
      <c r="A1593"/>
      <c r="B1593"/>
      <c r="C1593"/>
      <c r="D1593"/>
      <c r="E1593"/>
      <c r="F1593"/>
    </row>
    <row r="1594" spans="1:6" ht="15.6" x14ac:dyDescent="0.3">
      <c r="A1594"/>
      <c r="B1594"/>
      <c r="C1594"/>
      <c r="D1594"/>
      <c r="E1594"/>
      <c r="F1594"/>
    </row>
    <row r="1595" spans="1:6" ht="15.6" x14ac:dyDescent="0.3">
      <c r="A1595"/>
      <c r="B1595"/>
      <c r="C1595"/>
      <c r="D1595"/>
      <c r="E1595"/>
      <c r="F1595"/>
    </row>
    <row r="1596" spans="1:6" ht="15.6" x14ac:dyDescent="0.3">
      <c r="A1596"/>
      <c r="B1596"/>
      <c r="C1596"/>
      <c r="D1596"/>
      <c r="E1596"/>
      <c r="F1596"/>
    </row>
    <row r="1597" spans="1:6" ht="15.6" x14ac:dyDescent="0.3">
      <c r="A1597"/>
      <c r="B1597"/>
      <c r="C1597"/>
      <c r="D1597"/>
      <c r="E1597"/>
      <c r="F1597"/>
    </row>
    <row r="1598" spans="1:6" ht="15.6" x14ac:dyDescent="0.3">
      <c r="A1598"/>
      <c r="B1598"/>
      <c r="C1598"/>
      <c r="D1598"/>
      <c r="E1598"/>
      <c r="F1598"/>
    </row>
    <row r="1599" spans="1:6" ht="15.6" x14ac:dyDescent="0.3">
      <c r="A1599"/>
      <c r="B1599"/>
      <c r="C1599"/>
      <c r="D1599"/>
      <c r="E1599"/>
      <c r="F1599"/>
    </row>
    <row r="1600" spans="1:6" ht="15.6" x14ac:dyDescent="0.3">
      <c r="A1600"/>
      <c r="B1600"/>
      <c r="C1600"/>
      <c r="D1600"/>
      <c r="E1600"/>
      <c r="F1600"/>
    </row>
    <row r="1601" spans="1:6" ht="15.6" x14ac:dyDescent="0.3">
      <c r="A1601"/>
      <c r="B1601"/>
      <c r="C1601"/>
      <c r="D1601"/>
      <c r="E1601"/>
      <c r="F1601"/>
    </row>
    <row r="1602" spans="1:6" ht="15.6" x14ac:dyDescent="0.3">
      <c r="A1602"/>
      <c r="B1602"/>
      <c r="C1602"/>
      <c r="D1602"/>
      <c r="E1602"/>
      <c r="F1602"/>
    </row>
    <row r="1603" spans="1:6" ht="15.6" x14ac:dyDescent="0.3">
      <c r="A1603"/>
      <c r="B1603"/>
      <c r="C1603"/>
      <c r="D1603"/>
      <c r="E1603"/>
      <c r="F1603"/>
    </row>
    <row r="1604" spans="1:6" ht="15.6" x14ac:dyDescent="0.3">
      <c r="A1604"/>
      <c r="B1604"/>
      <c r="C1604"/>
      <c r="D1604"/>
      <c r="E1604"/>
      <c r="F1604"/>
    </row>
    <row r="1605" spans="1:6" ht="15.6" x14ac:dyDescent="0.3">
      <c r="A1605"/>
      <c r="B1605"/>
      <c r="C1605"/>
      <c r="D1605"/>
      <c r="E1605"/>
      <c r="F1605"/>
    </row>
    <row r="1606" spans="1:6" ht="15.6" x14ac:dyDescent="0.3">
      <c r="A1606"/>
      <c r="B1606"/>
      <c r="C1606"/>
      <c r="D1606"/>
      <c r="E1606"/>
      <c r="F1606"/>
    </row>
    <row r="1607" spans="1:6" ht="15.6" x14ac:dyDescent="0.3">
      <c r="A1607"/>
      <c r="B1607"/>
      <c r="C1607"/>
      <c r="D1607"/>
      <c r="E1607"/>
      <c r="F1607"/>
    </row>
    <row r="1608" spans="1:6" ht="15.6" x14ac:dyDescent="0.3">
      <c r="A1608"/>
      <c r="B1608"/>
      <c r="C1608"/>
      <c r="D1608"/>
      <c r="E1608"/>
      <c r="F1608"/>
    </row>
    <row r="1609" spans="1:6" ht="15.6" x14ac:dyDescent="0.3">
      <c r="A1609"/>
      <c r="B1609"/>
      <c r="C1609"/>
      <c r="D1609"/>
      <c r="E1609"/>
      <c r="F1609"/>
    </row>
    <row r="1610" spans="1:6" ht="15.6" x14ac:dyDescent="0.3">
      <c r="A1610"/>
      <c r="B1610"/>
      <c r="C1610"/>
      <c r="D1610"/>
      <c r="E1610"/>
      <c r="F1610"/>
    </row>
    <row r="1611" spans="1:6" ht="15.6" x14ac:dyDescent="0.3">
      <c r="A1611"/>
      <c r="B1611"/>
      <c r="C1611"/>
      <c r="D1611"/>
      <c r="E1611"/>
      <c r="F1611"/>
    </row>
    <row r="1612" spans="1:6" ht="15.6" x14ac:dyDescent="0.3">
      <c r="A1612"/>
      <c r="B1612"/>
      <c r="C1612"/>
      <c r="D1612"/>
      <c r="E1612"/>
      <c r="F1612"/>
    </row>
    <row r="1613" spans="1:6" ht="15.6" x14ac:dyDescent="0.3">
      <c r="A1613"/>
      <c r="B1613"/>
      <c r="C1613"/>
      <c r="D1613"/>
      <c r="E1613"/>
      <c r="F1613"/>
    </row>
    <row r="1614" spans="1:6" ht="15.6" x14ac:dyDescent="0.3">
      <c r="A1614"/>
      <c r="B1614"/>
      <c r="C1614"/>
      <c r="D1614"/>
      <c r="E1614"/>
      <c r="F1614"/>
    </row>
    <row r="1615" spans="1:6" ht="15.6" x14ac:dyDescent="0.3">
      <c r="A1615"/>
      <c r="B1615"/>
      <c r="C1615"/>
      <c r="D1615"/>
      <c r="E1615"/>
      <c r="F1615"/>
    </row>
    <row r="1616" spans="1:6" ht="15.6" x14ac:dyDescent="0.3">
      <c r="A1616"/>
      <c r="B1616"/>
      <c r="C1616"/>
      <c r="D1616"/>
      <c r="E1616"/>
      <c r="F1616"/>
    </row>
    <row r="1617" spans="1:6" ht="15.6" x14ac:dyDescent="0.3">
      <c r="A1617"/>
      <c r="B1617"/>
      <c r="C1617"/>
      <c r="D1617"/>
      <c r="E1617"/>
      <c r="F1617"/>
    </row>
    <row r="1618" spans="1:6" ht="15.6" x14ac:dyDescent="0.3">
      <c r="A1618"/>
      <c r="B1618"/>
      <c r="C1618"/>
      <c r="D1618"/>
      <c r="E1618"/>
      <c r="F1618"/>
    </row>
    <row r="1619" spans="1:6" ht="15.6" x14ac:dyDescent="0.3">
      <c r="A1619"/>
      <c r="B1619"/>
      <c r="C1619"/>
      <c r="D1619"/>
      <c r="E1619"/>
      <c r="F1619"/>
    </row>
    <row r="1620" spans="1:6" ht="15.6" x14ac:dyDescent="0.3">
      <c r="A1620"/>
      <c r="B1620"/>
      <c r="C1620"/>
      <c r="D1620"/>
      <c r="E1620"/>
      <c r="F1620"/>
    </row>
    <row r="1621" spans="1:6" ht="15.6" x14ac:dyDescent="0.3">
      <c r="A1621"/>
      <c r="B1621"/>
      <c r="C1621"/>
      <c r="D1621"/>
      <c r="E1621"/>
      <c r="F1621"/>
    </row>
    <row r="1622" spans="1:6" ht="15.6" x14ac:dyDescent="0.3">
      <c r="A1622"/>
      <c r="B1622"/>
      <c r="C1622"/>
      <c r="D1622"/>
      <c r="E1622"/>
      <c r="F1622"/>
    </row>
    <row r="1623" spans="1:6" ht="15.6" x14ac:dyDescent="0.3">
      <c r="A1623"/>
      <c r="B1623"/>
      <c r="C1623"/>
      <c r="D1623"/>
      <c r="E1623"/>
      <c r="F1623"/>
    </row>
    <row r="1624" spans="1:6" ht="15.6" x14ac:dyDescent="0.3">
      <c r="A1624"/>
      <c r="B1624"/>
      <c r="C1624"/>
      <c r="D1624"/>
      <c r="E1624"/>
      <c r="F1624"/>
    </row>
    <row r="1625" spans="1:6" ht="15.6" x14ac:dyDescent="0.3">
      <c r="A1625"/>
      <c r="B1625"/>
      <c r="C1625"/>
      <c r="D1625"/>
      <c r="E1625"/>
      <c r="F1625"/>
    </row>
    <row r="1626" spans="1:6" ht="15.6" x14ac:dyDescent="0.3">
      <c r="A1626"/>
      <c r="B1626"/>
      <c r="C1626"/>
      <c r="D1626"/>
      <c r="E1626"/>
      <c r="F1626"/>
    </row>
    <row r="1627" spans="1:6" ht="15.6" x14ac:dyDescent="0.3">
      <c r="A1627"/>
      <c r="B1627"/>
      <c r="C1627"/>
      <c r="D1627"/>
      <c r="E1627"/>
      <c r="F1627"/>
    </row>
    <row r="1628" spans="1:6" ht="15.6" x14ac:dyDescent="0.3">
      <c r="A1628"/>
      <c r="B1628"/>
      <c r="C1628"/>
      <c r="D1628"/>
      <c r="E1628"/>
      <c r="F1628"/>
    </row>
    <row r="1629" spans="1:6" ht="15.6" x14ac:dyDescent="0.3">
      <c r="A1629"/>
      <c r="B1629"/>
      <c r="C1629"/>
      <c r="D1629"/>
      <c r="E1629"/>
      <c r="F1629"/>
    </row>
    <row r="1630" spans="1:6" ht="15.6" x14ac:dyDescent="0.3">
      <c r="A1630"/>
      <c r="B1630"/>
      <c r="C1630"/>
      <c r="D1630"/>
      <c r="E1630"/>
      <c r="F1630"/>
    </row>
    <row r="1631" spans="1:6" ht="15.6" x14ac:dyDescent="0.3">
      <c r="A1631"/>
      <c r="B1631"/>
      <c r="C1631"/>
      <c r="D1631"/>
      <c r="E1631"/>
      <c r="F1631"/>
    </row>
    <row r="1632" spans="1:6" ht="15.6" x14ac:dyDescent="0.3">
      <c r="A1632"/>
      <c r="B1632"/>
      <c r="C1632"/>
      <c r="D1632"/>
      <c r="E1632"/>
      <c r="F1632"/>
    </row>
    <row r="1633" spans="1:6" ht="15.6" x14ac:dyDescent="0.3">
      <c r="A1633"/>
      <c r="B1633"/>
      <c r="C1633"/>
      <c r="D1633"/>
      <c r="E1633"/>
      <c r="F1633"/>
    </row>
    <row r="1634" spans="1:6" ht="15.6" x14ac:dyDescent="0.3">
      <c r="A1634"/>
      <c r="B1634"/>
      <c r="C1634"/>
      <c r="D1634"/>
      <c r="E1634"/>
      <c r="F1634"/>
    </row>
    <row r="1635" spans="1:6" ht="15.6" x14ac:dyDescent="0.3">
      <c r="A1635"/>
      <c r="B1635"/>
      <c r="C1635"/>
      <c r="D1635"/>
      <c r="E1635"/>
      <c r="F1635"/>
    </row>
    <row r="1636" spans="1:6" ht="15.6" x14ac:dyDescent="0.3">
      <c r="A1636"/>
      <c r="B1636"/>
      <c r="C1636"/>
      <c r="D1636"/>
      <c r="E1636"/>
      <c r="F1636"/>
    </row>
    <row r="1637" spans="1:6" ht="15.6" x14ac:dyDescent="0.3">
      <c r="A1637"/>
      <c r="B1637"/>
      <c r="C1637"/>
      <c r="D1637"/>
      <c r="E1637"/>
      <c r="F1637"/>
    </row>
    <row r="1638" spans="1:6" ht="15.6" x14ac:dyDescent="0.3">
      <c r="A1638"/>
      <c r="B1638"/>
      <c r="C1638"/>
      <c r="D1638"/>
      <c r="E1638"/>
      <c r="F1638"/>
    </row>
    <row r="1639" spans="1:6" ht="15.6" x14ac:dyDescent="0.3">
      <c r="A1639"/>
      <c r="B1639"/>
      <c r="C1639"/>
      <c r="D1639"/>
      <c r="E1639"/>
      <c r="F1639"/>
    </row>
    <row r="1640" spans="1:6" ht="15.6" x14ac:dyDescent="0.3">
      <c r="A1640"/>
      <c r="B1640"/>
      <c r="C1640"/>
      <c r="D1640"/>
      <c r="E1640"/>
      <c r="F1640"/>
    </row>
    <row r="1641" spans="1:6" ht="15.6" x14ac:dyDescent="0.3">
      <c r="A1641"/>
      <c r="B1641"/>
      <c r="C1641"/>
      <c r="D1641"/>
      <c r="E1641"/>
      <c r="F1641"/>
    </row>
    <row r="1642" spans="1:6" ht="15.6" x14ac:dyDescent="0.3">
      <c r="A1642"/>
      <c r="B1642"/>
      <c r="C1642"/>
      <c r="D1642"/>
      <c r="E1642"/>
      <c r="F1642"/>
    </row>
    <row r="1643" spans="1:6" ht="15.6" x14ac:dyDescent="0.3">
      <c r="A1643"/>
      <c r="B1643"/>
      <c r="C1643"/>
      <c r="D1643"/>
      <c r="E1643"/>
      <c r="F1643"/>
    </row>
    <row r="1644" spans="1:6" ht="15.6" x14ac:dyDescent="0.3">
      <c r="A1644"/>
      <c r="B1644"/>
      <c r="C1644"/>
      <c r="D1644"/>
      <c r="E1644"/>
      <c r="F1644"/>
    </row>
    <row r="1645" spans="1:6" ht="15.6" x14ac:dyDescent="0.3">
      <c r="A1645"/>
      <c r="B1645"/>
      <c r="C1645"/>
      <c r="D1645"/>
      <c r="E1645"/>
      <c r="F1645"/>
    </row>
    <row r="1646" spans="1:6" ht="15.6" x14ac:dyDescent="0.3">
      <c r="A1646"/>
      <c r="B1646"/>
      <c r="C1646"/>
      <c r="D1646"/>
      <c r="E1646"/>
      <c r="F1646"/>
    </row>
    <row r="1647" spans="1:6" ht="15.6" x14ac:dyDescent="0.3">
      <c r="A1647"/>
      <c r="B1647"/>
      <c r="C1647"/>
      <c r="D1647"/>
      <c r="E1647"/>
      <c r="F1647"/>
    </row>
    <row r="1648" spans="1:6" ht="15.6" x14ac:dyDescent="0.3">
      <c r="A1648"/>
      <c r="B1648"/>
      <c r="C1648"/>
      <c r="D1648"/>
      <c r="E1648"/>
      <c r="F1648"/>
    </row>
    <row r="1649" spans="1:6" ht="15.6" x14ac:dyDescent="0.3">
      <c r="A1649"/>
      <c r="B1649"/>
      <c r="C1649"/>
      <c r="D1649"/>
      <c r="E1649"/>
      <c r="F1649"/>
    </row>
    <row r="1650" spans="1:6" ht="15.6" x14ac:dyDescent="0.3">
      <c r="A1650"/>
      <c r="B1650"/>
      <c r="C1650"/>
      <c r="D1650"/>
      <c r="E1650"/>
      <c r="F1650"/>
    </row>
    <row r="1651" spans="1:6" ht="15.6" x14ac:dyDescent="0.3">
      <c r="A1651"/>
      <c r="B1651"/>
      <c r="C1651"/>
      <c r="D1651"/>
      <c r="E1651"/>
      <c r="F1651"/>
    </row>
    <row r="1652" spans="1:6" ht="15.6" x14ac:dyDescent="0.3">
      <c r="A1652"/>
      <c r="B1652"/>
      <c r="C1652"/>
      <c r="D1652"/>
      <c r="E1652"/>
      <c r="F1652"/>
    </row>
    <row r="1653" spans="1:6" ht="15.6" x14ac:dyDescent="0.3">
      <c r="A1653"/>
      <c r="B1653"/>
      <c r="C1653"/>
      <c r="D1653"/>
      <c r="E1653"/>
      <c r="F1653"/>
    </row>
    <row r="1654" spans="1:6" ht="15.6" x14ac:dyDescent="0.3">
      <c r="A1654"/>
      <c r="B1654"/>
      <c r="C1654"/>
      <c r="D1654"/>
      <c r="E1654"/>
      <c r="F1654"/>
    </row>
    <row r="1655" spans="1:6" ht="15.6" x14ac:dyDescent="0.3">
      <c r="A1655"/>
      <c r="B1655"/>
      <c r="C1655"/>
      <c r="D1655"/>
      <c r="E1655"/>
      <c r="F1655"/>
    </row>
    <row r="1656" spans="1:6" ht="15.6" x14ac:dyDescent="0.3">
      <c r="A1656"/>
      <c r="B1656"/>
      <c r="C1656"/>
      <c r="D1656"/>
      <c r="E1656"/>
      <c r="F1656"/>
    </row>
    <row r="1657" spans="1:6" ht="15.6" x14ac:dyDescent="0.3">
      <c r="A1657"/>
      <c r="B1657"/>
      <c r="C1657"/>
      <c r="D1657"/>
      <c r="E1657"/>
      <c r="F1657"/>
    </row>
    <row r="1658" spans="1:6" ht="15.6" x14ac:dyDescent="0.3">
      <c r="A1658"/>
      <c r="B1658"/>
      <c r="C1658"/>
      <c r="D1658"/>
      <c r="E1658"/>
      <c r="F1658"/>
    </row>
    <row r="1659" spans="1:6" ht="15.6" x14ac:dyDescent="0.3">
      <c r="A1659"/>
      <c r="B1659"/>
      <c r="C1659"/>
      <c r="D1659"/>
      <c r="E1659"/>
      <c r="F1659"/>
    </row>
    <row r="1660" spans="1:6" ht="15.6" x14ac:dyDescent="0.3">
      <c r="A1660"/>
      <c r="B1660"/>
      <c r="C1660"/>
      <c r="D1660"/>
      <c r="E1660"/>
      <c r="F1660"/>
    </row>
    <row r="1661" spans="1:6" ht="15.6" x14ac:dyDescent="0.3">
      <c r="A1661"/>
      <c r="B1661"/>
      <c r="C1661"/>
      <c r="D1661"/>
      <c r="E1661"/>
      <c r="F1661"/>
    </row>
    <row r="1662" spans="1:6" ht="15.6" x14ac:dyDescent="0.3">
      <c r="A1662"/>
      <c r="B1662"/>
      <c r="C1662"/>
      <c r="D1662"/>
      <c r="E1662"/>
      <c r="F1662"/>
    </row>
    <row r="1663" spans="1:6" ht="15.6" x14ac:dyDescent="0.3">
      <c r="A1663"/>
      <c r="B1663"/>
      <c r="C1663"/>
      <c r="D1663"/>
      <c r="E1663"/>
      <c r="F1663"/>
    </row>
    <row r="1664" spans="1:6" ht="15.6" x14ac:dyDescent="0.3">
      <c r="A1664"/>
      <c r="B1664"/>
      <c r="C1664"/>
      <c r="D1664"/>
      <c r="E1664"/>
      <c r="F1664"/>
    </row>
    <row r="1665" spans="1:6" ht="15.6" x14ac:dyDescent="0.3">
      <c r="A1665"/>
      <c r="B1665"/>
      <c r="C1665"/>
      <c r="D1665"/>
      <c r="E1665"/>
      <c r="F1665"/>
    </row>
    <row r="1666" spans="1:6" ht="15.6" x14ac:dyDescent="0.3">
      <c r="A1666"/>
      <c r="B1666"/>
      <c r="C1666"/>
      <c r="D1666"/>
      <c r="E1666"/>
      <c r="F1666"/>
    </row>
    <row r="1667" spans="1:6" ht="15.6" x14ac:dyDescent="0.3">
      <c r="A1667"/>
      <c r="B1667"/>
      <c r="C1667"/>
      <c r="D1667"/>
      <c r="E1667"/>
      <c r="F1667"/>
    </row>
    <row r="1668" spans="1:6" ht="15.6" x14ac:dyDescent="0.3">
      <c r="A1668"/>
      <c r="B1668"/>
      <c r="C1668"/>
      <c r="D1668"/>
      <c r="E1668"/>
      <c r="F1668"/>
    </row>
    <row r="1669" spans="1:6" ht="15.6" x14ac:dyDescent="0.3">
      <c r="A1669"/>
      <c r="B1669"/>
      <c r="C1669"/>
      <c r="D1669"/>
      <c r="E1669"/>
      <c r="F1669"/>
    </row>
    <row r="1670" spans="1:6" ht="15.6" x14ac:dyDescent="0.3">
      <c r="A1670"/>
      <c r="B1670"/>
      <c r="C1670"/>
      <c r="D1670"/>
      <c r="E1670"/>
      <c r="F1670"/>
    </row>
    <row r="1671" spans="1:6" ht="15.6" x14ac:dyDescent="0.3">
      <c r="A1671"/>
      <c r="B1671"/>
      <c r="C1671"/>
      <c r="D1671"/>
      <c r="E1671"/>
      <c r="F1671"/>
    </row>
    <row r="1672" spans="1:6" ht="15.6" x14ac:dyDescent="0.3">
      <c r="A1672"/>
      <c r="B1672"/>
      <c r="C1672"/>
      <c r="D1672"/>
      <c r="E1672"/>
      <c r="F1672"/>
    </row>
    <row r="1673" spans="1:6" ht="15.6" x14ac:dyDescent="0.3">
      <c r="A1673"/>
      <c r="B1673"/>
      <c r="C1673"/>
      <c r="D1673"/>
      <c r="E1673"/>
      <c r="F1673"/>
    </row>
    <row r="1674" spans="1:6" ht="15.6" x14ac:dyDescent="0.3">
      <c r="A1674"/>
      <c r="B1674"/>
      <c r="C1674"/>
      <c r="D1674"/>
      <c r="E1674"/>
      <c r="F1674"/>
    </row>
    <row r="1675" spans="1:6" ht="15.6" x14ac:dyDescent="0.3">
      <c r="A1675"/>
      <c r="B1675"/>
      <c r="C1675"/>
      <c r="D1675"/>
      <c r="E1675"/>
      <c r="F1675"/>
    </row>
    <row r="1676" spans="1:6" ht="15.6" x14ac:dyDescent="0.3">
      <c r="A1676"/>
      <c r="B1676"/>
      <c r="C1676"/>
      <c r="D1676"/>
      <c r="E1676"/>
      <c r="F1676"/>
    </row>
    <row r="1677" spans="1:6" ht="15.6" x14ac:dyDescent="0.3">
      <c r="A1677"/>
      <c r="B1677"/>
      <c r="C1677"/>
      <c r="D1677"/>
      <c r="E1677"/>
      <c r="F1677"/>
    </row>
    <row r="1678" spans="1:6" ht="15.6" x14ac:dyDescent="0.3">
      <c r="A1678"/>
      <c r="B1678"/>
      <c r="C1678"/>
      <c r="D1678"/>
      <c r="E1678"/>
      <c r="F1678"/>
    </row>
    <row r="1679" spans="1:6" ht="15.6" x14ac:dyDescent="0.3">
      <c r="A1679"/>
      <c r="B1679"/>
      <c r="C1679"/>
      <c r="D1679"/>
      <c r="E1679"/>
      <c r="F1679"/>
    </row>
    <row r="1680" spans="1:6" ht="15.6" x14ac:dyDescent="0.3">
      <c r="A1680"/>
      <c r="B1680"/>
      <c r="C1680"/>
      <c r="D1680"/>
      <c r="E1680"/>
      <c r="F1680"/>
    </row>
    <row r="1681" spans="1:6" ht="15.6" x14ac:dyDescent="0.3">
      <c r="A1681"/>
      <c r="B1681"/>
      <c r="C1681"/>
      <c r="D1681"/>
      <c r="E1681"/>
      <c r="F1681"/>
    </row>
    <row r="1682" spans="1:6" ht="15.6" x14ac:dyDescent="0.3">
      <c r="A1682"/>
      <c r="B1682"/>
      <c r="C1682"/>
      <c r="D1682"/>
      <c r="E1682"/>
      <c r="F1682"/>
    </row>
    <row r="1683" spans="1:6" ht="15.6" x14ac:dyDescent="0.3">
      <c r="A1683"/>
      <c r="B1683"/>
      <c r="C1683"/>
      <c r="D1683"/>
      <c r="E1683"/>
      <c r="F1683"/>
    </row>
    <row r="1684" spans="1:6" ht="15.6" x14ac:dyDescent="0.3">
      <c r="A1684"/>
      <c r="B1684"/>
      <c r="C1684"/>
      <c r="D1684"/>
      <c r="E1684"/>
      <c r="F1684"/>
    </row>
    <row r="1685" spans="1:6" ht="15.6" x14ac:dyDescent="0.3">
      <c r="A1685"/>
      <c r="B1685"/>
      <c r="C1685"/>
      <c r="D1685"/>
      <c r="E1685"/>
      <c r="F1685"/>
    </row>
    <row r="1686" spans="1:6" ht="15.6" x14ac:dyDescent="0.3">
      <c r="A1686"/>
      <c r="B1686"/>
      <c r="C1686"/>
      <c r="D1686"/>
      <c r="E1686"/>
      <c r="F1686"/>
    </row>
    <row r="1687" spans="1:6" ht="15.6" x14ac:dyDescent="0.3">
      <c r="A1687"/>
      <c r="B1687"/>
      <c r="C1687"/>
      <c r="D1687"/>
      <c r="E1687"/>
      <c r="F1687"/>
    </row>
    <row r="1688" spans="1:6" ht="15.6" x14ac:dyDescent="0.3">
      <c r="A1688"/>
      <c r="B1688"/>
      <c r="C1688"/>
      <c r="D1688"/>
      <c r="E1688"/>
      <c r="F1688"/>
    </row>
    <row r="1689" spans="1:6" ht="15.6" x14ac:dyDescent="0.3">
      <c r="A1689"/>
      <c r="B1689"/>
      <c r="C1689"/>
      <c r="D1689"/>
      <c r="E1689"/>
      <c r="F1689"/>
    </row>
    <row r="1690" spans="1:6" ht="15.6" x14ac:dyDescent="0.3">
      <c r="A1690"/>
      <c r="B1690"/>
      <c r="C1690"/>
      <c r="D1690"/>
      <c r="E1690"/>
      <c r="F1690"/>
    </row>
    <row r="1691" spans="1:6" ht="15.6" x14ac:dyDescent="0.3">
      <c r="A1691"/>
      <c r="B1691"/>
      <c r="C1691"/>
      <c r="D1691"/>
      <c r="E1691"/>
      <c r="F1691"/>
    </row>
    <row r="1692" spans="1:6" ht="15.6" x14ac:dyDescent="0.3">
      <c r="A1692"/>
      <c r="B1692"/>
      <c r="C1692"/>
      <c r="D1692"/>
      <c r="E1692"/>
      <c r="F1692"/>
    </row>
    <row r="1693" spans="1:6" ht="15.6" x14ac:dyDescent="0.3">
      <c r="A1693"/>
      <c r="B1693"/>
      <c r="C1693"/>
      <c r="D1693"/>
      <c r="E1693"/>
      <c r="F1693"/>
    </row>
    <row r="1694" spans="1:6" ht="15.6" x14ac:dyDescent="0.3">
      <c r="A1694"/>
      <c r="B1694"/>
      <c r="C1694"/>
      <c r="D1694"/>
      <c r="E1694"/>
      <c r="F1694"/>
    </row>
    <row r="1695" spans="1:6" ht="15.6" x14ac:dyDescent="0.3">
      <c r="A1695"/>
      <c r="B1695"/>
      <c r="C1695"/>
      <c r="D1695"/>
      <c r="E1695"/>
      <c r="F1695"/>
    </row>
    <row r="1696" spans="1:6" ht="15.6" x14ac:dyDescent="0.3">
      <c r="A1696"/>
      <c r="B1696"/>
      <c r="C1696"/>
      <c r="D1696"/>
      <c r="E1696"/>
      <c r="F1696"/>
    </row>
    <row r="1697" spans="1:6" ht="15.6" x14ac:dyDescent="0.3">
      <c r="A1697"/>
      <c r="B1697"/>
      <c r="C1697"/>
      <c r="D1697"/>
      <c r="E1697"/>
      <c r="F1697"/>
    </row>
    <row r="1698" spans="1:6" ht="15.6" x14ac:dyDescent="0.3">
      <c r="A1698"/>
      <c r="B1698"/>
      <c r="C1698"/>
      <c r="D1698"/>
      <c r="E1698"/>
      <c r="F1698"/>
    </row>
    <row r="1699" spans="1:6" ht="15.6" x14ac:dyDescent="0.3">
      <c r="A1699"/>
      <c r="B1699"/>
      <c r="C1699"/>
      <c r="D1699"/>
      <c r="E1699"/>
      <c r="F1699"/>
    </row>
    <row r="1700" spans="1:6" ht="15.6" x14ac:dyDescent="0.3">
      <c r="A1700"/>
      <c r="B1700"/>
      <c r="C1700"/>
      <c r="D1700"/>
      <c r="E1700"/>
      <c r="F1700"/>
    </row>
    <row r="1701" spans="1:6" ht="15.6" x14ac:dyDescent="0.3">
      <c r="A1701"/>
      <c r="B1701"/>
      <c r="C1701"/>
      <c r="D1701"/>
      <c r="E1701"/>
      <c r="F1701"/>
    </row>
    <row r="1702" spans="1:6" ht="15.6" x14ac:dyDescent="0.3">
      <c r="A1702"/>
      <c r="B1702"/>
      <c r="C1702"/>
      <c r="D1702"/>
      <c r="E1702"/>
      <c r="F1702"/>
    </row>
    <row r="1703" spans="1:6" ht="15.6" x14ac:dyDescent="0.3">
      <c r="A1703"/>
      <c r="B1703"/>
      <c r="C1703"/>
      <c r="D1703"/>
      <c r="E1703"/>
      <c r="F1703"/>
    </row>
    <row r="1704" spans="1:6" ht="15.6" x14ac:dyDescent="0.3">
      <c r="A1704"/>
      <c r="B1704"/>
      <c r="C1704"/>
      <c r="D1704"/>
      <c r="E1704"/>
      <c r="F1704"/>
    </row>
    <row r="1705" spans="1:6" ht="15.6" x14ac:dyDescent="0.3">
      <c r="A1705"/>
      <c r="B1705"/>
      <c r="C1705"/>
      <c r="D1705"/>
      <c r="E1705"/>
      <c r="F1705"/>
    </row>
    <row r="1706" spans="1:6" ht="15.6" x14ac:dyDescent="0.3">
      <c r="A1706"/>
      <c r="B1706"/>
      <c r="C1706"/>
      <c r="D1706"/>
      <c r="E1706"/>
      <c r="F1706"/>
    </row>
    <row r="1707" spans="1:6" ht="15.6" x14ac:dyDescent="0.3">
      <c r="A1707"/>
      <c r="B1707"/>
      <c r="C1707"/>
      <c r="D1707"/>
      <c r="E1707"/>
      <c r="F1707"/>
    </row>
    <row r="1708" spans="1:6" ht="15.6" x14ac:dyDescent="0.3">
      <c r="A1708"/>
      <c r="B1708"/>
      <c r="C1708"/>
      <c r="D1708"/>
      <c r="E1708"/>
      <c r="F1708"/>
    </row>
    <row r="1709" spans="1:6" ht="15.6" x14ac:dyDescent="0.3">
      <c r="A1709"/>
      <c r="B1709"/>
      <c r="C1709"/>
      <c r="D1709"/>
      <c r="E1709"/>
      <c r="F1709"/>
    </row>
    <row r="1710" spans="1:6" ht="15.6" x14ac:dyDescent="0.3">
      <c r="A1710"/>
      <c r="B1710"/>
      <c r="C1710"/>
      <c r="D1710"/>
      <c r="E1710"/>
      <c r="F1710"/>
    </row>
    <row r="1711" spans="1:6" ht="15.6" x14ac:dyDescent="0.3">
      <c r="A1711"/>
      <c r="B1711"/>
      <c r="C1711"/>
      <c r="D1711"/>
      <c r="E1711"/>
      <c r="F1711"/>
    </row>
    <row r="1712" spans="1:6" ht="15.6" x14ac:dyDescent="0.3">
      <c r="A1712"/>
      <c r="B1712"/>
      <c r="C1712"/>
      <c r="D1712"/>
      <c r="E1712"/>
      <c r="F1712"/>
    </row>
    <row r="1713" spans="1:6" ht="15.6" x14ac:dyDescent="0.3">
      <c r="A1713"/>
      <c r="B1713"/>
      <c r="C1713"/>
      <c r="D1713"/>
      <c r="E1713"/>
      <c r="F1713"/>
    </row>
    <row r="1714" spans="1:6" ht="15.6" x14ac:dyDescent="0.3">
      <c r="A1714"/>
      <c r="B1714"/>
      <c r="C1714"/>
      <c r="D1714"/>
      <c r="E1714"/>
      <c r="F1714"/>
    </row>
    <row r="1715" spans="1:6" ht="15.6" x14ac:dyDescent="0.3">
      <c r="A1715"/>
      <c r="B1715"/>
      <c r="C1715"/>
      <c r="D1715"/>
      <c r="E1715"/>
      <c r="F1715"/>
    </row>
    <row r="1716" spans="1:6" ht="15.6" x14ac:dyDescent="0.3">
      <c r="A1716"/>
      <c r="B1716"/>
      <c r="C1716"/>
      <c r="D1716"/>
      <c r="E1716"/>
      <c r="F1716"/>
    </row>
    <row r="1717" spans="1:6" ht="15.6" x14ac:dyDescent="0.3">
      <c r="A1717"/>
      <c r="B1717"/>
      <c r="C1717"/>
      <c r="D1717"/>
      <c r="E1717"/>
      <c r="F1717"/>
    </row>
    <row r="1718" spans="1:6" ht="15.6" x14ac:dyDescent="0.3">
      <c r="A1718"/>
      <c r="B1718"/>
      <c r="C1718"/>
      <c r="D1718"/>
      <c r="E1718"/>
      <c r="F1718"/>
    </row>
    <row r="1719" spans="1:6" ht="15.6" x14ac:dyDescent="0.3">
      <c r="A1719"/>
      <c r="B1719"/>
      <c r="C1719"/>
      <c r="D1719"/>
      <c r="E1719"/>
      <c r="F1719"/>
    </row>
    <row r="1720" spans="1:6" ht="15.6" x14ac:dyDescent="0.3">
      <c r="A1720"/>
      <c r="B1720"/>
      <c r="C1720"/>
      <c r="D1720"/>
      <c r="E1720"/>
      <c r="F1720"/>
    </row>
    <row r="1721" spans="1:6" ht="15.6" x14ac:dyDescent="0.3">
      <c r="A1721"/>
      <c r="B1721"/>
      <c r="C1721"/>
      <c r="D1721"/>
      <c r="E1721"/>
      <c r="F1721"/>
    </row>
    <row r="1722" spans="1:6" ht="15.6" x14ac:dyDescent="0.3">
      <c r="A1722"/>
      <c r="B1722"/>
      <c r="C1722"/>
      <c r="D1722"/>
      <c r="E1722"/>
      <c r="F1722"/>
    </row>
    <row r="1723" spans="1:6" ht="15.6" x14ac:dyDescent="0.3">
      <c r="A1723"/>
      <c r="B1723"/>
      <c r="C1723"/>
      <c r="D1723"/>
      <c r="E1723"/>
      <c r="F1723"/>
    </row>
    <row r="1724" spans="1:6" ht="15.6" x14ac:dyDescent="0.3">
      <c r="A1724"/>
      <c r="B1724"/>
      <c r="C1724"/>
      <c r="D1724"/>
      <c r="E1724"/>
      <c r="F1724"/>
    </row>
    <row r="1725" spans="1:6" ht="15.6" x14ac:dyDescent="0.3">
      <c r="A1725"/>
      <c r="B1725"/>
      <c r="C1725"/>
      <c r="D1725"/>
      <c r="E1725"/>
      <c r="F1725"/>
    </row>
    <row r="1726" spans="1:6" ht="15.6" x14ac:dyDescent="0.3">
      <c r="A1726"/>
      <c r="B1726"/>
      <c r="C1726"/>
      <c r="D1726"/>
      <c r="E1726"/>
      <c r="F1726"/>
    </row>
    <row r="1727" spans="1:6" ht="15.6" x14ac:dyDescent="0.3">
      <c r="A1727"/>
      <c r="B1727"/>
      <c r="C1727"/>
      <c r="D1727"/>
      <c r="E1727"/>
      <c r="F1727"/>
    </row>
    <row r="1728" spans="1:6" ht="15.6" x14ac:dyDescent="0.3">
      <c r="A1728"/>
      <c r="B1728"/>
      <c r="C1728"/>
      <c r="D1728"/>
      <c r="E1728"/>
      <c r="F1728"/>
    </row>
    <row r="1729" spans="1:6" ht="15.6" x14ac:dyDescent="0.3">
      <c r="A1729"/>
      <c r="B1729"/>
      <c r="C1729"/>
      <c r="D1729"/>
      <c r="E1729"/>
      <c r="F1729"/>
    </row>
    <row r="1730" spans="1:6" ht="15.6" x14ac:dyDescent="0.3">
      <c r="A1730"/>
      <c r="B1730"/>
      <c r="C1730"/>
      <c r="D1730"/>
      <c r="E1730"/>
      <c r="F1730"/>
    </row>
    <row r="1731" spans="1:6" ht="15.6" x14ac:dyDescent="0.3">
      <c r="A1731"/>
      <c r="B1731"/>
      <c r="C1731"/>
      <c r="D1731"/>
      <c r="E1731"/>
      <c r="F1731"/>
    </row>
    <row r="1732" spans="1:6" ht="15.6" x14ac:dyDescent="0.3">
      <c r="A1732"/>
      <c r="B1732"/>
      <c r="C1732"/>
      <c r="D1732"/>
      <c r="E1732"/>
      <c r="F1732"/>
    </row>
    <row r="1733" spans="1:6" ht="15.6" x14ac:dyDescent="0.3">
      <c r="A1733"/>
      <c r="B1733"/>
      <c r="C1733"/>
      <c r="D1733"/>
      <c r="E1733"/>
      <c r="F1733"/>
    </row>
    <row r="1734" spans="1:6" ht="15.6" x14ac:dyDescent="0.3">
      <c r="A1734"/>
      <c r="B1734"/>
      <c r="C1734"/>
      <c r="D1734"/>
      <c r="E1734"/>
      <c r="F1734"/>
    </row>
    <row r="1735" spans="1:6" ht="15.6" x14ac:dyDescent="0.3">
      <c r="A1735"/>
      <c r="B1735"/>
      <c r="C1735"/>
      <c r="D1735"/>
      <c r="E1735"/>
      <c r="F1735"/>
    </row>
    <row r="1736" spans="1:6" ht="15.6" x14ac:dyDescent="0.3">
      <c r="A1736"/>
      <c r="B1736"/>
      <c r="C1736"/>
      <c r="D1736"/>
      <c r="E1736"/>
      <c r="F1736"/>
    </row>
    <row r="1737" spans="1:6" ht="15.6" x14ac:dyDescent="0.3">
      <c r="A1737"/>
      <c r="B1737"/>
      <c r="C1737"/>
      <c r="D1737"/>
      <c r="E1737"/>
      <c r="F1737"/>
    </row>
    <row r="1738" spans="1:6" ht="15.6" x14ac:dyDescent="0.3">
      <c r="A1738"/>
      <c r="B1738"/>
      <c r="C1738"/>
      <c r="D1738"/>
      <c r="E1738"/>
      <c r="F1738"/>
    </row>
    <row r="1739" spans="1:6" ht="15.6" x14ac:dyDescent="0.3">
      <c r="A1739"/>
      <c r="B1739"/>
      <c r="C1739"/>
      <c r="D1739"/>
      <c r="E1739"/>
      <c r="F1739"/>
    </row>
    <row r="1740" spans="1:6" ht="15.6" x14ac:dyDescent="0.3">
      <c r="A1740"/>
      <c r="B1740"/>
      <c r="C1740"/>
      <c r="D1740"/>
      <c r="E1740"/>
      <c r="F1740"/>
    </row>
    <row r="1741" spans="1:6" ht="15.6" x14ac:dyDescent="0.3">
      <c r="A1741"/>
      <c r="B1741"/>
      <c r="C1741"/>
      <c r="D1741"/>
      <c r="E1741"/>
      <c r="F1741"/>
    </row>
    <row r="1742" spans="1:6" ht="15.6" x14ac:dyDescent="0.3">
      <c r="A1742"/>
      <c r="B1742"/>
      <c r="C1742"/>
      <c r="D1742"/>
      <c r="E1742"/>
      <c r="F1742"/>
    </row>
    <row r="1743" spans="1:6" ht="15.6" x14ac:dyDescent="0.3">
      <c r="A1743"/>
      <c r="B1743"/>
      <c r="C1743"/>
      <c r="D1743"/>
      <c r="E1743"/>
      <c r="F1743"/>
    </row>
    <row r="1744" spans="1:6" ht="15.6" x14ac:dyDescent="0.3">
      <c r="A1744"/>
      <c r="B1744"/>
      <c r="C1744"/>
      <c r="D1744"/>
      <c r="E1744"/>
      <c r="F1744"/>
    </row>
    <row r="1745" spans="1:6" ht="15.6" x14ac:dyDescent="0.3">
      <c r="A1745"/>
      <c r="B1745"/>
      <c r="C1745"/>
      <c r="D1745"/>
      <c r="E1745"/>
      <c r="F1745"/>
    </row>
    <row r="1746" spans="1:6" ht="15.6" x14ac:dyDescent="0.3">
      <c r="A1746"/>
      <c r="B1746"/>
      <c r="C1746"/>
      <c r="D1746"/>
      <c r="E1746"/>
      <c r="F1746"/>
    </row>
    <row r="1747" spans="1:6" ht="15.6" x14ac:dyDescent="0.3">
      <c r="A1747"/>
      <c r="B1747"/>
      <c r="C1747"/>
      <c r="D1747"/>
      <c r="E1747"/>
      <c r="F1747"/>
    </row>
    <row r="1748" spans="1:6" ht="15.6" x14ac:dyDescent="0.3">
      <c r="A1748"/>
      <c r="B1748"/>
      <c r="C1748"/>
      <c r="D1748"/>
      <c r="E1748"/>
      <c r="F1748"/>
    </row>
    <row r="1749" spans="1:6" ht="15.6" x14ac:dyDescent="0.3">
      <c r="A1749"/>
      <c r="B1749"/>
      <c r="C1749"/>
      <c r="D1749"/>
      <c r="E1749"/>
      <c r="F1749"/>
    </row>
    <row r="1750" spans="1:6" ht="15.6" x14ac:dyDescent="0.3">
      <c r="A1750"/>
      <c r="B1750"/>
      <c r="C1750"/>
      <c r="D1750"/>
      <c r="E1750"/>
      <c r="F1750"/>
    </row>
    <row r="1751" spans="1:6" ht="15.6" x14ac:dyDescent="0.3">
      <c r="A1751"/>
      <c r="B1751"/>
      <c r="C1751"/>
      <c r="D1751"/>
      <c r="E1751"/>
      <c r="F1751"/>
    </row>
    <row r="1752" spans="1:6" ht="15.6" x14ac:dyDescent="0.3">
      <c r="A1752"/>
      <c r="B1752"/>
      <c r="C1752"/>
      <c r="D1752"/>
      <c r="E1752"/>
      <c r="F1752"/>
    </row>
    <row r="1753" spans="1:6" ht="15.6" x14ac:dyDescent="0.3">
      <c r="A1753"/>
      <c r="B1753"/>
      <c r="C1753"/>
      <c r="D1753"/>
      <c r="E1753"/>
      <c r="F1753"/>
    </row>
    <row r="1754" spans="1:6" ht="15.6" x14ac:dyDescent="0.3">
      <c r="A1754"/>
      <c r="B1754"/>
      <c r="C1754"/>
      <c r="D1754"/>
      <c r="E1754"/>
      <c r="F1754"/>
    </row>
    <row r="1755" spans="1:6" ht="15.6" x14ac:dyDescent="0.3">
      <c r="A1755"/>
      <c r="B1755"/>
      <c r="C1755"/>
      <c r="D1755"/>
      <c r="E1755"/>
      <c r="F1755"/>
    </row>
    <row r="1756" spans="1:6" ht="15.6" x14ac:dyDescent="0.3">
      <c r="A1756"/>
      <c r="B1756"/>
      <c r="C1756"/>
      <c r="D1756"/>
      <c r="E1756"/>
      <c r="F1756"/>
    </row>
    <row r="1757" spans="1:6" ht="15.6" x14ac:dyDescent="0.3">
      <c r="A1757"/>
      <c r="B1757"/>
      <c r="C1757"/>
      <c r="D1757"/>
      <c r="E1757"/>
      <c r="F1757"/>
    </row>
    <row r="1758" spans="1:6" ht="15.6" x14ac:dyDescent="0.3">
      <c r="A1758"/>
      <c r="B1758"/>
      <c r="C1758"/>
      <c r="D1758"/>
      <c r="E1758"/>
      <c r="F1758"/>
    </row>
    <row r="1759" spans="1:6" ht="15.6" x14ac:dyDescent="0.3">
      <c r="A1759"/>
      <c r="B1759"/>
      <c r="C1759"/>
      <c r="D1759"/>
      <c r="E1759"/>
      <c r="F1759"/>
    </row>
    <row r="1760" spans="1:6" ht="15.6" x14ac:dyDescent="0.3">
      <c r="A1760"/>
      <c r="B1760"/>
      <c r="C1760"/>
      <c r="D1760"/>
      <c r="E1760"/>
      <c r="F1760"/>
    </row>
    <row r="1761" spans="1:6" ht="15.6" x14ac:dyDescent="0.3">
      <c r="A1761"/>
      <c r="B1761"/>
      <c r="C1761"/>
      <c r="D1761"/>
      <c r="E1761"/>
      <c r="F1761"/>
    </row>
    <row r="1762" spans="1:6" ht="15.6" x14ac:dyDescent="0.3">
      <c r="A1762"/>
      <c r="B1762"/>
      <c r="C1762"/>
      <c r="D1762"/>
      <c r="E1762"/>
      <c r="F1762"/>
    </row>
    <row r="1763" spans="1:6" ht="15.6" x14ac:dyDescent="0.3">
      <c r="A1763"/>
      <c r="B1763"/>
      <c r="C1763"/>
      <c r="D1763"/>
      <c r="E1763"/>
      <c r="F1763"/>
    </row>
    <row r="1764" spans="1:6" ht="15.6" x14ac:dyDescent="0.3">
      <c r="A1764"/>
      <c r="B1764"/>
      <c r="C1764"/>
      <c r="D1764"/>
      <c r="E1764"/>
      <c r="F1764"/>
    </row>
    <row r="1765" spans="1:6" ht="15.6" x14ac:dyDescent="0.3">
      <c r="A1765"/>
      <c r="B1765"/>
      <c r="C1765"/>
      <c r="D1765"/>
      <c r="E1765"/>
      <c r="F1765"/>
    </row>
    <row r="1766" spans="1:6" ht="15.6" x14ac:dyDescent="0.3">
      <c r="A1766"/>
      <c r="B1766"/>
      <c r="C1766"/>
      <c r="D1766"/>
      <c r="E1766"/>
      <c r="F1766"/>
    </row>
    <row r="1767" spans="1:6" ht="15.6" x14ac:dyDescent="0.3">
      <c r="A1767"/>
      <c r="B1767"/>
      <c r="C1767"/>
      <c r="D1767"/>
      <c r="E1767"/>
      <c r="F1767"/>
    </row>
    <row r="1768" spans="1:6" ht="15.6" x14ac:dyDescent="0.3">
      <c r="A1768"/>
      <c r="B1768"/>
      <c r="C1768"/>
      <c r="D1768"/>
      <c r="E1768"/>
      <c r="F1768"/>
    </row>
    <row r="1769" spans="1:6" ht="15.6" x14ac:dyDescent="0.3">
      <c r="A1769"/>
      <c r="B1769"/>
      <c r="C1769"/>
      <c r="D1769"/>
      <c r="E1769"/>
      <c r="F1769"/>
    </row>
    <row r="1770" spans="1:6" ht="15.6" x14ac:dyDescent="0.3">
      <c r="A1770"/>
      <c r="B1770"/>
      <c r="C1770"/>
      <c r="D1770"/>
      <c r="E1770"/>
      <c r="F1770"/>
    </row>
    <row r="1771" spans="1:6" ht="15.6" x14ac:dyDescent="0.3">
      <c r="A1771"/>
      <c r="B1771"/>
      <c r="C1771"/>
      <c r="D1771"/>
      <c r="E1771"/>
      <c r="F1771"/>
    </row>
    <row r="1772" spans="1:6" ht="15.6" x14ac:dyDescent="0.3">
      <c r="A1772"/>
      <c r="B1772"/>
      <c r="C1772"/>
      <c r="D1772"/>
      <c r="E1772"/>
      <c r="F1772"/>
    </row>
    <row r="1773" spans="1:6" ht="15.6" x14ac:dyDescent="0.3">
      <c r="A1773"/>
      <c r="B1773"/>
      <c r="C1773"/>
      <c r="D1773"/>
      <c r="E1773"/>
      <c r="F1773"/>
    </row>
    <row r="1774" spans="1:6" ht="15.6" x14ac:dyDescent="0.3">
      <c r="A1774"/>
      <c r="B1774"/>
      <c r="C1774"/>
      <c r="D1774"/>
      <c r="E1774"/>
      <c r="F1774"/>
    </row>
    <row r="1775" spans="1:6" ht="15.6" x14ac:dyDescent="0.3">
      <c r="A1775"/>
      <c r="B1775"/>
      <c r="C1775"/>
      <c r="D1775"/>
      <c r="E1775"/>
      <c r="F1775"/>
    </row>
    <row r="1776" spans="1:6" ht="15.6" x14ac:dyDescent="0.3">
      <c r="A1776"/>
      <c r="B1776"/>
      <c r="C1776"/>
      <c r="D1776"/>
      <c r="E1776"/>
      <c r="F1776"/>
    </row>
    <row r="1777" spans="1:6" ht="15.6" x14ac:dyDescent="0.3">
      <c r="A1777"/>
      <c r="B1777"/>
      <c r="C1777"/>
      <c r="D1777"/>
      <c r="E1777"/>
      <c r="F1777"/>
    </row>
    <row r="1778" spans="1:6" ht="15.6" x14ac:dyDescent="0.3">
      <c r="A1778"/>
      <c r="B1778"/>
      <c r="C1778"/>
      <c r="D1778"/>
      <c r="E1778"/>
      <c r="F1778"/>
    </row>
    <row r="1779" spans="1:6" ht="15.6" x14ac:dyDescent="0.3">
      <c r="A1779"/>
      <c r="B1779"/>
      <c r="C1779"/>
      <c r="D1779"/>
      <c r="E1779"/>
      <c r="F1779"/>
    </row>
    <row r="1780" spans="1:6" ht="15.6" x14ac:dyDescent="0.3">
      <c r="A1780"/>
      <c r="B1780"/>
      <c r="C1780"/>
      <c r="D1780"/>
      <c r="E1780"/>
      <c r="F1780"/>
    </row>
    <row r="1781" spans="1:6" ht="15.6" x14ac:dyDescent="0.3">
      <c r="A1781"/>
      <c r="B1781"/>
      <c r="C1781"/>
      <c r="D1781"/>
      <c r="E1781"/>
      <c r="F1781"/>
    </row>
    <row r="1782" spans="1:6" ht="15.6" x14ac:dyDescent="0.3">
      <c r="A1782"/>
      <c r="B1782"/>
      <c r="C1782"/>
      <c r="D1782"/>
      <c r="E1782"/>
      <c r="F1782"/>
    </row>
    <row r="1783" spans="1:6" ht="15.6" x14ac:dyDescent="0.3">
      <c r="A1783"/>
      <c r="B1783"/>
      <c r="C1783"/>
      <c r="D1783"/>
      <c r="E1783"/>
      <c r="F1783"/>
    </row>
    <row r="1784" spans="1:6" ht="15.6" x14ac:dyDescent="0.3">
      <c r="A1784"/>
      <c r="B1784"/>
      <c r="C1784"/>
      <c r="D1784"/>
      <c r="E1784"/>
      <c r="F1784"/>
    </row>
    <row r="1785" spans="1:6" ht="15.6" x14ac:dyDescent="0.3">
      <c r="A1785"/>
      <c r="B1785"/>
      <c r="C1785"/>
      <c r="D1785"/>
      <c r="E1785"/>
      <c r="F1785"/>
    </row>
    <row r="1786" spans="1:6" ht="15.6" x14ac:dyDescent="0.3">
      <c r="A1786"/>
      <c r="B1786"/>
      <c r="C1786"/>
      <c r="D1786"/>
      <c r="E1786"/>
      <c r="F1786"/>
    </row>
    <row r="1787" spans="1:6" ht="15.6" x14ac:dyDescent="0.3">
      <c r="A1787"/>
      <c r="B1787"/>
      <c r="C1787"/>
      <c r="D1787"/>
      <c r="E1787"/>
      <c r="F1787"/>
    </row>
    <row r="1788" spans="1:6" ht="15.6" x14ac:dyDescent="0.3">
      <c r="A1788"/>
      <c r="B1788"/>
      <c r="C1788"/>
      <c r="D1788"/>
      <c r="E1788"/>
      <c r="F1788"/>
    </row>
    <row r="1789" spans="1:6" ht="15.6" x14ac:dyDescent="0.3">
      <c r="A1789"/>
      <c r="B1789"/>
      <c r="C1789"/>
      <c r="D1789"/>
      <c r="E1789"/>
      <c r="F1789"/>
    </row>
    <row r="1790" spans="1:6" ht="15.6" x14ac:dyDescent="0.3">
      <c r="A1790"/>
      <c r="B1790"/>
      <c r="C1790"/>
      <c r="D1790"/>
      <c r="E1790"/>
      <c r="F1790"/>
    </row>
    <row r="1791" spans="1:6" ht="15.6" x14ac:dyDescent="0.3">
      <c r="A1791"/>
      <c r="B1791"/>
      <c r="C1791"/>
      <c r="D1791"/>
      <c r="E1791"/>
      <c r="F1791"/>
    </row>
    <row r="1792" spans="1:6" ht="15.6" x14ac:dyDescent="0.3">
      <c r="A1792"/>
      <c r="B1792"/>
      <c r="C1792"/>
      <c r="D1792"/>
      <c r="E1792"/>
      <c r="F1792"/>
    </row>
    <row r="1793" spans="1:6" ht="15.6" x14ac:dyDescent="0.3">
      <c r="A1793"/>
      <c r="B1793"/>
      <c r="C1793"/>
      <c r="D1793"/>
      <c r="E1793"/>
      <c r="F1793"/>
    </row>
    <row r="1794" spans="1:6" ht="15.6" x14ac:dyDescent="0.3">
      <c r="A1794"/>
      <c r="B1794"/>
      <c r="C1794"/>
      <c r="D1794"/>
      <c r="E1794"/>
      <c r="F1794"/>
    </row>
    <row r="1795" spans="1:6" ht="15.6" x14ac:dyDescent="0.3">
      <c r="A1795"/>
      <c r="B1795"/>
      <c r="C1795"/>
      <c r="D1795"/>
      <c r="E1795"/>
      <c r="F1795"/>
    </row>
    <row r="1796" spans="1:6" ht="15.6" x14ac:dyDescent="0.3">
      <c r="A1796"/>
      <c r="B1796"/>
      <c r="C1796"/>
      <c r="D1796"/>
      <c r="E1796"/>
      <c r="F1796"/>
    </row>
    <row r="1797" spans="1:6" ht="15.6" x14ac:dyDescent="0.3">
      <c r="A1797"/>
      <c r="B1797"/>
      <c r="C1797"/>
      <c r="D1797"/>
      <c r="E1797"/>
      <c r="F1797"/>
    </row>
    <row r="1798" spans="1:6" ht="15.6" x14ac:dyDescent="0.3">
      <c r="A1798"/>
      <c r="B1798"/>
      <c r="C1798"/>
      <c r="D1798"/>
      <c r="E1798"/>
      <c r="F1798"/>
    </row>
    <row r="1799" spans="1:6" ht="15.6" x14ac:dyDescent="0.3">
      <c r="A1799"/>
      <c r="B1799"/>
      <c r="C1799"/>
      <c r="D1799"/>
      <c r="E1799"/>
      <c r="F1799"/>
    </row>
    <row r="1800" spans="1:6" ht="15.6" x14ac:dyDescent="0.3">
      <c r="A1800"/>
      <c r="B1800"/>
      <c r="C1800"/>
      <c r="D1800"/>
      <c r="E1800"/>
      <c r="F1800"/>
    </row>
    <row r="1801" spans="1:6" ht="15.6" x14ac:dyDescent="0.3">
      <c r="A1801"/>
      <c r="B1801"/>
      <c r="C1801"/>
      <c r="D1801"/>
      <c r="E1801"/>
      <c r="F1801"/>
    </row>
    <row r="1802" spans="1:6" ht="15.6" x14ac:dyDescent="0.3">
      <c r="A1802"/>
      <c r="B1802"/>
      <c r="C1802"/>
      <c r="D1802"/>
      <c r="E1802"/>
      <c r="F1802"/>
    </row>
    <row r="1803" spans="1:6" ht="15.6" x14ac:dyDescent="0.3">
      <c r="A1803"/>
      <c r="B1803"/>
      <c r="C1803"/>
      <c r="D1803"/>
      <c r="E1803"/>
      <c r="F1803"/>
    </row>
    <row r="1804" spans="1:6" ht="15.6" x14ac:dyDescent="0.3">
      <c r="A1804"/>
      <c r="B1804"/>
      <c r="C1804"/>
      <c r="D1804"/>
      <c r="E1804"/>
      <c r="F1804"/>
    </row>
    <row r="1805" spans="1:6" ht="15.6" x14ac:dyDescent="0.3">
      <c r="A1805"/>
      <c r="B1805"/>
      <c r="C1805"/>
      <c r="D1805"/>
      <c r="E1805"/>
      <c r="F1805"/>
    </row>
    <row r="1806" spans="1:6" ht="15.6" x14ac:dyDescent="0.3">
      <c r="A1806"/>
      <c r="B1806"/>
      <c r="C1806"/>
      <c r="D1806"/>
      <c r="E1806"/>
      <c r="F1806"/>
    </row>
    <row r="1807" spans="1:6" ht="15.6" x14ac:dyDescent="0.3">
      <c r="A1807"/>
      <c r="B1807"/>
      <c r="C1807"/>
      <c r="D1807"/>
      <c r="E1807"/>
      <c r="F1807"/>
    </row>
    <row r="1808" spans="1:6" ht="15.6" x14ac:dyDescent="0.3">
      <c r="A1808"/>
      <c r="B1808"/>
      <c r="C1808"/>
      <c r="D1808"/>
      <c r="E1808"/>
      <c r="F1808"/>
    </row>
    <row r="1809" spans="1:6" ht="15.6" x14ac:dyDescent="0.3">
      <c r="A1809"/>
      <c r="B1809"/>
      <c r="C1809"/>
      <c r="D1809"/>
      <c r="E1809"/>
      <c r="F1809"/>
    </row>
    <row r="1810" spans="1:6" ht="15.6" x14ac:dyDescent="0.3">
      <c r="A1810"/>
      <c r="B1810"/>
      <c r="C1810"/>
      <c r="D1810"/>
      <c r="E1810"/>
      <c r="F1810"/>
    </row>
    <row r="1811" spans="1:6" ht="15.6" x14ac:dyDescent="0.3">
      <c r="A1811"/>
      <c r="B1811"/>
      <c r="C1811"/>
      <c r="D1811"/>
      <c r="E1811"/>
      <c r="F1811"/>
    </row>
    <row r="1812" spans="1:6" ht="15.6" x14ac:dyDescent="0.3">
      <c r="A1812"/>
      <c r="B1812"/>
      <c r="C1812"/>
      <c r="D1812"/>
      <c r="E1812"/>
      <c r="F1812"/>
    </row>
    <row r="1813" spans="1:6" ht="15.6" x14ac:dyDescent="0.3">
      <c r="A1813"/>
      <c r="B1813"/>
      <c r="C1813"/>
      <c r="D1813"/>
      <c r="E1813"/>
      <c r="F1813"/>
    </row>
    <row r="1814" spans="1:6" ht="15.6" x14ac:dyDescent="0.3">
      <c r="A1814"/>
      <c r="B1814"/>
      <c r="C1814"/>
      <c r="D1814"/>
      <c r="E1814"/>
      <c r="F1814"/>
    </row>
    <row r="1815" spans="1:6" ht="15.6" x14ac:dyDescent="0.3">
      <c r="A1815"/>
      <c r="B1815"/>
      <c r="C1815"/>
      <c r="D1815"/>
      <c r="E1815"/>
      <c r="F1815"/>
    </row>
    <row r="1816" spans="1:6" ht="15.6" x14ac:dyDescent="0.3">
      <c r="A1816"/>
      <c r="B1816"/>
      <c r="C1816"/>
      <c r="D1816"/>
      <c r="E1816"/>
      <c r="F1816"/>
    </row>
    <row r="1817" spans="1:6" ht="15.6" x14ac:dyDescent="0.3">
      <c r="A1817"/>
      <c r="B1817"/>
      <c r="C1817"/>
      <c r="D1817"/>
      <c r="E1817"/>
      <c r="F1817"/>
    </row>
    <row r="1818" spans="1:6" ht="15.6" x14ac:dyDescent="0.3">
      <c r="A1818"/>
      <c r="B1818"/>
      <c r="C1818"/>
      <c r="D1818"/>
      <c r="E1818"/>
      <c r="F1818"/>
    </row>
    <row r="1819" spans="1:6" ht="15.6" x14ac:dyDescent="0.3">
      <c r="A1819"/>
      <c r="B1819"/>
      <c r="C1819"/>
      <c r="D1819"/>
      <c r="E1819"/>
      <c r="F1819"/>
    </row>
    <row r="1820" spans="1:6" ht="15.6" x14ac:dyDescent="0.3">
      <c r="A1820"/>
      <c r="B1820"/>
      <c r="C1820"/>
      <c r="D1820"/>
      <c r="E1820"/>
      <c r="F1820"/>
    </row>
    <row r="1821" spans="1:6" ht="15.6" x14ac:dyDescent="0.3">
      <c r="A1821"/>
      <c r="B1821"/>
      <c r="C1821"/>
      <c r="D1821"/>
      <c r="E1821"/>
      <c r="F1821"/>
    </row>
    <row r="1822" spans="1:6" ht="15.6" x14ac:dyDescent="0.3">
      <c r="A1822"/>
      <c r="B1822"/>
      <c r="C1822"/>
      <c r="D1822"/>
      <c r="E1822"/>
      <c r="F1822"/>
    </row>
    <row r="1823" spans="1:6" ht="15.6" x14ac:dyDescent="0.3">
      <c r="A1823"/>
      <c r="B1823"/>
      <c r="C1823"/>
      <c r="D1823"/>
      <c r="E1823"/>
      <c r="F1823"/>
    </row>
    <row r="1824" spans="1:6" ht="15.6" x14ac:dyDescent="0.3">
      <c r="A1824"/>
      <c r="B1824"/>
      <c r="C1824"/>
      <c r="D1824"/>
      <c r="E1824"/>
      <c r="F1824"/>
    </row>
    <row r="1825" spans="1:6" ht="15.6" x14ac:dyDescent="0.3">
      <c r="A1825"/>
      <c r="B1825"/>
      <c r="C1825"/>
      <c r="D1825"/>
      <c r="E1825"/>
      <c r="F1825"/>
    </row>
    <row r="1826" spans="1:6" ht="15.6" x14ac:dyDescent="0.3">
      <c r="A1826"/>
      <c r="B1826"/>
      <c r="C1826"/>
      <c r="D1826"/>
      <c r="E1826"/>
      <c r="F1826"/>
    </row>
    <row r="1827" spans="1:6" ht="15.6" x14ac:dyDescent="0.3">
      <c r="A1827"/>
      <c r="B1827"/>
      <c r="C1827"/>
      <c r="D1827"/>
      <c r="E1827"/>
      <c r="F1827"/>
    </row>
    <row r="1828" spans="1:6" ht="15.6" x14ac:dyDescent="0.3">
      <c r="A1828"/>
      <c r="B1828"/>
      <c r="C1828"/>
      <c r="D1828"/>
      <c r="E1828"/>
      <c r="F1828"/>
    </row>
    <row r="1829" spans="1:6" ht="15.6" x14ac:dyDescent="0.3">
      <c r="A1829"/>
      <c r="B1829"/>
      <c r="C1829"/>
      <c r="D1829"/>
      <c r="E1829"/>
      <c r="F1829"/>
    </row>
    <row r="1830" spans="1:6" ht="15.6" x14ac:dyDescent="0.3">
      <c r="A1830"/>
      <c r="B1830"/>
      <c r="C1830"/>
      <c r="D1830"/>
      <c r="E1830"/>
      <c r="F1830"/>
    </row>
    <row r="1831" spans="1:6" ht="15.6" x14ac:dyDescent="0.3">
      <c r="A1831"/>
      <c r="B1831"/>
      <c r="C1831"/>
      <c r="D1831"/>
      <c r="E1831"/>
      <c r="F1831"/>
    </row>
    <row r="1832" spans="1:6" ht="15.6" x14ac:dyDescent="0.3">
      <c r="A1832"/>
      <c r="B1832"/>
      <c r="C1832"/>
      <c r="D1832"/>
      <c r="E1832"/>
      <c r="F1832"/>
    </row>
    <row r="1833" spans="1:6" ht="15.6" x14ac:dyDescent="0.3">
      <c r="A1833"/>
      <c r="B1833"/>
      <c r="C1833"/>
      <c r="D1833"/>
      <c r="E1833"/>
      <c r="F1833"/>
    </row>
    <row r="1834" spans="1:6" ht="15.6" x14ac:dyDescent="0.3">
      <c r="A1834"/>
      <c r="B1834"/>
      <c r="C1834"/>
      <c r="D1834"/>
      <c r="E1834"/>
      <c r="F1834"/>
    </row>
    <row r="1835" spans="1:6" ht="15.6" x14ac:dyDescent="0.3">
      <c r="A1835"/>
      <c r="B1835"/>
      <c r="C1835"/>
      <c r="D1835"/>
      <c r="E1835"/>
      <c r="F1835"/>
    </row>
    <row r="1836" spans="1:6" ht="15.6" x14ac:dyDescent="0.3">
      <c r="A1836"/>
      <c r="B1836"/>
      <c r="C1836"/>
      <c r="D1836"/>
      <c r="E1836"/>
      <c r="F1836"/>
    </row>
    <row r="1837" spans="1:6" ht="15.6" x14ac:dyDescent="0.3">
      <c r="A1837"/>
      <c r="B1837"/>
      <c r="C1837"/>
      <c r="D1837"/>
      <c r="E1837"/>
      <c r="F1837"/>
    </row>
    <row r="1838" spans="1:6" ht="15.6" x14ac:dyDescent="0.3">
      <c r="A1838"/>
      <c r="B1838"/>
      <c r="C1838"/>
      <c r="D1838"/>
      <c r="E1838"/>
      <c r="F1838"/>
    </row>
    <row r="1839" spans="1:6" ht="15.6" x14ac:dyDescent="0.3">
      <c r="A1839"/>
      <c r="B1839"/>
      <c r="C1839"/>
      <c r="D1839"/>
      <c r="E1839"/>
      <c r="F1839"/>
    </row>
    <row r="1840" spans="1:6" ht="15.6" x14ac:dyDescent="0.3">
      <c r="A1840"/>
      <c r="B1840"/>
      <c r="C1840"/>
      <c r="D1840"/>
      <c r="E1840"/>
      <c r="F1840"/>
    </row>
    <row r="1841" spans="1:6" ht="15.6" x14ac:dyDescent="0.3">
      <c r="A1841"/>
      <c r="B1841"/>
      <c r="C1841"/>
      <c r="D1841"/>
      <c r="E1841"/>
      <c r="F1841"/>
    </row>
    <row r="1842" spans="1:6" ht="15.6" x14ac:dyDescent="0.3">
      <c r="A1842"/>
      <c r="B1842"/>
      <c r="C1842"/>
      <c r="D1842"/>
      <c r="E1842"/>
      <c r="F1842"/>
    </row>
    <row r="1843" spans="1:6" ht="15.6" x14ac:dyDescent="0.3">
      <c r="A1843"/>
      <c r="B1843"/>
      <c r="C1843"/>
      <c r="D1843"/>
      <c r="E1843"/>
      <c r="F1843"/>
    </row>
    <row r="1844" spans="1:6" ht="15.6" x14ac:dyDescent="0.3">
      <c r="A1844"/>
      <c r="B1844"/>
      <c r="C1844"/>
      <c r="D1844"/>
      <c r="E1844"/>
      <c r="F1844"/>
    </row>
    <row r="1845" spans="1:6" ht="15.6" x14ac:dyDescent="0.3">
      <c r="A1845"/>
      <c r="B1845"/>
      <c r="C1845"/>
      <c r="D1845"/>
      <c r="E1845"/>
      <c r="F1845"/>
    </row>
    <row r="1846" spans="1:6" ht="15.6" x14ac:dyDescent="0.3">
      <c r="A1846"/>
      <c r="B1846"/>
      <c r="C1846"/>
      <c r="D1846"/>
      <c r="E1846"/>
      <c r="F1846"/>
    </row>
    <row r="1847" spans="1:6" ht="15.6" x14ac:dyDescent="0.3">
      <c r="A1847"/>
      <c r="B1847"/>
      <c r="C1847"/>
      <c r="D1847"/>
      <c r="E1847"/>
      <c r="F1847"/>
    </row>
    <row r="1848" spans="1:6" ht="15.6" x14ac:dyDescent="0.3">
      <c r="A1848"/>
      <c r="B1848"/>
      <c r="C1848"/>
      <c r="D1848"/>
      <c r="E1848"/>
      <c r="F1848"/>
    </row>
    <row r="1849" spans="1:6" ht="15.6" x14ac:dyDescent="0.3">
      <c r="A1849"/>
      <c r="B1849"/>
      <c r="C1849"/>
      <c r="D1849"/>
      <c r="E1849"/>
      <c r="F1849"/>
    </row>
    <row r="1850" spans="1:6" ht="15.6" x14ac:dyDescent="0.3">
      <c r="A1850"/>
      <c r="B1850"/>
      <c r="C1850"/>
      <c r="D1850"/>
      <c r="E1850"/>
      <c r="F1850"/>
    </row>
    <row r="1851" spans="1:6" ht="15.6" x14ac:dyDescent="0.3">
      <c r="A1851"/>
      <c r="B1851"/>
      <c r="C1851"/>
      <c r="D1851"/>
      <c r="E1851"/>
      <c r="F1851"/>
    </row>
    <row r="1852" spans="1:6" ht="15.6" x14ac:dyDescent="0.3">
      <c r="A1852"/>
      <c r="B1852"/>
      <c r="C1852"/>
      <c r="D1852"/>
      <c r="E1852"/>
      <c r="F1852"/>
    </row>
    <row r="1853" spans="1:6" ht="15.6" x14ac:dyDescent="0.3">
      <c r="A1853"/>
      <c r="B1853"/>
      <c r="C1853"/>
      <c r="D1853"/>
      <c r="E1853"/>
      <c r="F1853"/>
    </row>
    <row r="1854" spans="1:6" ht="15.6" x14ac:dyDescent="0.3">
      <c r="A1854"/>
      <c r="B1854"/>
      <c r="C1854"/>
      <c r="D1854"/>
      <c r="E1854"/>
      <c r="F1854"/>
    </row>
    <row r="1855" spans="1:6" ht="15.6" x14ac:dyDescent="0.3">
      <c r="A1855"/>
      <c r="B1855"/>
      <c r="C1855"/>
      <c r="D1855"/>
      <c r="E1855"/>
      <c r="F1855"/>
    </row>
    <row r="1856" spans="1:6" ht="15.6" x14ac:dyDescent="0.3">
      <c r="A1856"/>
      <c r="B1856"/>
      <c r="C1856"/>
      <c r="D1856"/>
      <c r="E1856"/>
      <c r="F1856"/>
    </row>
    <row r="1857" spans="1:6" ht="15.6" x14ac:dyDescent="0.3">
      <c r="A1857"/>
      <c r="B1857"/>
      <c r="C1857"/>
      <c r="D1857"/>
      <c r="E1857"/>
      <c r="F1857"/>
    </row>
    <row r="1858" spans="1:6" ht="15.6" x14ac:dyDescent="0.3">
      <c r="A1858"/>
      <c r="B1858"/>
      <c r="C1858"/>
      <c r="D1858"/>
      <c r="E1858"/>
      <c r="F1858"/>
    </row>
    <row r="1859" spans="1:6" ht="15.6" x14ac:dyDescent="0.3">
      <c r="A1859"/>
      <c r="B1859"/>
      <c r="C1859"/>
      <c r="D1859"/>
      <c r="E1859"/>
      <c r="F1859"/>
    </row>
    <row r="1860" spans="1:6" ht="15.6" x14ac:dyDescent="0.3">
      <c r="A1860"/>
      <c r="B1860"/>
      <c r="C1860"/>
      <c r="D1860"/>
      <c r="E1860"/>
      <c r="F1860"/>
    </row>
    <row r="1861" spans="1:6" ht="15.6" x14ac:dyDescent="0.3">
      <c r="A1861"/>
      <c r="B1861"/>
      <c r="C1861"/>
      <c r="D1861"/>
      <c r="E1861"/>
      <c r="F1861"/>
    </row>
    <row r="1862" spans="1:6" ht="15.6" x14ac:dyDescent="0.3">
      <c r="A1862"/>
      <c r="B1862"/>
      <c r="C1862"/>
      <c r="D1862"/>
      <c r="E1862"/>
      <c r="F1862"/>
    </row>
    <row r="1863" spans="1:6" ht="15.6" x14ac:dyDescent="0.3">
      <c r="A1863"/>
      <c r="B1863"/>
      <c r="C1863"/>
      <c r="D1863"/>
      <c r="E1863"/>
      <c r="F1863"/>
    </row>
    <row r="1864" spans="1:6" ht="15.6" x14ac:dyDescent="0.3">
      <c r="A1864"/>
      <c r="B1864"/>
      <c r="C1864"/>
      <c r="D1864"/>
      <c r="E1864"/>
      <c r="F1864"/>
    </row>
    <row r="1865" spans="1:6" ht="15.6" x14ac:dyDescent="0.3">
      <c r="A1865"/>
      <c r="B1865"/>
      <c r="C1865"/>
      <c r="D1865"/>
      <c r="E1865"/>
      <c r="F1865"/>
    </row>
    <row r="1866" spans="1:6" ht="15.6" x14ac:dyDescent="0.3">
      <c r="A1866"/>
      <c r="B1866"/>
      <c r="C1866"/>
      <c r="D1866"/>
      <c r="E1866"/>
      <c r="F1866"/>
    </row>
    <row r="1867" spans="1:6" ht="15.6" x14ac:dyDescent="0.3">
      <c r="A1867"/>
      <c r="B1867"/>
      <c r="C1867"/>
      <c r="D1867"/>
      <c r="E1867"/>
      <c r="F1867"/>
    </row>
    <row r="1868" spans="1:6" ht="15.6" x14ac:dyDescent="0.3">
      <c r="A1868"/>
      <c r="B1868"/>
      <c r="C1868"/>
      <c r="D1868"/>
      <c r="E1868"/>
      <c r="F1868"/>
    </row>
    <row r="1869" spans="1:6" ht="15.6" x14ac:dyDescent="0.3">
      <c r="A1869"/>
      <c r="B1869"/>
      <c r="C1869"/>
      <c r="D1869"/>
      <c r="E1869"/>
      <c r="F1869"/>
    </row>
    <row r="1870" spans="1:6" ht="15.6" x14ac:dyDescent="0.3">
      <c r="A1870"/>
      <c r="B1870"/>
      <c r="C1870"/>
      <c r="D1870"/>
      <c r="E1870"/>
      <c r="F1870"/>
    </row>
    <row r="1871" spans="1:6" ht="15.6" x14ac:dyDescent="0.3">
      <c r="A1871"/>
      <c r="B1871"/>
      <c r="C1871"/>
      <c r="D1871"/>
      <c r="E1871"/>
      <c r="F1871"/>
    </row>
    <row r="1872" spans="1:6" ht="15.6" x14ac:dyDescent="0.3">
      <c r="A1872"/>
      <c r="B1872"/>
      <c r="C1872"/>
      <c r="D1872"/>
      <c r="E1872"/>
      <c r="F1872"/>
    </row>
    <row r="1873" spans="1:6" ht="15.6" x14ac:dyDescent="0.3">
      <c r="A1873"/>
      <c r="B1873"/>
      <c r="C1873"/>
      <c r="D1873"/>
      <c r="E1873"/>
      <c r="F1873"/>
    </row>
    <row r="1874" spans="1:6" ht="15.6" x14ac:dyDescent="0.3">
      <c r="A1874"/>
      <c r="B1874"/>
      <c r="C1874"/>
      <c r="D1874"/>
      <c r="E1874"/>
      <c r="F1874"/>
    </row>
    <row r="1875" spans="1:6" ht="15.6" x14ac:dyDescent="0.3">
      <c r="A1875"/>
      <c r="B1875"/>
      <c r="C1875"/>
      <c r="D1875"/>
      <c r="E1875"/>
      <c r="F1875"/>
    </row>
    <row r="1876" spans="1:6" ht="15.6" x14ac:dyDescent="0.3">
      <c r="A1876"/>
      <c r="B1876"/>
      <c r="C1876"/>
      <c r="D1876"/>
      <c r="E1876"/>
      <c r="F1876"/>
    </row>
    <row r="1877" spans="1:6" ht="15.6" x14ac:dyDescent="0.3">
      <c r="A1877"/>
      <c r="B1877"/>
      <c r="C1877"/>
      <c r="D1877"/>
      <c r="E1877"/>
      <c r="F1877"/>
    </row>
    <row r="1878" spans="1:6" ht="15.6" x14ac:dyDescent="0.3">
      <c r="A1878"/>
      <c r="B1878"/>
      <c r="C1878"/>
      <c r="D1878"/>
      <c r="E1878"/>
      <c r="F1878"/>
    </row>
    <row r="1879" spans="1:6" ht="15.6" x14ac:dyDescent="0.3">
      <c r="A1879"/>
      <c r="B1879"/>
      <c r="C1879"/>
      <c r="D1879"/>
      <c r="E1879"/>
      <c r="F1879"/>
    </row>
    <row r="1880" spans="1:6" ht="15.6" x14ac:dyDescent="0.3">
      <c r="A1880"/>
      <c r="B1880"/>
      <c r="C1880"/>
      <c r="D1880"/>
      <c r="E1880"/>
      <c r="F1880"/>
    </row>
    <row r="1881" spans="1:6" ht="15.6" x14ac:dyDescent="0.3">
      <c r="A1881"/>
      <c r="B1881"/>
      <c r="C1881"/>
      <c r="D1881"/>
      <c r="E1881"/>
      <c r="F1881"/>
    </row>
    <row r="1882" spans="1:6" ht="15.6" x14ac:dyDescent="0.3">
      <c r="A1882"/>
      <c r="B1882"/>
      <c r="C1882"/>
      <c r="D1882"/>
      <c r="E1882"/>
      <c r="F1882"/>
    </row>
    <row r="1883" spans="1:6" ht="15.6" x14ac:dyDescent="0.3">
      <c r="A1883"/>
      <c r="B1883"/>
      <c r="C1883"/>
      <c r="D1883"/>
      <c r="E1883"/>
      <c r="F1883"/>
    </row>
    <row r="1884" spans="1:6" ht="15.6" x14ac:dyDescent="0.3">
      <c r="A1884"/>
      <c r="B1884"/>
      <c r="C1884"/>
      <c r="D1884"/>
      <c r="E1884"/>
      <c r="F1884"/>
    </row>
    <row r="1885" spans="1:6" ht="15.6" x14ac:dyDescent="0.3">
      <c r="A1885"/>
      <c r="B1885"/>
      <c r="C1885"/>
      <c r="D1885"/>
      <c r="E1885"/>
      <c r="F1885"/>
    </row>
    <row r="1886" spans="1:6" ht="15.6" x14ac:dyDescent="0.3">
      <c r="A1886"/>
      <c r="B1886"/>
      <c r="C1886"/>
      <c r="D1886"/>
      <c r="E1886"/>
      <c r="F1886"/>
    </row>
    <row r="1887" spans="1:6" ht="15.6" x14ac:dyDescent="0.3">
      <c r="A1887"/>
      <c r="B1887"/>
      <c r="C1887"/>
      <c r="D1887"/>
      <c r="E1887"/>
      <c r="F1887"/>
    </row>
    <row r="1888" spans="1:6" ht="15.6" x14ac:dyDescent="0.3">
      <c r="A1888"/>
      <c r="B1888"/>
      <c r="C1888"/>
      <c r="D1888"/>
      <c r="E1888"/>
      <c r="F1888"/>
    </row>
    <row r="1889" spans="1:6" ht="15.6" x14ac:dyDescent="0.3">
      <c r="A1889"/>
      <c r="B1889"/>
      <c r="C1889"/>
      <c r="D1889"/>
      <c r="E1889"/>
      <c r="F1889"/>
    </row>
    <row r="1890" spans="1:6" ht="15.6" x14ac:dyDescent="0.3">
      <c r="A1890"/>
      <c r="B1890"/>
      <c r="C1890"/>
      <c r="D1890"/>
      <c r="E1890"/>
      <c r="F1890"/>
    </row>
    <row r="1891" spans="1:6" ht="15.6" x14ac:dyDescent="0.3">
      <c r="A1891"/>
      <c r="B1891"/>
      <c r="C1891"/>
      <c r="D1891"/>
      <c r="E1891"/>
      <c r="F1891"/>
    </row>
    <row r="1892" spans="1:6" ht="15.6" x14ac:dyDescent="0.3">
      <c r="A1892"/>
      <c r="B1892"/>
      <c r="C1892"/>
      <c r="D1892"/>
      <c r="E1892"/>
      <c r="F1892"/>
    </row>
    <row r="1893" spans="1:6" ht="15.6" x14ac:dyDescent="0.3">
      <c r="A1893"/>
      <c r="B1893"/>
      <c r="C1893"/>
      <c r="D1893"/>
      <c r="E1893"/>
      <c r="F1893"/>
    </row>
    <row r="1894" spans="1:6" ht="15.6" x14ac:dyDescent="0.3">
      <c r="A1894"/>
      <c r="B1894"/>
      <c r="C1894"/>
      <c r="D1894"/>
      <c r="E1894"/>
      <c r="F1894"/>
    </row>
    <row r="1895" spans="1:6" ht="15.6" x14ac:dyDescent="0.3">
      <c r="A1895"/>
      <c r="B1895"/>
      <c r="C1895"/>
      <c r="D1895"/>
      <c r="E1895"/>
      <c r="F1895"/>
    </row>
    <row r="1896" spans="1:6" ht="15.6" x14ac:dyDescent="0.3">
      <c r="A1896"/>
      <c r="B1896"/>
      <c r="C1896"/>
      <c r="D1896"/>
      <c r="E1896"/>
      <c r="F1896"/>
    </row>
    <row r="1897" spans="1:6" ht="15.6" x14ac:dyDescent="0.3">
      <c r="A1897"/>
      <c r="B1897"/>
      <c r="C1897"/>
      <c r="D1897"/>
      <c r="E1897"/>
      <c r="F1897"/>
    </row>
    <row r="1898" spans="1:6" ht="15.6" x14ac:dyDescent="0.3">
      <c r="A1898"/>
      <c r="B1898"/>
      <c r="C1898"/>
      <c r="D1898"/>
      <c r="E1898"/>
      <c r="F1898"/>
    </row>
    <row r="1899" spans="1:6" ht="15.6" x14ac:dyDescent="0.3">
      <c r="A1899"/>
      <c r="B1899"/>
      <c r="C1899"/>
      <c r="D1899"/>
      <c r="E1899"/>
      <c r="F1899"/>
    </row>
    <row r="1900" spans="1:6" ht="15.6" x14ac:dyDescent="0.3">
      <c r="A1900"/>
      <c r="B1900"/>
      <c r="C1900"/>
      <c r="D1900"/>
      <c r="E1900"/>
      <c r="F1900"/>
    </row>
    <row r="1901" spans="1:6" ht="15.6" x14ac:dyDescent="0.3">
      <c r="A1901"/>
      <c r="B1901"/>
      <c r="C1901"/>
      <c r="D1901"/>
      <c r="E1901"/>
      <c r="F1901"/>
    </row>
    <row r="1902" spans="1:6" ht="15.6" x14ac:dyDescent="0.3">
      <c r="A1902"/>
      <c r="B1902"/>
      <c r="C1902"/>
      <c r="D1902"/>
      <c r="E1902"/>
      <c r="F1902"/>
    </row>
    <row r="1903" spans="1:6" ht="15.6" x14ac:dyDescent="0.3">
      <c r="A1903"/>
      <c r="B1903"/>
      <c r="C1903"/>
      <c r="D1903"/>
      <c r="E1903"/>
      <c r="F1903"/>
    </row>
    <row r="1904" spans="1:6" ht="15.6" x14ac:dyDescent="0.3">
      <c r="A1904"/>
      <c r="B1904"/>
      <c r="C1904"/>
      <c r="D1904"/>
      <c r="E1904"/>
      <c r="F1904"/>
    </row>
    <row r="1905" spans="1:6" ht="15.6" x14ac:dyDescent="0.3">
      <c r="A1905"/>
      <c r="B1905"/>
      <c r="C1905"/>
      <c r="D1905"/>
      <c r="E1905"/>
      <c r="F1905"/>
    </row>
    <row r="1906" spans="1:6" ht="15.6" x14ac:dyDescent="0.3">
      <c r="A1906"/>
      <c r="B1906"/>
      <c r="C1906"/>
      <c r="D1906"/>
      <c r="E1906"/>
      <c r="F1906"/>
    </row>
    <row r="1907" spans="1:6" ht="15.6" x14ac:dyDescent="0.3">
      <c r="A1907"/>
      <c r="B1907"/>
      <c r="C1907"/>
      <c r="D1907"/>
      <c r="E1907"/>
      <c r="F1907"/>
    </row>
    <row r="1908" spans="1:6" ht="15.6" x14ac:dyDescent="0.3">
      <c r="A1908"/>
      <c r="B1908"/>
      <c r="C1908"/>
      <c r="D1908"/>
      <c r="E1908"/>
      <c r="F1908"/>
    </row>
    <row r="1909" spans="1:6" ht="15.6" x14ac:dyDescent="0.3">
      <c r="A1909"/>
      <c r="B1909"/>
      <c r="C1909"/>
      <c r="D1909"/>
      <c r="E1909"/>
      <c r="F1909"/>
    </row>
    <row r="1910" spans="1:6" ht="15.6" x14ac:dyDescent="0.3">
      <c r="A1910"/>
      <c r="B1910"/>
      <c r="C1910"/>
      <c r="D1910"/>
      <c r="E1910"/>
      <c r="F1910"/>
    </row>
    <row r="1911" spans="1:6" ht="15.6" x14ac:dyDescent="0.3">
      <c r="A1911"/>
      <c r="B1911"/>
      <c r="C1911"/>
      <c r="D1911"/>
      <c r="E1911"/>
      <c r="F1911"/>
    </row>
    <row r="1912" spans="1:6" ht="15.6" x14ac:dyDescent="0.3">
      <c r="A1912"/>
      <c r="B1912"/>
      <c r="C1912"/>
      <c r="D1912"/>
      <c r="E1912"/>
      <c r="F1912"/>
    </row>
    <row r="1913" spans="1:6" ht="15.6" x14ac:dyDescent="0.3">
      <c r="A1913"/>
      <c r="B1913"/>
      <c r="C1913"/>
      <c r="D1913"/>
      <c r="E1913"/>
      <c r="F1913"/>
    </row>
    <row r="1914" spans="1:6" ht="15.6" x14ac:dyDescent="0.3">
      <c r="A1914"/>
      <c r="B1914"/>
      <c r="C1914"/>
      <c r="D1914"/>
      <c r="E1914"/>
      <c r="F1914"/>
    </row>
    <row r="1915" spans="1:6" ht="15.6" x14ac:dyDescent="0.3">
      <c r="A1915"/>
      <c r="B1915"/>
      <c r="C1915"/>
      <c r="D1915"/>
      <c r="E1915"/>
      <c r="F1915"/>
    </row>
    <row r="1916" spans="1:6" ht="15.6" x14ac:dyDescent="0.3">
      <c r="A1916"/>
      <c r="B1916"/>
      <c r="C1916"/>
      <c r="D1916"/>
      <c r="E1916"/>
      <c r="F1916"/>
    </row>
    <row r="1917" spans="1:6" ht="15.6" x14ac:dyDescent="0.3">
      <c r="A1917"/>
      <c r="B1917"/>
      <c r="C1917"/>
      <c r="D1917"/>
      <c r="E1917"/>
      <c r="F1917"/>
    </row>
    <row r="1918" spans="1:6" ht="15.6" x14ac:dyDescent="0.3">
      <c r="A1918"/>
      <c r="B1918"/>
      <c r="C1918"/>
      <c r="D1918"/>
      <c r="E1918"/>
      <c r="F1918"/>
    </row>
    <row r="1919" spans="1:6" ht="15.6" x14ac:dyDescent="0.3">
      <c r="A1919"/>
      <c r="B1919"/>
      <c r="C1919"/>
      <c r="D1919"/>
      <c r="E1919"/>
      <c r="F1919"/>
    </row>
    <row r="1920" spans="1:6" ht="15.6" x14ac:dyDescent="0.3">
      <c r="A1920"/>
      <c r="B1920"/>
      <c r="C1920"/>
      <c r="D1920"/>
      <c r="E1920"/>
      <c r="F1920"/>
    </row>
    <row r="1921" spans="1:6" ht="15.6" x14ac:dyDescent="0.3">
      <c r="A1921"/>
      <c r="B1921"/>
      <c r="C1921"/>
      <c r="D1921"/>
      <c r="E1921"/>
      <c r="F1921"/>
    </row>
    <row r="1922" spans="1:6" ht="15.6" x14ac:dyDescent="0.3">
      <c r="A1922"/>
      <c r="B1922"/>
      <c r="C1922"/>
      <c r="D1922"/>
      <c r="E1922"/>
      <c r="F1922"/>
    </row>
    <row r="1923" spans="1:6" ht="15.6" x14ac:dyDescent="0.3">
      <c r="A1923"/>
      <c r="B1923"/>
      <c r="C1923"/>
      <c r="D1923"/>
      <c r="E1923"/>
      <c r="F1923"/>
    </row>
    <row r="1924" spans="1:6" ht="15.6" x14ac:dyDescent="0.3">
      <c r="A1924"/>
      <c r="B1924"/>
      <c r="C1924"/>
      <c r="D1924"/>
      <c r="E1924"/>
      <c r="F1924"/>
    </row>
    <row r="1925" spans="1:6" ht="15.6" x14ac:dyDescent="0.3">
      <c r="A1925"/>
      <c r="B1925"/>
      <c r="C1925"/>
      <c r="D1925"/>
      <c r="E1925"/>
      <c r="F1925"/>
    </row>
    <row r="1926" spans="1:6" ht="15.6" x14ac:dyDescent="0.3">
      <c r="A1926"/>
      <c r="B1926"/>
      <c r="C1926"/>
      <c r="D1926"/>
      <c r="E1926"/>
      <c r="F1926"/>
    </row>
    <row r="1927" spans="1:6" ht="15.6" x14ac:dyDescent="0.3">
      <c r="A1927"/>
      <c r="B1927"/>
      <c r="C1927"/>
      <c r="D1927"/>
      <c r="E1927"/>
      <c r="F1927"/>
    </row>
    <row r="1928" spans="1:6" ht="15.6" x14ac:dyDescent="0.3">
      <c r="A1928"/>
      <c r="B1928"/>
      <c r="C1928"/>
      <c r="D1928"/>
      <c r="E1928"/>
      <c r="F1928"/>
    </row>
    <row r="1929" spans="1:6" ht="15.6" x14ac:dyDescent="0.3">
      <c r="A1929"/>
      <c r="B1929"/>
      <c r="C1929"/>
      <c r="D1929"/>
      <c r="E1929"/>
      <c r="F1929"/>
    </row>
    <row r="1930" spans="1:6" ht="15.6" x14ac:dyDescent="0.3">
      <c r="A1930"/>
      <c r="B1930"/>
      <c r="C1930"/>
      <c r="D1930"/>
      <c r="E1930"/>
      <c r="F1930"/>
    </row>
    <row r="1931" spans="1:6" ht="15.6" x14ac:dyDescent="0.3">
      <c r="A1931"/>
      <c r="B1931"/>
      <c r="C1931"/>
      <c r="D1931"/>
      <c r="E1931"/>
      <c r="F1931"/>
    </row>
    <row r="1932" spans="1:6" ht="15.6" x14ac:dyDescent="0.3">
      <c r="A1932"/>
      <c r="B1932"/>
      <c r="C1932"/>
      <c r="D1932"/>
      <c r="E1932"/>
      <c r="F1932"/>
    </row>
    <row r="1933" spans="1:6" ht="15.6" x14ac:dyDescent="0.3">
      <c r="A1933"/>
      <c r="B1933"/>
      <c r="C1933"/>
      <c r="D1933"/>
      <c r="E1933"/>
      <c r="F1933"/>
    </row>
    <row r="1934" spans="1:6" ht="15.6" x14ac:dyDescent="0.3">
      <c r="A1934"/>
      <c r="B1934"/>
      <c r="C1934"/>
      <c r="D1934"/>
      <c r="E1934"/>
      <c r="F1934"/>
    </row>
  </sheetData>
  <pageMargins left="0.7" right="0.7" top="0.75" bottom="0.75" header="0.3" footer="0.3"/>
  <pageSetup paperSize="9" scale="71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D6AC-2DEF-4F80-860E-871CB2898B5E}">
  <sheetPr>
    <tabColor rgb="FF002060"/>
  </sheetPr>
  <dimension ref="A1:C115"/>
  <sheetViews>
    <sheetView topLeftCell="A16" workbookViewId="0">
      <selection activeCell="B19" sqref="B19"/>
    </sheetView>
  </sheetViews>
  <sheetFormatPr defaultRowHeight="15" x14ac:dyDescent="0.25"/>
  <cols>
    <col min="1" max="1" width="26.88671875" style="3" bestFit="1" customWidth="1"/>
    <col min="2" max="2" width="23.44140625" style="3" bestFit="1" customWidth="1"/>
    <col min="3" max="3" width="24.88671875" style="3" bestFit="1" customWidth="1"/>
    <col min="4" max="16384" width="8.88671875" style="3"/>
  </cols>
  <sheetData>
    <row r="1" spans="1:3" x14ac:dyDescent="0.25">
      <c r="A1" s="31" t="s">
        <v>1915</v>
      </c>
      <c r="B1" s="32" t="s">
        <v>1898</v>
      </c>
      <c r="C1" s="32" t="s">
        <v>1896</v>
      </c>
    </row>
    <row r="2" spans="1:3" x14ac:dyDescent="0.25">
      <c r="A2" s="33" t="s">
        <v>893</v>
      </c>
      <c r="B2" s="52">
        <v>8346.75</v>
      </c>
      <c r="C2" s="52">
        <v>0</v>
      </c>
    </row>
    <row r="3" spans="1:3" x14ac:dyDescent="0.25">
      <c r="A3" s="34" t="s">
        <v>899</v>
      </c>
      <c r="B3" s="52">
        <v>8346.75</v>
      </c>
      <c r="C3" s="52">
        <v>0</v>
      </c>
    </row>
    <row r="4" spans="1:3" x14ac:dyDescent="0.25">
      <c r="A4" s="33" t="s">
        <v>1894</v>
      </c>
      <c r="B4" s="52">
        <v>15</v>
      </c>
      <c r="C4" s="52">
        <v>38.300000000000004</v>
      </c>
    </row>
    <row r="5" spans="1:3" x14ac:dyDescent="0.25">
      <c r="A5" s="34" t="s">
        <v>1914</v>
      </c>
      <c r="B5" s="52">
        <v>15</v>
      </c>
      <c r="C5" s="52">
        <v>38.300000000000004</v>
      </c>
    </row>
    <row r="6" spans="1:3" x14ac:dyDescent="0.25">
      <c r="A6" s="33" t="s">
        <v>1906</v>
      </c>
      <c r="B6" s="52">
        <v>3</v>
      </c>
      <c r="C6" s="52">
        <v>1834.3</v>
      </c>
    </row>
    <row r="7" spans="1:3" x14ac:dyDescent="0.25">
      <c r="A7" s="34" t="s">
        <v>1905</v>
      </c>
      <c r="B7" s="52">
        <v>3</v>
      </c>
      <c r="C7" s="52">
        <v>1834.3</v>
      </c>
    </row>
    <row r="8" spans="1:3" x14ac:dyDescent="0.25">
      <c r="A8" s="33" t="s">
        <v>1990</v>
      </c>
      <c r="B8" s="52">
        <v>367</v>
      </c>
      <c r="C8" s="52">
        <v>2657.89</v>
      </c>
    </row>
    <row r="9" spans="1:3" x14ac:dyDescent="0.25">
      <c r="A9" s="34" t="s">
        <v>1905</v>
      </c>
      <c r="B9" s="52">
        <v>366</v>
      </c>
      <c r="C9" s="52">
        <v>2595.89</v>
      </c>
    </row>
    <row r="10" spans="1:3" x14ac:dyDescent="0.25">
      <c r="A10" s="34" t="s">
        <v>1914</v>
      </c>
      <c r="B10" s="52">
        <v>1</v>
      </c>
      <c r="C10" s="52">
        <v>62</v>
      </c>
    </row>
    <row r="11" spans="1:3" x14ac:dyDescent="0.25">
      <c r="A11" s="33" t="s">
        <v>1991</v>
      </c>
      <c r="B11" s="52">
        <v>98</v>
      </c>
      <c r="C11" s="52">
        <v>1383.5</v>
      </c>
    </row>
    <row r="12" spans="1:3" x14ac:dyDescent="0.25">
      <c r="A12" s="33" t="s">
        <v>1992</v>
      </c>
      <c r="B12" s="52">
        <v>674</v>
      </c>
      <c r="C12" s="52">
        <v>2145.2500000000005</v>
      </c>
    </row>
    <row r="13" spans="1:3" x14ac:dyDescent="0.25">
      <c r="A13" s="33" t="s">
        <v>2009</v>
      </c>
      <c r="B13" s="52">
        <v>19</v>
      </c>
      <c r="C13" s="52">
        <v>469.39000000000004</v>
      </c>
    </row>
    <row r="14" spans="1:3" x14ac:dyDescent="0.25">
      <c r="A14" s="33" t="s">
        <v>2019</v>
      </c>
      <c r="B14" s="52">
        <v>699.6</v>
      </c>
      <c r="C14" s="52">
        <v>6111.16</v>
      </c>
    </row>
    <row r="15" spans="1:3" x14ac:dyDescent="0.25">
      <c r="A15" s="33" t="s">
        <v>2145</v>
      </c>
      <c r="B15" s="52">
        <v>11</v>
      </c>
      <c r="C15" s="52">
        <v>10045</v>
      </c>
    </row>
    <row r="16" spans="1:3" x14ac:dyDescent="0.25">
      <c r="A16" s="33" t="s">
        <v>2164</v>
      </c>
      <c r="B16" s="52">
        <v>12</v>
      </c>
      <c r="C16" s="52">
        <v>202.5</v>
      </c>
    </row>
    <row r="17" spans="1:3" x14ac:dyDescent="0.25">
      <c r="A17" s="33" t="s">
        <v>900</v>
      </c>
      <c r="B17" s="52">
        <v>5</v>
      </c>
      <c r="C17" s="52">
        <v>41.5</v>
      </c>
    </row>
    <row r="18" spans="1:3" x14ac:dyDescent="0.25">
      <c r="A18" s="33" t="s">
        <v>2276</v>
      </c>
      <c r="B18" s="52">
        <v>1</v>
      </c>
      <c r="C18" s="52">
        <v>5</v>
      </c>
    </row>
    <row r="19" spans="1:3" x14ac:dyDescent="0.25">
      <c r="A19" s="33" t="s">
        <v>2278</v>
      </c>
      <c r="B19" s="52">
        <v>3</v>
      </c>
      <c r="C19" s="52">
        <v>12</v>
      </c>
    </row>
    <row r="20" spans="1:3" x14ac:dyDescent="0.25">
      <c r="A20" s="33" t="s">
        <v>2281</v>
      </c>
      <c r="B20" s="52">
        <v>180</v>
      </c>
      <c r="C20" s="52">
        <v>918</v>
      </c>
    </row>
    <row r="21" spans="1:3" x14ac:dyDescent="0.25">
      <c r="A21" s="33" t="s">
        <v>2288</v>
      </c>
      <c r="B21" s="52">
        <v>2</v>
      </c>
      <c r="C21" s="52">
        <v>1200</v>
      </c>
    </row>
    <row r="22" spans="1:3" x14ac:dyDescent="0.25">
      <c r="A22" s="33" t="s">
        <v>2277</v>
      </c>
      <c r="B22" s="52">
        <v>227</v>
      </c>
      <c r="C22" s="52">
        <v>1890.1</v>
      </c>
    </row>
    <row r="23" spans="1:3" x14ac:dyDescent="0.25">
      <c r="A23" s="33" t="s">
        <v>2425</v>
      </c>
      <c r="B23" s="52">
        <v>15</v>
      </c>
      <c r="C23" s="52">
        <v>66</v>
      </c>
    </row>
    <row r="24" spans="1:3" x14ac:dyDescent="0.25">
      <c r="A24" s="34" t="s">
        <v>1905</v>
      </c>
      <c r="B24" s="52">
        <v>6</v>
      </c>
      <c r="C24" s="52">
        <v>12</v>
      </c>
    </row>
    <row r="25" spans="1:3" x14ac:dyDescent="0.25">
      <c r="A25" s="34" t="s">
        <v>1914</v>
      </c>
      <c r="B25" s="52">
        <v>9</v>
      </c>
      <c r="C25" s="52">
        <v>54</v>
      </c>
    </row>
    <row r="26" spans="1:3" x14ac:dyDescent="0.25">
      <c r="A26" s="33" t="s">
        <v>2430</v>
      </c>
      <c r="B26" s="52">
        <v>66</v>
      </c>
      <c r="C26" s="52">
        <v>463.5</v>
      </c>
    </row>
    <row r="27" spans="1:3" x14ac:dyDescent="0.25">
      <c r="A27" s="34" t="s">
        <v>1905</v>
      </c>
      <c r="B27" s="52">
        <v>66</v>
      </c>
      <c r="C27" s="52">
        <v>463.5</v>
      </c>
    </row>
    <row r="28" spans="1:3" x14ac:dyDescent="0.25">
      <c r="A28" s="33" t="s">
        <v>2585</v>
      </c>
      <c r="B28" s="52">
        <v>390</v>
      </c>
      <c r="C28" s="52">
        <v>3354</v>
      </c>
    </row>
    <row r="29" spans="1:3" x14ac:dyDescent="0.25">
      <c r="A29" s="34" t="s">
        <v>1905</v>
      </c>
      <c r="B29" s="52">
        <v>390</v>
      </c>
      <c r="C29" s="52">
        <v>3354</v>
      </c>
    </row>
    <row r="30" spans="1:3" x14ac:dyDescent="0.25">
      <c r="A30" s="33" t="s">
        <v>2627</v>
      </c>
      <c r="B30" s="52">
        <v>22.900000000000002</v>
      </c>
      <c r="C30" s="52">
        <v>24080</v>
      </c>
    </row>
    <row r="31" spans="1:3" x14ac:dyDescent="0.25">
      <c r="A31" s="34" t="s">
        <v>1905</v>
      </c>
      <c r="B31" s="52">
        <v>22.900000000000002</v>
      </c>
      <c r="C31" s="52">
        <v>24080</v>
      </c>
    </row>
    <row r="32" spans="1:3" x14ac:dyDescent="0.25">
      <c r="A32" s="33" t="s">
        <v>1916</v>
      </c>
      <c r="B32" s="52">
        <v>11157.25</v>
      </c>
      <c r="C32" s="52">
        <v>56917.39</v>
      </c>
    </row>
    <row r="33" spans="1:3" ht="15.6" x14ac:dyDescent="0.3">
      <c r="A33"/>
      <c r="B33"/>
      <c r="C33"/>
    </row>
    <row r="34" spans="1:3" ht="15.6" x14ac:dyDescent="0.3">
      <c r="A34"/>
      <c r="B34"/>
      <c r="C34"/>
    </row>
    <row r="35" spans="1:3" ht="15.6" x14ac:dyDescent="0.3">
      <c r="A35"/>
      <c r="B35"/>
      <c r="C35"/>
    </row>
    <row r="36" spans="1:3" ht="15.6" x14ac:dyDescent="0.3">
      <c r="A36"/>
      <c r="B36"/>
      <c r="C36"/>
    </row>
    <row r="37" spans="1:3" ht="15.6" x14ac:dyDescent="0.3">
      <c r="A37"/>
      <c r="B37"/>
      <c r="C37"/>
    </row>
    <row r="38" spans="1:3" ht="15.6" x14ac:dyDescent="0.3">
      <c r="A38"/>
      <c r="B38"/>
      <c r="C38"/>
    </row>
    <row r="39" spans="1:3" ht="15.6" x14ac:dyDescent="0.3">
      <c r="A39"/>
      <c r="B39"/>
      <c r="C39"/>
    </row>
    <row r="40" spans="1:3" ht="15.6" x14ac:dyDescent="0.3">
      <c r="A40"/>
      <c r="B40"/>
      <c r="C40"/>
    </row>
    <row r="41" spans="1:3" ht="15.6" x14ac:dyDescent="0.3">
      <c r="A41"/>
      <c r="B41"/>
      <c r="C41"/>
    </row>
    <row r="42" spans="1:3" ht="15.6" x14ac:dyDescent="0.3">
      <c r="A42"/>
      <c r="B42"/>
      <c r="C42"/>
    </row>
    <row r="43" spans="1:3" ht="15.6" x14ac:dyDescent="0.3">
      <c r="A43"/>
      <c r="B43"/>
      <c r="C43"/>
    </row>
    <row r="44" spans="1:3" ht="15.6" x14ac:dyDescent="0.3">
      <c r="A44"/>
      <c r="B44"/>
      <c r="C44"/>
    </row>
    <row r="45" spans="1:3" ht="15.6" x14ac:dyDescent="0.3">
      <c r="A45"/>
      <c r="B45"/>
      <c r="C45"/>
    </row>
    <row r="46" spans="1:3" ht="15.6" x14ac:dyDescent="0.3">
      <c r="A46"/>
      <c r="B46"/>
      <c r="C46"/>
    </row>
    <row r="47" spans="1:3" ht="15.6" x14ac:dyDescent="0.3">
      <c r="A47"/>
      <c r="B47"/>
      <c r="C47"/>
    </row>
    <row r="48" spans="1:3" ht="15.6" x14ac:dyDescent="0.3">
      <c r="A48"/>
      <c r="B48"/>
      <c r="C48"/>
    </row>
    <row r="49" spans="1:3" ht="15.6" x14ac:dyDescent="0.3">
      <c r="A49"/>
      <c r="B49"/>
      <c r="C49"/>
    </row>
    <row r="50" spans="1:3" ht="15.6" x14ac:dyDescent="0.3">
      <c r="A50"/>
      <c r="B50"/>
      <c r="C50"/>
    </row>
    <row r="51" spans="1:3" ht="15.6" x14ac:dyDescent="0.3">
      <c r="A51"/>
      <c r="B51"/>
      <c r="C51"/>
    </row>
    <row r="52" spans="1:3" ht="15.6" x14ac:dyDescent="0.3">
      <c r="A52"/>
      <c r="B52"/>
      <c r="C52"/>
    </row>
    <row r="53" spans="1:3" ht="15.6" x14ac:dyDescent="0.3">
      <c r="A53"/>
      <c r="B53"/>
      <c r="C53"/>
    </row>
    <row r="54" spans="1:3" ht="15.6" x14ac:dyDescent="0.3">
      <c r="A54"/>
      <c r="B54"/>
      <c r="C54"/>
    </row>
    <row r="55" spans="1:3" ht="15.6" x14ac:dyDescent="0.3">
      <c r="A55"/>
      <c r="B55"/>
      <c r="C55"/>
    </row>
    <row r="56" spans="1:3" ht="15.6" x14ac:dyDescent="0.3">
      <c r="A56"/>
      <c r="B56"/>
      <c r="C56"/>
    </row>
    <row r="57" spans="1:3" ht="15.6" x14ac:dyDescent="0.3">
      <c r="A57"/>
      <c r="B57"/>
      <c r="C57"/>
    </row>
    <row r="58" spans="1:3" ht="15.6" x14ac:dyDescent="0.3">
      <c r="A58"/>
      <c r="B58"/>
      <c r="C58"/>
    </row>
    <row r="59" spans="1:3" ht="15.6" x14ac:dyDescent="0.3">
      <c r="A59"/>
      <c r="B59"/>
      <c r="C59"/>
    </row>
    <row r="60" spans="1:3" ht="15.6" x14ac:dyDescent="0.3">
      <c r="A60"/>
      <c r="B60"/>
      <c r="C60"/>
    </row>
    <row r="61" spans="1:3" ht="15.6" x14ac:dyDescent="0.3">
      <c r="A61"/>
      <c r="B61"/>
      <c r="C61"/>
    </row>
    <row r="62" spans="1:3" ht="15.6" x14ac:dyDescent="0.3">
      <c r="A62"/>
      <c r="B62"/>
      <c r="C62"/>
    </row>
    <row r="63" spans="1:3" ht="15.6" x14ac:dyDescent="0.3">
      <c r="A63"/>
      <c r="B63"/>
      <c r="C63"/>
    </row>
    <row r="64" spans="1:3" ht="15.6" x14ac:dyDescent="0.3">
      <c r="A64"/>
      <c r="B64"/>
      <c r="C64"/>
    </row>
    <row r="65" spans="1:3" ht="15.6" x14ac:dyDescent="0.3">
      <c r="A65"/>
      <c r="B65"/>
      <c r="C65"/>
    </row>
    <row r="66" spans="1:3" ht="15.6" x14ac:dyDescent="0.3">
      <c r="A66"/>
      <c r="B66"/>
      <c r="C66"/>
    </row>
    <row r="67" spans="1:3" ht="15.6" x14ac:dyDescent="0.3">
      <c r="A67"/>
      <c r="B67"/>
      <c r="C67"/>
    </row>
    <row r="68" spans="1:3" ht="15.6" x14ac:dyDescent="0.3">
      <c r="A68"/>
      <c r="B68"/>
      <c r="C68"/>
    </row>
    <row r="69" spans="1:3" ht="15.6" x14ac:dyDescent="0.3">
      <c r="A69"/>
      <c r="B69"/>
      <c r="C69"/>
    </row>
    <row r="70" spans="1:3" ht="15.6" x14ac:dyDescent="0.3">
      <c r="A70"/>
      <c r="B70"/>
      <c r="C70"/>
    </row>
    <row r="71" spans="1:3" ht="15.6" x14ac:dyDescent="0.3">
      <c r="A71"/>
      <c r="B71"/>
      <c r="C71"/>
    </row>
    <row r="72" spans="1:3" ht="15.6" x14ac:dyDescent="0.3">
      <c r="A72"/>
      <c r="B72"/>
      <c r="C72"/>
    </row>
    <row r="73" spans="1:3" ht="15.6" x14ac:dyDescent="0.3">
      <c r="A73"/>
      <c r="B73"/>
      <c r="C73"/>
    </row>
    <row r="74" spans="1:3" ht="15.6" x14ac:dyDescent="0.3">
      <c r="A74"/>
      <c r="B74"/>
      <c r="C74"/>
    </row>
    <row r="75" spans="1:3" ht="15.6" x14ac:dyDescent="0.3">
      <c r="A75"/>
      <c r="B75"/>
      <c r="C75"/>
    </row>
    <row r="76" spans="1:3" ht="15.6" x14ac:dyDescent="0.3">
      <c r="A76"/>
      <c r="B76"/>
      <c r="C76"/>
    </row>
    <row r="77" spans="1:3" ht="15.6" x14ac:dyDescent="0.3">
      <c r="A77"/>
      <c r="B77"/>
      <c r="C77"/>
    </row>
    <row r="78" spans="1:3" ht="15.6" x14ac:dyDescent="0.3">
      <c r="A78"/>
      <c r="B78"/>
      <c r="C78"/>
    </row>
    <row r="79" spans="1:3" ht="15.6" x14ac:dyDescent="0.3">
      <c r="A79"/>
      <c r="B79"/>
      <c r="C79"/>
    </row>
    <row r="80" spans="1:3" ht="15.6" x14ac:dyDescent="0.3">
      <c r="A80"/>
      <c r="B80"/>
      <c r="C80"/>
    </row>
    <row r="81" spans="1:3" ht="15.6" x14ac:dyDescent="0.3">
      <c r="A81"/>
      <c r="B81"/>
      <c r="C81"/>
    </row>
    <row r="82" spans="1:3" ht="15.6" x14ac:dyDescent="0.3">
      <c r="A82"/>
      <c r="B82"/>
      <c r="C82"/>
    </row>
    <row r="83" spans="1:3" ht="15.6" x14ac:dyDescent="0.3">
      <c r="A83"/>
      <c r="B83"/>
      <c r="C83"/>
    </row>
    <row r="84" spans="1:3" ht="15.6" x14ac:dyDescent="0.3">
      <c r="A84"/>
      <c r="B84"/>
      <c r="C84"/>
    </row>
    <row r="85" spans="1:3" ht="15.6" x14ac:dyDescent="0.3">
      <c r="A85"/>
      <c r="B85"/>
      <c r="C85"/>
    </row>
    <row r="86" spans="1:3" ht="15.6" x14ac:dyDescent="0.3">
      <c r="A86"/>
      <c r="B86"/>
      <c r="C86"/>
    </row>
    <row r="87" spans="1:3" ht="15.6" x14ac:dyDescent="0.3">
      <c r="A87"/>
      <c r="B87"/>
      <c r="C87"/>
    </row>
    <row r="88" spans="1:3" ht="15.6" x14ac:dyDescent="0.3">
      <c r="A88"/>
      <c r="B88"/>
      <c r="C88"/>
    </row>
    <row r="89" spans="1:3" ht="15.6" x14ac:dyDescent="0.3">
      <c r="A89"/>
      <c r="B89"/>
      <c r="C89"/>
    </row>
    <row r="90" spans="1:3" ht="15.6" x14ac:dyDescent="0.3">
      <c r="A90"/>
      <c r="B90"/>
      <c r="C90"/>
    </row>
    <row r="91" spans="1:3" ht="15.6" x14ac:dyDescent="0.3">
      <c r="A91"/>
      <c r="B91"/>
      <c r="C91"/>
    </row>
    <row r="92" spans="1:3" ht="15.6" x14ac:dyDescent="0.3">
      <c r="A92"/>
      <c r="B92"/>
      <c r="C92"/>
    </row>
    <row r="93" spans="1:3" ht="15.6" x14ac:dyDescent="0.3">
      <c r="A93"/>
      <c r="B93"/>
      <c r="C93"/>
    </row>
    <row r="94" spans="1:3" ht="15.6" x14ac:dyDescent="0.3">
      <c r="A94"/>
      <c r="B94"/>
      <c r="C94"/>
    </row>
    <row r="95" spans="1:3" ht="15.6" x14ac:dyDescent="0.3">
      <c r="A95"/>
      <c r="B95"/>
      <c r="C95"/>
    </row>
    <row r="96" spans="1:3" ht="15.6" x14ac:dyDescent="0.3">
      <c r="A96"/>
      <c r="B96"/>
      <c r="C96"/>
    </row>
    <row r="97" spans="1:3" ht="15.6" x14ac:dyDescent="0.3">
      <c r="A97"/>
      <c r="B97"/>
      <c r="C97"/>
    </row>
    <row r="98" spans="1:3" ht="15.6" x14ac:dyDescent="0.3">
      <c r="A98"/>
      <c r="B98"/>
      <c r="C98"/>
    </row>
    <row r="99" spans="1:3" ht="15.6" x14ac:dyDescent="0.3">
      <c r="A99"/>
      <c r="B99"/>
      <c r="C99"/>
    </row>
    <row r="100" spans="1:3" ht="15.6" x14ac:dyDescent="0.3">
      <c r="A100"/>
      <c r="B100"/>
      <c r="C100"/>
    </row>
    <row r="101" spans="1:3" ht="15.6" x14ac:dyDescent="0.3">
      <c r="A101"/>
      <c r="B101"/>
      <c r="C101"/>
    </row>
    <row r="102" spans="1:3" ht="15.6" x14ac:dyDescent="0.3">
      <c r="A102"/>
      <c r="B102"/>
      <c r="C102"/>
    </row>
    <row r="103" spans="1:3" ht="15.6" x14ac:dyDescent="0.3">
      <c r="A103"/>
      <c r="B103"/>
      <c r="C103"/>
    </row>
    <row r="104" spans="1:3" ht="15.6" x14ac:dyDescent="0.3">
      <c r="A104"/>
      <c r="B104"/>
      <c r="C104"/>
    </row>
    <row r="105" spans="1:3" ht="15.6" x14ac:dyDescent="0.3">
      <c r="A105"/>
      <c r="B105"/>
      <c r="C105"/>
    </row>
    <row r="106" spans="1:3" ht="15.6" x14ac:dyDescent="0.3">
      <c r="A106"/>
      <c r="B106"/>
      <c r="C106"/>
    </row>
    <row r="107" spans="1:3" ht="15.6" x14ac:dyDescent="0.3">
      <c r="A107"/>
      <c r="B107"/>
      <c r="C107"/>
    </row>
    <row r="108" spans="1:3" ht="15.6" x14ac:dyDescent="0.3">
      <c r="A108"/>
      <c r="B108"/>
      <c r="C108"/>
    </row>
    <row r="109" spans="1:3" ht="15.6" x14ac:dyDescent="0.3">
      <c r="A109"/>
      <c r="B109"/>
      <c r="C109"/>
    </row>
    <row r="110" spans="1:3" ht="15.6" x14ac:dyDescent="0.3">
      <c r="A110"/>
      <c r="B110"/>
      <c r="C110"/>
    </row>
    <row r="111" spans="1:3" ht="15.6" x14ac:dyDescent="0.3">
      <c r="A111"/>
      <c r="B111"/>
      <c r="C111"/>
    </row>
    <row r="112" spans="1:3" ht="15.6" x14ac:dyDescent="0.3">
      <c r="A112"/>
      <c r="B112"/>
      <c r="C112"/>
    </row>
    <row r="113" spans="1:3" ht="15.6" x14ac:dyDescent="0.3">
      <c r="A113"/>
      <c r="B113"/>
      <c r="C113"/>
    </row>
    <row r="114" spans="1:3" ht="15.6" x14ac:dyDescent="0.3">
      <c r="A114"/>
      <c r="B114"/>
      <c r="C114"/>
    </row>
    <row r="115" spans="1:3" ht="15.6" x14ac:dyDescent="0.3">
      <c r="A115"/>
      <c r="B115"/>
      <c r="C1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953B-92EC-4D60-A237-5C8DD45DD1C1}">
  <sheetPr>
    <tabColor rgb="FFFFFF00"/>
  </sheetPr>
  <dimension ref="A3:I1181"/>
  <sheetViews>
    <sheetView topLeftCell="A1157" workbookViewId="0">
      <selection sqref="A1:XFD1048576"/>
    </sheetView>
  </sheetViews>
  <sheetFormatPr defaultColWidth="9.109375" defaultRowHeight="15" x14ac:dyDescent="0.25"/>
  <cols>
    <col min="1" max="1" width="1.88671875" style="4" customWidth="1"/>
    <col min="2" max="2" width="5.88671875" style="4" bestFit="1" customWidth="1"/>
    <col min="3" max="3" width="12.109375" style="4" bestFit="1" customWidth="1"/>
    <col min="4" max="4" width="16.88671875" style="8" bestFit="1" customWidth="1"/>
    <col min="5" max="5" width="67.21875" style="4" customWidth="1"/>
    <col min="6" max="7" width="18.44140625" style="4" customWidth="1"/>
    <col min="8" max="8" width="14.109375" style="3" customWidth="1"/>
    <col min="9" max="9" width="24" style="3" customWidth="1"/>
    <col min="10" max="16384" width="9.109375" style="3"/>
  </cols>
  <sheetData>
    <row r="3" spans="2:9" s="2" customFormat="1" ht="15.6" x14ac:dyDescent="0.3">
      <c r="B3" s="2" t="s">
        <v>0</v>
      </c>
      <c r="C3" s="2" t="s">
        <v>902</v>
      </c>
      <c r="D3" s="7" t="s">
        <v>2</v>
      </c>
      <c r="E3" s="11" t="s">
        <v>1</v>
      </c>
      <c r="F3" s="2" t="s">
        <v>912</v>
      </c>
      <c r="G3" s="2" t="s">
        <v>913</v>
      </c>
      <c r="H3" s="2" t="s">
        <v>908</v>
      </c>
      <c r="I3" s="2" t="s">
        <v>906</v>
      </c>
    </row>
    <row r="4" spans="2:9" x14ac:dyDescent="0.25">
      <c r="B4" s="26">
        <f t="shared" ref="B4:B67" si="0">ROW()-3</f>
        <v>1</v>
      </c>
      <c r="C4" s="27">
        <v>46148</v>
      </c>
      <c r="D4" s="28" t="s">
        <v>2078</v>
      </c>
      <c r="E4" s="29" t="str">
        <f>_xlfn.XLOOKUP(Table7[[#This Row],[Malın kodu]],Table4[Malın kodu],Table4[Malın adı],"Xəta",0)</f>
        <v>Qıfıl / VAZ</v>
      </c>
      <c r="F4" s="26">
        <v>3</v>
      </c>
      <c r="G4" s="26"/>
      <c r="H4" s="26" t="s">
        <v>1909</v>
      </c>
      <c r="I4" s="26" t="s">
        <v>910</v>
      </c>
    </row>
    <row r="5" spans="2:9" x14ac:dyDescent="0.25">
      <c r="B5" s="26">
        <f t="shared" si="0"/>
        <v>2</v>
      </c>
      <c r="C5" s="27">
        <v>46148</v>
      </c>
      <c r="D5" s="28" t="s">
        <v>2079</v>
      </c>
      <c r="E5" s="29" t="str">
        <f>_xlfn.XLOOKUP(Table7[[#This Row],[Malın kodu]],Table4[Malın kodu],Table4[Malın adı],"Xəta",0)</f>
        <v>Qıfıl / Extra 70</v>
      </c>
      <c r="F5" s="26">
        <v>2</v>
      </c>
      <c r="G5" s="26"/>
      <c r="H5" s="26" t="s">
        <v>1909</v>
      </c>
      <c r="I5" s="26" t="s">
        <v>910</v>
      </c>
    </row>
    <row r="6" spans="2:9" x14ac:dyDescent="0.25">
      <c r="B6" s="26">
        <f t="shared" si="0"/>
        <v>3</v>
      </c>
      <c r="C6" s="27">
        <v>46148</v>
      </c>
      <c r="D6" s="28" t="s">
        <v>2080</v>
      </c>
      <c r="E6" s="29" t="str">
        <f>_xlfn.XLOOKUP(Table7[[#This Row],[Malın kodu]],Table4[Malın kodu],Table4[Malın adı],"Xəta",0)</f>
        <v>Projektor / led / 200 Vt</v>
      </c>
      <c r="F6" s="26">
        <v>3</v>
      </c>
      <c r="G6" s="26"/>
      <c r="H6" s="26" t="s">
        <v>1909</v>
      </c>
      <c r="I6" s="26" t="s">
        <v>910</v>
      </c>
    </row>
    <row r="7" spans="2:9" x14ac:dyDescent="0.25">
      <c r="B7" s="26">
        <f t="shared" si="0"/>
        <v>4</v>
      </c>
      <c r="C7" s="27">
        <v>46148</v>
      </c>
      <c r="D7" s="28" t="s">
        <v>2081</v>
      </c>
      <c r="E7" s="29" t="str">
        <f>_xlfn.XLOOKUP(Table7[[#This Row],[Malın kodu]],Table4[Malın kodu],Table4[Malın adı],"Xəta",0)</f>
        <v>Lampa / 12 Vt / ağ / kürəvi</v>
      </c>
      <c r="F7" s="26">
        <v>10</v>
      </c>
      <c r="G7" s="26"/>
      <c r="H7" s="26" t="s">
        <v>1909</v>
      </c>
      <c r="I7" s="26" t="s">
        <v>910</v>
      </c>
    </row>
    <row r="8" spans="2:9" x14ac:dyDescent="0.25">
      <c r="B8" s="26">
        <f t="shared" si="0"/>
        <v>5</v>
      </c>
      <c r="C8" s="27">
        <v>46148</v>
      </c>
      <c r="D8" s="28" t="s">
        <v>2082</v>
      </c>
      <c r="E8" s="29" t="str">
        <f>_xlfn.XLOOKUP(Table7[[#This Row],[Malın kodu]],Table4[Malın kodu],Table4[Malın adı],"Xəta",0)</f>
        <v>Əlcək / göy</v>
      </c>
      <c r="F8" s="26">
        <v>2</v>
      </c>
      <c r="G8" s="26"/>
      <c r="H8" s="26" t="s">
        <v>1909</v>
      </c>
      <c r="I8" s="26" t="s">
        <v>910</v>
      </c>
    </row>
    <row r="9" spans="2:9" x14ac:dyDescent="0.25">
      <c r="B9" s="26">
        <f t="shared" si="0"/>
        <v>6</v>
      </c>
      <c r="C9" s="27">
        <v>46148</v>
      </c>
      <c r="D9" s="28" t="s">
        <v>2083</v>
      </c>
      <c r="E9" s="29" t="str">
        <f>_xlfn.XLOOKUP(Table7[[#This Row],[Malın kodu]],Table4[Malın kodu],Table4[Malın adı],"Xəta",0)</f>
        <v>Metrə / 10m / "Fisko" / N88</v>
      </c>
      <c r="F9" s="26">
        <v>1</v>
      </c>
      <c r="G9" s="26"/>
      <c r="H9" s="26" t="s">
        <v>1909</v>
      </c>
      <c r="I9" s="26" t="s">
        <v>910</v>
      </c>
    </row>
    <row r="10" spans="2:9" x14ac:dyDescent="0.25">
      <c r="B10" s="26">
        <f t="shared" si="0"/>
        <v>7</v>
      </c>
      <c r="C10" s="27">
        <v>46148</v>
      </c>
      <c r="D10" s="28" t="s">
        <v>2084</v>
      </c>
      <c r="E10" s="29" t="str">
        <f>_xlfn.XLOOKUP(Table7[[#This Row],[Malın kodu]],Table4[Malın kodu],Table4[Malın adı],"Xəta",0)</f>
        <v>Araba təkəri</v>
      </c>
      <c r="F10" s="26">
        <v>1</v>
      </c>
      <c r="G10" s="26"/>
      <c r="H10" s="26" t="s">
        <v>1909</v>
      </c>
      <c r="I10" s="26" t="s">
        <v>910</v>
      </c>
    </row>
    <row r="11" spans="2:9" x14ac:dyDescent="0.25">
      <c r="B11" s="26">
        <f t="shared" si="0"/>
        <v>8</v>
      </c>
      <c r="C11" s="27">
        <v>46174</v>
      </c>
      <c r="D11" s="28" t="s">
        <v>930</v>
      </c>
      <c r="E11" s="29" t="str">
        <f>_xlfn.XLOOKUP(Table7[[#This Row],[Malın kodu]],Table4[Malın kodu],Table4[Malın adı],"Xəta",0)</f>
        <v>Filtr/ yağ/ ZP3375 MG/ "FİL"/Türkiyə istehsalı</v>
      </c>
      <c r="F11" s="26">
        <v>1</v>
      </c>
      <c r="G11" s="26"/>
      <c r="H11" s="26" t="s">
        <v>899</v>
      </c>
      <c r="I11" s="26" t="s">
        <v>1918</v>
      </c>
    </row>
    <row r="12" spans="2:9" x14ac:dyDescent="0.25">
      <c r="B12" s="26">
        <f t="shared" si="0"/>
        <v>9</v>
      </c>
      <c r="C12" s="27">
        <v>46174</v>
      </c>
      <c r="D12" s="28" t="s">
        <v>931</v>
      </c>
      <c r="E12" s="29" t="str">
        <f>_xlfn.XLOOKUP(Table7[[#This Row],[Malın kodu]],Table4[Malın kodu],Table4[Malın adı],"Xəta",0)</f>
        <v>Filtr/ yağ/ ZP520/ "FİL"/Türkiyə istehsalı</v>
      </c>
      <c r="F12" s="26">
        <v>1</v>
      </c>
      <c r="G12" s="26"/>
      <c r="H12" s="26" t="s">
        <v>899</v>
      </c>
      <c r="I12" s="26" t="s">
        <v>1918</v>
      </c>
    </row>
    <row r="13" spans="2:9" x14ac:dyDescent="0.25">
      <c r="B13" s="26">
        <f t="shared" si="0"/>
        <v>10</v>
      </c>
      <c r="C13" s="27">
        <v>46174</v>
      </c>
      <c r="D13" s="28" t="s">
        <v>932</v>
      </c>
      <c r="E13" s="29" t="str">
        <f>_xlfn.XLOOKUP(Table7[[#This Row],[Malın kodu]],Table4[Malın kodu],Table4[Malın adı],"Xəta",0)</f>
        <v>Kabel qoruyucu gövdə / alüminium / kontaktor üçün</v>
      </c>
      <c r="F13" s="26">
        <v>17</v>
      </c>
      <c r="G13" s="26"/>
      <c r="H13" s="26" t="s">
        <v>899</v>
      </c>
      <c r="I13" s="26" t="s">
        <v>1918</v>
      </c>
    </row>
    <row r="14" spans="2:9" x14ac:dyDescent="0.25">
      <c r="B14" s="26">
        <f t="shared" si="0"/>
        <v>11</v>
      </c>
      <c r="C14" s="27">
        <v>46174</v>
      </c>
      <c r="D14" s="28" t="s">
        <v>933</v>
      </c>
      <c r="E14" s="29" t="str">
        <f>_xlfn.XLOOKUP(Table7[[#This Row],[Malın kodu]],Table4[Malın kodu],Table4[Malın adı],"Xəta",0)</f>
        <v>Gərginlik sabitləşdiricisi / 1 faza / "ANDELİ" / SVC-200000VA</v>
      </c>
      <c r="F14" s="26">
        <v>1</v>
      </c>
      <c r="G14" s="26"/>
      <c r="H14" s="26" t="s">
        <v>899</v>
      </c>
      <c r="I14" s="26" t="s">
        <v>1918</v>
      </c>
    </row>
    <row r="15" spans="2:9" x14ac:dyDescent="0.25">
      <c r="B15" s="26">
        <f t="shared" si="0"/>
        <v>12</v>
      </c>
      <c r="C15" s="27">
        <v>46174</v>
      </c>
      <c r="D15" s="28" t="s">
        <v>934</v>
      </c>
      <c r="E15" s="29" t="str">
        <f>_xlfn.XLOOKUP(Table7[[#This Row],[Malın kodu]],Table4[Malın kodu],Table4[Malın adı],"Xəta",0)</f>
        <v>Elektrik lövhə / 550x800mm / metal</v>
      </c>
      <c r="F15" s="26">
        <v>1</v>
      </c>
      <c r="G15" s="26"/>
      <c r="H15" s="26" t="s">
        <v>899</v>
      </c>
      <c r="I15" s="26" t="s">
        <v>1918</v>
      </c>
    </row>
    <row r="16" spans="2:9" x14ac:dyDescent="0.25">
      <c r="B16" s="26">
        <f t="shared" si="0"/>
        <v>13</v>
      </c>
      <c r="C16" s="27">
        <v>46174</v>
      </c>
      <c r="D16" s="28" t="s">
        <v>935</v>
      </c>
      <c r="E16" s="29" t="str">
        <f>_xlfn.XLOOKUP(Table7[[#This Row],[Malın kodu]],Table4[Malın kodu],Table4[Malın adı],"Xəta",0)</f>
        <v>Kabel qoruyucu gövdə / alüminium / kontaktor ilə</v>
      </c>
      <c r="F16" s="26">
        <v>6</v>
      </c>
      <c r="G16" s="26"/>
      <c r="H16" s="26" t="s">
        <v>899</v>
      </c>
      <c r="I16" s="26" t="s">
        <v>1918</v>
      </c>
    </row>
    <row r="17" spans="2:9" x14ac:dyDescent="0.25">
      <c r="B17" s="26">
        <f t="shared" si="0"/>
        <v>14</v>
      </c>
      <c r="C17" s="27">
        <v>46174</v>
      </c>
      <c r="D17" s="28" t="s">
        <v>936</v>
      </c>
      <c r="E17" s="29" t="str">
        <f>_xlfn.XLOOKUP(Table7[[#This Row],[Malın kodu]],Table4[Malın kodu],Table4[Malın adı],"Xəta",0)</f>
        <v>Filtr/ yağ/ ZP540 A/ "FİL"/Türkiyə istehsalı</v>
      </c>
      <c r="F17" s="26">
        <v>1</v>
      </c>
      <c r="G17" s="26"/>
      <c r="H17" s="26" t="s">
        <v>899</v>
      </c>
      <c r="I17" s="26" t="s">
        <v>1918</v>
      </c>
    </row>
    <row r="18" spans="2:9" x14ac:dyDescent="0.25">
      <c r="B18" s="26">
        <f t="shared" si="0"/>
        <v>15</v>
      </c>
      <c r="C18" s="27">
        <v>46174</v>
      </c>
      <c r="D18" s="28" t="s">
        <v>937</v>
      </c>
      <c r="E18" s="29" t="str">
        <f>_xlfn.XLOOKUP(Table7[[#This Row],[Malın kodu]],Table4[Malın kodu],Table4[Malın adı],"Xəta",0)</f>
        <v>Laboratoriya sınaq qabları / podnos tipli / paslanmaz metal</v>
      </c>
      <c r="F18" s="26">
        <v>12</v>
      </c>
      <c r="G18" s="26"/>
      <c r="H18" s="26" t="s">
        <v>899</v>
      </c>
      <c r="I18" s="26" t="s">
        <v>1918</v>
      </c>
    </row>
    <row r="19" spans="2:9" x14ac:dyDescent="0.25">
      <c r="B19" s="26">
        <f t="shared" si="0"/>
        <v>16</v>
      </c>
      <c r="C19" s="27">
        <v>46174</v>
      </c>
      <c r="D19" s="28" t="s">
        <v>938</v>
      </c>
      <c r="E19" s="29" t="str">
        <f>_xlfn.XLOOKUP(Table7[[#This Row],[Malın kodu]],Table4[Malın kodu],Table4[Malın adı],"Xəta",0)</f>
        <v>Laboratoriya sınaq qabları / kolba / plastik</v>
      </c>
      <c r="F19" s="26">
        <v>1</v>
      </c>
      <c r="G19" s="26"/>
      <c r="H19" s="26" t="s">
        <v>899</v>
      </c>
      <c r="I19" s="26" t="s">
        <v>1918</v>
      </c>
    </row>
    <row r="20" spans="2:9" x14ac:dyDescent="0.25">
      <c r="B20" s="26">
        <f t="shared" si="0"/>
        <v>17</v>
      </c>
      <c r="C20" s="27">
        <v>46174</v>
      </c>
      <c r="D20" s="28" t="s">
        <v>939</v>
      </c>
      <c r="E20" s="29" t="str">
        <f>_xlfn.XLOOKUP(Table7[[#This Row],[Malın kodu]],Table4[Malın kodu],Table4[Malın adı],"Xəta",0)</f>
        <v>Filtr/ yanacaq/ PL 270 / "SCT" / Turbomax</v>
      </c>
      <c r="F20" s="26">
        <v>1</v>
      </c>
      <c r="G20" s="26"/>
      <c r="H20" s="26" t="s">
        <v>899</v>
      </c>
      <c r="I20" s="26" t="s">
        <v>1918</v>
      </c>
    </row>
    <row r="21" spans="2:9" x14ac:dyDescent="0.25">
      <c r="B21" s="26">
        <f t="shared" si="0"/>
        <v>18</v>
      </c>
      <c r="C21" s="27">
        <v>46174</v>
      </c>
      <c r="D21" s="28" t="s">
        <v>940</v>
      </c>
      <c r="E21" s="29" t="str">
        <f>_xlfn.XLOOKUP(Table7[[#This Row],[Malın kodu]],Table4[Malın kodu],Table4[Malın adı],"Xəta",0)</f>
        <v>Filtr/ yanacaq/ ZP3043 FMB/ "FİL"/Türkiyə istehsalı</v>
      </c>
      <c r="F21" s="26">
        <v>2</v>
      </c>
      <c r="G21" s="26"/>
      <c r="H21" s="26" t="s">
        <v>899</v>
      </c>
      <c r="I21" s="26" t="s">
        <v>1918</v>
      </c>
    </row>
    <row r="22" spans="2:9" x14ac:dyDescent="0.25">
      <c r="B22" s="26">
        <f t="shared" si="0"/>
        <v>19</v>
      </c>
      <c r="C22" s="27">
        <v>46174</v>
      </c>
      <c r="D22" s="28" t="s">
        <v>941</v>
      </c>
      <c r="E22" s="29" t="str">
        <f>_xlfn.XLOOKUP(Table7[[#This Row],[Malın kodu]],Table4[Malın kodu],Table4[Malın adı],"Xəta",0)</f>
        <v>Filtr/ yağ/ ZP531/ "FİL"/Türkiyə istehsalı</v>
      </c>
      <c r="F22" s="26">
        <v>1</v>
      </c>
      <c r="G22" s="26"/>
      <c r="H22" s="26" t="s">
        <v>899</v>
      </c>
      <c r="I22" s="26" t="s">
        <v>1918</v>
      </c>
    </row>
    <row r="23" spans="2:9" x14ac:dyDescent="0.25">
      <c r="B23" s="26">
        <f t="shared" si="0"/>
        <v>20</v>
      </c>
      <c r="C23" s="27">
        <v>46174</v>
      </c>
      <c r="D23" s="28" t="s">
        <v>942</v>
      </c>
      <c r="E23" s="29" t="str">
        <f>_xlfn.XLOOKUP(Table7[[#This Row],[Malın kodu]],Table4[Malın kodu],Table4[Malın adı],"Xəta",0)</f>
        <v>Filtr/ yanacaq/ ZP8048 FP/ "FİL"/Türkiyə istehsalı</v>
      </c>
      <c r="F23" s="26">
        <v>6</v>
      </c>
      <c r="G23" s="26"/>
      <c r="H23" s="26" t="s">
        <v>899</v>
      </c>
      <c r="I23" s="26" t="s">
        <v>1918</v>
      </c>
    </row>
    <row r="24" spans="2:9" x14ac:dyDescent="0.25">
      <c r="B24" s="26">
        <f t="shared" si="0"/>
        <v>21</v>
      </c>
      <c r="C24" s="27">
        <v>46174</v>
      </c>
      <c r="D24" s="28" t="s">
        <v>943</v>
      </c>
      <c r="E24" s="29" t="str">
        <f>_xlfn.XLOOKUP(Table7[[#This Row],[Malın kodu]],Table4[Malın kodu],Table4[Malın adı],"Xəta",0)</f>
        <v>Filtr/ yanacaq/ ZP8003 FM/ "FİL"/Türkiyə istehsalı</v>
      </c>
      <c r="F24" s="26">
        <v>2</v>
      </c>
      <c r="G24" s="26"/>
      <c r="H24" s="26" t="s">
        <v>899</v>
      </c>
      <c r="I24" s="26" t="s">
        <v>1918</v>
      </c>
    </row>
    <row r="25" spans="2:9" x14ac:dyDescent="0.25">
      <c r="B25" s="26">
        <f t="shared" si="0"/>
        <v>22</v>
      </c>
      <c r="C25" s="27">
        <v>46174</v>
      </c>
      <c r="D25" s="28" t="s">
        <v>944</v>
      </c>
      <c r="E25" s="29" t="str">
        <f>_xlfn.XLOOKUP(Table7[[#This Row],[Malın kodu]],Table4[Malın kodu],Table4[Malın adı],"Xəta",0)</f>
        <v>Filtr/ yağ/ ML1517/ "FİL"/Türkiyə istehsalı</v>
      </c>
      <c r="F25" s="26">
        <v>7</v>
      </c>
      <c r="G25" s="26"/>
      <c r="H25" s="26" t="s">
        <v>899</v>
      </c>
      <c r="I25" s="26" t="s">
        <v>1918</v>
      </c>
    </row>
    <row r="26" spans="2:9" x14ac:dyDescent="0.25">
      <c r="B26" s="26">
        <f t="shared" si="0"/>
        <v>23</v>
      </c>
      <c r="C26" s="27">
        <v>46174</v>
      </c>
      <c r="D26" s="28" t="s">
        <v>945</v>
      </c>
      <c r="E26" s="29" t="str">
        <f>_xlfn.XLOOKUP(Table7[[#This Row],[Malın kodu]],Table4[Malın kodu],Table4[Malın adı],"Xəta",0)</f>
        <v>Filtr/ yanacaq/ MFE1593/ "FİL"/Türkiyə istehsalı</v>
      </c>
      <c r="F26" s="26">
        <v>3</v>
      </c>
      <c r="G26" s="26"/>
      <c r="H26" s="26" t="s">
        <v>899</v>
      </c>
      <c r="I26" s="26" t="s">
        <v>1918</v>
      </c>
    </row>
    <row r="27" spans="2:9" x14ac:dyDescent="0.25">
      <c r="B27" s="26">
        <f t="shared" si="0"/>
        <v>24</v>
      </c>
      <c r="C27" s="27">
        <v>46174</v>
      </c>
      <c r="D27" s="28" t="s">
        <v>946</v>
      </c>
      <c r="E27" s="29" t="str">
        <f>_xlfn.XLOOKUP(Table7[[#This Row],[Malın kodu]],Table4[Malın kodu],Table4[Malın adı],"Xəta",0)</f>
        <v>Filtr/ yanacaq/ MFE1489/ "FİL"/Türkiyə istehsalı</v>
      </c>
      <c r="F27" s="26">
        <v>1</v>
      </c>
      <c r="G27" s="26"/>
      <c r="H27" s="26" t="s">
        <v>899</v>
      </c>
      <c r="I27" s="26" t="s">
        <v>1918</v>
      </c>
    </row>
    <row r="28" spans="2:9" x14ac:dyDescent="0.25">
      <c r="B28" s="26">
        <f t="shared" si="0"/>
        <v>25</v>
      </c>
      <c r="C28" s="27">
        <v>46174</v>
      </c>
      <c r="D28" s="28" t="s">
        <v>947</v>
      </c>
      <c r="E28" s="29" t="str">
        <f>_xlfn.XLOOKUP(Table7[[#This Row],[Malın kodu]],Table4[Malın kodu],Table4[Malın adı],"Xəta",0)</f>
        <v>Filtr/ yağ/ ZP 24 C/ "FİL"/Türkiyə istehsalı</v>
      </c>
      <c r="F28" s="26">
        <v>1</v>
      </c>
      <c r="G28" s="26"/>
      <c r="H28" s="26" t="s">
        <v>899</v>
      </c>
      <c r="I28" s="26" t="s">
        <v>1918</v>
      </c>
    </row>
    <row r="29" spans="2:9" x14ac:dyDescent="0.25">
      <c r="B29" s="26">
        <f t="shared" si="0"/>
        <v>26</v>
      </c>
      <c r="C29" s="27">
        <v>46174</v>
      </c>
      <c r="D29" s="28" t="s">
        <v>948</v>
      </c>
      <c r="E29" s="29" t="str">
        <f>_xlfn.XLOOKUP(Table7[[#This Row],[Malın kodu]],Table4[Malın kodu],Table4[Malın adı],"Xəta",0)</f>
        <v>Filtr/ yanacaq/ TF1480/ "FİL"/Türkiyə istehsalı</v>
      </c>
      <c r="F29" s="26">
        <v>1</v>
      </c>
      <c r="G29" s="26"/>
      <c r="H29" s="26" t="s">
        <v>899</v>
      </c>
      <c r="I29" s="26" t="s">
        <v>1918</v>
      </c>
    </row>
    <row r="30" spans="2:9" x14ac:dyDescent="0.25">
      <c r="B30" s="26">
        <f t="shared" si="0"/>
        <v>27</v>
      </c>
      <c r="C30" s="27">
        <v>46174</v>
      </c>
      <c r="D30" s="28" t="s">
        <v>949</v>
      </c>
      <c r="E30" s="29" t="str">
        <f>_xlfn.XLOOKUP(Table7[[#This Row],[Malın kodu]],Table4[Malın kodu],Table4[Malın adı],"Xəta",0)</f>
        <v>Filtr/ hava/ MLE 1606/ "FİL"/Türkiyə istehsalı</v>
      </c>
      <c r="F30" s="26">
        <v>2</v>
      </c>
      <c r="G30" s="26"/>
      <c r="H30" s="26" t="s">
        <v>899</v>
      </c>
      <c r="I30" s="26" t="s">
        <v>1918</v>
      </c>
    </row>
    <row r="31" spans="2:9" x14ac:dyDescent="0.25">
      <c r="B31" s="26">
        <f t="shared" si="0"/>
        <v>28</v>
      </c>
      <c r="C31" s="27">
        <v>46174</v>
      </c>
      <c r="D31" s="28" t="s">
        <v>950</v>
      </c>
      <c r="E31" s="29" t="str">
        <f>_xlfn.XLOOKUP(Table7[[#This Row],[Malın kodu]],Table4[Malın kodu],Table4[Malın adı],"Xəta",0)</f>
        <v>Filtr/ kabin/ HC 7265/ "FİL"/Türkiyə istehsalı</v>
      </c>
      <c r="F31" s="26">
        <v>3</v>
      </c>
      <c r="G31" s="26"/>
      <c r="H31" s="26" t="s">
        <v>899</v>
      </c>
      <c r="I31" s="26" t="s">
        <v>1918</v>
      </c>
    </row>
    <row r="32" spans="2:9" x14ac:dyDescent="0.25">
      <c r="B32" s="26">
        <f t="shared" si="0"/>
        <v>29</v>
      </c>
      <c r="C32" s="27">
        <v>46174</v>
      </c>
      <c r="D32" s="28" t="s">
        <v>951</v>
      </c>
      <c r="E32" s="29" t="str">
        <f>_xlfn.XLOOKUP(Table7[[#This Row],[Malın kodu]],Table4[Malın kodu],Table4[Malın adı],"Xəta",0)</f>
        <v>Filtr/ yanacaq/ WK712\2/ "MANN"/ Almaniya istehsalı</v>
      </c>
      <c r="F32" s="26">
        <v>11</v>
      </c>
      <c r="G32" s="26"/>
      <c r="H32" s="26" t="s">
        <v>899</v>
      </c>
      <c r="I32" s="26" t="s">
        <v>1918</v>
      </c>
    </row>
    <row r="33" spans="2:9" x14ac:dyDescent="0.25">
      <c r="B33" s="26">
        <f t="shared" si="0"/>
        <v>30</v>
      </c>
      <c r="C33" s="27">
        <v>46174</v>
      </c>
      <c r="D33" s="28" t="s">
        <v>952</v>
      </c>
      <c r="E33" s="29" t="str">
        <f>_xlfn.XLOOKUP(Table7[[#This Row],[Malın kodu]],Table4[Malın kodu],Table4[Malın adı],"Xəta",0)</f>
        <v>Filtr/ yağ/ W11102\35/ "MANN"/ Almaniya istehsalı</v>
      </c>
      <c r="F33" s="26">
        <v>2</v>
      </c>
      <c r="G33" s="26"/>
      <c r="H33" s="26" t="s">
        <v>899</v>
      </c>
      <c r="I33" s="26" t="s">
        <v>1918</v>
      </c>
    </row>
    <row r="34" spans="2:9" x14ac:dyDescent="0.25">
      <c r="B34" s="26">
        <f t="shared" si="0"/>
        <v>31</v>
      </c>
      <c r="C34" s="27">
        <v>46174</v>
      </c>
      <c r="D34" s="28" t="s">
        <v>953</v>
      </c>
      <c r="E34" s="29" t="str">
        <f>_xlfn.XLOOKUP(Table7[[#This Row],[Malın kodu]],Table4[Malın kodu],Table4[Malın adı],"Xəta",0)</f>
        <v>Filtr/ yanacaq/ P917\2 X/ "MANN"/ Almaniya istehsalı</v>
      </c>
      <c r="F34" s="26">
        <v>1</v>
      </c>
      <c r="G34" s="26"/>
      <c r="H34" s="26" t="s">
        <v>899</v>
      </c>
      <c r="I34" s="26" t="s">
        <v>1918</v>
      </c>
    </row>
    <row r="35" spans="2:9" x14ac:dyDescent="0.25">
      <c r="B35" s="26">
        <f t="shared" si="0"/>
        <v>32</v>
      </c>
      <c r="C35" s="27">
        <v>46174</v>
      </c>
      <c r="D35" s="28" t="s">
        <v>954</v>
      </c>
      <c r="E35" s="29" t="str">
        <f>_xlfn.XLOOKUP(Table7[[#This Row],[Malın kodu]],Table4[Malın kodu],Table4[Malın adı],"Xəta",0)</f>
        <v>Filtr/ yağ/ W610\3/ "MANN"/ Almaniya istehsalı</v>
      </c>
      <c r="F35" s="26">
        <v>1</v>
      </c>
      <c r="G35" s="26"/>
      <c r="H35" s="26" t="s">
        <v>899</v>
      </c>
      <c r="I35" s="26" t="s">
        <v>1918</v>
      </c>
    </row>
    <row r="36" spans="2:9" x14ac:dyDescent="0.25">
      <c r="B36" s="26">
        <f t="shared" si="0"/>
        <v>33</v>
      </c>
      <c r="C36" s="27">
        <v>46174</v>
      </c>
      <c r="D36" s="28" t="s">
        <v>955</v>
      </c>
      <c r="E36" s="29" t="str">
        <f>_xlfn.XLOOKUP(Table7[[#This Row],[Malın kodu]],Table4[Malın kodu],Table4[Malın adı],"Xəta",0)</f>
        <v>Filtr/ yağ/ 61000070005H/ "WEICHAI"/ Çin istehsalı</v>
      </c>
      <c r="F36" s="26">
        <v>1</v>
      </c>
      <c r="G36" s="26"/>
      <c r="H36" s="26" t="s">
        <v>899</v>
      </c>
      <c r="I36" s="26" t="s">
        <v>1918</v>
      </c>
    </row>
    <row r="37" spans="2:9" x14ac:dyDescent="0.25">
      <c r="B37" s="26">
        <f t="shared" si="0"/>
        <v>34</v>
      </c>
      <c r="C37" s="27">
        <v>46174</v>
      </c>
      <c r="D37" s="28" t="s">
        <v>956</v>
      </c>
      <c r="E37" s="29" t="str">
        <f>_xlfn.XLOOKUP(Table7[[#This Row],[Malın kodu]],Table4[Malın kodu],Table4[Malın adı],"Xəta",0)</f>
        <v>Filtr/ hava/ DR5122 B/ "Delsa"/Türkiyə istehsalı</v>
      </c>
      <c r="F37" s="26">
        <v>2</v>
      </c>
      <c r="G37" s="26"/>
      <c r="H37" s="26" t="s">
        <v>899</v>
      </c>
      <c r="I37" s="26" t="s">
        <v>1918</v>
      </c>
    </row>
    <row r="38" spans="2:9" x14ac:dyDescent="0.25">
      <c r="B38" s="26">
        <f t="shared" si="0"/>
        <v>35</v>
      </c>
      <c r="C38" s="27">
        <v>46174</v>
      </c>
      <c r="D38" s="28" t="s">
        <v>957</v>
      </c>
      <c r="E38" s="29" t="str">
        <f>_xlfn.XLOOKUP(Table7[[#This Row],[Malın kodu]],Table4[Malın kodu],Table4[Malın adı],"Xəta",0)</f>
        <v>Filtr/ yağ/ DS1307/ "Delsa"/Türkiyə istehsalı</v>
      </c>
      <c r="F38" s="26">
        <v>1</v>
      </c>
      <c r="G38" s="26"/>
      <c r="H38" s="26" t="s">
        <v>899</v>
      </c>
      <c r="I38" s="26" t="s">
        <v>1918</v>
      </c>
    </row>
    <row r="39" spans="2:9" x14ac:dyDescent="0.25">
      <c r="B39" s="26">
        <f t="shared" si="0"/>
        <v>36</v>
      </c>
      <c r="C39" s="27">
        <v>46174</v>
      </c>
      <c r="D39" s="28" t="s">
        <v>958</v>
      </c>
      <c r="E39" s="29" t="str">
        <f>_xlfn.XLOOKUP(Table7[[#This Row],[Malın kodu]],Table4[Malın kodu],Table4[Malın adı],"Xəta",0)</f>
        <v>Filtr/ yanacaq/ DS1430F/ "Delsa"/Türkiyə istehsalı</v>
      </c>
      <c r="F39" s="26">
        <v>1</v>
      </c>
      <c r="G39" s="26"/>
      <c r="H39" s="26" t="s">
        <v>899</v>
      </c>
      <c r="I39" s="26" t="s">
        <v>1918</v>
      </c>
    </row>
    <row r="40" spans="2:9" x14ac:dyDescent="0.25">
      <c r="B40" s="26">
        <f t="shared" si="0"/>
        <v>37</v>
      </c>
      <c r="C40" s="27">
        <v>46174</v>
      </c>
      <c r="D40" s="28" t="s">
        <v>959</v>
      </c>
      <c r="E40" s="29" t="str">
        <f>_xlfn.XLOOKUP(Table7[[#This Row],[Malın kodu]],Table4[Malın kodu],Table4[Malın adı],"Xəta",0)</f>
        <v>Filtr/ yağ/ DS1068MG/ "Delsa"/Türkiyə istehsalı</v>
      </c>
      <c r="F40" s="26">
        <v>5</v>
      </c>
      <c r="G40" s="26"/>
      <c r="H40" s="26" t="s">
        <v>899</v>
      </c>
      <c r="I40" s="26" t="s">
        <v>1918</v>
      </c>
    </row>
    <row r="41" spans="2:9" x14ac:dyDescent="0.25">
      <c r="B41" s="26">
        <f t="shared" si="0"/>
        <v>38</v>
      </c>
      <c r="C41" s="27">
        <v>46174</v>
      </c>
      <c r="D41" s="28" t="s">
        <v>960</v>
      </c>
      <c r="E41" s="29" t="str">
        <f>_xlfn.XLOOKUP(Table7[[#This Row],[Malın kodu]],Table4[Malın kodu],Table4[Malın adı],"Xəta",0)</f>
        <v>Filtr/ yağ/ CS1416/ "Sampion"/Türkiyə istehsalı</v>
      </c>
      <c r="F41" s="26">
        <v>1</v>
      </c>
      <c r="G41" s="26"/>
      <c r="H41" s="26" t="s">
        <v>899</v>
      </c>
      <c r="I41" s="26" t="s">
        <v>1918</v>
      </c>
    </row>
    <row r="42" spans="2:9" x14ac:dyDescent="0.25">
      <c r="B42" s="26">
        <f t="shared" si="0"/>
        <v>39</v>
      </c>
      <c r="C42" s="27">
        <v>46174</v>
      </c>
      <c r="D42" s="28" t="s">
        <v>961</v>
      </c>
      <c r="E42" s="29" t="str">
        <f>_xlfn.XLOOKUP(Table7[[#This Row],[Malın kodu]],Table4[Malın kodu],Table4[Malın adı],"Xəta",0)</f>
        <v>Filtr/ yanacaq/ CS0169M/ "Sampion"/Türkiyə istehsalı</v>
      </c>
      <c r="F42" s="26">
        <v>1</v>
      </c>
      <c r="G42" s="26"/>
      <c r="H42" s="26" t="s">
        <v>899</v>
      </c>
      <c r="I42" s="26" t="s">
        <v>1918</v>
      </c>
    </row>
    <row r="43" spans="2:9" x14ac:dyDescent="0.25">
      <c r="B43" s="26">
        <f t="shared" si="0"/>
        <v>40</v>
      </c>
      <c r="C43" s="27">
        <v>46174</v>
      </c>
      <c r="D43" s="28" t="s">
        <v>962</v>
      </c>
      <c r="E43" s="29" t="str">
        <f>_xlfn.XLOOKUP(Table7[[#This Row],[Malın kodu]],Table4[Malın kodu],Table4[Malın adı],"Xəta",0)</f>
        <v>Filtr/ yanacaq/ CS1439M/ "Sampion"/Türkiyə istehsalı</v>
      </c>
      <c r="F43" s="26">
        <v>3</v>
      </c>
      <c r="G43" s="26"/>
      <c r="H43" s="26" t="s">
        <v>899</v>
      </c>
      <c r="I43" s="26" t="s">
        <v>1918</v>
      </c>
    </row>
    <row r="44" spans="2:9" x14ac:dyDescent="0.25">
      <c r="B44" s="26">
        <f t="shared" si="0"/>
        <v>41</v>
      </c>
      <c r="C44" s="27">
        <v>46174</v>
      </c>
      <c r="D44" s="28" t="s">
        <v>963</v>
      </c>
      <c r="E44" s="29" t="str">
        <f>_xlfn.XLOOKUP(Table7[[#This Row],[Malın kodu]],Table4[Malın kodu],Table4[Malın adı],"Xəta",0)</f>
        <v>Filtr/ yanacaq/ CS1589M/ "Sampion"/Türkiyə istehsalı</v>
      </c>
      <c r="F44" s="26">
        <v>3</v>
      </c>
      <c r="G44" s="26"/>
      <c r="H44" s="26" t="s">
        <v>899</v>
      </c>
      <c r="I44" s="26" t="s">
        <v>1918</v>
      </c>
    </row>
    <row r="45" spans="2:9" x14ac:dyDescent="0.25">
      <c r="B45" s="26">
        <f t="shared" si="0"/>
        <v>42</v>
      </c>
      <c r="C45" s="27">
        <v>46174</v>
      </c>
      <c r="D45" s="28" t="s">
        <v>964</v>
      </c>
      <c r="E45" s="29" t="str">
        <f>_xlfn.XLOOKUP(Table7[[#This Row],[Malın kodu]],Table4[Malın kodu],Table4[Malın adı],"Xəta",0)</f>
        <v>Filtr/ yanacaq/ CE1366MEX L/ "Sampion"/Türkiyə istehsalı</v>
      </c>
      <c r="F45" s="26">
        <v>2</v>
      </c>
      <c r="G45" s="26"/>
      <c r="H45" s="26" t="s">
        <v>899</v>
      </c>
      <c r="I45" s="26" t="s">
        <v>1918</v>
      </c>
    </row>
    <row r="46" spans="2:9" x14ac:dyDescent="0.25">
      <c r="B46" s="26">
        <f t="shared" si="0"/>
        <v>43</v>
      </c>
      <c r="C46" s="27">
        <v>46174</v>
      </c>
      <c r="D46" s="28" t="s">
        <v>965</v>
      </c>
      <c r="E46" s="29" t="str">
        <f>_xlfn.XLOOKUP(Table7[[#This Row],[Malın kodu]],Table4[Malın kodu],Table4[Malın adı],"Xəta",0)</f>
        <v>Filtr/ yanacaq/ CS1430MVL/ "Sampion"/Türkiyə istehsalı</v>
      </c>
      <c r="F46" s="26">
        <v>6</v>
      </c>
      <c r="G46" s="26"/>
      <c r="H46" s="26" t="s">
        <v>899</v>
      </c>
      <c r="I46" s="26" t="s">
        <v>1918</v>
      </c>
    </row>
    <row r="47" spans="2:9" x14ac:dyDescent="0.25">
      <c r="B47" s="26">
        <f t="shared" si="0"/>
        <v>44</v>
      </c>
      <c r="C47" s="27">
        <v>46174</v>
      </c>
      <c r="D47" s="28" t="s">
        <v>966</v>
      </c>
      <c r="E47" s="29" t="str">
        <f>_xlfn.XLOOKUP(Table7[[#This Row],[Malın kodu]],Table4[Malın kodu],Table4[Malın adı],"Xəta",0)</f>
        <v>Filtr/ yağ/ CS1521/ "Sampion"/Türkiyə istehsalı</v>
      </c>
      <c r="F47" s="26">
        <v>2</v>
      </c>
      <c r="G47" s="26"/>
      <c r="H47" s="26" t="s">
        <v>899</v>
      </c>
      <c r="I47" s="26" t="s">
        <v>1918</v>
      </c>
    </row>
    <row r="48" spans="2:9" x14ac:dyDescent="0.25">
      <c r="B48" s="26">
        <f t="shared" si="0"/>
        <v>45</v>
      </c>
      <c r="C48" s="27">
        <v>46174</v>
      </c>
      <c r="D48" s="28" t="s">
        <v>967</v>
      </c>
      <c r="E48" s="29" t="str">
        <f>_xlfn.XLOOKUP(Table7[[#This Row],[Malın kodu]],Table4[Malın kodu],Table4[Malın adı],"Xəta",0)</f>
        <v>Filtr/ yağ/ CS0038/ "Sampion"/Türkiyə istehsalı</v>
      </c>
      <c r="F48" s="26">
        <v>5</v>
      </c>
      <c r="G48" s="26"/>
      <c r="H48" s="26" t="s">
        <v>899</v>
      </c>
      <c r="I48" s="26" t="s">
        <v>1918</v>
      </c>
    </row>
    <row r="49" spans="2:9" x14ac:dyDescent="0.25">
      <c r="B49" s="26">
        <f t="shared" si="0"/>
        <v>46</v>
      </c>
      <c r="C49" s="27">
        <v>46174</v>
      </c>
      <c r="D49" s="28" t="s">
        <v>968</v>
      </c>
      <c r="E49" s="29" t="str">
        <f>_xlfn.XLOOKUP(Table7[[#This Row],[Malın kodu]],Table4[Malın kodu],Table4[Malın adı],"Xəta",0)</f>
        <v>Filtr/ yağ/ CS1558/ "Sampion"/Türkiyə istehsalı</v>
      </c>
      <c r="F49" s="26">
        <v>1</v>
      </c>
      <c r="G49" s="26"/>
      <c r="H49" s="26" t="s">
        <v>899</v>
      </c>
      <c r="I49" s="26" t="s">
        <v>1918</v>
      </c>
    </row>
    <row r="50" spans="2:9" x14ac:dyDescent="0.25">
      <c r="B50" s="26">
        <f t="shared" si="0"/>
        <v>47</v>
      </c>
      <c r="C50" s="27">
        <v>46174</v>
      </c>
      <c r="D50" s="28" t="s">
        <v>969</v>
      </c>
      <c r="E50" s="29" t="str">
        <f>_xlfn.XLOOKUP(Table7[[#This Row],[Malın kodu]],Table4[Malın kodu],Table4[Malın adı],"Xəta",0)</f>
        <v>Filtr/ yağ/ B7033/ "Baldwin"/ABŞ istehsalı</v>
      </c>
      <c r="F50" s="26">
        <v>3</v>
      </c>
      <c r="G50" s="26"/>
      <c r="H50" s="26" t="s">
        <v>899</v>
      </c>
      <c r="I50" s="26" t="s">
        <v>1918</v>
      </c>
    </row>
    <row r="51" spans="2:9" x14ac:dyDescent="0.25">
      <c r="B51" s="26">
        <f t="shared" si="0"/>
        <v>48</v>
      </c>
      <c r="C51" s="27">
        <v>46174</v>
      </c>
      <c r="D51" s="28" t="s">
        <v>970</v>
      </c>
      <c r="E51" s="29" t="str">
        <f>_xlfn.XLOOKUP(Table7[[#This Row],[Malın kodu]],Table4[Malın kodu],Table4[Malın adı],"Xəta",0)</f>
        <v>Filtr/ yağ/ B7259/ "Baldwin"/ABŞ istehsalı</v>
      </c>
      <c r="F51" s="26">
        <v>2</v>
      </c>
      <c r="G51" s="26"/>
      <c r="H51" s="26" t="s">
        <v>899</v>
      </c>
      <c r="I51" s="26" t="s">
        <v>1918</v>
      </c>
    </row>
    <row r="52" spans="2:9" x14ac:dyDescent="0.25">
      <c r="B52" s="26">
        <f t="shared" si="0"/>
        <v>49</v>
      </c>
      <c r="C52" s="27">
        <v>46174</v>
      </c>
      <c r="D52" s="28" t="s">
        <v>971</v>
      </c>
      <c r="E52" s="29" t="str">
        <f>_xlfn.XLOOKUP(Table7[[#This Row],[Malın kodu]],Table4[Malın kodu],Table4[Malın adı],"Xəta",0)</f>
        <v>Filtr/ yağ/ SP401/ "ASAS"/ Türkiyə istehsalı</v>
      </c>
      <c r="F52" s="26">
        <v>2</v>
      </c>
      <c r="G52" s="26"/>
      <c r="H52" s="26" t="s">
        <v>899</v>
      </c>
      <c r="I52" s="26" t="s">
        <v>1918</v>
      </c>
    </row>
    <row r="53" spans="2:9" x14ac:dyDescent="0.25">
      <c r="B53" s="26">
        <f t="shared" si="0"/>
        <v>50</v>
      </c>
      <c r="C53" s="27">
        <v>46174</v>
      </c>
      <c r="D53" s="28" t="s">
        <v>972</v>
      </c>
      <c r="E53" s="29" t="str">
        <f>_xlfn.XLOOKUP(Table7[[#This Row],[Malın kodu]],Table4[Malın kodu],Table4[Malın adı],"Xəta",0)</f>
        <v>Filtr/ yanacaq/ F323045/ "Atom"/ Türkiyə istehsalı</v>
      </c>
      <c r="F53" s="26">
        <v>1</v>
      </c>
      <c r="G53" s="26"/>
      <c r="H53" s="26" t="s">
        <v>899</v>
      </c>
      <c r="I53" s="26" t="s">
        <v>1918</v>
      </c>
    </row>
    <row r="54" spans="2:9" x14ac:dyDescent="0.25">
      <c r="B54" s="26">
        <f t="shared" si="0"/>
        <v>51</v>
      </c>
      <c r="C54" s="27">
        <v>46174</v>
      </c>
      <c r="D54" s="28" t="s">
        <v>973</v>
      </c>
      <c r="E54" s="29" t="str">
        <f>_xlfn.XLOOKUP(Table7[[#This Row],[Malın kodu]],Table4[Malın kodu],Table4[Malın adı],"Xəta",0)</f>
        <v>Filtr/ yanacaq/ F323072/ "Atom"/ Türkiyə istehsalı</v>
      </c>
      <c r="F54" s="26">
        <v>2</v>
      </c>
      <c r="G54" s="26"/>
      <c r="H54" s="26" t="s">
        <v>899</v>
      </c>
      <c r="I54" s="26" t="s">
        <v>1918</v>
      </c>
    </row>
    <row r="55" spans="2:9" x14ac:dyDescent="0.25">
      <c r="B55" s="26">
        <f t="shared" si="0"/>
        <v>52</v>
      </c>
      <c r="C55" s="27">
        <v>46174</v>
      </c>
      <c r="D55" s="28" t="s">
        <v>974</v>
      </c>
      <c r="E55" s="29" t="str">
        <f>_xlfn.XLOOKUP(Table7[[#This Row],[Malın kodu]],Table4[Malın kodu],Table4[Malın adı],"Xəta",0)</f>
        <v>Filtr/ yağ/ ON1024C/ "ONFIL"/ Türkiyə istehsalı</v>
      </c>
      <c r="F55" s="26">
        <v>1</v>
      </c>
      <c r="G55" s="26"/>
      <c r="H55" s="26" t="s">
        <v>899</v>
      </c>
      <c r="I55" s="26" t="s">
        <v>1918</v>
      </c>
    </row>
    <row r="56" spans="2:9" x14ac:dyDescent="0.25">
      <c r="B56" s="26">
        <f t="shared" si="0"/>
        <v>53</v>
      </c>
      <c r="C56" s="27">
        <v>46174</v>
      </c>
      <c r="D56" s="28" t="s">
        <v>975</v>
      </c>
      <c r="E56" s="29" t="str">
        <f>_xlfn.XLOOKUP(Table7[[#This Row],[Malın kodu]],Table4[Malın kodu],Table4[Malın adı],"Xəta",0)</f>
        <v>Filtr/ hidravlik/ H1129/ "Bavaria"/ Türkiyə istehsalı</v>
      </c>
      <c r="F56" s="26">
        <v>1</v>
      </c>
      <c r="G56" s="26"/>
      <c r="H56" s="26" t="s">
        <v>899</v>
      </c>
      <c r="I56" s="26" t="s">
        <v>1918</v>
      </c>
    </row>
    <row r="57" spans="2:9" x14ac:dyDescent="0.25">
      <c r="B57" s="26">
        <f t="shared" si="0"/>
        <v>54</v>
      </c>
      <c r="C57" s="27">
        <v>46174</v>
      </c>
      <c r="D57" s="28" t="s">
        <v>976</v>
      </c>
      <c r="E57" s="29" t="str">
        <f>_xlfn.XLOOKUP(Table7[[#This Row],[Malın kodu]],Table4[Malın kodu],Table4[Malın adı],"Xəta",0)</f>
        <v>Filtr/ hidravlik/362-1163/ "CAT"/ ABŞ istehsalı</v>
      </c>
      <c r="F57" s="26">
        <v>2</v>
      </c>
      <c r="G57" s="26"/>
      <c r="H57" s="26" t="s">
        <v>899</v>
      </c>
      <c r="I57" s="26" t="s">
        <v>1918</v>
      </c>
    </row>
    <row r="58" spans="2:9" x14ac:dyDescent="0.25">
      <c r="B58" s="26">
        <f t="shared" si="0"/>
        <v>55</v>
      </c>
      <c r="C58" s="27">
        <v>46174</v>
      </c>
      <c r="D58" s="28" t="s">
        <v>977</v>
      </c>
      <c r="E58" s="29" t="str">
        <f>_xlfn.XLOOKUP(Table7[[#This Row],[Malın kodu]],Table4[Malın kodu],Table4[Malın adı],"Xəta",0)</f>
        <v>Filtr/ hava/ 252-5002/ "CAT"/ ABŞ istehsalı</v>
      </c>
      <c r="F58" s="26">
        <v>1</v>
      </c>
      <c r="G58" s="26"/>
      <c r="H58" s="26" t="s">
        <v>899</v>
      </c>
      <c r="I58" s="26" t="s">
        <v>1918</v>
      </c>
    </row>
    <row r="59" spans="2:9" x14ac:dyDescent="0.25">
      <c r="B59" s="26">
        <f t="shared" si="0"/>
        <v>56</v>
      </c>
      <c r="C59" s="27">
        <v>46174</v>
      </c>
      <c r="D59" s="28" t="s">
        <v>978</v>
      </c>
      <c r="E59" s="29" t="str">
        <f>_xlfn.XLOOKUP(Table7[[#This Row],[Malın kodu]],Table4[Malın kodu],Table4[Malın adı],"Xəta",0)</f>
        <v>Filtr/ hava/ C 15248/ SHF 500/ "TUC"/ Çin istehsalı</v>
      </c>
      <c r="F59" s="26">
        <v>1</v>
      </c>
      <c r="G59" s="26"/>
      <c r="H59" s="26" t="s">
        <v>899</v>
      </c>
      <c r="I59" s="26" t="s">
        <v>1918</v>
      </c>
    </row>
    <row r="60" spans="2:9" x14ac:dyDescent="0.25">
      <c r="B60" s="26">
        <f t="shared" si="0"/>
        <v>57</v>
      </c>
      <c r="C60" s="27">
        <v>46174</v>
      </c>
      <c r="D60" s="28" t="s">
        <v>979</v>
      </c>
      <c r="E60" s="29" t="str">
        <f>_xlfn.XLOOKUP(Table7[[#This Row],[Malın kodu]],Table4[Malın kodu],Table4[Malın adı],"Xəta",0)</f>
        <v>Filtr/ hava/ HP 2527/ "FİL"/ Türkiyə istehsalı</v>
      </c>
      <c r="F60" s="26">
        <v>2</v>
      </c>
      <c r="G60" s="26"/>
      <c r="H60" s="26" t="s">
        <v>899</v>
      </c>
      <c r="I60" s="26" t="s">
        <v>1918</v>
      </c>
    </row>
    <row r="61" spans="2:9" x14ac:dyDescent="0.25">
      <c r="B61" s="26">
        <f t="shared" si="0"/>
        <v>58</v>
      </c>
      <c r="C61" s="27">
        <v>46174</v>
      </c>
      <c r="D61" s="28" t="s">
        <v>980</v>
      </c>
      <c r="E61" s="29" t="str">
        <f>_xlfn.XLOOKUP(Table7[[#This Row],[Malın kodu]],Table4[Malın kodu],Table4[Malın adı],"Xəta",0)</f>
        <v>Filtr/ hava/ HP 2528/ "FİL"/ Türkiyə istehsalı</v>
      </c>
      <c r="F61" s="26">
        <v>2</v>
      </c>
      <c r="G61" s="26"/>
      <c r="H61" s="26" t="s">
        <v>899</v>
      </c>
      <c r="I61" s="26" t="s">
        <v>1918</v>
      </c>
    </row>
    <row r="62" spans="2:9" x14ac:dyDescent="0.25">
      <c r="B62" s="26">
        <f t="shared" si="0"/>
        <v>59</v>
      </c>
      <c r="C62" s="27">
        <v>46174</v>
      </c>
      <c r="D62" s="28" t="s">
        <v>981</v>
      </c>
      <c r="E62" s="29" t="str">
        <f>_xlfn.XLOOKUP(Table7[[#This Row],[Malın kodu]],Table4[Malın kodu],Table4[Malın adı],"Xəta",0)</f>
        <v>Filtr/ hava/ P53-2474/ "Donaldson"/ İngiltərə istehsalı</v>
      </c>
      <c r="F62" s="26">
        <v>1</v>
      </c>
      <c r="G62" s="26"/>
      <c r="H62" s="26" t="s">
        <v>899</v>
      </c>
      <c r="I62" s="26" t="s">
        <v>1918</v>
      </c>
    </row>
    <row r="63" spans="2:9" x14ac:dyDescent="0.25">
      <c r="B63" s="26">
        <f t="shared" si="0"/>
        <v>60</v>
      </c>
      <c r="C63" s="27">
        <v>46174</v>
      </c>
      <c r="D63" s="28" t="s">
        <v>982</v>
      </c>
      <c r="E63" s="29" t="str">
        <f>_xlfn.XLOOKUP(Table7[[#This Row],[Malın kodu]],Table4[Malın kodu],Table4[Malın adı],"Xəta",0)</f>
        <v>Filtr/ hava/ P53-2473/ "Donaldson"/ İngiltərə istehsalı</v>
      </c>
      <c r="F63" s="26">
        <v>1</v>
      </c>
      <c r="G63" s="26"/>
      <c r="H63" s="26" t="s">
        <v>899</v>
      </c>
      <c r="I63" s="26" t="s">
        <v>1918</v>
      </c>
    </row>
    <row r="64" spans="2:9" x14ac:dyDescent="0.25">
      <c r="B64" s="26">
        <f t="shared" si="0"/>
        <v>61</v>
      </c>
      <c r="C64" s="27">
        <v>46174</v>
      </c>
      <c r="D64" s="28" t="s">
        <v>983</v>
      </c>
      <c r="E64" s="29" t="str">
        <f>_xlfn.XLOOKUP(Table7[[#This Row],[Malın kodu]],Table4[Malın kodu],Table4[Malın adı],"Xəta",0)</f>
        <v>Filtr/ hava/ 32/925682/ "JCB"/ Çexiya istehsalı</v>
      </c>
      <c r="F64" s="26">
        <v>1</v>
      </c>
      <c r="G64" s="26"/>
      <c r="H64" s="26" t="s">
        <v>899</v>
      </c>
      <c r="I64" s="26" t="s">
        <v>1918</v>
      </c>
    </row>
    <row r="65" spans="2:9" x14ac:dyDescent="0.25">
      <c r="B65" s="26">
        <f t="shared" si="0"/>
        <v>62</v>
      </c>
      <c r="C65" s="27">
        <v>46174</v>
      </c>
      <c r="D65" s="28" t="s">
        <v>984</v>
      </c>
      <c r="E65" s="29" t="str">
        <f>_xlfn.XLOOKUP(Table7[[#This Row],[Malın kodu]],Table4[Malın kodu],Table4[Malın adı],"Xəta",0)</f>
        <v>Filtr/ hava/ SHF 5004/ 5005/ "Sure"/ ABŞ istehsalı</v>
      </c>
      <c r="F65" s="26">
        <v>1</v>
      </c>
      <c r="G65" s="26"/>
      <c r="H65" s="26" t="s">
        <v>899</v>
      </c>
      <c r="I65" s="26" t="s">
        <v>1918</v>
      </c>
    </row>
    <row r="66" spans="2:9" x14ac:dyDescent="0.25">
      <c r="B66" s="26">
        <f t="shared" si="0"/>
        <v>63</v>
      </c>
      <c r="C66" s="27">
        <v>46174</v>
      </c>
      <c r="D66" s="28" t="s">
        <v>985</v>
      </c>
      <c r="E66" s="29" t="str">
        <f>_xlfn.XLOOKUP(Table7[[#This Row],[Malın kodu]],Table4[Malın kodu],Table4[Malın adı],"Xəta",0)</f>
        <v>Filtr/ hava/ L2579 P/ "GSP"/ Çin istehsalı</v>
      </c>
      <c r="F66" s="26">
        <v>2</v>
      </c>
      <c r="G66" s="26"/>
      <c r="H66" s="26" t="s">
        <v>899</v>
      </c>
      <c r="I66" s="26" t="s">
        <v>1918</v>
      </c>
    </row>
    <row r="67" spans="2:9" x14ac:dyDescent="0.25">
      <c r="B67" s="26">
        <f t="shared" si="0"/>
        <v>64</v>
      </c>
      <c r="C67" s="27">
        <v>46174</v>
      </c>
      <c r="D67" s="28" t="s">
        <v>986</v>
      </c>
      <c r="E67" s="29" t="str">
        <f>_xlfn.XLOOKUP(Table7[[#This Row],[Malın kodu]],Table4[Malın kodu],Table4[Malın adı],"Xəta",0)</f>
        <v>Filtr/ hava/ F15190/ "Atom"/ Türkiyə istehsalı</v>
      </c>
      <c r="F67" s="26">
        <v>1</v>
      </c>
      <c r="G67" s="26"/>
      <c r="H67" s="26" t="s">
        <v>899</v>
      </c>
      <c r="I67" s="26" t="s">
        <v>1918</v>
      </c>
    </row>
    <row r="68" spans="2:9" x14ac:dyDescent="0.25">
      <c r="B68" s="26">
        <f t="shared" ref="B68:B131" si="1">ROW()-3</f>
        <v>65</v>
      </c>
      <c r="C68" s="27">
        <v>46174</v>
      </c>
      <c r="D68" s="28" t="s">
        <v>987</v>
      </c>
      <c r="E68" s="29" t="str">
        <f>_xlfn.XLOOKUP(Table7[[#This Row],[Malın kodu]],Table4[Malın kodu],Table4[Malın adı],"Xəta",0)</f>
        <v>Filtr/ hava/ AF 1822/ "TUC"/ Çin istehsalı</v>
      </c>
      <c r="F68" s="26">
        <v>2</v>
      </c>
      <c r="G68" s="26"/>
      <c r="H68" s="26" t="s">
        <v>899</v>
      </c>
      <c r="I68" s="26" t="s">
        <v>1918</v>
      </c>
    </row>
    <row r="69" spans="2:9" x14ac:dyDescent="0.25">
      <c r="B69" s="26">
        <f t="shared" si="1"/>
        <v>66</v>
      </c>
      <c r="C69" s="27">
        <v>46174</v>
      </c>
      <c r="D69" s="28" t="s">
        <v>988</v>
      </c>
      <c r="E69" s="29" t="str">
        <f>_xlfn.XLOOKUP(Table7[[#This Row],[Malın kodu]],Table4[Malın kodu],Table4[Malın adı],"Xəta",0)</f>
        <v>Filtr/ hava/ SHF 365/ "TUC"/ Çin istehsalı</v>
      </c>
      <c r="F69" s="26">
        <v>1</v>
      </c>
      <c r="G69" s="26"/>
      <c r="H69" s="26" t="s">
        <v>899</v>
      </c>
      <c r="I69" s="26" t="s">
        <v>1918</v>
      </c>
    </row>
    <row r="70" spans="2:9" x14ac:dyDescent="0.25">
      <c r="B70" s="26">
        <f t="shared" si="1"/>
        <v>67</v>
      </c>
      <c r="C70" s="27">
        <v>46174</v>
      </c>
      <c r="D70" s="28" t="s">
        <v>989</v>
      </c>
      <c r="E70" s="29" t="str">
        <f>_xlfn.XLOOKUP(Table7[[#This Row],[Malın kodu]],Table4[Malın kodu],Table4[Malın adı],"Xəta",0)</f>
        <v>Filtr/ hava/ C13103/ "TUC"/ Çin istehsalı</v>
      </c>
      <c r="F70" s="26">
        <v>1</v>
      </c>
      <c r="G70" s="26"/>
      <c r="H70" s="26" t="s">
        <v>899</v>
      </c>
      <c r="I70" s="26" t="s">
        <v>1918</v>
      </c>
    </row>
    <row r="71" spans="2:9" x14ac:dyDescent="0.25">
      <c r="B71" s="26">
        <f t="shared" si="1"/>
        <v>68</v>
      </c>
      <c r="C71" s="27">
        <v>46174</v>
      </c>
      <c r="D71" s="28" t="s">
        <v>990</v>
      </c>
      <c r="E71" s="29" t="str">
        <f>_xlfn.XLOOKUP(Table7[[#This Row],[Malın kodu]],Table4[Malın kodu],Table4[Malın adı],"Xəta",0)</f>
        <v>Filtr/ yanacaq/ 6754-71-6140/ "Komatsu"/ Yaponiya istehsalı</v>
      </c>
      <c r="F71" s="26">
        <v>1</v>
      </c>
      <c r="G71" s="26"/>
      <c r="H71" s="26" t="s">
        <v>899</v>
      </c>
      <c r="I71" s="26" t="s">
        <v>1918</v>
      </c>
    </row>
    <row r="72" spans="2:9" x14ac:dyDescent="0.25">
      <c r="B72" s="26">
        <f t="shared" si="1"/>
        <v>69</v>
      </c>
      <c r="C72" s="27">
        <v>46174</v>
      </c>
      <c r="D72" s="28" t="s">
        <v>991</v>
      </c>
      <c r="E72" s="29" t="str">
        <f>_xlfn.XLOOKUP(Table7[[#This Row],[Malın kodu]],Table4[Malın kodu],Table4[Malın adı],"Xəta",0)</f>
        <v>Filtr/ yanacaq/ FC-1003/ "Sakura"/ İndoneziya istehsalı</v>
      </c>
      <c r="F72" s="26">
        <v>4</v>
      </c>
      <c r="G72" s="26"/>
      <c r="H72" s="26" t="s">
        <v>899</v>
      </c>
      <c r="I72" s="26" t="s">
        <v>1918</v>
      </c>
    </row>
    <row r="73" spans="2:9" x14ac:dyDescent="0.25">
      <c r="B73" s="26">
        <f t="shared" si="1"/>
        <v>70</v>
      </c>
      <c r="C73" s="27">
        <v>46174</v>
      </c>
      <c r="D73" s="28" t="s">
        <v>992</v>
      </c>
      <c r="E73" s="29" t="str">
        <f>_xlfn.XLOOKUP(Table7[[#This Row],[Malın kodu]],Table4[Malın kodu],Table4[Malın adı],"Xəta",0)</f>
        <v>Filtr/ yağ/ P554403/ "Donaldson"/ Meksika istehsalı</v>
      </c>
      <c r="F73" s="26">
        <v>5</v>
      </c>
      <c r="G73" s="26"/>
      <c r="H73" s="26" t="s">
        <v>899</v>
      </c>
      <c r="I73" s="26" t="s">
        <v>1918</v>
      </c>
    </row>
    <row r="74" spans="2:9" x14ac:dyDescent="0.25">
      <c r="B74" s="26">
        <f t="shared" si="1"/>
        <v>71</v>
      </c>
      <c r="C74" s="27">
        <v>46174</v>
      </c>
      <c r="D74" s="28" t="s">
        <v>993</v>
      </c>
      <c r="E74" s="29" t="str">
        <f>_xlfn.XLOOKUP(Table7[[#This Row],[Malın kodu]],Table4[Malın kodu],Table4[Malın adı],"Xəta",0)</f>
        <v>Filtr/ yağ/ SP450/ "Asas"/ Türkiyə istehsalı</v>
      </c>
      <c r="F74" s="26">
        <v>3</v>
      </c>
      <c r="G74" s="26"/>
      <c r="H74" s="26" t="s">
        <v>899</v>
      </c>
      <c r="I74" s="26" t="s">
        <v>1918</v>
      </c>
    </row>
    <row r="75" spans="2:9" x14ac:dyDescent="0.25">
      <c r="B75" s="26">
        <f t="shared" si="1"/>
        <v>72</v>
      </c>
      <c r="C75" s="27">
        <v>46174</v>
      </c>
      <c r="D75" s="28" t="s">
        <v>994</v>
      </c>
      <c r="E75" s="29" t="str">
        <f>_xlfn.XLOOKUP(Table7[[#This Row],[Malın kodu]],Table4[Malın kodu],Table4[Malın adı],"Xəta",0)</f>
        <v>Filtr/ hidravlik/ P550148/ "Donaldson"/ İtaliya istehsalı</v>
      </c>
      <c r="F75" s="26">
        <v>1</v>
      </c>
      <c r="G75" s="26"/>
      <c r="H75" s="26" t="s">
        <v>899</v>
      </c>
      <c r="I75" s="26" t="s">
        <v>1918</v>
      </c>
    </row>
    <row r="76" spans="2:9" x14ac:dyDescent="0.25">
      <c r="B76" s="26">
        <f t="shared" si="1"/>
        <v>73</v>
      </c>
      <c r="C76" s="27">
        <v>46174</v>
      </c>
      <c r="D76" s="28" t="s">
        <v>995</v>
      </c>
      <c r="E76" s="29" t="str">
        <f>_xlfn.XLOOKUP(Table7[[#This Row],[Malın kodu]],Table4[Malın kodu],Table4[Malın adı],"Xəta",0)</f>
        <v>Filtr/ yanacaq/ P551315/ "Donaldson"/ ABŞ istehsalı</v>
      </c>
      <c r="F76" s="26">
        <v>1</v>
      </c>
      <c r="G76" s="26"/>
      <c r="H76" s="26" t="s">
        <v>899</v>
      </c>
      <c r="I76" s="26" t="s">
        <v>1918</v>
      </c>
    </row>
    <row r="77" spans="2:9" x14ac:dyDescent="0.25">
      <c r="B77" s="26">
        <f t="shared" si="1"/>
        <v>74</v>
      </c>
      <c r="C77" s="27">
        <v>46174</v>
      </c>
      <c r="D77" s="28" t="s">
        <v>996</v>
      </c>
      <c r="E77" s="29" t="str">
        <f>_xlfn.XLOOKUP(Table7[[#This Row],[Malın kodu]],Table4[Malın kodu],Table4[Malın adı],"Xəta",0)</f>
        <v>Filtr/ yağ/ P550008/ "Donaldson"/ ABŞ istehsalı</v>
      </c>
      <c r="F77" s="26">
        <v>1</v>
      </c>
      <c r="G77" s="26"/>
      <c r="H77" s="26" t="s">
        <v>899</v>
      </c>
      <c r="I77" s="26" t="s">
        <v>1918</v>
      </c>
    </row>
    <row r="78" spans="2:9" x14ac:dyDescent="0.25">
      <c r="B78" s="26">
        <f t="shared" si="1"/>
        <v>75</v>
      </c>
      <c r="C78" s="27">
        <v>46174</v>
      </c>
      <c r="D78" s="28" t="s">
        <v>997</v>
      </c>
      <c r="E78" s="29" t="str">
        <f>_xlfn.XLOOKUP(Table7[[#This Row],[Malın kodu]],Table4[Malın kodu],Table4[Malın adı],"Xəta",0)</f>
        <v>Filtr/ yağ/ ZP 3375 MG/ "Fil"/ Türkiyə istehsalı</v>
      </c>
      <c r="F78" s="26">
        <v>1</v>
      </c>
      <c r="G78" s="26"/>
      <c r="H78" s="26" t="s">
        <v>899</v>
      </c>
      <c r="I78" s="26" t="s">
        <v>1918</v>
      </c>
    </row>
    <row r="79" spans="2:9" x14ac:dyDescent="0.25">
      <c r="B79" s="26">
        <f t="shared" si="1"/>
        <v>76</v>
      </c>
      <c r="C79" s="27">
        <v>46174</v>
      </c>
      <c r="D79" s="28" t="s">
        <v>998</v>
      </c>
      <c r="E79" s="29" t="str">
        <f>_xlfn.XLOOKUP(Table7[[#This Row],[Malın kodu]],Table4[Malın kodu],Table4[Malın adı],"Xəta",0)</f>
        <v>Filtr/ yağ/ DS 1169/ "Delsa"/ Türkiyə istehsalı</v>
      </c>
      <c r="F79" s="26">
        <v>1</v>
      </c>
      <c r="G79" s="26"/>
      <c r="H79" s="26" t="s">
        <v>899</v>
      </c>
      <c r="I79" s="26" t="s">
        <v>1918</v>
      </c>
    </row>
    <row r="80" spans="2:9" x14ac:dyDescent="0.25">
      <c r="B80" s="26">
        <f t="shared" si="1"/>
        <v>77</v>
      </c>
      <c r="C80" s="27">
        <v>46174</v>
      </c>
      <c r="D80" s="28" t="s">
        <v>999</v>
      </c>
      <c r="E80" s="29" t="str">
        <f>_xlfn.XLOOKUP(Table7[[#This Row],[Malın kodu]],Table4[Malın kodu],Table4[Malın adı],"Xəta",0)</f>
        <v>Filtr/ yağ/ BT 8417/ "Baldwin"/ ABŞ istehsalı</v>
      </c>
      <c r="F80" s="26">
        <v>1</v>
      </c>
      <c r="G80" s="26"/>
      <c r="H80" s="26" t="s">
        <v>899</v>
      </c>
      <c r="I80" s="26" t="s">
        <v>1918</v>
      </c>
    </row>
    <row r="81" spans="2:9" x14ac:dyDescent="0.25">
      <c r="B81" s="26">
        <f t="shared" si="1"/>
        <v>78</v>
      </c>
      <c r="C81" s="27">
        <v>46174</v>
      </c>
      <c r="D81" s="28" t="s">
        <v>1000</v>
      </c>
      <c r="E81" s="29" t="str">
        <f>_xlfn.XLOOKUP(Table7[[#This Row],[Malın kodu]],Table4[Malın kodu],Table4[Malın adı],"Xəta",0)</f>
        <v>Filtr/ hidravlik/ HF 6359/ "Fleetguard"/ ABŞ istehsalı</v>
      </c>
      <c r="F81" s="26">
        <v>1</v>
      </c>
      <c r="G81" s="26"/>
      <c r="H81" s="26" t="s">
        <v>899</v>
      </c>
      <c r="I81" s="26" t="s">
        <v>1918</v>
      </c>
    </row>
    <row r="82" spans="2:9" x14ac:dyDescent="0.25">
      <c r="B82" s="26">
        <f t="shared" si="1"/>
        <v>79</v>
      </c>
      <c r="C82" s="27">
        <v>46174</v>
      </c>
      <c r="D82" s="28" t="s">
        <v>1001</v>
      </c>
      <c r="E82" s="29" t="str">
        <f>_xlfn.XLOOKUP(Table7[[#This Row],[Malın kodu]],Table4[Malın kodu],Table4[Malın adı],"Xəta",0)</f>
        <v>Filtr/ hidravlik/ HF 35018/ "Fleetguard"/ ABŞ istehsalı</v>
      </c>
      <c r="F82" s="26">
        <v>1</v>
      </c>
      <c r="G82" s="26"/>
      <c r="H82" s="26" t="s">
        <v>899</v>
      </c>
      <c r="I82" s="26" t="s">
        <v>1918</v>
      </c>
    </row>
    <row r="83" spans="2:9" x14ac:dyDescent="0.25">
      <c r="B83" s="26">
        <f t="shared" si="1"/>
        <v>80</v>
      </c>
      <c r="C83" s="27">
        <v>46174</v>
      </c>
      <c r="D83" s="28" t="s">
        <v>1002</v>
      </c>
      <c r="E83" s="29" t="str">
        <f>_xlfn.XLOOKUP(Table7[[#This Row],[Malın kodu]],Table4[Malın kodu],Table4[Malın adı],"Xəta",0)</f>
        <v>Filtr/ su separatoru/ FS 1240/ "Fleetguard"/ Meksika istehsalı</v>
      </c>
      <c r="F83" s="26">
        <v>2</v>
      </c>
      <c r="G83" s="26"/>
      <c r="H83" s="26" t="s">
        <v>899</v>
      </c>
      <c r="I83" s="26" t="s">
        <v>1918</v>
      </c>
    </row>
    <row r="84" spans="2:9" x14ac:dyDescent="0.25">
      <c r="B84" s="26">
        <f t="shared" si="1"/>
        <v>81</v>
      </c>
      <c r="C84" s="27">
        <v>46174</v>
      </c>
      <c r="D84" s="28" t="s">
        <v>1003</v>
      </c>
      <c r="E84" s="29" t="str">
        <f>_xlfn.XLOOKUP(Table7[[#This Row],[Malın kodu]],Table4[Malın kodu],Table4[Malın adı],"Xəta",0)</f>
        <v>Filtr/ yanacaq/ FF167/ "Fleetguard"/ Türkiyə istehsalı</v>
      </c>
      <c r="F84" s="26">
        <v>3</v>
      </c>
      <c r="G84" s="26"/>
      <c r="H84" s="26" t="s">
        <v>899</v>
      </c>
      <c r="I84" s="26" t="s">
        <v>1918</v>
      </c>
    </row>
    <row r="85" spans="2:9" x14ac:dyDescent="0.25">
      <c r="B85" s="26">
        <f t="shared" si="1"/>
        <v>82</v>
      </c>
      <c r="C85" s="27">
        <v>46174</v>
      </c>
      <c r="D85" s="28" t="s">
        <v>1004</v>
      </c>
      <c r="E85" s="29" t="str">
        <f>_xlfn.XLOOKUP(Table7[[#This Row],[Malın kodu]],Table4[Malın kodu],Table4[Malın adı],"Xəta",0)</f>
        <v>Filtr/ yanacaq/ FF5089/ "Fleetguard"/ ABŞ istehsalı</v>
      </c>
      <c r="F85" s="26">
        <v>1</v>
      </c>
      <c r="G85" s="26"/>
      <c r="H85" s="26" t="s">
        <v>899</v>
      </c>
      <c r="I85" s="26" t="s">
        <v>1918</v>
      </c>
    </row>
    <row r="86" spans="2:9" x14ac:dyDescent="0.25">
      <c r="B86" s="26">
        <f t="shared" si="1"/>
        <v>83</v>
      </c>
      <c r="C86" s="27">
        <v>46174</v>
      </c>
      <c r="D86" s="28" t="s">
        <v>1005</v>
      </c>
      <c r="E86" s="29" t="str">
        <f>_xlfn.XLOOKUP(Table7[[#This Row],[Malın kodu]],Table4[Malın kodu],Table4[Malın adı],"Xəta",0)</f>
        <v>Filtr / hava / DR 5182 R / "Delsa" / Türkiyə istehsalı</v>
      </c>
      <c r="F86" s="26">
        <v>4</v>
      </c>
      <c r="G86" s="26"/>
      <c r="H86" s="26" t="s">
        <v>899</v>
      </c>
      <c r="I86" s="26" t="s">
        <v>1918</v>
      </c>
    </row>
    <row r="87" spans="2:9" x14ac:dyDescent="0.25">
      <c r="B87" s="26">
        <f t="shared" si="1"/>
        <v>84</v>
      </c>
      <c r="C87" s="27">
        <v>46174</v>
      </c>
      <c r="D87" s="28" t="s">
        <v>1006</v>
      </c>
      <c r="E87" s="29" t="str">
        <f>_xlfn.XLOOKUP(Table7[[#This Row],[Malın kodu]],Table4[Malın kodu],Table4[Malın adı],"Xəta",0)</f>
        <v>Filtr / hava / CR 0237 / 0238 / "Sampiyon" / Türkiyə istehsalı</v>
      </c>
      <c r="F87" s="26">
        <v>1</v>
      </c>
      <c r="G87" s="26"/>
      <c r="H87" s="26" t="s">
        <v>899</v>
      </c>
      <c r="I87" s="26" t="s">
        <v>1918</v>
      </c>
    </row>
    <row r="88" spans="2:9" x14ac:dyDescent="0.25">
      <c r="B88" s="26">
        <f t="shared" si="1"/>
        <v>85</v>
      </c>
      <c r="C88" s="27">
        <v>46174</v>
      </c>
      <c r="D88" s="28" t="s">
        <v>1007</v>
      </c>
      <c r="E88" s="29" t="str">
        <f>_xlfn.XLOOKUP(Table7[[#This Row],[Malın kodu]],Table4[Malın kodu],Table4[Malın adı],"Xəta",0)</f>
        <v>Filtr / hava / CR 0091 / 0092 / "Sampiyon" / Türkiyə istehsalı</v>
      </c>
      <c r="F88" s="26">
        <v>3</v>
      </c>
      <c r="G88" s="26"/>
      <c r="H88" s="26" t="s">
        <v>899</v>
      </c>
      <c r="I88" s="26" t="s">
        <v>1918</v>
      </c>
    </row>
    <row r="89" spans="2:9" x14ac:dyDescent="0.25">
      <c r="B89" s="26">
        <f t="shared" si="1"/>
        <v>86</v>
      </c>
      <c r="C89" s="27">
        <v>46174</v>
      </c>
      <c r="D89" s="28" t="s">
        <v>1008</v>
      </c>
      <c r="E89" s="29" t="str">
        <f>_xlfn.XLOOKUP(Table7[[#This Row],[Malın kodu]],Table4[Malın kodu],Table4[Malın adı],"Xəta",0)</f>
        <v>Filtr / hava / CR 0037 / 0038 / "Sampiyon" / Türkiyə istehsalı</v>
      </c>
      <c r="F89" s="26">
        <v>1</v>
      </c>
      <c r="G89" s="26"/>
      <c r="H89" s="26" t="s">
        <v>899</v>
      </c>
      <c r="I89" s="26" t="s">
        <v>1918</v>
      </c>
    </row>
    <row r="90" spans="2:9" ht="30" x14ac:dyDescent="0.25">
      <c r="B90" s="26">
        <f t="shared" si="1"/>
        <v>87</v>
      </c>
      <c r="C90" s="27">
        <v>46174</v>
      </c>
      <c r="D90" s="28" t="s">
        <v>1009</v>
      </c>
      <c r="E90" s="29" t="str">
        <f>_xlfn.XLOOKUP(Table7[[#This Row],[Malın kodu]],Table4[Malın kodu],Table4[Malın adı],"Xəta",0)</f>
        <v>Filtr / hava / 321-4302/ "CAT" 315 üçün / "CAT" / ABŞ istehsalı /  1</v>
      </c>
      <c r="F90" s="26">
        <v>1</v>
      </c>
      <c r="G90" s="26"/>
      <c r="H90" s="26" t="s">
        <v>899</v>
      </c>
      <c r="I90" s="26" t="s">
        <v>1918</v>
      </c>
    </row>
    <row r="91" spans="2:9" x14ac:dyDescent="0.25">
      <c r="B91" s="26">
        <f t="shared" si="1"/>
        <v>88</v>
      </c>
      <c r="C91" s="27">
        <v>46174</v>
      </c>
      <c r="D91" s="28" t="s">
        <v>1010</v>
      </c>
      <c r="E91" s="29" t="str">
        <f>_xlfn.XLOOKUP(Table7[[#This Row],[Malın kodu]],Table4[Malın kodu],Table4[Malın adı],"Xəta",0)</f>
        <v>Termostat / 235-4960 X / "CAT" / ABŞ istehsalı</v>
      </c>
      <c r="F91" s="26">
        <v>1</v>
      </c>
      <c r="G91" s="26"/>
      <c r="H91" s="26" t="s">
        <v>899</v>
      </c>
      <c r="I91" s="26" t="s">
        <v>1918</v>
      </c>
    </row>
    <row r="92" spans="2:9" x14ac:dyDescent="0.25">
      <c r="B92" s="26">
        <f t="shared" si="1"/>
        <v>89</v>
      </c>
      <c r="C92" s="27">
        <v>46174</v>
      </c>
      <c r="D92" s="28" t="s">
        <v>1011</v>
      </c>
      <c r="E92" s="29" t="str">
        <f>_xlfn.XLOOKUP(Table7[[#This Row],[Malın kodu]],Table4[Malın kodu],Table4[Malın adı],"Xəta",0)</f>
        <v>Filtr / hava / əl kompakteri üçün / Çin istehsalı</v>
      </c>
      <c r="F92" s="26">
        <v>2</v>
      </c>
      <c r="G92" s="26"/>
      <c r="H92" s="26" t="s">
        <v>899</v>
      </c>
      <c r="I92" s="26" t="s">
        <v>1918</v>
      </c>
    </row>
    <row r="93" spans="2:9" x14ac:dyDescent="0.25">
      <c r="B93" s="26">
        <f t="shared" si="1"/>
        <v>90</v>
      </c>
      <c r="C93" s="27">
        <v>46174</v>
      </c>
      <c r="D93" s="28" t="s">
        <v>1012</v>
      </c>
      <c r="E93" s="29" t="str">
        <f>_xlfn.XLOOKUP(Table7[[#This Row],[Malın kodu]],Table4[Malın kodu],Table4[Malın adı],"Xəta",0)</f>
        <v>Filtr / yanacaq / CR 091 C 25 R / "OMT" / İtaliya istehsalı</v>
      </c>
      <c r="F93" s="26">
        <v>4</v>
      </c>
      <c r="G93" s="26"/>
      <c r="H93" s="26" t="s">
        <v>899</v>
      </c>
      <c r="I93" s="26" t="s">
        <v>1918</v>
      </c>
    </row>
    <row r="94" spans="2:9" x14ac:dyDescent="0.25">
      <c r="B94" s="26">
        <f t="shared" si="1"/>
        <v>91</v>
      </c>
      <c r="C94" s="27">
        <v>46174</v>
      </c>
      <c r="D94" s="28" t="s">
        <v>1013</v>
      </c>
      <c r="E94" s="29" t="str">
        <f>_xlfn.XLOOKUP(Table7[[#This Row],[Malın kodu]],Table4[Malın kodu],Table4[Malın adı],"Xəta",0)</f>
        <v>Filtr / yanacaq / FF 5381 / "Fleetguard" / İtaliya istehsalı</v>
      </c>
      <c r="F94" s="26">
        <v>1</v>
      </c>
      <c r="G94" s="26"/>
      <c r="H94" s="26" t="s">
        <v>899</v>
      </c>
      <c r="I94" s="26" t="s">
        <v>1918</v>
      </c>
    </row>
    <row r="95" spans="2:9" x14ac:dyDescent="0.25">
      <c r="B95" s="26">
        <f t="shared" si="1"/>
        <v>92</v>
      </c>
      <c r="C95" s="27">
        <v>46174</v>
      </c>
      <c r="D95" s="28" t="s">
        <v>1014</v>
      </c>
      <c r="E95" s="29" t="str">
        <f>_xlfn.XLOOKUP(Table7[[#This Row],[Malın kodu]],Table4[Malın kodu],Table4[Malın adı],"Xəta",0)</f>
        <v>Filtr / hava / 3466687 / "Turbomax" / Çin istehsalı</v>
      </c>
      <c r="F95" s="26">
        <v>4</v>
      </c>
      <c r="G95" s="26"/>
      <c r="H95" s="26" t="s">
        <v>899</v>
      </c>
      <c r="I95" s="26" t="s">
        <v>1918</v>
      </c>
    </row>
    <row r="96" spans="2:9" x14ac:dyDescent="0.25">
      <c r="B96" s="26">
        <f t="shared" si="1"/>
        <v>93</v>
      </c>
      <c r="C96" s="27">
        <v>46174</v>
      </c>
      <c r="D96" s="28" t="s">
        <v>1015</v>
      </c>
      <c r="E96" s="29" t="str">
        <f>_xlfn.XLOOKUP(Table7[[#This Row],[Malın kodu]],Table4[Malın kodu],Table4[Malın adı],"Xəta",0)</f>
        <v>Filtr / hava / 3466688 / "Turbomax" / Çin istehsalı</v>
      </c>
      <c r="F96" s="26">
        <v>4</v>
      </c>
      <c r="G96" s="26"/>
      <c r="H96" s="26" t="s">
        <v>899</v>
      </c>
      <c r="I96" s="26" t="s">
        <v>1918</v>
      </c>
    </row>
    <row r="97" spans="2:9" ht="30" x14ac:dyDescent="0.25">
      <c r="B97" s="26">
        <f t="shared" si="1"/>
        <v>94</v>
      </c>
      <c r="C97" s="27">
        <v>46174</v>
      </c>
      <c r="D97" s="28" t="s">
        <v>1016</v>
      </c>
      <c r="E97" s="29" t="str">
        <f>_xlfn.XLOOKUP(Table7[[#This Row],[Malın kodu]],Table4[Malın kodu],Table4[Malın adı],"Xəta",0)</f>
        <v>Mufta / polietilen / elektrofizyon / d 63mm / 30V / "NTG" / Türkiyə istehsalı</v>
      </c>
      <c r="F97" s="26">
        <v>8</v>
      </c>
      <c r="G97" s="26"/>
      <c r="H97" s="26" t="s">
        <v>899</v>
      </c>
      <c r="I97" s="26" t="s">
        <v>1918</v>
      </c>
    </row>
    <row r="98" spans="2:9" ht="30" x14ac:dyDescent="0.25">
      <c r="B98" s="26">
        <f t="shared" si="1"/>
        <v>95</v>
      </c>
      <c r="C98" s="27">
        <v>46174</v>
      </c>
      <c r="D98" s="28" t="s">
        <v>1017</v>
      </c>
      <c r="E98" s="29" t="str">
        <f>_xlfn.XLOOKUP(Table7[[#This Row],[Malın kodu]],Table4[Malın kodu],Table4[Malın adı],"Xəta",0)</f>
        <v>Mufta / polietilen / elektrofizyon / d 63mm / 30V / "Borfit" / Türkiyə istehsalı</v>
      </c>
      <c r="F98" s="26">
        <v>16</v>
      </c>
      <c r="G98" s="26"/>
      <c r="H98" s="26" t="s">
        <v>899</v>
      </c>
      <c r="I98" s="26" t="s">
        <v>1918</v>
      </c>
    </row>
    <row r="99" spans="2:9" ht="30" x14ac:dyDescent="0.25">
      <c r="B99" s="26">
        <f t="shared" si="1"/>
        <v>96</v>
      </c>
      <c r="C99" s="27">
        <v>46174</v>
      </c>
      <c r="D99" s="28" t="s">
        <v>1018</v>
      </c>
      <c r="E99" s="29" t="str">
        <f>_xlfn.XLOOKUP(Table7[[#This Row],[Malın kodu]],Table4[Malın kodu],Table4[Malın adı],"Xəta",0)</f>
        <v>Mufta / polietilen / elektrofizyon / d 63mm / 40V / "Dokerler" / Türkiyə istehsalı</v>
      </c>
      <c r="F99" s="26">
        <v>21</v>
      </c>
      <c r="G99" s="26"/>
      <c r="H99" s="26" t="s">
        <v>899</v>
      </c>
      <c r="I99" s="26" t="s">
        <v>1918</v>
      </c>
    </row>
    <row r="100" spans="2:9" ht="30" x14ac:dyDescent="0.25">
      <c r="B100" s="26">
        <f t="shared" si="1"/>
        <v>97</v>
      </c>
      <c r="C100" s="27">
        <v>46174</v>
      </c>
      <c r="D100" s="28" t="s">
        <v>1019</v>
      </c>
      <c r="E100" s="29" t="str">
        <f>_xlfn.XLOOKUP(Table7[[#This Row],[Malın kodu]],Table4[Malın kodu],Table4[Malın adı],"Xəta",0)</f>
        <v>Mufta / polietilen / elektrofizyon / d 50mm / 35V / "Borfit" / Türkiyə istehsalı</v>
      </c>
      <c r="F100" s="26">
        <v>9</v>
      </c>
      <c r="G100" s="26"/>
      <c r="H100" s="26" t="s">
        <v>899</v>
      </c>
      <c r="I100" s="26" t="s">
        <v>1918</v>
      </c>
    </row>
    <row r="101" spans="2:9" ht="30" x14ac:dyDescent="0.25">
      <c r="B101" s="26">
        <f t="shared" si="1"/>
        <v>98</v>
      </c>
      <c r="C101" s="27">
        <v>46174</v>
      </c>
      <c r="D101" s="28" t="s">
        <v>1020</v>
      </c>
      <c r="E101" s="29" t="str">
        <f>_xlfn.XLOOKUP(Table7[[#This Row],[Malın kodu]],Table4[Malın kodu],Table4[Malın adı],"Xəta",0)</f>
        <v>Xamut / polietilen / elektrofizyon / d 63mm / "Georg Fisher" / İsveçrə istehsalı</v>
      </c>
      <c r="F101" s="26">
        <v>1</v>
      </c>
      <c r="G101" s="26"/>
      <c r="H101" s="26" t="s">
        <v>899</v>
      </c>
      <c r="I101" s="26" t="s">
        <v>1918</v>
      </c>
    </row>
    <row r="102" spans="2:9" x14ac:dyDescent="0.25">
      <c r="B102" s="26">
        <f t="shared" si="1"/>
        <v>99</v>
      </c>
      <c r="C102" s="27">
        <v>46174</v>
      </c>
      <c r="D102" s="28" t="s">
        <v>1021</v>
      </c>
      <c r="E102" s="29" t="str">
        <f>_xlfn.XLOOKUP(Table7[[#This Row],[Malın kodu]],Table4[Malın kodu],Table4[Malın adı],"Xəta",0)</f>
        <v>Keçid / polietilen / d 63-50mm</v>
      </c>
      <c r="F102" s="26">
        <v>2</v>
      </c>
      <c r="G102" s="26"/>
      <c r="H102" s="26" t="s">
        <v>899</v>
      </c>
      <c r="I102" s="26" t="s">
        <v>1918</v>
      </c>
    </row>
    <row r="103" spans="2:9" x14ac:dyDescent="0.25">
      <c r="B103" s="26">
        <f t="shared" si="1"/>
        <v>100</v>
      </c>
      <c r="C103" s="27">
        <v>46174</v>
      </c>
      <c r="D103" s="28" t="s">
        <v>1022</v>
      </c>
      <c r="E103" s="29" t="str">
        <f>_xlfn.XLOOKUP(Table7[[#This Row],[Malın kodu]],Table4[Malın kodu],Table4[Malın adı],"Xəta",0)</f>
        <v>Qapaq / polietilen / d 110mm / "Borfit"/ Türkiyə istehsalı</v>
      </c>
      <c r="F103" s="26">
        <v>2</v>
      </c>
      <c r="G103" s="26"/>
      <c r="H103" s="26" t="s">
        <v>899</v>
      </c>
      <c r="I103" s="26" t="s">
        <v>1918</v>
      </c>
    </row>
    <row r="104" spans="2:9" x14ac:dyDescent="0.25">
      <c r="B104" s="26">
        <f t="shared" si="1"/>
        <v>101</v>
      </c>
      <c r="C104" s="27">
        <v>46174</v>
      </c>
      <c r="D104" s="28" t="s">
        <v>1023</v>
      </c>
      <c r="E104" s="29" t="str">
        <f>_xlfn.XLOOKUP(Table7[[#This Row],[Malın kodu]],Table4[Malın kodu],Table4[Malın adı],"Xəta",0)</f>
        <v>Üçlük / polietilen / d 63-32mm / "Borfit"/ Türkiyə istehsalı</v>
      </c>
      <c r="F104" s="26">
        <v>7</v>
      </c>
      <c r="G104" s="26"/>
      <c r="H104" s="26" t="s">
        <v>899</v>
      </c>
      <c r="I104" s="26" t="s">
        <v>1918</v>
      </c>
    </row>
    <row r="105" spans="2:9" x14ac:dyDescent="0.25">
      <c r="B105" s="26">
        <f t="shared" si="1"/>
        <v>102</v>
      </c>
      <c r="C105" s="27">
        <v>46174</v>
      </c>
      <c r="D105" s="28" t="s">
        <v>1024</v>
      </c>
      <c r="E105" s="29" t="str">
        <f>_xlfn.XLOOKUP(Table7[[#This Row],[Malın kodu]],Table4[Malın kodu],Table4[Malın adı],"Xəta",0)</f>
        <v>Dirsək / polietilen / d 63mm</v>
      </c>
      <c r="F105" s="26">
        <v>1</v>
      </c>
      <c r="G105" s="26"/>
      <c r="H105" s="26" t="s">
        <v>899</v>
      </c>
      <c r="I105" s="26" t="s">
        <v>1918</v>
      </c>
    </row>
    <row r="106" spans="2:9" x14ac:dyDescent="0.25">
      <c r="B106" s="26">
        <f t="shared" si="1"/>
        <v>103</v>
      </c>
      <c r="C106" s="27">
        <v>46174</v>
      </c>
      <c r="D106" s="28" t="s">
        <v>1025</v>
      </c>
      <c r="E106" s="29" t="str">
        <f>_xlfn.XLOOKUP(Table7[[#This Row],[Malın kodu]],Table4[Malın kodu],Table4[Malın adı],"Xəta",0)</f>
        <v>Dirsək / polietilen / d 160mm / "Tega" / Türkiyə istehsalı</v>
      </c>
      <c r="F106" s="26">
        <v>6</v>
      </c>
      <c r="G106" s="26"/>
      <c r="H106" s="26" t="s">
        <v>899</v>
      </c>
      <c r="I106" s="26" t="s">
        <v>1918</v>
      </c>
    </row>
    <row r="107" spans="2:9" x14ac:dyDescent="0.25">
      <c r="B107" s="26">
        <f t="shared" si="1"/>
        <v>104</v>
      </c>
      <c r="C107" s="27">
        <v>46174</v>
      </c>
      <c r="D107" s="28" t="s">
        <v>1026</v>
      </c>
      <c r="E107" s="29" t="str">
        <f>_xlfn.XLOOKUP(Table7[[#This Row],[Malın kodu]],Table4[Malın kodu],Table4[Malın adı],"Xəta",0)</f>
        <v>Üçlük / PVC-UH / d 160mm / "Pimtaş" / Türkiyə istehsalı</v>
      </c>
      <c r="F107" s="26">
        <v>3</v>
      </c>
      <c r="G107" s="26"/>
      <c r="H107" s="26" t="s">
        <v>899</v>
      </c>
      <c r="I107" s="26" t="s">
        <v>1918</v>
      </c>
    </row>
    <row r="108" spans="2:9" x14ac:dyDescent="0.25">
      <c r="B108" s="26">
        <f t="shared" si="1"/>
        <v>105</v>
      </c>
      <c r="C108" s="27">
        <v>46174</v>
      </c>
      <c r="D108" s="28" t="s">
        <v>1027</v>
      </c>
      <c r="E108" s="29" t="str">
        <f>_xlfn.XLOOKUP(Table7[[#This Row],[Malın kodu]],Table4[Malın kodu],Table4[Malın adı],"Xəta",0)</f>
        <v>Birləşdirici / polietilen / çöl yivli / d 63mm / Türkiyə istehsalı</v>
      </c>
      <c r="F108" s="26">
        <v>15</v>
      </c>
      <c r="G108" s="26"/>
      <c r="H108" s="26" t="s">
        <v>899</v>
      </c>
      <c r="I108" s="26" t="s">
        <v>1918</v>
      </c>
    </row>
    <row r="109" spans="2:9" x14ac:dyDescent="0.25">
      <c r="B109" s="26">
        <f t="shared" si="1"/>
        <v>106</v>
      </c>
      <c r="C109" s="27">
        <v>46174</v>
      </c>
      <c r="D109" s="28" t="s">
        <v>1028</v>
      </c>
      <c r="E109" s="29" t="str">
        <f>_xlfn.XLOOKUP(Table7[[#This Row],[Malın kodu]],Table4[Malın kodu],Table4[Malın adı],"Xəta",0)</f>
        <v>Üçlük / PVC / d 110mm / "Hill FUN" / Türkiyə istehsalı</v>
      </c>
      <c r="F109" s="26">
        <v>2</v>
      </c>
      <c r="G109" s="26"/>
      <c r="H109" s="26" t="s">
        <v>899</v>
      </c>
      <c r="I109" s="26" t="s">
        <v>1918</v>
      </c>
    </row>
    <row r="110" spans="2:9" x14ac:dyDescent="0.25">
      <c r="B110" s="26">
        <f t="shared" si="1"/>
        <v>107</v>
      </c>
      <c r="C110" s="27">
        <v>46174</v>
      </c>
      <c r="D110" s="28" t="s">
        <v>1029</v>
      </c>
      <c r="E110" s="29" t="str">
        <f>_xlfn.XLOOKUP(Table7[[#This Row],[Malın kodu]],Table4[Malın kodu],Table4[Malın adı],"Xəta",0)</f>
        <v>Dirsək / polietilen / d 32mm / "Borfit" / Türkiyə istehsalı</v>
      </c>
      <c r="F110" s="26">
        <v>12</v>
      </c>
      <c r="G110" s="26"/>
      <c r="H110" s="26" t="s">
        <v>899</v>
      </c>
      <c r="I110" s="26" t="s">
        <v>1918</v>
      </c>
    </row>
    <row r="111" spans="2:9" x14ac:dyDescent="0.25">
      <c r="B111" s="26">
        <f t="shared" si="1"/>
        <v>108</v>
      </c>
      <c r="C111" s="27">
        <v>46174</v>
      </c>
      <c r="D111" s="28" t="s">
        <v>1030</v>
      </c>
      <c r="E111" s="29" t="str">
        <f>_xlfn.XLOOKUP(Table7[[#This Row],[Malın kodu]],Table4[Malın kodu],Table4[Malın adı],"Xəta",0)</f>
        <v>Üçlük / polietilen / d 32mm / "Borfit" / Türkiyə istehsalı</v>
      </c>
      <c r="F111" s="26">
        <v>4</v>
      </c>
      <c r="G111" s="26"/>
      <c r="H111" s="26" t="s">
        <v>899</v>
      </c>
      <c r="I111" s="26" t="s">
        <v>1918</v>
      </c>
    </row>
    <row r="112" spans="2:9" ht="30" x14ac:dyDescent="0.25">
      <c r="B112" s="26">
        <f t="shared" si="1"/>
        <v>109</v>
      </c>
      <c r="C112" s="27">
        <v>46174</v>
      </c>
      <c r="D112" s="28" t="s">
        <v>1031</v>
      </c>
      <c r="E112" s="29" t="str">
        <f>_xlfn.XLOOKUP(Table7[[#This Row],[Malın kodu]],Table4[Malın kodu],Table4[Malın adı],"Xəta",0)</f>
        <v>Birləşdirici / polietilen / çöl yivli / d 32mm / "Borfit" / Türkiyə istehsalı</v>
      </c>
      <c r="F112" s="26">
        <v>5</v>
      </c>
      <c r="G112" s="26"/>
      <c r="H112" s="26" t="s">
        <v>899</v>
      </c>
      <c r="I112" s="26" t="s">
        <v>1918</v>
      </c>
    </row>
    <row r="113" spans="2:9" x14ac:dyDescent="0.25">
      <c r="B113" s="26">
        <f t="shared" si="1"/>
        <v>110</v>
      </c>
      <c r="C113" s="27">
        <v>46174</v>
      </c>
      <c r="D113" s="28" t="s">
        <v>1032</v>
      </c>
      <c r="E113" s="29" t="str">
        <f>_xlfn.XLOOKUP(Table7[[#This Row],[Malın kodu]],Table4[Malın kodu],Table4[Malın adı],"Xəta",0)</f>
        <v>Qapaq / polietilen / d 32mm / "Borfit" / Türkiyə istehsalı</v>
      </c>
      <c r="F113" s="26">
        <v>11</v>
      </c>
      <c r="G113" s="26"/>
      <c r="H113" s="26" t="s">
        <v>899</v>
      </c>
      <c r="I113" s="26" t="s">
        <v>1918</v>
      </c>
    </row>
    <row r="114" spans="2:9" x14ac:dyDescent="0.25">
      <c r="B114" s="26">
        <f t="shared" si="1"/>
        <v>111</v>
      </c>
      <c r="C114" s="27">
        <v>46174</v>
      </c>
      <c r="D114" s="28" t="s">
        <v>1033</v>
      </c>
      <c r="E114" s="29" t="str">
        <f>_xlfn.XLOOKUP(Table7[[#This Row],[Malın kodu]],Table4[Malın kodu],Table4[Malın adı],"Xəta",0)</f>
        <v>Su filtri / d 20 mm / polipropilen / A</v>
      </c>
      <c r="F114" s="26">
        <v>291</v>
      </c>
      <c r="G114" s="26"/>
      <c r="H114" s="26" t="s">
        <v>899</v>
      </c>
      <c r="I114" s="26" t="s">
        <v>1918</v>
      </c>
    </row>
    <row r="115" spans="2:9" x14ac:dyDescent="0.25">
      <c r="B115" s="26">
        <f t="shared" si="1"/>
        <v>112</v>
      </c>
      <c r="C115" s="27">
        <v>46174</v>
      </c>
      <c r="D115" s="28" t="s">
        <v>1034</v>
      </c>
      <c r="E115" s="29" t="str">
        <f>_xlfn.XLOOKUP(Table7[[#This Row],[Malın kodu]],Table4[Malın kodu],Table4[Malın adı],"Xəta",0)</f>
        <v>Qapaq / polipropilen / d 20 mm / Metal / Türkiyə</v>
      </c>
      <c r="F115" s="26">
        <v>3</v>
      </c>
      <c r="G115" s="26"/>
      <c r="H115" s="26" t="s">
        <v>899</v>
      </c>
      <c r="I115" s="26" t="s">
        <v>1918</v>
      </c>
    </row>
    <row r="116" spans="2:9" x14ac:dyDescent="0.25">
      <c r="B116" s="26">
        <f t="shared" si="1"/>
        <v>113</v>
      </c>
      <c r="C116" s="27">
        <v>46174</v>
      </c>
      <c r="D116" s="28" t="s">
        <v>1035</v>
      </c>
      <c r="E116" s="29" t="str">
        <f>_xlfn.XLOOKUP(Table7[[#This Row],[Malın kodu]],Table4[Malın kodu],Table4[Malın adı],"Xəta",0)</f>
        <v>Mufta / d 20 mm / polipropilen / A</v>
      </c>
      <c r="F116" s="26">
        <v>1</v>
      </c>
      <c r="G116" s="26"/>
      <c r="H116" s="26" t="s">
        <v>899</v>
      </c>
      <c r="I116" s="26" t="s">
        <v>1918</v>
      </c>
    </row>
    <row r="117" spans="2:9" x14ac:dyDescent="0.25">
      <c r="B117" s="26">
        <f t="shared" si="1"/>
        <v>114</v>
      </c>
      <c r="C117" s="27">
        <v>46174</v>
      </c>
      <c r="D117" s="28" t="s">
        <v>1036</v>
      </c>
      <c r="E117" s="29" t="str">
        <f>_xlfn.XLOOKUP(Table7[[#This Row],[Malın kodu]],Table4[Malın kodu],Table4[Malın adı],"Xəta",0)</f>
        <v>Tıxac/ vint üçün/ 10 mm/ plastik/ "Metak"</v>
      </c>
      <c r="F117" s="26">
        <v>2</v>
      </c>
      <c r="G117" s="26"/>
      <c r="H117" s="26" t="s">
        <v>899</v>
      </c>
      <c r="I117" s="26" t="s">
        <v>1918</v>
      </c>
    </row>
    <row r="118" spans="2:9" x14ac:dyDescent="0.25">
      <c r="B118" s="26">
        <f t="shared" si="1"/>
        <v>115</v>
      </c>
      <c r="C118" s="27">
        <v>46174</v>
      </c>
      <c r="D118" s="28" t="s">
        <v>1037</v>
      </c>
      <c r="E118" s="29" t="str">
        <f>_xlfn.XLOOKUP(Table7[[#This Row],[Malın kodu]],Table4[Malın kodu],Table4[Malın adı],"Xəta",0)</f>
        <v>Tıxac/ vint üçün/ 8 mm/ plastik/ "Metak"</v>
      </c>
      <c r="F118" s="26">
        <v>4</v>
      </c>
      <c r="G118" s="26"/>
      <c r="H118" s="26" t="s">
        <v>899</v>
      </c>
      <c r="I118" s="26" t="s">
        <v>1918</v>
      </c>
    </row>
    <row r="119" spans="2:9" x14ac:dyDescent="0.25">
      <c r="B119" s="26">
        <f t="shared" si="1"/>
        <v>116</v>
      </c>
      <c r="C119" s="27">
        <v>46174</v>
      </c>
      <c r="D119" s="28" t="s">
        <v>1038</v>
      </c>
      <c r="E119" s="29" t="str">
        <f>_xlfn.XLOOKUP(Table7[[#This Row],[Malın kodu]],Table4[Malın kodu],Table4[Malın adı],"Xəta",0)</f>
        <v>İzolyasiya materialı / boru üçün / PE / "Qingdao"/ Çin istehsalı</v>
      </c>
      <c r="F119" s="26">
        <v>10</v>
      </c>
      <c r="G119" s="26"/>
      <c r="H119" s="26" t="s">
        <v>899</v>
      </c>
      <c r="I119" s="26" t="s">
        <v>1918</v>
      </c>
    </row>
    <row r="120" spans="2:9" ht="30" x14ac:dyDescent="0.25">
      <c r="B120" s="26">
        <f t="shared" si="1"/>
        <v>117</v>
      </c>
      <c r="C120" s="27">
        <v>46174</v>
      </c>
      <c r="D120" s="28" t="s">
        <v>1039</v>
      </c>
      <c r="E120" s="29" t="str">
        <f>_xlfn.XLOOKUP(Table7[[#This Row],[Malın kodu]],Table4[Malın kodu],Table4[Malın adı],"Xəta",0)</f>
        <v>Elektrik soket /16 Amp / IP44 / Type 114 / "Botric"/ Türkiyə istehsalı</v>
      </c>
      <c r="F120" s="26">
        <v>8</v>
      </c>
      <c r="G120" s="26"/>
      <c r="H120" s="26" t="s">
        <v>899</v>
      </c>
      <c r="I120" s="26" t="s">
        <v>1918</v>
      </c>
    </row>
    <row r="121" spans="2:9" x14ac:dyDescent="0.25">
      <c r="B121" s="26">
        <f t="shared" si="1"/>
        <v>118</v>
      </c>
      <c r="C121" s="27">
        <v>46174</v>
      </c>
      <c r="D121" s="28" t="s">
        <v>1040</v>
      </c>
      <c r="E121" s="29" t="str">
        <f>_xlfn.XLOOKUP(Table7[[#This Row],[Malın kodu]],Table4[Malın kodu],Table4[Malın adı],"Xəta",0)</f>
        <v>Elektrik soket/ 16 Amp/ IP44/ Type 014/ "Botric"/ Türkiyə istehsalı</v>
      </c>
      <c r="F121" s="26">
        <v>8</v>
      </c>
      <c r="G121" s="26"/>
      <c r="H121" s="26" t="s">
        <v>899</v>
      </c>
      <c r="I121" s="26" t="s">
        <v>1918</v>
      </c>
    </row>
    <row r="122" spans="2:9" x14ac:dyDescent="0.25">
      <c r="B122" s="26">
        <f t="shared" si="1"/>
        <v>119</v>
      </c>
      <c r="C122" s="27">
        <v>46174</v>
      </c>
      <c r="D122" s="28" t="s">
        <v>1041</v>
      </c>
      <c r="E122" s="29" t="str">
        <f>_xlfn.XLOOKUP(Table7[[#This Row],[Malın kodu]],Table4[Malın kodu],Table4[Malın adı],"Xəta",0)</f>
        <v>Elektrik soket/ 63 Amp/ IP67/ Type 234/ "Botric"/ Türkiyə istehsalı</v>
      </c>
      <c r="F122" s="26">
        <v>3</v>
      </c>
      <c r="G122" s="26"/>
      <c r="H122" s="26" t="s">
        <v>899</v>
      </c>
      <c r="I122" s="26" t="s">
        <v>1918</v>
      </c>
    </row>
    <row r="123" spans="2:9" x14ac:dyDescent="0.25">
      <c r="B123" s="26">
        <f t="shared" si="1"/>
        <v>120</v>
      </c>
      <c r="C123" s="27">
        <v>46174</v>
      </c>
      <c r="D123" s="28" t="s">
        <v>1042</v>
      </c>
      <c r="E123" s="29" t="str">
        <f>_xlfn.XLOOKUP(Table7[[#This Row],[Malın kodu]],Table4[Malın kodu],Table4[Malın adı],"Xəta",0)</f>
        <v>Doldurma tapançası/ 600ml</v>
      </c>
      <c r="F123" s="26">
        <v>3</v>
      </c>
      <c r="G123" s="26"/>
      <c r="H123" s="26" t="s">
        <v>899</v>
      </c>
      <c r="I123" s="26" t="s">
        <v>1918</v>
      </c>
    </row>
    <row r="124" spans="2:9" ht="30" x14ac:dyDescent="0.25">
      <c r="B124" s="26">
        <f t="shared" si="1"/>
        <v>121</v>
      </c>
      <c r="C124" s="27">
        <v>46174</v>
      </c>
      <c r="D124" s="28" t="s">
        <v>1043</v>
      </c>
      <c r="E124" s="29" t="str">
        <f>_xlfn.XLOOKUP(Table7[[#This Row],[Malın kodu]],Table4[Malın kodu],Table4[Malın adı],"Xəta",0)</f>
        <v>Cihaz / rütubət ölçən / 160°C / "Radwag" / MA 50.R / Polşa istehsalı</v>
      </c>
      <c r="F124" s="26">
        <v>1</v>
      </c>
      <c r="G124" s="26"/>
      <c r="H124" s="26" t="s">
        <v>899</v>
      </c>
      <c r="I124" s="26" t="s">
        <v>1918</v>
      </c>
    </row>
    <row r="125" spans="2:9" x14ac:dyDescent="0.25">
      <c r="B125" s="26">
        <f t="shared" si="1"/>
        <v>122</v>
      </c>
      <c r="C125" s="27">
        <v>46174</v>
      </c>
      <c r="D125" s="28" t="s">
        <v>1044</v>
      </c>
      <c r="E125" s="29" t="str">
        <f>_xlfn.XLOOKUP(Table7[[#This Row],[Malın kodu]],Table4[Malın kodu],Table4[Malın adı],"Xəta",0)</f>
        <v>Qum saatı</v>
      </c>
      <c r="F125" s="26">
        <v>1</v>
      </c>
      <c r="G125" s="26"/>
      <c r="H125" s="26" t="s">
        <v>899</v>
      </c>
      <c r="I125" s="26" t="s">
        <v>1918</v>
      </c>
    </row>
    <row r="126" spans="2:9" x14ac:dyDescent="0.25">
      <c r="B126" s="26">
        <f t="shared" si="1"/>
        <v>123</v>
      </c>
      <c r="C126" s="27">
        <v>46174</v>
      </c>
      <c r="D126" s="28" t="s">
        <v>1045</v>
      </c>
      <c r="E126" s="29" t="str">
        <f>_xlfn.XLOOKUP(Table7[[#This Row],[Malın kodu]],Table4[Malın kodu],Table4[Malın adı],"Xəta",0)</f>
        <v>İp / kapron / tikinti</v>
      </c>
      <c r="F126" s="26">
        <v>10</v>
      </c>
      <c r="G126" s="26"/>
      <c r="H126" s="26" t="s">
        <v>899</v>
      </c>
      <c r="I126" s="26" t="s">
        <v>1918</v>
      </c>
    </row>
    <row r="127" spans="2:9" x14ac:dyDescent="0.25">
      <c r="B127" s="26">
        <f t="shared" si="1"/>
        <v>124</v>
      </c>
      <c r="C127" s="27">
        <v>46174</v>
      </c>
      <c r="D127" s="28" t="s">
        <v>1046</v>
      </c>
      <c r="E127" s="29" t="str">
        <f>_xlfn.XLOOKUP(Table7[[#This Row],[Malın kodu]],Table4[Malın kodu],Table4[Malın adı],"Xəta",0)</f>
        <v>Qutu / plastik / su sayğacı üçün</v>
      </c>
      <c r="F127" s="26">
        <v>1</v>
      </c>
      <c r="G127" s="26"/>
      <c r="H127" s="26" t="s">
        <v>899</v>
      </c>
      <c r="I127" s="26" t="s">
        <v>1918</v>
      </c>
    </row>
    <row r="128" spans="2:9" ht="30" x14ac:dyDescent="0.25">
      <c r="B128" s="26">
        <f t="shared" si="1"/>
        <v>125</v>
      </c>
      <c r="C128" s="27">
        <v>46174</v>
      </c>
      <c r="D128" s="28" t="s">
        <v>1047</v>
      </c>
      <c r="E128" s="29" t="str">
        <f>_xlfn.XLOOKUP(Table7[[#This Row],[Malın kodu]],Table4[Malın kodu],Table4[Malın adı],"Xəta",0)</f>
        <v>Monitor / kompüter üçün / 23,8 inch / "Dell" / SE2416H / Çin istehsalı</v>
      </c>
      <c r="F128" s="26">
        <v>1</v>
      </c>
      <c r="G128" s="26"/>
      <c r="H128" s="26" t="s">
        <v>899</v>
      </c>
      <c r="I128" s="26" t="s">
        <v>1918</v>
      </c>
    </row>
    <row r="129" spans="2:9" x14ac:dyDescent="0.25">
      <c r="B129" s="26">
        <f t="shared" si="1"/>
        <v>126</v>
      </c>
      <c r="C129" s="27">
        <v>46174</v>
      </c>
      <c r="D129" s="28" t="s">
        <v>1048</v>
      </c>
      <c r="E129" s="29" t="str">
        <f>_xlfn.XLOOKUP(Table7[[#This Row],[Malın kodu]],Table4[Malın kodu],Table4[Malın adı],"Xəta",0)</f>
        <v>Monitor / kompüter üçün / 21,45 inch / "HP" / V2265 / Çin istehsalı</v>
      </c>
      <c r="F129" s="26">
        <v>1</v>
      </c>
      <c r="G129" s="26"/>
      <c r="H129" s="26" t="s">
        <v>899</v>
      </c>
      <c r="I129" s="26" t="s">
        <v>1918</v>
      </c>
    </row>
    <row r="130" spans="2:9" ht="30" x14ac:dyDescent="0.25">
      <c r="B130" s="26">
        <f t="shared" si="1"/>
        <v>127</v>
      </c>
      <c r="C130" s="27">
        <v>46174</v>
      </c>
      <c r="D130" s="28" t="s">
        <v>1049</v>
      </c>
      <c r="E130" s="29" t="str">
        <f>_xlfn.XLOOKUP(Table7[[#This Row],[Malın kodu]],Table4[Malın kodu],Table4[Malın adı],"Xəta",0)</f>
        <v>Monitor / kompüter üçün / 17 inch / "Sony" / SDM-HS74 / Çin istehsalı</v>
      </c>
      <c r="F130" s="26">
        <v>1</v>
      </c>
      <c r="G130" s="26"/>
      <c r="H130" s="26" t="s">
        <v>899</v>
      </c>
      <c r="I130" s="26" t="s">
        <v>1918</v>
      </c>
    </row>
    <row r="131" spans="2:9" x14ac:dyDescent="0.25">
      <c r="B131" s="26">
        <f t="shared" si="1"/>
        <v>128</v>
      </c>
      <c r="C131" s="27">
        <v>46174</v>
      </c>
      <c r="D131" s="28" t="s">
        <v>1050</v>
      </c>
      <c r="E131" s="29" t="str">
        <f>_xlfn.XLOOKUP(Table7[[#This Row],[Malın kodu]],Table4[Malın kodu],Table4[Malın adı],"Xəta",0)</f>
        <v>Monitor / 20 inch / "HP" / HP 2011X / Çin istehsalı</v>
      </c>
      <c r="F131" s="26">
        <v>1</v>
      </c>
      <c r="G131" s="26"/>
      <c r="H131" s="26" t="s">
        <v>899</v>
      </c>
      <c r="I131" s="26" t="s">
        <v>1918</v>
      </c>
    </row>
    <row r="132" spans="2:9" x14ac:dyDescent="0.25">
      <c r="B132" s="26">
        <f t="shared" ref="B132:B195" si="2">ROW()-3</f>
        <v>129</v>
      </c>
      <c r="C132" s="27">
        <v>46174</v>
      </c>
      <c r="D132" s="28" t="s">
        <v>1051</v>
      </c>
      <c r="E132" s="29" t="str">
        <f>_xlfn.XLOOKUP(Table7[[#This Row],[Malın kodu]],Table4[Malın kodu],Table4[Malın adı],"Xəta",0)</f>
        <v>Monitor / 18,5 inch / "PHILIPS" / 200V4L / Çin istehsalı</v>
      </c>
      <c r="F132" s="26">
        <v>1</v>
      </c>
      <c r="G132" s="26"/>
      <c r="H132" s="26" t="s">
        <v>899</v>
      </c>
      <c r="I132" s="26" t="s">
        <v>1918</v>
      </c>
    </row>
    <row r="133" spans="2:9" x14ac:dyDescent="0.25">
      <c r="B133" s="26">
        <f t="shared" si="2"/>
        <v>130</v>
      </c>
      <c r="C133" s="27">
        <v>46174</v>
      </c>
      <c r="D133" s="28" t="s">
        <v>1052</v>
      </c>
      <c r="E133" s="29" t="str">
        <f>_xlfn.XLOOKUP(Table7[[#This Row],[Malın kodu]],Table4[Malın kodu],Table4[Malın adı],"Xəta",0)</f>
        <v>TV / 23,6 inch / "LG" / 24MT47V-PZ / Koreya istehsalı</v>
      </c>
      <c r="F133" s="26">
        <v>1</v>
      </c>
      <c r="G133" s="26"/>
      <c r="H133" s="26" t="s">
        <v>899</v>
      </c>
      <c r="I133" s="26" t="s">
        <v>1918</v>
      </c>
    </row>
    <row r="134" spans="2:9" x14ac:dyDescent="0.25">
      <c r="B134" s="26">
        <f t="shared" si="2"/>
        <v>131</v>
      </c>
      <c r="C134" s="27">
        <v>46174</v>
      </c>
      <c r="D134" s="28" t="s">
        <v>1053</v>
      </c>
      <c r="E134" s="29" t="str">
        <f>_xlfn.XLOOKUP(Table7[[#This Row],[Malın kodu]],Table4[Malın kodu],Table4[Malın adı],"Xəta",0)</f>
        <v>Prosessor / T6 / "Zalman"</v>
      </c>
      <c r="F134" s="26">
        <v>1</v>
      </c>
      <c r="G134" s="26"/>
      <c r="H134" s="26" t="s">
        <v>899</v>
      </c>
      <c r="I134" s="26" t="s">
        <v>1918</v>
      </c>
    </row>
    <row r="135" spans="2:9" x14ac:dyDescent="0.25">
      <c r="B135" s="26">
        <f t="shared" si="2"/>
        <v>132</v>
      </c>
      <c r="C135" s="27">
        <v>46174</v>
      </c>
      <c r="D135" s="28" t="s">
        <v>1054</v>
      </c>
      <c r="E135" s="29" t="str">
        <f>_xlfn.XLOOKUP(Table7[[#This Row],[Malın kodu]],Table4[Malın kodu],Table4[Malın adı],"Xəta",0)</f>
        <v>Personal kompüter / Intel Core 2 Duo / "HP" / Compaq DX7400</v>
      </c>
      <c r="F135" s="26">
        <v>1</v>
      </c>
      <c r="G135" s="26"/>
      <c r="H135" s="26" t="s">
        <v>899</v>
      </c>
      <c r="I135" s="26" t="s">
        <v>1918</v>
      </c>
    </row>
    <row r="136" spans="2:9" x14ac:dyDescent="0.25">
      <c r="B136" s="26">
        <f t="shared" si="2"/>
        <v>133</v>
      </c>
      <c r="C136" s="27">
        <v>46174</v>
      </c>
      <c r="D136" s="28" t="s">
        <v>1055</v>
      </c>
      <c r="E136" s="29" t="str">
        <f>_xlfn.XLOOKUP(Table7[[#This Row],[Malın kodu]],Table4[Malın kodu],Table4[Malın adı],"Xəta",0)</f>
        <v>Klaviatura / "A4Tech"</v>
      </c>
      <c r="F136" s="26">
        <v>1</v>
      </c>
      <c r="G136" s="26"/>
      <c r="H136" s="26" t="s">
        <v>899</v>
      </c>
      <c r="I136" s="26" t="s">
        <v>1918</v>
      </c>
    </row>
    <row r="137" spans="2:9" x14ac:dyDescent="0.25">
      <c r="B137" s="26">
        <f t="shared" si="2"/>
        <v>134</v>
      </c>
      <c r="C137" s="27">
        <v>46174</v>
      </c>
      <c r="D137" s="28" t="s">
        <v>1056</v>
      </c>
      <c r="E137" s="29" t="str">
        <f>_xlfn.XLOOKUP(Table7[[#This Row],[Malın kodu]],Table4[Malın kodu],Table4[Malın adı],"Xəta",0)</f>
        <v>Mouse / "A4Tech"</v>
      </c>
      <c r="F137" s="26">
        <v>1</v>
      </c>
      <c r="G137" s="26"/>
      <c r="H137" s="26" t="s">
        <v>899</v>
      </c>
      <c r="I137" s="26" t="s">
        <v>1918</v>
      </c>
    </row>
    <row r="138" spans="2:9" ht="30" x14ac:dyDescent="0.25">
      <c r="B138" s="26">
        <f t="shared" si="2"/>
        <v>135</v>
      </c>
      <c r="C138" s="27">
        <v>46174</v>
      </c>
      <c r="D138" s="28" t="s">
        <v>1057</v>
      </c>
      <c r="E138" s="29" t="str">
        <f>_xlfn.XLOOKUP(Table7[[#This Row],[Malın kodu]],Table4[Malın kodu],Table4[Malın adı],"Xəta",0)</f>
        <v>Alət / qazma / 1850 Wt / "REMS" / 180010 R220 / Almaniya istehsalı</v>
      </c>
      <c r="F138" s="26">
        <v>1</v>
      </c>
      <c r="G138" s="26"/>
      <c r="H138" s="26" t="s">
        <v>899</v>
      </c>
      <c r="I138" s="26" t="s">
        <v>1918</v>
      </c>
    </row>
    <row r="139" spans="2:9" x14ac:dyDescent="0.25">
      <c r="B139" s="26">
        <f t="shared" si="2"/>
        <v>136</v>
      </c>
      <c r="C139" s="27">
        <v>46174</v>
      </c>
      <c r="D139" s="28" t="s">
        <v>1058</v>
      </c>
      <c r="E139" s="29" t="str">
        <f>_xlfn.XLOOKUP(Table7[[#This Row],[Malın kodu]],Table4[Malın kodu],Table4[Malın adı],"Xəta",0)</f>
        <v>Maklovitsa fırçası</v>
      </c>
      <c r="F139" s="26">
        <v>2</v>
      </c>
      <c r="G139" s="26"/>
      <c r="H139" s="26" t="s">
        <v>899</v>
      </c>
      <c r="I139" s="26" t="s">
        <v>1918</v>
      </c>
    </row>
    <row r="140" spans="2:9" x14ac:dyDescent="0.25">
      <c r="B140" s="26">
        <f t="shared" si="2"/>
        <v>137</v>
      </c>
      <c r="C140" s="27">
        <v>46174</v>
      </c>
      <c r="D140" s="28" t="s">
        <v>1059</v>
      </c>
      <c r="E140" s="29" t="str">
        <f>_xlfn.XLOOKUP(Table7[[#This Row],[Malın kodu]],Table4[Malın kodu],Table4[Malın adı],"Xəta",0)</f>
        <v>Qızdırıcı fen / 2000 Wt / "Raf" / Çin istehsalı</v>
      </c>
      <c r="F140" s="26">
        <v>2</v>
      </c>
      <c r="G140" s="26"/>
      <c r="H140" s="26" t="s">
        <v>899</v>
      </c>
      <c r="I140" s="26" t="s">
        <v>1918</v>
      </c>
    </row>
    <row r="141" spans="2:9" ht="30" x14ac:dyDescent="0.25">
      <c r="B141" s="26">
        <f t="shared" si="2"/>
        <v>138</v>
      </c>
      <c r="C141" s="27">
        <v>46174</v>
      </c>
      <c r="D141" s="28" t="s">
        <v>1060</v>
      </c>
      <c r="E141" s="29" t="str">
        <f>_xlfn.XLOOKUP(Table7[[#This Row],[Malın kodu]],Table4[Malın kodu],Table4[Malın adı],"Xəta",0)</f>
        <v>Gərginlik tənzimləyicisi (Stabilizator) / 20 kVt / "Andeli" / SVC-2000 VA / Çin istehsalı</v>
      </c>
      <c r="F141" s="26">
        <v>1</v>
      </c>
      <c r="G141" s="26"/>
      <c r="H141" s="26" t="s">
        <v>899</v>
      </c>
      <c r="I141" s="26" t="s">
        <v>1918</v>
      </c>
    </row>
    <row r="142" spans="2:9" x14ac:dyDescent="0.25">
      <c r="B142" s="26">
        <f t="shared" si="2"/>
        <v>139</v>
      </c>
      <c r="C142" s="27">
        <v>46174</v>
      </c>
      <c r="D142" s="28" t="s">
        <v>1061</v>
      </c>
      <c r="E142" s="29" t="str">
        <f>_xlfn.XLOOKUP(Table7[[#This Row],[Malın kodu]],Table4[Malın kodu],Table4[Malın adı],"Xəta",0)</f>
        <v>Printer / "HP" / MFP M181FW / Vyetnam istehsalı</v>
      </c>
      <c r="F142" s="26">
        <v>1</v>
      </c>
      <c r="G142" s="26"/>
      <c r="H142" s="26" t="s">
        <v>899</v>
      </c>
      <c r="I142" s="26" t="s">
        <v>1918</v>
      </c>
    </row>
    <row r="143" spans="2:9" x14ac:dyDescent="0.25">
      <c r="B143" s="26">
        <f t="shared" si="2"/>
        <v>140</v>
      </c>
      <c r="C143" s="27">
        <v>46174</v>
      </c>
      <c r="D143" s="28" t="s">
        <v>1062</v>
      </c>
      <c r="E143" s="29" t="str">
        <f>_xlfn.XLOOKUP(Table7[[#This Row],[Malın kodu]],Table4[Malın kodu],Table4[Malın adı],"Xəta",0)</f>
        <v>Elektrik mişar / 2350 Wt / d 235 mm / "Viktor" /  Çin istehsalı</v>
      </c>
      <c r="F143" s="26">
        <v>1</v>
      </c>
      <c r="G143" s="26"/>
      <c r="H143" s="26" t="s">
        <v>899</v>
      </c>
      <c r="I143" s="26" t="s">
        <v>1918</v>
      </c>
    </row>
    <row r="144" spans="2:9" x14ac:dyDescent="0.25">
      <c r="B144" s="26">
        <f t="shared" si="2"/>
        <v>141</v>
      </c>
      <c r="C144" s="27">
        <v>46174</v>
      </c>
      <c r="D144" s="28" t="s">
        <v>1063</v>
      </c>
      <c r="E144" s="29" t="str">
        <f>_xlfn.XLOOKUP(Table7[[#This Row],[Malın kodu]],Table4[Malın kodu],Table4[Malın adı],"Xəta",0)</f>
        <v>Perforator / "Bosch" / GBH 11 DE / Almaniya istehsalı</v>
      </c>
      <c r="F144" s="26">
        <v>1</v>
      </c>
      <c r="G144" s="26"/>
      <c r="H144" s="26" t="s">
        <v>899</v>
      </c>
      <c r="I144" s="26" t="s">
        <v>1918</v>
      </c>
    </row>
    <row r="145" spans="2:9" x14ac:dyDescent="0.25">
      <c r="B145" s="26">
        <f t="shared" si="2"/>
        <v>142</v>
      </c>
      <c r="C145" s="27">
        <v>46174</v>
      </c>
      <c r="D145" s="28" t="s">
        <v>1064</v>
      </c>
      <c r="E145" s="29" t="str">
        <f>_xlfn.XLOOKUP(Table7[[#This Row],[Malın kodu]],Table4[Malın kodu],Table4[Malın adı],"Xəta",0)</f>
        <v>Pika / 25 x 400 mm / pnevmatik çəkic üçün / Çin istehsalı</v>
      </c>
      <c r="F145" s="26">
        <v>8</v>
      </c>
      <c r="G145" s="26"/>
      <c r="H145" s="26" t="s">
        <v>899</v>
      </c>
      <c r="I145" s="26" t="s">
        <v>1918</v>
      </c>
    </row>
    <row r="146" spans="2:9" x14ac:dyDescent="0.25">
      <c r="B146" s="26">
        <f t="shared" si="2"/>
        <v>143</v>
      </c>
      <c r="C146" s="27">
        <v>46174</v>
      </c>
      <c r="D146" s="28" t="s">
        <v>1065</v>
      </c>
      <c r="E146" s="29" t="str">
        <f>_xlfn.XLOOKUP(Table7[[#This Row],[Malın kodu]],Table4[Malın kodu],Table4[Malın adı],"Xəta",0)</f>
        <v>Təkər / əl arabası üçün</v>
      </c>
      <c r="F146" s="26">
        <v>2</v>
      </c>
      <c r="G146" s="26"/>
      <c r="H146" s="26" t="s">
        <v>899</v>
      </c>
      <c r="I146" s="26" t="s">
        <v>1918</v>
      </c>
    </row>
    <row r="147" spans="2:9" x14ac:dyDescent="0.25">
      <c r="B147" s="26">
        <f t="shared" si="2"/>
        <v>144</v>
      </c>
      <c r="C147" s="27">
        <v>46174</v>
      </c>
      <c r="D147" s="28" t="s">
        <v>1066</v>
      </c>
      <c r="E147" s="29" t="str">
        <f>_xlfn.XLOOKUP(Table7[[#This Row],[Malın kodu]],Table4[Malın kodu],Table4[Malın adı],"Xəta",0)</f>
        <v>Manometr / 10 Bar / "Pakkens" / Türkiyə istehsalı</v>
      </c>
      <c r="F147" s="26">
        <v>2</v>
      </c>
      <c r="G147" s="26"/>
      <c r="H147" s="26" t="s">
        <v>899</v>
      </c>
      <c r="I147" s="26" t="s">
        <v>1918</v>
      </c>
    </row>
    <row r="148" spans="2:9" x14ac:dyDescent="0.25">
      <c r="B148" s="26">
        <f t="shared" si="2"/>
        <v>145</v>
      </c>
      <c r="C148" s="27">
        <v>46174</v>
      </c>
      <c r="D148" s="28" t="s">
        <v>1067</v>
      </c>
      <c r="E148" s="29" t="str">
        <f>_xlfn.XLOOKUP(Table7[[#This Row],[Malın kodu]],Table4[Malın kodu],Table4[Malın adı],"Xəta",0)</f>
        <v>Mişar başlığı dəsti</v>
      </c>
      <c r="F148" s="26">
        <v>1</v>
      </c>
      <c r="G148" s="26"/>
      <c r="H148" s="26" t="s">
        <v>899</v>
      </c>
      <c r="I148" s="26" t="s">
        <v>1918</v>
      </c>
    </row>
    <row r="149" spans="2:9" x14ac:dyDescent="0.25">
      <c r="B149" s="26">
        <f t="shared" si="2"/>
        <v>146</v>
      </c>
      <c r="C149" s="27">
        <v>46174</v>
      </c>
      <c r="D149" s="28" t="s">
        <v>1068</v>
      </c>
      <c r="E149" s="29" t="str">
        <f>_xlfn.XLOOKUP(Table7[[#This Row],[Malın kodu]],Table4[Malın kodu],Table4[Malın adı],"Xəta",0)</f>
        <v>Boya / sprey / mavi / 400 ml / "Grabond" / Çin istehsalı</v>
      </c>
      <c r="F149" s="26">
        <v>1</v>
      </c>
      <c r="G149" s="26"/>
      <c r="H149" s="26" t="s">
        <v>899</v>
      </c>
      <c r="I149" s="26" t="s">
        <v>1918</v>
      </c>
    </row>
    <row r="150" spans="2:9" x14ac:dyDescent="0.25">
      <c r="B150" s="26">
        <f t="shared" si="2"/>
        <v>147</v>
      </c>
      <c r="C150" s="27">
        <v>46174</v>
      </c>
      <c r="D150" s="28" t="s">
        <v>1069</v>
      </c>
      <c r="E150" s="29" t="str">
        <f>_xlfn.XLOOKUP(Table7[[#This Row],[Malın kodu]],Table4[Malın kodu],Table4[Malın adı],"Xəta",0)</f>
        <v>Boya / sprey / göy / 400 ml / "Grabond" / Çin istehsalı</v>
      </c>
      <c r="F150" s="26">
        <v>1</v>
      </c>
      <c r="G150" s="26"/>
      <c r="H150" s="26" t="s">
        <v>899</v>
      </c>
      <c r="I150" s="26" t="s">
        <v>1918</v>
      </c>
    </row>
    <row r="151" spans="2:9" x14ac:dyDescent="0.25">
      <c r="B151" s="26">
        <f t="shared" si="2"/>
        <v>148</v>
      </c>
      <c r="C151" s="27">
        <v>46174</v>
      </c>
      <c r="D151" s="28" t="s">
        <v>1070</v>
      </c>
      <c r="E151" s="29" t="str">
        <f>_xlfn.XLOOKUP(Table7[[#This Row],[Malın kodu]],Table4[Malın kodu],Table4[Malın adı],"Xəta",0)</f>
        <v>Boya / sprey / qırmızı / 400 ml / "Vakko" / Çin</v>
      </c>
      <c r="F151" s="26">
        <v>1</v>
      </c>
      <c r="G151" s="26"/>
      <c r="H151" s="26" t="s">
        <v>899</v>
      </c>
      <c r="I151" s="26" t="s">
        <v>1918</v>
      </c>
    </row>
    <row r="152" spans="2:9" ht="30" x14ac:dyDescent="0.25">
      <c r="B152" s="26">
        <f t="shared" si="2"/>
        <v>149</v>
      </c>
      <c r="C152" s="27">
        <v>46174</v>
      </c>
      <c r="D152" s="28" t="s">
        <v>1071</v>
      </c>
      <c r="E152" s="29" t="str">
        <f>_xlfn.XLOOKUP(Table7[[#This Row],[Malın kodu]],Table4[Malın kodu],Table4[Malın adı],"Xəta",0)</f>
        <v>Yapışdırıcı / poliuretan / suya davamlı / 600 ml / "APEL" / PA300 / Türkiyə istehsalı</v>
      </c>
      <c r="F152" s="26">
        <v>2</v>
      </c>
      <c r="G152" s="26"/>
      <c r="H152" s="26" t="s">
        <v>899</v>
      </c>
      <c r="I152" s="26" t="s">
        <v>1918</v>
      </c>
    </row>
    <row r="153" spans="2:9" x14ac:dyDescent="0.25">
      <c r="B153" s="26">
        <f t="shared" si="2"/>
        <v>150</v>
      </c>
      <c r="C153" s="27">
        <v>46174</v>
      </c>
      <c r="D153" s="28" t="s">
        <v>1072</v>
      </c>
      <c r="E153" s="29" t="str">
        <f>_xlfn.XLOOKUP(Table7[[#This Row],[Malın kodu]],Table4[Malın kodu],Table4[Malın adı],"Xəta",0)</f>
        <v>Yapışdırıcı / 2 komponentli / 1 kq / "Rema" / Almaniya istehsalı</v>
      </c>
      <c r="F153" s="26">
        <v>1</v>
      </c>
      <c r="G153" s="26"/>
      <c r="H153" s="26" t="s">
        <v>899</v>
      </c>
      <c r="I153" s="26" t="s">
        <v>1918</v>
      </c>
    </row>
    <row r="154" spans="2:9" x14ac:dyDescent="0.25">
      <c r="B154" s="26">
        <f t="shared" si="2"/>
        <v>151</v>
      </c>
      <c r="C154" s="27">
        <v>46174</v>
      </c>
      <c r="D154" s="28" t="s">
        <v>1073</v>
      </c>
      <c r="E154" s="29" t="str">
        <f>_xlfn.XLOOKUP(Table7[[#This Row],[Malın kodu]],Table4[Malın kodu],Table4[Malın adı],"Xəta",0)</f>
        <v>Açar başlığı / 70 mm</v>
      </c>
      <c r="F154" s="26">
        <v>1</v>
      </c>
      <c r="G154" s="26"/>
      <c r="H154" s="26" t="s">
        <v>899</v>
      </c>
      <c r="I154" s="26" t="s">
        <v>1918</v>
      </c>
    </row>
    <row r="155" spans="2:9" x14ac:dyDescent="0.25">
      <c r="B155" s="26">
        <f t="shared" si="2"/>
        <v>152</v>
      </c>
      <c r="C155" s="27">
        <v>46174</v>
      </c>
      <c r="D155" s="28" t="s">
        <v>1074</v>
      </c>
      <c r="E155" s="29" t="str">
        <f>_xlfn.XLOOKUP(Table7[[#This Row],[Malın kodu]],Table4[Malın kodu],Table4[Malın adı],"Xəta",0)</f>
        <v>Açar başlığı / 50 mm</v>
      </c>
      <c r="F155" s="26">
        <v>1</v>
      </c>
      <c r="G155" s="26"/>
      <c r="H155" s="26" t="s">
        <v>899</v>
      </c>
      <c r="I155" s="26" t="s">
        <v>1918</v>
      </c>
    </row>
    <row r="156" spans="2:9" x14ac:dyDescent="0.25">
      <c r="B156" s="26">
        <f t="shared" si="2"/>
        <v>153</v>
      </c>
      <c r="C156" s="27">
        <v>46174</v>
      </c>
      <c r="D156" s="28" t="s">
        <v>1075</v>
      </c>
      <c r="E156" s="29" t="str">
        <f>_xlfn.XLOOKUP(Table7[[#This Row],[Malın kodu]],Table4[Malın kodu],Table4[Malın adı],"Xəta",0)</f>
        <v>Açar başlığı / 36 mm</v>
      </c>
      <c r="F156" s="26">
        <v>1</v>
      </c>
      <c r="G156" s="26"/>
      <c r="H156" s="26" t="s">
        <v>899</v>
      </c>
      <c r="I156" s="26" t="s">
        <v>1918</v>
      </c>
    </row>
    <row r="157" spans="2:9" x14ac:dyDescent="0.25">
      <c r="B157" s="26">
        <f t="shared" si="2"/>
        <v>154</v>
      </c>
      <c r="C157" s="27">
        <v>46174</v>
      </c>
      <c r="D157" s="28" t="s">
        <v>1076</v>
      </c>
      <c r="E157" s="29" t="str">
        <f>_xlfn.XLOOKUP(Table7[[#This Row],[Malın kodu]],Table4[Malın kodu],Table4[Malın adı],"Xəta",0)</f>
        <v>Açar başlığı / 32 mm</v>
      </c>
      <c r="F157" s="26">
        <v>1</v>
      </c>
      <c r="G157" s="26"/>
      <c r="H157" s="26" t="s">
        <v>899</v>
      </c>
      <c r="I157" s="26" t="s">
        <v>1918</v>
      </c>
    </row>
    <row r="158" spans="2:9" x14ac:dyDescent="0.25">
      <c r="B158" s="26">
        <f t="shared" si="2"/>
        <v>155</v>
      </c>
      <c r="C158" s="27">
        <v>46174</v>
      </c>
      <c r="D158" s="28" t="s">
        <v>1077</v>
      </c>
      <c r="E158" s="29" t="str">
        <f>_xlfn.XLOOKUP(Table7[[#This Row],[Malın kodu]],Table4[Malın kodu],Table4[Malın adı],"Xəta",0)</f>
        <v>Açar başlığı / 30 mm</v>
      </c>
      <c r="F158" s="26">
        <v>1</v>
      </c>
      <c r="G158" s="26"/>
      <c r="H158" s="26" t="s">
        <v>899</v>
      </c>
      <c r="I158" s="26" t="s">
        <v>1918</v>
      </c>
    </row>
    <row r="159" spans="2:9" x14ac:dyDescent="0.25">
      <c r="B159" s="26">
        <f t="shared" si="2"/>
        <v>156</v>
      </c>
      <c r="C159" s="27">
        <v>46174</v>
      </c>
      <c r="D159" s="28" t="s">
        <v>1078</v>
      </c>
      <c r="E159" s="29" t="str">
        <f>_xlfn.XLOOKUP(Table7[[#This Row],[Malın kodu]],Table4[Malın kodu],Table4[Malın adı],"Xəta",0)</f>
        <v>Açar başlığı / 15 mm</v>
      </c>
      <c r="F159" s="26">
        <v>1</v>
      </c>
      <c r="G159" s="26"/>
      <c r="H159" s="26" t="s">
        <v>899</v>
      </c>
      <c r="I159" s="26" t="s">
        <v>1918</v>
      </c>
    </row>
    <row r="160" spans="2:9" ht="30" x14ac:dyDescent="0.25">
      <c r="B160" s="26">
        <f t="shared" si="2"/>
        <v>157</v>
      </c>
      <c r="C160" s="27">
        <v>46174</v>
      </c>
      <c r="D160" s="28" t="s">
        <v>1079</v>
      </c>
      <c r="E160" s="29" t="str">
        <f>_xlfn.XLOOKUP(Table7[[#This Row],[Malın kodu]],Table4[Malın kodu],Table4[Malın adı],"Xəta",0)</f>
        <v>Pompa / təzyiq sınağı / 60 Atm / mexaniki / "Candan" / CM-60 / Türkiyə istehsalı</v>
      </c>
      <c r="F160" s="26">
        <v>1</v>
      </c>
      <c r="G160" s="26"/>
      <c r="H160" s="26" t="s">
        <v>899</v>
      </c>
      <c r="I160" s="26" t="s">
        <v>1918</v>
      </c>
    </row>
    <row r="161" spans="2:9" ht="30" x14ac:dyDescent="0.25">
      <c r="B161" s="26">
        <f t="shared" si="2"/>
        <v>158</v>
      </c>
      <c r="C161" s="27">
        <v>46174</v>
      </c>
      <c r="D161" s="28" t="s">
        <v>1080</v>
      </c>
      <c r="E161" s="29" t="str">
        <f>_xlfn.XLOOKUP(Table7[[#This Row],[Malın kodu]],Table4[Malın kodu],Table4[Malın adı],"Xəta",0)</f>
        <v>Su pompası / IP 44 / 0,37 kVt / Q=5-30 Litr / H=32metr / "M5" / Çin istehsalı</v>
      </c>
      <c r="F161" s="26">
        <v>1</v>
      </c>
      <c r="G161" s="26"/>
      <c r="H161" s="26" t="s">
        <v>899</v>
      </c>
      <c r="I161" s="26" t="s">
        <v>1918</v>
      </c>
    </row>
    <row r="162" spans="2:9" x14ac:dyDescent="0.25">
      <c r="B162" s="26">
        <f t="shared" si="2"/>
        <v>159</v>
      </c>
      <c r="C162" s="27">
        <v>46174</v>
      </c>
      <c r="D162" s="28" t="s">
        <v>1081</v>
      </c>
      <c r="E162" s="29" t="str">
        <f>_xlfn.XLOOKUP(Table7[[#This Row],[Malın kodu]],Table4[Malın kodu],Table4[Malın adı],"Xəta",0)</f>
        <v>Yanğınsöndürmə lövhəsi / şlanq ilə</v>
      </c>
      <c r="F162" s="26">
        <v>1</v>
      </c>
      <c r="G162" s="26"/>
      <c r="H162" s="26" t="s">
        <v>899</v>
      </c>
      <c r="I162" s="26" t="s">
        <v>1918</v>
      </c>
    </row>
    <row r="163" spans="2:9" x14ac:dyDescent="0.25">
      <c r="B163" s="26">
        <f t="shared" si="2"/>
        <v>160</v>
      </c>
      <c r="C163" s="27">
        <v>46174</v>
      </c>
      <c r="D163" s="28" t="s">
        <v>1082</v>
      </c>
      <c r="E163" s="29" t="str">
        <f>_xlfn.XLOOKUP(Table7[[#This Row],[Malın kodu]],Table4[Malın kodu],Table4[Malın adı],"Xəta",0)</f>
        <v>Filtr / hava / CR 0237 / "Sampiyon" / Türkiyə istehsalı</v>
      </c>
      <c r="F163" s="26">
        <v>2</v>
      </c>
      <c r="G163" s="26"/>
      <c r="H163" s="26" t="s">
        <v>899</v>
      </c>
      <c r="I163" s="26" t="s">
        <v>1918</v>
      </c>
    </row>
    <row r="164" spans="2:9" x14ac:dyDescent="0.25">
      <c r="B164" s="26">
        <f t="shared" si="2"/>
        <v>161</v>
      </c>
      <c r="C164" s="27">
        <v>46174</v>
      </c>
      <c r="D164" s="28" t="s">
        <v>1083</v>
      </c>
      <c r="E164" s="29" t="str">
        <f>_xlfn.XLOOKUP(Table7[[#This Row],[Malın kodu]],Table4[Malın kodu],Table4[Malın adı],"Xəta",0)</f>
        <v>Lazer nivelyatoru / "AGL" / Almaniya istehsalı</v>
      </c>
      <c r="F164" s="26">
        <v>1</v>
      </c>
      <c r="G164" s="26"/>
      <c r="H164" s="26" t="s">
        <v>899</v>
      </c>
      <c r="I164" s="26" t="s">
        <v>1918</v>
      </c>
    </row>
    <row r="165" spans="2:9" x14ac:dyDescent="0.25">
      <c r="B165" s="26">
        <f t="shared" si="2"/>
        <v>162</v>
      </c>
      <c r="C165" s="27">
        <v>46174</v>
      </c>
      <c r="D165" s="28" t="s">
        <v>1084</v>
      </c>
      <c r="E165" s="29" t="str">
        <f>_xlfn.XLOOKUP(Table7[[#This Row],[Malın kodu]],Table4[Malın kodu],Table4[Malın adı],"Xəta",0)</f>
        <v>Burğu / d 14 mm / perforator üçün</v>
      </c>
      <c r="F165" s="26">
        <v>3</v>
      </c>
      <c r="G165" s="26"/>
      <c r="H165" s="26" t="s">
        <v>899</v>
      </c>
      <c r="I165" s="26" t="s">
        <v>1918</v>
      </c>
    </row>
    <row r="166" spans="2:9" x14ac:dyDescent="0.25">
      <c r="B166" s="26">
        <f t="shared" si="2"/>
        <v>163</v>
      </c>
      <c r="C166" s="27">
        <v>46174</v>
      </c>
      <c r="D166" s="28" t="s">
        <v>1085</v>
      </c>
      <c r="E166" s="29" t="str">
        <f>_xlfn.XLOOKUP(Table7[[#This Row],[Malın kodu]],Table4[Malın kodu],Table4[Malın adı],"Xəta",0)</f>
        <v>Burğu / d 18 mm / perforator üçün</v>
      </c>
      <c r="F166" s="26">
        <v>1</v>
      </c>
      <c r="G166" s="26"/>
      <c r="H166" s="26" t="s">
        <v>899</v>
      </c>
      <c r="I166" s="26" t="s">
        <v>1918</v>
      </c>
    </row>
    <row r="167" spans="2:9" x14ac:dyDescent="0.25">
      <c r="B167" s="26">
        <f t="shared" si="2"/>
        <v>164</v>
      </c>
      <c r="C167" s="27">
        <v>46174</v>
      </c>
      <c r="D167" s="28" t="s">
        <v>1086</v>
      </c>
      <c r="E167" s="29" t="str">
        <f>_xlfn.XLOOKUP(Table7[[#This Row],[Malın kodu]],Table4[Malın kodu],Table4[Malın adı],"Xəta",0)</f>
        <v>Kəsər sapı / taxta</v>
      </c>
      <c r="F167" s="26">
        <v>5</v>
      </c>
      <c r="G167" s="26"/>
      <c r="H167" s="26" t="s">
        <v>899</v>
      </c>
      <c r="I167" s="26" t="s">
        <v>1918</v>
      </c>
    </row>
    <row r="168" spans="2:9" x14ac:dyDescent="0.25">
      <c r="B168" s="26">
        <f t="shared" si="2"/>
        <v>165</v>
      </c>
      <c r="C168" s="27">
        <v>46174</v>
      </c>
      <c r="D168" s="28" t="s">
        <v>1087</v>
      </c>
      <c r="E168" s="29" t="str">
        <f>_xlfn.XLOOKUP(Table7[[#This Row],[Malın kodu]],Table4[Malın kodu],Table4[Malın adı],"Xəta",0)</f>
        <v>Künc (gönyə) / 90° / 50sm / tərəzi ilə</v>
      </c>
      <c r="F168" s="26">
        <v>1</v>
      </c>
      <c r="G168" s="26"/>
      <c r="H168" s="26" t="s">
        <v>899</v>
      </c>
      <c r="I168" s="26" t="s">
        <v>1918</v>
      </c>
    </row>
    <row r="169" spans="2:9" x14ac:dyDescent="0.25">
      <c r="B169" s="26">
        <f t="shared" si="2"/>
        <v>166</v>
      </c>
      <c r="C169" s="27">
        <v>46174</v>
      </c>
      <c r="D169" s="28" t="s">
        <v>1088</v>
      </c>
      <c r="E169" s="29" t="str">
        <f>_xlfn.XLOOKUP(Table7[[#This Row],[Malın kodu]],Table4[Malın kodu],Table4[Malın adı],"Xəta",0)</f>
        <v>Printer /ağ-qara / "Xerox" / Phaser 3020BI / Çin istehsalı</v>
      </c>
      <c r="F169" s="26">
        <v>1</v>
      </c>
      <c r="G169" s="26"/>
      <c r="H169" s="26" t="s">
        <v>899</v>
      </c>
      <c r="I169" s="26" t="s">
        <v>1918</v>
      </c>
    </row>
    <row r="170" spans="2:9" x14ac:dyDescent="0.25">
      <c r="B170" s="26">
        <f t="shared" si="2"/>
        <v>167</v>
      </c>
      <c r="C170" s="27">
        <v>46174</v>
      </c>
      <c r="D170" s="28" t="s">
        <v>1089</v>
      </c>
      <c r="E170" s="29" t="str">
        <f>_xlfn.XLOOKUP(Table7[[#This Row],[Malın kodu]],Table4[Malın kodu],Table4[Malın adı],"Xəta",0)</f>
        <v>Printer / ağ-qara / skaner ilə / "Epson" / L3251 / Filippin istehsalı</v>
      </c>
      <c r="F170" s="26">
        <v>1</v>
      </c>
      <c r="G170" s="26"/>
      <c r="H170" s="26" t="s">
        <v>899</v>
      </c>
      <c r="I170" s="26" t="s">
        <v>1918</v>
      </c>
    </row>
    <row r="171" spans="2:9" x14ac:dyDescent="0.25">
      <c r="B171" s="26">
        <f t="shared" si="2"/>
        <v>168</v>
      </c>
      <c r="C171" s="27">
        <v>46174</v>
      </c>
      <c r="D171" s="28" t="s">
        <v>1090</v>
      </c>
      <c r="E171" s="29" t="str">
        <f>_xlfn.XLOOKUP(Table7[[#This Row],[Malın kodu]],Table4[Malın kodu],Table4[Malın adı],"Xəta",0)</f>
        <v>Printer / rəngli / "Epson" / L1300 / İndoneziya istehsalı</v>
      </c>
      <c r="F171" s="26">
        <v>1</v>
      </c>
      <c r="G171" s="26"/>
      <c r="H171" s="26" t="s">
        <v>899</v>
      </c>
      <c r="I171" s="26" t="s">
        <v>1918</v>
      </c>
    </row>
    <row r="172" spans="2:9" x14ac:dyDescent="0.25">
      <c r="B172" s="26">
        <f t="shared" si="2"/>
        <v>169</v>
      </c>
      <c r="C172" s="27">
        <v>46174</v>
      </c>
      <c r="D172" s="28" t="s">
        <v>1091</v>
      </c>
      <c r="E172" s="29" t="str">
        <f>_xlfn.XLOOKUP(Table7[[#This Row],[Malın kodu]],Table4[Malın kodu],Table4[Malın adı],"Xəta",0)</f>
        <v>Printer / rəngli / "Epson" / L850 / İndoneziya istehsalı</v>
      </c>
      <c r="F172" s="26">
        <v>1</v>
      </c>
      <c r="G172" s="26"/>
      <c r="H172" s="26" t="s">
        <v>899</v>
      </c>
      <c r="I172" s="26" t="s">
        <v>1918</v>
      </c>
    </row>
    <row r="173" spans="2:9" x14ac:dyDescent="0.25">
      <c r="B173" s="26">
        <f t="shared" si="2"/>
        <v>170</v>
      </c>
      <c r="C173" s="27">
        <v>46174</v>
      </c>
      <c r="D173" s="28" t="s">
        <v>1092</v>
      </c>
      <c r="E173" s="29" t="str">
        <f>_xlfn.XLOOKUP(Table7[[#This Row],[Malın kodu]],Table4[Malın kodu],Table4[Malın adı],"Xəta",0)</f>
        <v>Printer / rəngli / "HP" / MFP M282 NW / Almaniya istehsalı</v>
      </c>
      <c r="F173" s="26">
        <v>1</v>
      </c>
      <c r="G173" s="26"/>
      <c r="H173" s="26" t="s">
        <v>899</v>
      </c>
      <c r="I173" s="26" t="s">
        <v>1918</v>
      </c>
    </row>
    <row r="174" spans="2:9" x14ac:dyDescent="0.25">
      <c r="B174" s="26">
        <f t="shared" si="2"/>
        <v>171</v>
      </c>
      <c r="C174" s="27">
        <v>46174</v>
      </c>
      <c r="D174" s="28" t="s">
        <v>1093</v>
      </c>
      <c r="E174" s="29" t="str">
        <f>_xlfn.XLOOKUP(Table7[[#This Row],[Malın kodu]],Table4[Malın kodu],Table4[Malın adı],"Xəta",0)</f>
        <v>Printer / ağ-qara / "HP" / P1005 / Vyetnam istehsalı</v>
      </c>
      <c r="F174" s="26">
        <v>1</v>
      </c>
      <c r="G174" s="26"/>
      <c r="H174" s="26" t="s">
        <v>899</v>
      </c>
      <c r="I174" s="26" t="s">
        <v>1918</v>
      </c>
    </row>
    <row r="175" spans="2:9" x14ac:dyDescent="0.25">
      <c r="B175" s="26">
        <f t="shared" si="2"/>
        <v>172</v>
      </c>
      <c r="C175" s="27">
        <v>46174</v>
      </c>
      <c r="D175" s="28" t="s">
        <v>1094</v>
      </c>
      <c r="E175" s="29" t="str">
        <f>_xlfn.XLOOKUP(Table7[[#This Row],[Malın kodu]],Table4[Malın kodu],Table4[Malın adı],"Xəta",0)</f>
        <v>Şlanq / d 50 mm / L 6 metr / beton vibratoru üçün</v>
      </c>
      <c r="F175" s="26">
        <v>1</v>
      </c>
      <c r="G175" s="26"/>
      <c r="H175" s="26" t="s">
        <v>899</v>
      </c>
      <c r="I175" s="26" t="s">
        <v>1918</v>
      </c>
    </row>
    <row r="176" spans="2:9" x14ac:dyDescent="0.25">
      <c r="B176" s="26">
        <f t="shared" si="2"/>
        <v>173</v>
      </c>
      <c r="C176" s="27">
        <v>46174</v>
      </c>
      <c r="D176" s="28" t="s">
        <v>1095</v>
      </c>
      <c r="E176" s="29" t="str">
        <f>_xlfn.XLOOKUP(Table7[[#This Row],[Malın kodu]],Table4[Malın kodu],Table4[Malın adı],"Xəta",0)</f>
        <v>Vibromühərrik / 2,2 kVt / 50 Hz / ZN-70P / Çin istehsalı</v>
      </c>
      <c r="F176" s="26">
        <v>1</v>
      </c>
      <c r="G176" s="26"/>
      <c r="H176" s="26" t="s">
        <v>899</v>
      </c>
      <c r="I176" s="26" t="s">
        <v>1918</v>
      </c>
    </row>
    <row r="177" spans="2:9" ht="30" x14ac:dyDescent="0.25">
      <c r="B177" s="26">
        <f t="shared" si="2"/>
        <v>174</v>
      </c>
      <c r="C177" s="27">
        <v>46174</v>
      </c>
      <c r="D177" s="28" t="s">
        <v>1096</v>
      </c>
      <c r="E177" s="29" t="str">
        <f>_xlfn.XLOOKUP(Table7[[#This Row],[Malın kodu]],Table4[Malın kodu],Table4[Malın adı],"Xəta",0)</f>
        <v>Qaynaq aparatı / 20-315 mm / plastik muftalar üçün / "Hürner" / HST 300 Easy D / Almaniya istehsalı</v>
      </c>
      <c r="F177" s="26">
        <v>1</v>
      </c>
      <c r="G177" s="26"/>
      <c r="H177" s="26" t="s">
        <v>899</v>
      </c>
      <c r="I177" s="26" t="s">
        <v>1918</v>
      </c>
    </row>
    <row r="178" spans="2:9" x14ac:dyDescent="0.25">
      <c r="B178" s="26">
        <f t="shared" si="2"/>
        <v>175</v>
      </c>
      <c r="C178" s="27">
        <v>46174</v>
      </c>
      <c r="D178" s="28" t="s">
        <v>1097</v>
      </c>
      <c r="E178" s="29" t="str">
        <f>_xlfn.XLOOKUP(Table7[[#This Row],[Malın kodu]],Table4[Malın kodu],Table4[Malın adı],"Xəta",0)</f>
        <v>Filtr / yanacaq / CS 1606 / "Sampiyon" / Türkiyə istehsalı</v>
      </c>
      <c r="F178" s="26">
        <v>7</v>
      </c>
      <c r="G178" s="26"/>
      <c r="H178" s="26" t="s">
        <v>899</v>
      </c>
      <c r="I178" s="26" t="s">
        <v>1918</v>
      </c>
    </row>
    <row r="179" spans="2:9" x14ac:dyDescent="0.25">
      <c r="B179" s="26">
        <f t="shared" si="2"/>
        <v>176</v>
      </c>
      <c r="C179" s="27">
        <v>46174</v>
      </c>
      <c r="D179" s="28" t="s">
        <v>1098</v>
      </c>
      <c r="E179" s="29" t="str">
        <f>_xlfn.XLOOKUP(Table7[[#This Row],[Malın kodu]],Table4[Malın kodu],Table4[Malın adı],"Xəta",0)</f>
        <v>Filtr / yağ / CS 0151 / "Sampiyon" / Türkiyə istehsalı</v>
      </c>
      <c r="F179" s="26">
        <v>1</v>
      </c>
      <c r="G179" s="26"/>
      <c r="H179" s="26" t="s">
        <v>899</v>
      </c>
      <c r="I179" s="26" t="s">
        <v>1918</v>
      </c>
    </row>
    <row r="180" spans="2:9" x14ac:dyDescent="0.25">
      <c r="B180" s="26">
        <f t="shared" si="2"/>
        <v>177</v>
      </c>
      <c r="C180" s="27">
        <v>46174</v>
      </c>
      <c r="D180" s="28" t="s">
        <v>1099</v>
      </c>
      <c r="E180" s="29" t="str">
        <f>_xlfn.XLOOKUP(Table7[[#This Row],[Malın kodu]],Table4[Malın kodu],Table4[Malın adı],"Xəta",0)</f>
        <v>Elektrik yuvası / 16A / qapaqlı / "ENDA" / Türkiyə istehsalı</v>
      </c>
      <c r="F180" s="26">
        <v>1</v>
      </c>
      <c r="G180" s="26"/>
      <c r="H180" s="26" t="s">
        <v>899</v>
      </c>
      <c r="I180" s="26" t="s">
        <v>1918</v>
      </c>
    </row>
    <row r="181" spans="2:9" x14ac:dyDescent="0.25">
      <c r="B181" s="26">
        <f t="shared" si="2"/>
        <v>178</v>
      </c>
      <c r="C181" s="27">
        <v>46174</v>
      </c>
      <c r="D181" s="28" t="s">
        <v>1100</v>
      </c>
      <c r="E181" s="29" t="str">
        <f>_xlfn.XLOOKUP(Table7[[#This Row],[Malın kodu]],Table4[Malın kodu],Table4[Malın adı],"Xəta",0)</f>
        <v>Monitor / 23,8 in / "HP" / HP 24F / Çin istehsalı</v>
      </c>
      <c r="F181" s="26">
        <v>1</v>
      </c>
      <c r="G181" s="26"/>
      <c r="H181" s="26" t="s">
        <v>899</v>
      </c>
      <c r="I181" s="26" t="s">
        <v>1918</v>
      </c>
    </row>
    <row r="182" spans="2:9" x14ac:dyDescent="0.25">
      <c r="B182" s="26">
        <f t="shared" si="2"/>
        <v>179</v>
      </c>
      <c r="C182" s="27">
        <v>46174</v>
      </c>
      <c r="D182" s="28" t="s">
        <v>1101</v>
      </c>
      <c r="E182" s="29" t="str">
        <f>_xlfn.XLOOKUP(Table7[[#This Row],[Malın kodu]],Table4[Malın kodu],Table4[Malın adı],"Xəta",0)</f>
        <v>Yapışdırıcı / PVC-U üçün / 1 kq / "Lebond"</v>
      </c>
      <c r="F182" s="26">
        <v>4</v>
      </c>
      <c r="G182" s="26"/>
      <c r="H182" s="26" t="s">
        <v>899</v>
      </c>
      <c r="I182" s="26" t="s">
        <v>1918</v>
      </c>
    </row>
    <row r="183" spans="2:9" x14ac:dyDescent="0.25">
      <c r="B183" s="26">
        <f t="shared" si="2"/>
        <v>180</v>
      </c>
      <c r="C183" s="27">
        <v>46174</v>
      </c>
      <c r="D183" s="28" t="s">
        <v>1102</v>
      </c>
      <c r="E183" s="29" t="str">
        <f>_xlfn.XLOOKUP(Table7[[#This Row],[Malın kodu]],Table4[Malın kodu],Table4[Malın adı],"Xəta",0)</f>
        <v>Filtr / hava / P500940 / "Donaldson" / Çin istehsalı</v>
      </c>
      <c r="F183" s="26">
        <v>1</v>
      </c>
      <c r="G183" s="26"/>
      <c r="H183" s="26" t="s">
        <v>899</v>
      </c>
      <c r="I183" s="26" t="s">
        <v>1918</v>
      </c>
    </row>
    <row r="184" spans="2:9" ht="30" x14ac:dyDescent="0.25">
      <c r="B184" s="26">
        <f t="shared" si="2"/>
        <v>181</v>
      </c>
      <c r="C184" s="27">
        <v>46174</v>
      </c>
      <c r="D184" s="28" t="s">
        <v>1103</v>
      </c>
      <c r="E184" s="29" t="str">
        <f>_xlfn.XLOOKUP(Table7[[#This Row],[Malın kodu]],Table4[Malın kodu],Table4[Malın adı],"Xəta",0)</f>
        <v>Texniki maye / AdBlue / EURO 6 / 20 kq / "M-Standart" / Belarus istehsalı</v>
      </c>
      <c r="F184" s="26">
        <v>3</v>
      </c>
      <c r="G184" s="26"/>
      <c r="H184" s="26" t="s">
        <v>899</v>
      </c>
      <c r="I184" s="26" t="s">
        <v>1918</v>
      </c>
    </row>
    <row r="185" spans="2:9" x14ac:dyDescent="0.25">
      <c r="B185" s="26">
        <f t="shared" si="2"/>
        <v>182</v>
      </c>
      <c r="C185" s="27">
        <v>46174</v>
      </c>
      <c r="D185" s="28" t="s">
        <v>1104</v>
      </c>
      <c r="E185" s="29" t="str">
        <f>_xlfn.XLOOKUP(Table7[[#This Row],[Malın kodu]],Table4[Malın kodu],Table4[Malın adı],"Xəta",0)</f>
        <v>Siqnal lenti / SU</v>
      </c>
      <c r="F185" s="26">
        <v>5</v>
      </c>
      <c r="G185" s="26"/>
      <c r="H185" s="26" t="s">
        <v>899</v>
      </c>
      <c r="I185" s="26" t="s">
        <v>1918</v>
      </c>
    </row>
    <row r="186" spans="2:9" x14ac:dyDescent="0.25">
      <c r="B186" s="26">
        <f t="shared" si="2"/>
        <v>183</v>
      </c>
      <c r="C186" s="27">
        <v>46174</v>
      </c>
      <c r="D186" s="28" t="s">
        <v>1105</v>
      </c>
      <c r="E186" s="29" t="str">
        <f>_xlfn.XLOOKUP(Table7[[#This Row],[Malın kodu]],Table4[Malın kodu],Table4[Malın adı],"Xəta",0)</f>
        <v>Klapan / kəpənək / d 150 mm / "FAF" / Türkiyə istehsalı</v>
      </c>
      <c r="F186" s="26">
        <v>2</v>
      </c>
      <c r="G186" s="26"/>
      <c r="H186" s="26" t="s">
        <v>899</v>
      </c>
      <c r="I186" s="26" t="s">
        <v>1918</v>
      </c>
    </row>
    <row r="187" spans="2:9" x14ac:dyDescent="0.25">
      <c r="B187" s="26">
        <f t="shared" si="2"/>
        <v>184</v>
      </c>
      <c r="C187" s="27">
        <v>46174</v>
      </c>
      <c r="D187" s="28" t="s">
        <v>1106</v>
      </c>
      <c r="E187" s="29" t="str">
        <f>_xlfn.XLOOKUP(Table7[[#This Row],[Malın kodu]],Table4[Malın kodu],Table4[Malın adı],"Xəta",0)</f>
        <v>Klapan / kəpənək / d 40 mm / "FAF" / Türkiyə istehsalı</v>
      </c>
      <c r="F187" s="26">
        <v>6</v>
      </c>
      <c r="G187" s="26"/>
      <c r="H187" s="26" t="s">
        <v>899</v>
      </c>
      <c r="I187" s="26" t="s">
        <v>1918</v>
      </c>
    </row>
    <row r="188" spans="2:9" x14ac:dyDescent="0.25">
      <c r="B188" s="26">
        <f t="shared" si="2"/>
        <v>185</v>
      </c>
      <c r="C188" s="27">
        <v>46174</v>
      </c>
      <c r="D188" s="28" t="s">
        <v>1107</v>
      </c>
      <c r="E188" s="29" t="str">
        <f>_xlfn.XLOOKUP(Table7[[#This Row],[Malın kodu]],Table4[Malın kodu],Table4[Malın adı],"Xəta",0)</f>
        <v>Klapan / kəpənək / d 25 mm / "FAF" / Türkiyə istehsalı</v>
      </c>
      <c r="F188" s="26">
        <v>3</v>
      </c>
      <c r="G188" s="26"/>
      <c r="H188" s="26" t="s">
        <v>899</v>
      </c>
      <c r="I188" s="26" t="s">
        <v>1918</v>
      </c>
    </row>
    <row r="189" spans="2:9" x14ac:dyDescent="0.25">
      <c r="B189" s="26">
        <f t="shared" si="2"/>
        <v>186</v>
      </c>
      <c r="C189" s="27">
        <v>46174</v>
      </c>
      <c r="D189" s="28" t="s">
        <v>1108</v>
      </c>
      <c r="E189" s="29" t="str">
        <f>_xlfn.XLOOKUP(Table7[[#This Row],[Malın kodu]],Table4[Malın kodu],Table4[Malın adı],"Xəta",0)</f>
        <v>Elektrik lövhəsi / 2ədəd kontaktor ilə</v>
      </c>
      <c r="F189" s="26">
        <v>2</v>
      </c>
      <c r="G189" s="26"/>
      <c r="H189" s="26" t="s">
        <v>899</v>
      </c>
      <c r="I189" s="26" t="s">
        <v>1918</v>
      </c>
    </row>
    <row r="190" spans="2:9" ht="30" x14ac:dyDescent="0.25">
      <c r="B190" s="26">
        <f t="shared" si="2"/>
        <v>187</v>
      </c>
      <c r="C190" s="27">
        <v>46174</v>
      </c>
      <c r="D190" s="28" t="s">
        <v>1109</v>
      </c>
      <c r="E190" s="29" t="str">
        <f>_xlfn.XLOOKUP(Table7[[#This Row],[Malın kodu]],Table4[Malın kodu],Table4[Malın adı],"Xəta",0)</f>
        <v>Pompa / təzyiq sınağı / elektrikli / 40 Atm / 6 Litr/dəq / 1,3 kVt / "Rothenberger" / RP PRO 3 / İspaniya istehsalı</v>
      </c>
      <c r="F190" s="26">
        <v>1</v>
      </c>
      <c r="G190" s="26"/>
      <c r="H190" s="26" t="s">
        <v>899</v>
      </c>
      <c r="I190" s="26" t="s">
        <v>1918</v>
      </c>
    </row>
    <row r="191" spans="2:9" x14ac:dyDescent="0.25">
      <c r="B191" s="26">
        <f t="shared" si="2"/>
        <v>188</v>
      </c>
      <c r="C191" s="27">
        <v>46174</v>
      </c>
      <c r="D191" s="28" t="s">
        <v>1110</v>
      </c>
      <c r="E191" s="29" t="str">
        <f>_xlfn.XLOOKUP(Table7[[#This Row],[Malın kodu]],Table4[Malın kodu],Table4[Malın adı],"Xəta",0)</f>
        <v>Nivelyator / optik / "Trade Tools" / Avstraliya istehsalı</v>
      </c>
      <c r="F191" s="26">
        <v>1</v>
      </c>
      <c r="G191" s="26"/>
      <c r="H191" s="26" t="s">
        <v>899</v>
      </c>
      <c r="I191" s="26" t="s">
        <v>1918</v>
      </c>
    </row>
    <row r="192" spans="2:9" x14ac:dyDescent="0.25">
      <c r="B192" s="26">
        <f t="shared" si="2"/>
        <v>189</v>
      </c>
      <c r="C192" s="27">
        <v>46174</v>
      </c>
      <c r="D192" s="28" t="s">
        <v>1111</v>
      </c>
      <c r="E192" s="29" t="str">
        <f>_xlfn.XLOOKUP(Table7[[#This Row],[Malın kodu]],Table4[Malın kodu],Table4[Malın adı],"Xəta",0)</f>
        <v>Nivelyator / optik / "Leica" / NA 730 / İsveçrə istehsalı</v>
      </c>
      <c r="F192" s="26">
        <v>1</v>
      </c>
      <c r="G192" s="26"/>
      <c r="H192" s="26" t="s">
        <v>899</v>
      </c>
      <c r="I192" s="26" t="s">
        <v>1918</v>
      </c>
    </row>
    <row r="193" spans="2:9" x14ac:dyDescent="0.25">
      <c r="B193" s="26">
        <f t="shared" si="2"/>
        <v>190</v>
      </c>
      <c r="C193" s="27">
        <v>46174</v>
      </c>
      <c r="D193" s="28" t="s">
        <v>1112</v>
      </c>
      <c r="E193" s="29" t="str">
        <f>_xlfn.XLOOKUP(Table7[[#This Row],[Malın kodu]],Table4[Malın kodu],Table4[Malın adı],"Xəta",0)</f>
        <v>Printer / ağ-qara / "HP" / MFP M127 FW /  Çin istehsalı</v>
      </c>
      <c r="F193" s="26">
        <v>1</v>
      </c>
      <c r="G193" s="26"/>
      <c r="H193" s="26" t="s">
        <v>899</v>
      </c>
      <c r="I193" s="26" t="s">
        <v>1918</v>
      </c>
    </row>
    <row r="194" spans="2:9" x14ac:dyDescent="0.25">
      <c r="B194" s="26">
        <f t="shared" si="2"/>
        <v>191</v>
      </c>
      <c r="C194" s="27">
        <v>46174</v>
      </c>
      <c r="D194" s="28" t="s">
        <v>1113</v>
      </c>
      <c r="E194" s="29" t="str">
        <f>_xlfn.XLOOKUP(Table7[[#This Row],[Malın kodu]],Table4[Malın kodu],Table4[Malın adı],"Xəta",0)</f>
        <v>Paltaryuyan / 5 kq / "Midea" / MFE50-S802S / Çin istehsalı</v>
      </c>
      <c r="F194" s="26">
        <v>1</v>
      </c>
      <c r="G194" s="26"/>
      <c r="H194" s="26" t="s">
        <v>899</v>
      </c>
      <c r="I194" s="26" t="s">
        <v>1918</v>
      </c>
    </row>
    <row r="195" spans="2:9" x14ac:dyDescent="0.25">
      <c r="B195" s="26">
        <f t="shared" si="2"/>
        <v>192</v>
      </c>
      <c r="C195" s="27">
        <v>46174</v>
      </c>
      <c r="D195" s="28" t="s">
        <v>1114</v>
      </c>
      <c r="E195" s="29" t="str">
        <f>_xlfn.XLOOKUP(Table7[[#This Row],[Malın kodu]],Table4[Malın kodu],Table4[Malın adı],"Xəta",0)</f>
        <v>Filtr / yağ / DE 224 E / "Delsa" / Türk istehsalı</v>
      </c>
      <c r="F195" s="26">
        <v>1</v>
      </c>
      <c r="G195" s="26"/>
      <c r="H195" s="26" t="s">
        <v>899</v>
      </c>
      <c r="I195" s="26" t="s">
        <v>1918</v>
      </c>
    </row>
    <row r="196" spans="2:9" x14ac:dyDescent="0.25">
      <c r="B196" s="26">
        <f t="shared" ref="B196:B259" si="3">ROW()-3</f>
        <v>193</v>
      </c>
      <c r="C196" s="27">
        <v>46174</v>
      </c>
      <c r="D196" s="28" t="s">
        <v>1115</v>
      </c>
      <c r="E196" s="29" t="str">
        <f>_xlfn.XLOOKUP(Table7[[#This Row],[Malın kodu]],Table4[Malın kodu],Table4[Malın adı],"Xəta",0)</f>
        <v>Filtr / yanacaq / WK 11046 / "Mann" / Almaniya istehsalı</v>
      </c>
      <c r="F196" s="26">
        <v>2</v>
      </c>
      <c r="G196" s="26"/>
      <c r="H196" s="26" t="s">
        <v>899</v>
      </c>
      <c r="I196" s="26" t="s">
        <v>1918</v>
      </c>
    </row>
    <row r="197" spans="2:9" x14ac:dyDescent="0.25">
      <c r="B197" s="26">
        <f t="shared" si="3"/>
        <v>194</v>
      </c>
      <c r="C197" s="27">
        <v>46174</v>
      </c>
      <c r="D197" s="28" t="s">
        <v>1116</v>
      </c>
      <c r="E197" s="29" t="str">
        <f>_xlfn.XLOOKUP(Table7[[#This Row],[Malın kodu]],Table4[Malın kodu],Table4[Malın adı],"Xəta",0)</f>
        <v>Filtr / yağ / CS 1557 / "Sampiyon" / Türkiyə istehsalı</v>
      </c>
      <c r="F197" s="26">
        <v>2</v>
      </c>
      <c r="G197" s="26"/>
      <c r="H197" s="26" t="s">
        <v>899</v>
      </c>
      <c r="I197" s="26" t="s">
        <v>1918</v>
      </c>
    </row>
    <row r="198" spans="2:9" x14ac:dyDescent="0.25">
      <c r="B198" s="26">
        <f t="shared" si="3"/>
        <v>195</v>
      </c>
      <c r="C198" s="27">
        <v>46174</v>
      </c>
      <c r="D198" s="28" t="s">
        <v>1117</v>
      </c>
      <c r="E198" s="29" t="str">
        <f>_xlfn.XLOOKUP(Table7[[#This Row],[Malın kodu]],Table4[Malın kodu],Table4[Malın adı],"Xəta",0)</f>
        <v>Filtr / yağ / MLE 1606 / "FİL" / Türkiyə istehsalı</v>
      </c>
      <c r="F198" s="26">
        <v>1</v>
      </c>
      <c r="G198" s="26"/>
      <c r="H198" s="26" t="s">
        <v>899</v>
      </c>
      <c r="I198" s="26" t="s">
        <v>1918</v>
      </c>
    </row>
    <row r="199" spans="2:9" x14ac:dyDescent="0.25">
      <c r="B199" s="26">
        <f t="shared" si="3"/>
        <v>196</v>
      </c>
      <c r="C199" s="27">
        <v>46174</v>
      </c>
      <c r="D199" s="28" t="s">
        <v>1118</v>
      </c>
      <c r="E199" s="29" t="str">
        <f>_xlfn.XLOOKUP(Table7[[#This Row],[Malın kodu]],Table4[Malın kodu],Table4[Malın adı],"Xəta",0)</f>
        <v>Filtr / yağ / CS 1558 / "Sampiyon" / Türk istehsalı</v>
      </c>
      <c r="F199" s="26">
        <v>1</v>
      </c>
      <c r="G199" s="26"/>
      <c r="H199" s="26" t="s">
        <v>899</v>
      </c>
      <c r="I199" s="26" t="s">
        <v>1918</v>
      </c>
    </row>
    <row r="200" spans="2:9" x14ac:dyDescent="0.25">
      <c r="B200" s="26">
        <f t="shared" si="3"/>
        <v>197</v>
      </c>
      <c r="C200" s="27">
        <v>46174</v>
      </c>
      <c r="D200" s="28" t="s">
        <v>1119</v>
      </c>
      <c r="E200" s="29" t="str">
        <f>_xlfn.XLOOKUP(Table7[[#This Row],[Malın kodu]],Table4[Malın kodu],Table4[Malın adı],"Xəta",0)</f>
        <v>Filtr / yanacaq / CS 1672 M / "Sampiyon" / Türk istehsalı</v>
      </c>
      <c r="F200" s="26">
        <v>1</v>
      </c>
      <c r="G200" s="26"/>
      <c r="H200" s="26" t="s">
        <v>899</v>
      </c>
      <c r="I200" s="26" t="s">
        <v>1918</v>
      </c>
    </row>
    <row r="201" spans="2:9" ht="30" x14ac:dyDescent="0.25">
      <c r="B201" s="26">
        <f t="shared" si="3"/>
        <v>198</v>
      </c>
      <c r="C201" s="27">
        <v>46174</v>
      </c>
      <c r="D201" s="28" t="s">
        <v>1120</v>
      </c>
      <c r="E201" s="29" t="str">
        <f>_xlfn.XLOOKUP(Table7[[#This Row],[Malın kodu]],Table4[Malın kodu],Table4[Malın adı],"Xəta",0)</f>
        <v>Gərginlik tənzimləyicisi / 6-7,5 kVt / "Andeli" / SVC-7500 VA / Çin istehsalı</v>
      </c>
      <c r="F201" s="26">
        <v>1</v>
      </c>
      <c r="G201" s="26"/>
      <c r="H201" s="26" t="s">
        <v>899</v>
      </c>
      <c r="I201" s="26" t="s">
        <v>1918</v>
      </c>
    </row>
    <row r="202" spans="2:9" x14ac:dyDescent="0.25">
      <c r="B202" s="26">
        <f t="shared" si="3"/>
        <v>199</v>
      </c>
      <c r="C202" s="27">
        <v>46174</v>
      </c>
      <c r="D202" s="28" t="s">
        <v>1121</v>
      </c>
      <c r="E202" s="29" t="str">
        <f>_xlfn.XLOOKUP(Table7[[#This Row],[Malın kodu]],Table4[Malın kodu],Table4[Malın adı],"Xəta",0)</f>
        <v>Ölçü lenti / geodezik / 50m x 12,5mm / "Hongtu" / Çin istehsalı</v>
      </c>
      <c r="F202" s="26">
        <v>1</v>
      </c>
      <c r="G202" s="26"/>
      <c r="H202" s="26" t="s">
        <v>899</v>
      </c>
      <c r="I202" s="26" t="s">
        <v>1918</v>
      </c>
    </row>
    <row r="203" spans="2:9" ht="30" x14ac:dyDescent="0.25">
      <c r="B203" s="26">
        <f t="shared" si="3"/>
        <v>200</v>
      </c>
      <c r="C203" s="27">
        <v>46174</v>
      </c>
      <c r="D203" s="28" t="s">
        <v>1122</v>
      </c>
      <c r="E203" s="29" t="str">
        <f>_xlfn.XLOOKUP(Table7[[#This Row],[Malın kodu]],Table4[Malın kodu],Table4[Malın adı],"Xəta",0)</f>
        <v>Kontaktor / 30 kVt-400V /  50-60 Hz / "Telemecanique" / LC1D6511M7 / Fransa istehsalı</v>
      </c>
      <c r="F203" s="26">
        <v>1</v>
      </c>
      <c r="G203" s="26"/>
      <c r="H203" s="26" t="s">
        <v>899</v>
      </c>
      <c r="I203" s="26" t="s">
        <v>1918</v>
      </c>
    </row>
    <row r="204" spans="2:9" x14ac:dyDescent="0.25">
      <c r="B204" s="26">
        <f t="shared" si="3"/>
        <v>201</v>
      </c>
      <c r="C204" s="27">
        <v>46174</v>
      </c>
      <c r="D204" s="28" t="s">
        <v>1123</v>
      </c>
      <c r="E204" s="29" t="str">
        <f>_xlfn.XLOOKUP(Table7[[#This Row],[Malın kodu]],Table4[Malın kodu],Table4[Malın adı],"Xəta",0)</f>
        <v>Printer / A3 / ağ-qara / "Konica Minolta" / bizhub164 / Çin istehsalı</v>
      </c>
      <c r="F204" s="26">
        <v>1</v>
      </c>
      <c r="G204" s="26"/>
      <c r="H204" s="26" t="s">
        <v>899</v>
      </c>
      <c r="I204" s="26" t="s">
        <v>1918</v>
      </c>
    </row>
    <row r="205" spans="2:9" x14ac:dyDescent="0.25">
      <c r="B205" s="26">
        <f t="shared" si="3"/>
        <v>202</v>
      </c>
      <c r="C205" s="27">
        <v>46174</v>
      </c>
      <c r="D205" s="28" t="s">
        <v>1124</v>
      </c>
      <c r="E205" s="29" t="str">
        <f>_xlfn.XLOOKUP(Table7[[#This Row],[Malın kodu]],Table4[Malın kodu],Table4[Malın adı],"Xəta",0)</f>
        <v>UPS/ 1550 Vt / "Mercury" / Maverick 1550/ Çin istehsalı</v>
      </c>
      <c r="F205" s="26">
        <v>1</v>
      </c>
      <c r="G205" s="26"/>
      <c r="H205" s="26" t="s">
        <v>899</v>
      </c>
      <c r="I205" s="26" t="s">
        <v>1918</v>
      </c>
    </row>
    <row r="206" spans="2:9" x14ac:dyDescent="0.25">
      <c r="B206" s="26">
        <f t="shared" si="3"/>
        <v>203</v>
      </c>
      <c r="C206" s="27">
        <v>46174</v>
      </c>
      <c r="D206" s="28" t="s">
        <v>1125</v>
      </c>
      <c r="E206" s="29" t="str">
        <f>_xlfn.XLOOKUP(Table7[[#This Row],[Malın kodu]],Table4[Malın kodu],Table4[Malın adı],"Xəta",0)</f>
        <v>UPS/ 3600 Vt / "Powercom" / Raptor RPT-600A / Çin istehsalı</v>
      </c>
      <c r="F206" s="26">
        <v>1</v>
      </c>
      <c r="G206" s="26"/>
      <c r="H206" s="26" t="s">
        <v>899</v>
      </c>
      <c r="I206" s="26" t="s">
        <v>1918</v>
      </c>
    </row>
    <row r="207" spans="2:9" x14ac:dyDescent="0.25">
      <c r="B207" s="26">
        <f t="shared" si="3"/>
        <v>204</v>
      </c>
      <c r="C207" s="27">
        <v>46174</v>
      </c>
      <c r="D207" s="28" t="s">
        <v>1126</v>
      </c>
      <c r="E207" s="29" t="str">
        <f>_xlfn.XLOOKUP(Table7[[#This Row],[Malın kodu]],Table4[Malın kodu],Table4[Malın adı],"Xəta",0)</f>
        <v>Fırça / 180 x 50 mm</v>
      </c>
      <c r="F207" s="26">
        <v>1</v>
      </c>
      <c r="G207" s="26"/>
      <c r="H207" s="26" t="s">
        <v>899</v>
      </c>
      <c r="I207" s="26" t="s">
        <v>1918</v>
      </c>
    </row>
    <row r="208" spans="2:9" x14ac:dyDescent="0.25">
      <c r="B208" s="26">
        <f t="shared" si="3"/>
        <v>205</v>
      </c>
      <c r="C208" s="27">
        <v>46174</v>
      </c>
      <c r="D208" s="28" t="s">
        <v>1127</v>
      </c>
      <c r="E208" s="29" t="str">
        <f>_xlfn.XLOOKUP(Table7[[#This Row],[Malın kodu]],Table4[Malın kodu],Table4[Malın adı],"Xəta",0)</f>
        <v>Spot / 16 Amp / LED</v>
      </c>
      <c r="F208" s="26">
        <v>1</v>
      </c>
      <c r="G208" s="26"/>
      <c r="H208" s="26" t="s">
        <v>899</v>
      </c>
      <c r="I208" s="26" t="s">
        <v>1918</v>
      </c>
    </row>
    <row r="209" spans="2:9" x14ac:dyDescent="0.25">
      <c r="B209" s="26">
        <f t="shared" si="3"/>
        <v>206</v>
      </c>
      <c r="C209" s="27">
        <v>46174</v>
      </c>
      <c r="D209" s="28" t="s">
        <v>1128</v>
      </c>
      <c r="E209" s="29" t="str">
        <f>_xlfn.XLOOKUP(Table7[[#This Row],[Malın kodu]],Table4[Malın kodu],Table4[Malın adı],"Xəta",0)</f>
        <v>Bra / plastik</v>
      </c>
      <c r="F209" s="26">
        <v>1</v>
      </c>
      <c r="G209" s="26"/>
      <c r="H209" s="26" t="s">
        <v>899</v>
      </c>
      <c r="I209" s="26" t="s">
        <v>1918</v>
      </c>
    </row>
    <row r="210" spans="2:9" x14ac:dyDescent="0.25">
      <c r="B210" s="26">
        <f t="shared" si="3"/>
        <v>207</v>
      </c>
      <c r="C210" s="27">
        <v>46174</v>
      </c>
      <c r="D210" s="28" t="s">
        <v>1129</v>
      </c>
      <c r="E210" s="29" t="str">
        <f>_xlfn.XLOOKUP(Table7[[#This Row],[Malın kodu]],Table4[Malın kodu],Table4[Malın adı],"Xəta",0)</f>
        <v>Disk / cilalayıcı / d 115 mm / lagonda üçün</v>
      </c>
      <c r="F210" s="26">
        <v>11</v>
      </c>
      <c r="G210" s="26"/>
      <c r="H210" s="26" t="s">
        <v>899</v>
      </c>
      <c r="I210" s="26" t="s">
        <v>1918</v>
      </c>
    </row>
    <row r="211" spans="2:9" x14ac:dyDescent="0.25">
      <c r="B211" s="26">
        <f t="shared" si="3"/>
        <v>208</v>
      </c>
      <c r="C211" s="27">
        <v>46174</v>
      </c>
      <c r="D211" s="28" t="s">
        <v>1130</v>
      </c>
      <c r="E211" s="29" t="str">
        <f>_xlfn.XLOOKUP(Table7[[#This Row],[Malın kodu]],Table4[Malın kodu],Table4[Malın adı],"Xəta",0)</f>
        <v>Disk / kəsən / d 350 mm / lagonda üçün</v>
      </c>
      <c r="F211" s="26">
        <v>1</v>
      </c>
      <c r="G211" s="26"/>
      <c r="H211" s="26" t="s">
        <v>899</v>
      </c>
      <c r="I211" s="26" t="s">
        <v>1918</v>
      </c>
    </row>
    <row r="212" spans="2:9" x14ac:dyDescent="0.25">
      <c r="B212" s="26">
        <f t="shared" si="3"/>
        <v>209</v>
      </c>
      <c r="C212" s="27">
        <v>46174</v>
      </c>
      <c r="D212" s="28" t="s">
        <v>1131</v>
      </c>
      <c r="E212" s="29" t="str">
        <f>_xlfn.XLOOKUP(Table7[[#This Row],[Malın kodu]],Table4[Malın kodu],Table4[Malın adı],"Xəta",0)</f>
        <v>Açar / qayka / 22 x 24</v>
      </c>
      <c r="F212" s="26">
        <v>1</v>
      </c>
      <c r="G212" s="26"/>
      <c r="H212" s="26" t="s">
        <v>899</v>
      </c>
      <c r="I212" s="26" t="s">
        <v>1918</v>
      </c>
    </row>
    <row r="213" spans="2:9" x14ac:dyDescent="0.25">
      <c r="B213" s="26">
        <f t="shared" si="3"/>
        <v>210</v>
      </c>
      <c r="C213" s="27">
        <v>46174</v>
      </c>
      <c r="D213" s="28" t="s">
        <v>1132</v>
      </c>
      <c r="E213" s="29" t="str">
        <f>_xlfn.XLOOKUP(Table7[[#This Row],[Malın kodu]],Table4[Malın kodu],Table4[Malın adı],"Xəta",0)</f>
        <v>Açar / qayka / bir tərəfi halqalı / 28</v>
      </c>
      <c r="F213" s="26">
        <v>1</v>
      </c>
      <c r="G213" s="26"/>
      <c r="H213" s="26" t="s">
        <v>899</v>
      </c>
      <c r="I213" s="26" t="s">
        <v>1918</v>
      </c>
    </row>
    <row r="214" spans="2:9" x14ac:dyDescent="0.25">
      <c r="B214" s="26">
        <f t="shared" si="3"/>
        <v>211</v>
      </c>
      <c r="C214" s="27">
        <v>46174</v>
      </c>
      <c r="D214" s="28" t="s">
        <v>1133</v>
      </c>
      <c r="E214" s="29" t="str">
        <f>_xlfn.XLOOKUP(Table7[[#This Row],[Malın kodu]],Table4[Malın kodu],Table4[Malın adı],"Xəta",0)</f>
        <v>Açar / qayka / 19 x 22</v>
      </c>
      <c r="F214" s="26">
        <v>1</v>
      </c>
      <c r="G214" s="26"/>
      <c r="H214" s="26" t="s">
        <v>899</v>
      </c>
      <c r="I214" s="26" t="s">
        <v>1918</v>
      </c>
    </row>
    <row r="215" spans="2:9" x14ac:dyDescent="0.25">
      <c r="B215" s="26">
        <f t="shared" si="3"/>
        <v>212</v>
      </c>
      <c r="C215" s="27">
        <v>46174</v>
      </c>
      <c r="D215" s="28" t="s">
        <v>1134</v>
      </c>
      <c r="E215" s="29" t="str">
        <f>_xlfn.XLOOKUP(Table7[[#This Row],[Malın kodu]],Table4[Malın kodu],Table4[Malın adı],"Xəta",0)</f>
        <v>Açar / qayka / bir tərəfi halqalı / 30</v>
      </c>
      <c r="F215" s="26">
        <v>3</v>
      </c>
      <c r="G215" s="26"/>
      <c r="H215" s="26" t="s">
        <v>899</v>
      </c>
      <c r="I215" s="26" t="s">
        <v>1918</v>
      </c>
    </row>
    <row r="216" spans="2:9" x14ac:dyDescent="0.25">
      <c r="B216" s="26">
        <f t="shared" si="3"/>
        <v>213</v>
      </c>
      <c r="C216" s="27">
        <v>46174</v>
      </c>
      <c r="D216" s="28" t="s">
        <v>1135</v>
      </c>
      <c r="E216" s="29" t="str">
        <f>_xlfn.XLOOKUP(Table7[[#This Row],[Malın kodu]],Table4[Malın kodu],Table4[Malın adı],"Xəta",0)</f>
        <v>Açar / qayka / bir tərəfi halqalı / 32</v>
      </c>
      <c r="F216" s="26">
        <v>1</v>
      </c>
      <c r="G216" s="26"/>
      <c r="H216" s="26" t="s">
        <v>899</v>
      </c>
      <c r="I216" s="26" t="s">
        <v>1918</v>
      </c>
    </row>
    <row r="217" spans="2:9" x14ac:dyDescent="0.25">
      <c r="B217" s="26">
        <f t="shared" si="3"/>
        <v>214</v>
      </c>
      <c r="C217" s="27">
        <v>46174</v>
      </c>
      <c r="D217" s="28" t="s">
        <v>1136</v>
      </c>
      <c r="E217" s="29" t="str">
        <f>_xlfn.XLOOKUP(Table7[[#This Row],[Malın kodu]],Table4[Malın kodu],Table4[Malın adı],"Xəta",0)</f>
        <v>Açar / qayka / iki tərəfi halqalı / 30 x 32</v>
      </c>
      <c r="F217" s="26">
        <v>1</v>
      </c>
      <c r="G217" s="26"/>
      <c r="H217" s="26" t="s">
        <v>899</v>
      </c>
      <c r="I217" s="26" t="s">
        <v>1918</v>
      </c>
    </row>
    <row r="218" spans="2:9" x14ac:dyDescent="0.25">
      <c r="B218" s="26">
        <f t="shared" si="3"/>
        <v>215</v>
      </c>
      <c r="C218" s="27">
        <v>46174</v>
      </c>
      <c r="D218" s="28" t="s">
        <v>1137</v>
      </c>
      <c r="E218" s="29" t="str">
        <f>_xlfn.XLOOKUP(Table7[[#This Row],[Malın kodu]],Table4[Malın kodu],Table4[Malın adı],"Xəta",0)</f>
        <v>Açar / qayka / iki tərəfi halqalı / 36 x 41</v>
      </c>
      <c r="F218" s="26">
        <v>1</v>
      </c>
      <c r="G218" s="26"/>
      <c r="H218" s="26" t="s">
        <v>899</v>
      </c>
      <c r="I218" s="26" t="s">
        <v>1918</v>
      </c>
    </row>
    <row r="219" spans="2:9" x14ac:dyDescent="0.25">
      <c r="B219" s="26">
        <f t="shared" si="3"/>
        <v>216</v>
      </c>
      <c r="C219" s="27">
        <v>46174</v>
      </c>
      <c r="D219" s="28" t="s">
        <v>1138</v>
      </c>
      <c r="E219" s="29" t="str">
        <f>_xlfn.XLOOKUP(Table7[[#This Row],[Malın kodu]],Table4[Malın kodu],Table4[Malın adı],"Xəta",0)</f>
        <v>Açar / qayka / halqalı / 36</v>
      </c>
      <c r="F219" s="26">
        <v>1</v>
      </c>
      <c r="G219" s="26"/>
      <c r="H219" s="26" t="s">
        <v>899</v>
      </c>
      <c r="I219" s="26" t="s">
        <v>1918</v>
      </c>
    </row>
    <row r="220" spans="2:9" x14ac:dyDescent="0.25">
      <c r="B220" s="26">
        <f t="shared" si="3"/>
        <v>217</v>
      </c>
      <c r="C220" s="27">
        <v>46174</v>
      </c>
      <c r="D220" s="28" t="s">
        <v>1139</v>
      </c>
      <c r="E220" s="29" t="str">
        <f>_xlfn.XLOOKUP(Table7[[#This Row],[Malın kodu]],Table4[Malın kodu],Table4[Malın adı],"Xəta",0)</f>
        <v>Açar / qayka / halqalı / 41</v>
      </c>
      <c r="F220" s="26">
        <v>1</v>
      </c>
      <c r="G220" s="26"/>
      <c r="H220" s="26" t="s">
        <v>899</v>
      </c>
      <c r="I220" s="26" t="s">
        <v>1918</v>
      </c>
    </row>
    <row r="221" spans="2:9" x14ac:dyDescent="0.25">
      <c r="B221" s="26">
        <f t="shared" si="3"/>
        <v>218</v>
      </c>
      <c r="C221" s="27">
        <v>46174</v>
      </c>
      <c r="D221" s="28" t="s">
        <v>1140</v>
      </c>
      <c r="E221" s="29" t="str">
        <f>_xlfn.XLOOKUP(Table7[[#This Row],[Malın kodu]],Table4[Malın kodu],Table4[Malın adı],"Xəta",0)</f>
        <v>Açar / qayka / halqalı / 27</v>
      </c>
      <c r="F221" s="26">
        <v>1</v>
      </c>
      <c r="G221" s="26"/>
      <c r="H221" s="26" t="s">
        <v>899</v>
      </c>
      <c r="I221" s="26" t="s">
        <v>1918</v>
      </c>
    </row>
    <row r="222" spans="2:9" x14ac:dyDescent="0.25">
      <c r="B222" s="26">
        <f t="shared" si="3"/>
        <v>219</v>
      </c>
      <c r="C222" s="27">
        <v>46174</v>
      </c>
      <c r="D222" s="28" t="s">
        <v>1141</v>
      </c>
      <c r="E222" s="29" t="str">
        <f>_xlfn.XLOOKUP(Table7[[#This Row],[Malın kodu]],Table4[Malın kodu],Table4[Malın adı],"Xəta",0)</f>
        <v>Kəlbətin / kəsən / dəmiriçi üçün</v>
      </c>
      <c r="F222" s="26">
        <v>2</v>
      </c>
      <c r="G222" s="26"/>
      <c r="H222" s="26" t="s">
        <v>899</v>
      </c>
      <c r="I222" s="26" t="s">
        <v>1918</v>
      </c>
    </row>
    <row r="223" spans="2:9" x14ac:dyDescent="0.25">
      <c r="B223" s="26">
        <f t="shared" si="3"/>
        <v>220</v>
      </c>
      <c r="C223" s="27">
        <v>46174</v>
      </c>
      <c r="D223" s="28" t="s">
        <v>1142</v>
      </c>
      <c r="E223" s="29" t="str">
        <f>_xlfn.XLOOKUP(Table7[[#This Row],[Malın kodu]],Table4[Malın kodu],Table4[Malın adı],"Xəta",0)</f>
        <v>Künc (gönyə) / 90° / 40 sm</v>
      </c>
      <c r="F223" s="26">
        <v>1</v>
      </c>
      <c r="G223" s="26"/>
      <c r="H223" s="26" t="s">
        <v>899</v>
      </c>
      <c r="I223" s="26" t="s">
        <v>1918</v>
      </c>
    </row>
    <row r="224" spans="2:9" x14ac:dyDescent="0.25">
      <c r="B224" s="26">
        <f t="shared" si="3"/>
        <v>221</v>
      </c>
      <c r="C224" s="27">
        <v>46174</v>
      </c>
      <c r="D224" s="28" t="s">
        <v>1143</v>
      </c>
      <c r="E224" s="29" t="str">
        <f>_xlfn.XLOOKUP(Table7[[#This Row],[Malın kodu]],Table4[Malın kodu],Table4[Malın adı],"Xəta",0)</f>
        <v>Qızdırıcı fen / 2000 Wt / "Sonifer" / Çin istehsalı</v>
      </c>
      <c r="F224" s="26">
        <v>1</v>
      </c>
      <c r="G224" s="26"/>
      <c r="H224" s="26" t="s">
        <v>899</v>
      </c>
      <c r="I224" s="26" t="s">
        <v>1918</v>
      </c>
    </row>
    <row r="225" spans="2:9" x14ac:dyDescent="0.25">
      <c r="B225" s="26">
        <f t="shared" si="3"/>
        <v>222</v>
      </c>
      <c r="C225" s="27">
        <v>46174</v>
      </c>
      <c r="D225" s="28" t="s">
        <v>1144</v>
      </c>
      <c r="E225" s="29" t="str">
        <f>_xlfn.XLOOKUP(Table7[[#This Row],[Malın kodu]],Table4[Malın kodu],Table4[Malın adı],"Xəta",0)</f>
        <v>Qaz brülörü / gorelka</v>
      </c>
      <c r="F225" s="26">
        <v>4</v>
      </c>
      <c r="G225" s="26"/>
      <c r="H225" s="26" t="s">
        <v>899</v>
      </c>
      <c r="I225" s="26" t="s">
        <v>1918</v>
      </c>
    </row>
    <row r="226" spans="2:9" x14ac:dyDescent="0.25">
      <c r="B226" s="26">
        <f t="shared" si="3"/>
        <v>223</v>
      </c>
      <c r="C226" s="27">
        <v>46174</v>
      </c>
      <c r="D226" s="28" t="s">
        <v>1145</v>
      </c>
      <c r="E226" s="29" t="str">
        <f>_xlfn.XLOOKUP(Table7[[#This Row],[Malın kodu]],Table4[Malın kodu],Table4[Malın adı],"Xəta",0)</f>
        <v>Burğu / 22 x 800 mm</v>
      </c>
      <c r="F226" s="26">
        <v>1</v>
      </c>
      <c r="G226" s="26"/>
      <c r="H226" s="26" t="s">
        <v>899</v>
      </c>
      <c r="I226" s="26" t="s">
        <v>1918</v>
      </c>
    </row>
    <row r="227" spans="2:9" x14ac:dyDescent="0.25">
      <c r="B227" s="26">
        <f t="shared" si="3"/>
        <v>224</v>
      </c>
      <c r="C227" s="27">
        <v>46174</v>
      </c>
      <c r="D227" s="28" t="s">
        <v>1146</v>
      </c>
      <c r="E227" s="29" t="str">
        <f>_xlfn.XLOOKUP(Table7[[#This Row],[Malın kodu]],Table4[Malın kodu],Table4[Malın adı],"Xəta",0)</f>
        <v>Burğu / 22 x 400 mm</v>
      </c>
      <c r="F227" s="26">
        <v>1</v>
      </c>
      <c r="G227" s="26"/>
      <c r="H227" s="26" t="s">
        <v>899</v>
      </c>
      <c r="I227" s="26" t="s">
        <v>1918</v>
      </c>
    </row>
    <row r="228" spans="2:9" x14ac:dyDescent="0.25">
      <c r="B228" s="26">
        <f t="shared" si="3"/>
        <v>225</v>
      </c>
      <c r="C228" s="27">
        <v>46174</v>
      </c>
      <c r="D228" s="28" t="s">
        <v>1147</v>
      </c>
      <c r="E228" s="29" t="str">
        <f>_xlfn.XLOOKUP(Table7[[#This Row],[Malın kodu]],Table4[Malın kodu],Table4[Malın adı],"Xəta",0)</f>
        <v>Burğu / 22 x 250 mm</v>
      </c>
      <c r="F228" s="26">
        <v>1</v>
      </c>
      <c r="G228" s="26"/>
      <c r="H228" s="26" t="s">
        <v>899</v>
      </c>
      <c r="I228" s="26" t="s">
        <v>1918</v>
      </c>
    </row>
    <row r="229" spans="2:9" x14ac:dyDescent="0.25">
      <c r="B229" s="26">
        <f t="shared" si="3"/>
        <v>226</v>
      </c>
      <c r="C229" s="27">
        <v>46174</v>
      </c>
      <c r="D229" s="28" t="s">
        <v>1148</v>
      </c>
      <c r="E229" s="29" t="str">
        <f>_xlfn.XLOOKUP(Table7[[#This Row],[Malın kodu]],Table4[Malın kodu],Table4[Malın adı],"Xəta",0)</f>
        <v>Burğu / 8 x 120 mm</v>
      </c>
      <c r="F229" s="26">
        <v>2</v>
      </c>
      <c r="G229" s="26"/>
      <c r="H229" s="26" t="s">
        <v>899</v>
      </c>
      <c r="I229" s="26" t="s">
        <v>1918</v>
      </c>
    </row>
    <row r="230" spans="2:9" x14ac:dyDescent="0.25">
      <c r="B230" s="26">
        <f t="shared" si="3"/>
        <v>227</v>
      </c>
      <c r="C230" s="27">
        <v>46174</v>
      </c>
      <c r="D230" s="28" t="s">
        <v>1149</v>
      </c>
      <c r="E230" s="29" t="str">
        <f>_xlfn.XLOOKUP(Table7[[#This Row],[Malın kodu]],Table4[Malın kodu],Table4[Malın adı],"Xəta",0)</f>
        <v>Burğu / 14 x 150 mm</v>
      </c>
      <c r="F230" s="26">
        <v>1</v>
      </c>
      <c r="G230" s="26"/>
      <c r="H230" s="26" t="s">
        <v>899</v>
      </c>
      <c r="I230" s="26" t="s">
        <v>1918</v>
      </c>
    </row>
    <row r="231" spans="2:9" x14ac:dyDescent="0.25">
      <c r="B231" s="26">
        <f t="shared" si="3"/>
        <v>228</v>
      </c>
      <c r="C231" s="27">
        <v>46174</v>
      </c>
      <c r="D231" s="28" t="s">
        <v>1150</v>
      </c>
      <c r="E231" s="29" t="str">
        <f>_xlfn.XLOOKUP(Table7[[#This Row],[Malın kodu]],Table4[Malın kodu],Table4[Malın adı],"Xəta",0)</f>
        <v>Burğu / 25 x 350 mm</v>
      </c>
      <c r="F231" s="26">
        <v>3</v>
      </c>
      <c r="G231" s="26"/>
      <c r="H231" s="26" t="s">
        <v>899</v>
      </c>
      <c r="I231" s="26" t="s">
        <v>1918</v>
      </c>
    </row>
    <row r="232" spans="2:9" x14ac:dyDescent="0.25">
      <c r="B232" s="26">
        <f t="shared" si="3"/>
        <v>229</v>
      </c>
      <c r="C232" s="27">
        <v>46174</v>
      </c>
      <c r="D232" s="28" t="s">
        <v>1151</v>
      </c>
      <c r="E232" s="29" t="str">
        <f>_xlfn.XLOOKUP(Table7[[#This Row],[Malın kodu]],Table4[Malın kodu],Table4[Malın adı],"Xəta",0)</f>
        <v>Mişar / əl</v>
      </c>
      <c r="F232" s="26">
        <v>1</v>
      </c>
      <c r="G232" s="26"/>
      <c r="H232" s="26" t="s">
        <v>899</v>
      </c>
      <c r="I232" s="26" t="s">
        <v>1918</v>
      </c>
    </row>
    <row r="233" spans="2:9" x14ac:dyDescent="0.25">
      <c r="B233" s="26">
        <f t="shared" si="3"/>
        <v>230</v>
      </c>
      <c r="C233" s="27">
        <v>46174</v>
      </c>
      <c r="D233" s="28" t="s">
        <v>1152</v>
      </c>
      <c r="E233" s="29" t="str">
        <f>_xlfn.XLOOKUP(Table7[[#This Row],[Malın kodu]],Table4[Malın kodu],Table4[Malın adı],"Xəta",0)</f>
        <v>Pika / 25 x 250 mm / pnevmatik çəkic üçün</v>
      </c>
      <c r="F233" s="26">
        <v>3</v>
      </c>
      <c r="G233" s="26"/>
      <c r="H233" s="26" t="s">
        <v>899</v>
      </c>
      <c r="I233" s="26" t="s">
        <v>1918</v>
      </c>
    </row>
    <row r="234" spans="2:9" x14ac:dyDescent="0.25">
      <c r="B234" s="26">
        <f t="shared" si="3"/>
        <v>231</v>
      </c>
      <c r="C234" s="27">
        <v>46174</v>
      </c>
      <c r="D234" s="28" t="s">
        <v>1153</v>
      </c>
      <c r="E234" s="29" t="str">
        <f>_xlfn.XLOOKUP(Table7[[#This Row],[Malın kodu]],Table4[Malın kodu],Table4[Malın adı],"Xəta",0)</f>
        <v>Pika / 10 x 200 mm / yastı / perforator üçün</v>
      </c>
      <c r="F234" s="26">
        <v>1</v>
      </c>
      <c r="G234" s="26"/>
      <c r="H234" s="26" t="s">
        <v>899</v>
      </c>
      <c r="I234" s="26" t="s">
        <v>1918</v>
      </c>
    </row>
    <row r="235" spans="2:9" x14ac:dyDescent="0.25">
      <c r="B235" s="26">
        <f t="shared" si="3"/>
        <v>232</v>
      </c>
      <c r="C235" s="27">
        <v>46174</v>
      </c>
      <c r="D235" s="28" t="s">
        <v>1154</v>
      </c>
      <c r="E235" s="29" t="str">
        <f>_xlfn.XLOOKUP(Table7[[#This Row],[Malın kodu]],Table4[Malın kodu],Table4[Malın adı],"Xəta",0)</f>
        <v>Açar / 6 künc / d 12 mm</v>
      </c>
      <c r="F235" s="26">
        <v>1</v>
      </c>
      <c r="G235" s="26"/>
      <c r="H235" s="26" t="s">
        <v>899</v>
      </c>
      <c r="I235" s="26" t="s">
        <v>1918</v>
      </c>
    </row>
    <row r="236" spans="2:9" x14ac:dyDescent="0.25">
      <c r="B236" s="26">
        <f t="shared" si="3"/>
        <v>233</v>
      </c>
      <c r="C236" s="27">
        <v>46174</v>
      </c>
      <c r="D236" s="28" t="s">
        <v>1155</v>
      </c>
      <c r="E236" s="29" t="str">
        <f>_xlfn.XLOOKUP(Table7[[#This Row],[Malın kodu]],Table4[Malın kodu],Table4[Malın adı],"Xəta",0)</f>
        <v>Şlanq / L 50 sm / S/Q üçün</v>
      </c>
      <c r="F236" s="26">
        <v>3</v>
      </c>
      <c r="G236" s="26"/>
      <c r="H236" s="26" t="s">
        <v>899</v>
      </c>
      <c r="I236" s="26" t="s">
        <v>1918</v>
      </c>
    </row>
    <row r="237" spans="2:9" x14ac:dyDescent="0.25">
      <c r="B237" s="26">
        <f t="shared" si="3"/>
        <v>234</v>
      </c>
      <c r="C237" s="27">
        <v>46174</v>
      </c>
      <c r="D237" s="28" t="s">
        <v>1156</v>
      </c>
      <c r="E237" s="29" t="str">
        <f>_xlfn.XLOOKUP(Table7[[#This Row],[Malın kodu]],Table4[Malın kodu],Table4[Malın adı],"Xəta",0)</f>
        <v>Şlanq / L 30 sm / S/Q üçün</v>
      </c>
      <c r="F237" s="26">
        <v>5</v>
      </c>
      <c r="G237" s="26"/>
      <c r="H237" s="26" t="s">
        <v>899</v>
      </c>
      <c r="I237" s="26" t="s">
        <v>1918</v>
      </c>
    </row>
    <row r="238" spans="2:9" x14ac:dyDescent="0.25">
      <c r="B238" s="26">
        <f t="shared" si="3"/>
        <v>235</v>
      </c>
      <c r="C238" s="27">
        <v>46174</v>
      </c>
      <c r="D238" s="28" t="s">
        <v>1157</v>
      </c>
      <c r="E238" s="29" t="str">
        <f>_xlfn.XLOOKUP(Table7[[#This Row],[Malın kodu]],Table4[Malın kodu],Table4[Malın adı],"Xəta",0)</f>
        <v>Şlanq / L 40 sm / S/Q üçün</v>
      </c>
      <c r="F238" s="26">
        <v>1</v>
      </c>
      <c r="G238" s="26"/>
      <c r="H238" s="26" t="s">
        <v>899</v>
      </c>
      <c r="I238" s="26" t="s">
        <v>1918</v>
      </c>
    </row>
    <row r="239" spans="2:9" x14ac:dyDescent="0.25">
      <c r="B239" s="26">
        <f t="shared" si="3"/>
        <v>236</v>
      </c>
      <c r="C239" s="27">
        <v>46174</v>
      </c>
      <c r="D239" s="28" t="s">
        <v>1158</v>
      </c>
      <c r="E239" s="29" t="str">
        <f>_xlfn.XLOOKUP(Table7[[#This Row],[Malın kodu]],Table4[Malın kodu],Table4[Malın adı],"Xəta",0)</f>
        <v>Dirsək / polad / d 57 mm</v>
      </c>
      <c r="F239" s="26">
        <v>1</v>
      </c>
      <c r="G239" s="26"/>
      <c r="H239" s="26" t="s">
        <v>899</v>
      </c>
      <c r="I239" s="26" t="s">
        <v>1918</v>
      </c>
    </row>
    <row r="240" spans="2:9" x14ac:dyDescent="0.25">
      <c r="B240" s="26">
        <f t="shared" si="3"/>
        <v>237</v>
      </c>
      <c r="C240" s="27">
        <v>46174</v>
      </c>
      <c r="D240" s="28" t="s">
        <v>1159</v>
      </c>
      <c r="E240" s="29" t="str">
        <f>_xlfn.XLOOKUP(Table7[[#This Row],[Malın kodu]],Table4[Malın kodu],Table4[Malın adı],"Xəta",0)</f>
        <v>Mişar / lobzik üçün / T244D</v>
      </c>
      <c r="F240" s="26">
        <v>4</v>
      </c>
      <c r="G240" s="26"/>
      <c r="H240" s="26" t="s">
        <v>899</v>
      </c>
      <c r="I240" s="26" t="s">
        <v>1918</v>
      </c>
    </row>
    <row r="241" spans="2:9" x14ac:dyDescent="0.25">
      <c r="B241" s="26">
        <f t="shared" si="3"/>
        <v>238</v>
      </c>
      <c r="C241" s="27">
        <v>46174</v>
      </c>
      <c r="D241" s="28" t="s">
        <v>1160</v>
      </c>
      <c r="E241" s="29" t="str">
        <f>_xlfn.XLOOKUP(Table7[[#This Row],[Malın kodu]],Table4[Malın kodu],Table4[Malın adı],"Xəta",0)</f>
        <v>Dirsək / d 50 mm / polad / flyanslı</v>
      </c>
      <c r="F241" s="26">
        <v>1</v>
      </c>
      <c r="G241" s="26"/>
      <c r="H241" s="26" t="s">
        <v>899</v>
      </c>
      <c r="I241" s="26" t="s">
        <v>1918</v>
      </c>
    </row>
    <row r="242" spans="2:9" x14ac:dyDescent="0.25">
      <c r="B242" s="26">
        <f t="shared" si="3"/>
        <v>239</v>
      </c>
      <c r="C242" s="27">
        <v>46174</v>
      </c>
      <c r="D242" s="28" t="s">
        <v>1161</v>
      </c>
      <c r="E242" s="29" t="str">
        <f>_xlfn.XLOOKUP(Table7[[#This Row],[Malın kodu]],Table4[Malın kodu],Table4[Malın adı],"Xəta",0)</f>
        <v>Mufta / d 50 mm / polipropilen / "Metak"</v>
      </c>
      <c r="F242" s="26">
        <v>3</v>
      </c>
      <c r="G242" s="26"/>
      <c r="H242" s="26" t="s">
        <v>899</v>
      </c>
      <c r="I242" s="26" t="s">
        <v>1918</v>
      </c>
    </row>
    <row r="243" spans="2:9" x14ac:dyDescent="0.25">
      <c r="B243" s="26">
        <f t="shared" si="3"/>
        <v>240</v>
      </c>
      <c r="C243" s="27">
        <v>46174</v>
      </c>
      <c r="D243" s="28" t="s">
        <v>1162</v>
      </c>
      <c r="E243" s="29" t="str">
        <f>_xlfn.XLOOKUP(Table7[[#This Row],[Malın kodu]],Table4[Malın kodu],Table4[Malın adı],"Xəta",0)</f>
        <v>Üçlük / d 25 mm / polipropilen / "Metak"</v>
      </c>
      <c r="F243" s="26">
        <v>2</v>
      </c>
      <c r="G243" s="26"/>
      <c r="H243" s="26" t="s">
        <v>899</v>
      </c>
      <c r="I243" s="26" t="s">
        <v>1918</v>
      </c>
    </row>
    <row r="244" spans="2:9" x14ac:dyDescent="0.25">
      <c r="B244" s="26">
        <f t="shared" si="3"/>
        <v>241</v>
      </c>
      <c r="C244" s="27">
        <v>46174</v>
      </c>
      <c r="D244" s="28" t="s">
        <v>1163</v>
      </c>
      <c r="E244" s="29" t="str">
        <f>_xlfn.XLOOKUP(Table7[[#This Row],[Malın kodu]],Table4[Malın kodu],Table4[Malın adı],"Xəta",0)</f>
        <v>Üçlük / d 32x25 mm / polipropilen / "Metak"</v>
      </c>
      <c r="F244" s="26">
        <v>1</v>
      </c>
      <c r="G244" s="26"/>
      <c r="H244" s="26" t="s">
        <v>899</v>
      </c>
      <c r="I244" s="26" t="s">
        <v>1918</v>
      </c>
    </row>
    <row r="245" spans="2:9" x14ac:dyDescent="0.25">
      <c r="B245" s="26">
        <f t="shared" si="3"/>
        <v>242</v>
      </c>
      <c r="C245" s="27">
        <v>46174</v>
      </c>
      <c r="D245" s="28" t="s">
        <v>1164</v>
      </c>
      <c r="E245" s="29" t="str">
        <f>_xlfn.XLOOKUP(Table7[[#This Row],[Malın kodu]],Table4[Malın kodu],Table4[Malın adı],"Xəta",0)</f>
        <v>Mufta / d 25 mm / polipropilen / "Metak"</v>
      </c>
      <c r="F245" s="26">
        <v>1</v>
      </c>
      <c r="G245" s="26"/>
      <c r="H245" s="26" t="s">
        <v>899</v>
      </c>
      <c r="I245" s="26" t="s">
        <v>1918</v>
      </c>
    </row>
    <row r="246" spans="2:9" x14ac:dyDescent="0.25">
      <c r="B246" s="26">
        <f t="shared" si="3"/>
        <v>243</v>
      </c>
      <c r="C246" s="27">
        <v>46174</v>
      </c>
      <c r="D246" s="28" t="s">
        <v>1165</v>
      </c>
      <c r="E246" s="29" t="str">
        <f>_xlfn.XLOOKUP(Table7[[#This Row],[Malın kodu]],Table4[Malın kodu],Table4[Malın adı],"Xəta",0)</f>
        <v>Qapaq / d 25 mm / polipropilen / "Metak"</v>
      </c>
      <c r="F246" s="26">
        <v>2</v>
      </c>
      <c r="G246" s="26"/>
      <c r="H246" s="26" t="s">
        <v>899</v>
      </c>
      <c r="I246" s="26" t="s">
        <v>1918</v>
      </c>
    </row>
    <row r="247" spans="2:9" x14ac:dyDescent="0.25">
      <c r="B247" s="26">
        <f t="shared" si="3"/>
        <v>244</v>
      </c>
      <c r="C247" s="27">
        <v>46174</v>
      </c>
      <c r="D247" s="28" t="s">
        <v>1166</v>
      </c>
      <c r="E247" s="29" t="str">
        <f>_xlfn.XLOOKUP(Table7[[#This Row],[Malın kodu]],Table4[Malın kodu],Table4[Malın adı],"Xəta",0)</f>
        <v>Dirsək / d 20 mm / 45° / polipropilen / "Metak"</v>
      </c>
      <c r="F247" s="26">
        <v>1</v>
      </c>
      <c r="G247" s="26"/>
      <c r="H247" s="26" t="s">
        <v>899</v>
      </c>
      <c r="I247" s="26" t="s">
        <v>1918</v>
      </c>
    </row>
    <row r="248" spans="2:9" x14ac:dyDescent="0.25">
      <c r="B248" s="26">
        <f t="shared" si="3"/>
        <v>245</v>
      </c>
      <c r="C248" s="27">
        <v>46174</v>
      </c>
      <c r="D248" s="28" t="s">
        <v>1167</v>
      </c>
      <c r="E248" s="29" t="str">
        <f>_xlfn.XLOOKUP(Table7[[#This Row],[Malın kodu]],Table4[Malın kodu],Table4[Malın adı],"Xəta",0)</f>
        <v>Dirsək / d 25 mm / 45° / polipropilen / "Metak"</v>
      </c>
      <c r="F248" s="26">
        <v>1</v>
      </c>
      <c r="G248" s="26"/>
      <c r="H248" s="26" t="s">
        <v>899</v>
      </c>
      <c r="I248" s="26" t="s">
        <v>1918</v>
      </c>
    </row>
    <row r="249" spans="2:9" x14ac:dyDescent="0.25">
      <c r="B249" s="26">
        <f t="shared" si="3"/>
        <v>246</v>
      </c>
      <c r="C249" s="27">
        <v>46174</v>
      </c>
      <c r="D249" s="28" t="s">
        <v>1168</v>
      </c>
      <c r="E249" s="29" t="str">
        <f>_xlfn.XLOOKUP(Table7[[#This Row],[Malın kodu]],Table4[Malın kodu],Table4[Malın adı],"Xəta",0)</f>
        <v>Dirsək / d 25 mm / 90° / polipropilen / "Metak"</v>
      </c>
      <c r="F249" s="26">
        <v>6</v>
      </c>
      <c r="G249" s="26"/>
      <c r="H249" s="26" t="s">
        <v>899</v>
      </c>
      <c r="I249" s="26" t="s">
        <v>1918</v>
      </c>
    </row>
    <row r="250" spans="2:9" x14ac:dyDescent="0.25">
      <c r="B250" s="26">
        <f t="shared" si="3"/>
        <v>247</v>
      </c>
      <c r="C250" s="27">
        <v>46174</v>
      </c>
      <c r="D250" s="28" t="s">
        <v>1169</v>
      </c>
      <c r="E250" s="29" t="str">
        <f>_xlfn.XLOOKUP(Table7[[#This Row],[Malın kodu]],Table4[Malın kodu],Table4[Malın adı],"Xəta",0)</f>
        <v>Dirsək / d 50 mm / 90° / polipropilen / "Metak"</v>
      </c>
      <c r="F250" s="26">
        <v>1</v>
      </c>
      <c r="G250" s="26"/>
      <c r="H250" s="26" t="s">
        <v>899</v>
      </c>
      <c r="I250" s="26" t="s">
        <v>1918</v>
      </c>
    </row>
    <row r="251" spans="2:9" x14ac:dyDescent="0.25">
      <c r="B251" s="26">
        <f t="shared" si="3"/>
        <v>248</v>
      </c>
      <c r="C251" s="27">
        <v>46174</v>
      </c>
      <c r="D251" s="28" t="s">
        <v>1170</v>
      </c>
      <c r="E251" s="29" t="str">
        <f>_xlfn.XLOOKUP(Table7[[#This Row],[Malın kodu]],Table4[Malın kodu],Table4[Malın adı],"Xəta",0)</f>
        <v>Üçlük / d 50 mm / polipropilen / "Metak"</v>
      </c>
      <c r="F251" s="26">
        <v>1</v>
      </c>
      <c r="G251" s="26"/>
      <c r="H251" s="26" t="s">
        <v>899</v>
      </c>
      <c r="I251" s="26" t="s">
        <v>1918</v>
      </c>
    </row>
    <row r="252" spans="2:9" x14ac:dyDescent="0.25">
      <c r="B252" s="26">
        <f t="shared" si="3"/>
        <v>249</v>
      </c>
      <c r="C252" s="27">
        <v>46174</v>
      </c>
      <c r="D252" s="28" t="s">
        <v>1171</v>
      </c>
      <c r="E252" s="29" t="str">
        <f>_xlfn.XLOOKUP(Table7[[#This Row],[Malın kodu]],Table4[Malın kodu],Table4[Malın adı],"Xəta",0)</f>
        <v>Üçlük / d 40 mm / polipropilen / "Metak"</v>
      </c>
      <c r="F252" s="26">
        <v>8</v>
      </c>
      <c r="G252" s="26"/>
      <c r="H252" s="26" t="s">
        <v>899</v>
      </c>
      <c r="I252" s="26" t="s">
        <v>1918</v>
      </c>
    </row>
    <row r="253" spans="2:9" x14ac:dyDescent="0.25">
      <c r="B253" s="26">
        <f t="shared" si="3"/>
        <v>250</v>
      </c>
      <c r="C253" s="27">
        <v>46174</v>
      </c>
      <c r="D253" s="28" t="s">
        <v>1172</v>
      </c>
      <c r="E253" s="29" t="str">
        <f>_xlfn.XLOOKUP(Table7[[#This Row],[Malın kodu]],Table4[Malın kodu],Table4[Malın adı],"Xəta",0)</f>
        <v>Mufta / d 32 mm / polipropilen / bir tərəfi yivli / "Metak"</v>
      </c>
      <c r="F253" s="26">
        <v>5</v>
      </c>
      <c r="G253" s="26"/>
      <c r="H253" s="26" t="s">
        <v>899</v>
      </c>
      <c r="I253" s="26" t="s">
        <v>1918</v>
      </c>
    </row>
    <row r="254" spans="2:9" x14ac:dyDescent="0.25">
      <c r="B254" s="26">
        <f t="shared" si="3"/>
        <v>251</v>
      </c>
      <c r="C254" s="27">
        <v>46174</v>
      </c>
      <c r="D254" s="28" t="s">
        <v>1173</v>
      </c>
      <c r="E254" s="29" t="str">
        <f>_xlfn.XLOOKUP(Table7[[#This Row],[Malın kodu]],Table4[Malın kodu],Table4[Malın adı],"Xəta",0)</f>
        <v>Mufta / d 25 mm / polipropilen / bir tərəfi yivli / "Metak"</v>
      </c>
      <c r="F254" s="26">
        <v>1</v>
      </c>
      <c r="G254" s="26"/>
      <c r="H254" s="26" t="s">
        <v>899</v>
      </c>
      <c r="I254" s="26" t="s">
        <v>1918</v>
      </c>
    </row>
    <row r="255" spans="2:9" ht="30" x14ac:dyDescent="0.25">
      <c r="B255" s="26">
        <f t="shared" si="3"/>
        <v>252</v>
      </c>
      <c r="C255" s="27">
        <v>46174</v>
      </c>
      <c r="D255" s="28" t="s">
        <v>1174</v>
      </c>
      <c r="E255" s="29" t="str">
        <f>_xlfn.XLOOKUP(Table7[[#This Row],[Malın kodu]],Table4[Malın kodu],Table4[Malın adı],"Xəta",0)</f>
        <v>Sınaq ələyi / ölçü: 10 / laboratoriya üçün / "Jeotest" türkiyə istehsalı</v>
      </c>
      <c r="F255" s="26">
        <v>1</v>
      </c>
      <c r="G255" s="26"/>
      <c r="H255" s="26" t="s">
        <v>899</v>
      </c>
      <c r="I255" s="26" t="s">
        <v>1918</v>
      </c>
    </row>
    <row r="256" spans="2:9" ht="30" x14ac:dyDescent="0.25">
      <c r="B256" s="26">
        <f t="shared" si="3"/>
        <v>253</v>
      </c>
      <c r="C256" s="27">
        <v>46174</v>
      </c>
      <c r="D256" s="28" t="s">
        <v>1175</v>
      </c>
      <c r="E256" s="29" t="str">
        <f>_xlfn.XLOOKUP(Table7[[#This Row],[Malın kodu]],Table4[Malın kodu],Table4[Malın adı],"Xəta",0)</f>
        <v>Sınaq ələyi / ölçü: 13.2 / laboratoriya üçün / "Jeotest" türkiyə istehsalı</v>
      </c>
      <c r="F256" s="26">
        <v>1</v>
      </c>
      <c r="G256" s="26"/>
      <c r="H256" s="26" t="s">
        <v>899</v>
      </c>
      <c r="I256" s="26" t="s">
        <v>1918</v>
      </c>
    </row>
    <row r="257" spans="2:9" ht="30" x14ac:dyDescent="0.25">
      <c r="B257" s="26">
        <f t="shared" si="3"/>
        <v>254</v>
      </c>
      <c r="C257" s="27">
        <v>46174</v>
      </c>
      <c r="D257" s="28" t="s">
        <v>1176</v>
      </c>
      <c r="E257" s="29" t="str">
        <f>_xlfn.XLOOKUP(Table7[[#This Row],[Malın kodu]],Table4[Malın kodu],Table4[Malın adı],"Xəta",0)</f>
        <v>Sınaq ələyi / ölçü: 6.3 / laboratoriya üçün / "Jeotest" türkiyə istehsalı</v>
      </c>
      <c r="F257" s="26">
        <v>1</v>
      </c>
      <c r="G257" s="26"/>
      <c r="H257" s="26" t="s">
        <v>899</v>
      </c>
      <c r="I257" s="26" t="s">
        <v>1918</v>
      </c>
    </row>
    <row r="258" spans="2:9" ht="30" x14ac:dyDescent="0.25">
      <c r="B258" s="26">
        <f t="shared" si="3"/>
        <v>255</v>
      </c>
      <c r="C258" s="27">
        <v>46174</v>
      </c>
      <c r="D258" s="28" t="s">
        <v>1177</v>
      </c>
      <c r="E258" s="29" t="str">
        <f>_xlfn.XLOOKUP(Table7[[#This Row],[Malın kodu]],Table4[Malın kodu],Table4[Malın adı],"Xəta",0)</f>
        <v>Sınaq ələyi / ölçü: 8 / laboratoriya üçün / "Jeotest" türkiyə istehsalı</v>
      </c>
      <c r="F258" s="26">
        <v>1</v>
      </c>
      <c r="G258" s="26"/>
      <c r="H258" s="26" t="s">
        <v>899</v>
      </c>
      <c r="I258" s="26" t="s">
        <v>1918</v>
      </c>
    </row>
    <row r="259" spans="2:9" ht="30" x14ac:dyDescent="0.25">
      <c r="B259" s="26">
        <f t="shared" si="3"/>
        <v>256</v>
      </c>
      <c r="C259" s="27">
        <v>46174</v>
      </c>
      <c r="D259" s="28" t="s">
        <v>1178</v>
      </c>
      <c r="E259" s="29" t="str">
        <f>_xlfn.XLOOKUP(Table7[[#This Row],[Malın kodu]],Table4[Malın kodu],Table4[Malın adı],"Xəta",0)</f>
        <v>Sınaq ələyi / ölçü: 16 / laboratoriya üçün / "Jeotest" türkiyə istehsalı</v>
      </c>
      <c r="F259" s="26">
        <v>1</v>
      </c>
      <c r="G259" s="26"/>
      <c r="H259" s="26" t="s">
        <v>899</v>
      </c>
      <c r="I259" s="26" t="s">
        <v>1918</v>
      </c>
    </row>
    <row r="260" spans="2:9" ht="30" x14ac:dyDescent="0.25">
      <c r="B260" s="26">
        <f t="shared" ref="B260:B323" si="4">ROW()-3</f>
        <v>257</v>
      </c>
      <c r="C260" s="27">
        <v>46174</v>
      </c>
      <c r="D260" s="28" t="s">
        <v>1179</v>
      </c>
      <c r="E260" s="29" t="str">
        <f>_xlfn.XLOOKUP(Table7[[#This Row],[Malın kodu]],Table4[Malın kodu],Table4[Malın adı],"Xəta",0)</f>
        <v>Sınaq ələyi / ölçü: 25 / laboratoriya üçün / "Jeotest" türkiyə istehsalı</v>
      </c>
      <c r="F260" s="26">
        <v>1</v>
      </c>
      <c r="G260" s="26"/>
      <c r="H260" s="26" t="s">
        <v>899</v>
      </c>
      <c r="I260" s="26" t="s">
        <v>1918</v>
      </c>
    </row>
    <row r="261" spans="2:9" ht="30" x14ac:dyDescent="0.25">
      <c r="B261" s="26">
        <f t="shared" si="4"/>
        <v>258</v>
      </c>
      <c r="C261" s="27">
        <v>46174</v>
      </c>
      <c r="D261" s="28" t="s">
        <v>1180</v>
      </c>
      <c r="E261" s="29" t="str">
        <f>_xlfn.XLOOKUP(Table7[[#This Row],[Malın kodu]],Table4[Malın kodu],Table4[Malın adı],"Xəta",0)</f>
        <v>Sınaq ələyi / ölçü: 12.5 / laboratoriya üçün / "Jeotest" türkiyə istehsalı</v>
      </c>
      <c r="F261" s="26">
        <v>1</v>
      </c>
      <c r="G261" s="26"/>
      <c r="H261" s="26" t="s">
        <v>899</v>
      </c>
      <c r="I261" s="26" t="s">
        <v>1918</v>
      </c>
    </row>
    <row r="262" spans="2:9" ht="30" x14ac:dyDescent="0.25">
      <c r="B262" s="26">
        <f t="shared" si="4"/>
        <v>259</v>
      </c>
      <c r="C262" s="27">
        <v>46174</v>
      </c>
      <c r="D262" s="28" t="s">
        <v>1181</v>
      </c>
      <c r="E262" s="29" t="str">
        <f>_xlfn.XLOOKUP(Table7[[#This Row],[Malın kodu]],Table4[Malın kodu],Table4[Malın adı],"Xəta",0)</f>
        <v>Sınaq ələyi / ölçü: 425 / laboratoriya üçün / "Jeotest" türkiyə istehsalı</v>
      </c>
      <c r="F262" s="26">
        <v>1</v>
      </c>
      <c r="G262" s="26"/>
      <c r="H262" s="26" t="s">
        <v>899</v>
      </c>
      <c r="I262" s="26" t="s">
        <v>1918</v>
      </c>
    </row>
    <row r="263" spans="2:9" ht="30" x14ac:dyDescent="0.25">
      <c r="B263" s="26">
        <f t="shared" si="4"/>
        <v>260</v>
      </c>
      <c r="C263" s="27">
        <v>46174</v>
      </c>
      <c r="D263" s="28" t="s">
        <v>1182</v>
      </c>
      <c r="E263" s="29" t="str">
        <f>_xlfn.XLOOKUP(Table7[[#This Row],[Malın kodu]],Table4[Malın kodu],Table4[Malın adı],"Xəta",0)</f>
        <v>Sınaq ələyi / ölçü: 31.5 / laboratoriya üçün / "Jeotest" türkiyə istehsalı</v>
      </c>
      <c r="F263" s="26">
        <v>1</v>
      </c>
      <c r="G263" s="26"/>
      <c r="H263" s="26" t="s">
        <v>899</v>
      </c>
      <c r="I263" s="26" t="s">
        <v>1918</v>
      </c>
    </row>
    <row r="264" spans="2:9" ht="30" x14ac:dyDescent="0.25">
      <c r="B264" s="26">
        <f t="shared" si="4"/>
        <v>261</v>
      </c>
      <c r="C264" s="27">
        <v>46174</v>
      </c>
      <c r="D264" s="28" t="s">
        <v>1183</v>
      </c>
      <c r="E264" s="29" t="str">
        <f>_xlfn.XLOOKUP(Table7[[#This Row],[Malın kodu]],Table4[Malın kodu],Table4[Malın adı],"Xəta",0)</f>
        <v>Sınaq ələyi / ölçü: 50 / laboratoriya üçün / "Jeotest" türkiyə istehsalı</v>
      </c>
      <c r="F264" s="26">
        <v>1</v>
      </c>
      <c r="G264" s="26"/>
      <c r="H264" s="26" t="s">
        <v>899</v>
      </c>
      <c r="I264" s="26" t="s">
        <v>1918</v>
      </c>
    </row>
    <row r="265" spans="2:9" ht="30" x14ac:dyDescent="0.25">
      <c r="B265" s="26">
        <f t="shared" si="4"/>
        <v>262</v>
      </c>
      <c r="C265" s="27">
        <v>46174</v>
      </c>
      <c r="D265" s="28" t="s">
        <v>1184</v>
      </c>
      <c r="E265" s="29" t="str">
        <f>_xlfn.XLOOKUP(Table7[[#This Row],[Malın kodu]],Table4[Malın kodu],Table4[Malın adı],"Xəta",0)</f>
        <v>Sınaq ələyi / ölçü: 4.75 / laboratoriya üçün / "Jeotest" türkiyə istehsalı</v>
      </c>
      <c r="F265" s="26">
        <v>1</v>
      </c>
      <c r="G265" s="26"/>
      <c r="H265" s="26" t="s">
        <v>899</v>
      </c>
      <c r="I265" s="26" t="s">
        <v>1918</v>
      </c>
    </row>
    <row r="266" spans="2:9" ht="30" x14ac:dyDescent="0.25">
      <c r="B266" s="26">
        <f t="shared" si="4"/>
        <v>263</v>
      </c>
      <c r="C266" s="27">
        <v>46174</v>
      </c>
      <c r="D266" s="28" t="s">
        <v>1185</v>
      </c>
      <c r="E266" s="29" t="str">
        <f>_xlfn.XLOOKUP(Table7[[#This Row],[Malın kodu]],Table4[Malın kodu],Table4[Malın adı],"Xəta",0)</f>
        <v>Sınaq ələyi / ölçü: 1.18 / laboratoriya üçün / "Jeotest" türkiyə istehsalı</v>
      </c>
      <c r="F266" s="26">
        <v>1</v>
      </c>
      <c r="G266" s="26"/>
      <c r="H266" s="26" t="s">
        <v>899</v>
      </c>
      <c r="I266" s="26" t="s">
        <v>1918</v>
      </c>
    </row>
    <row r="267" spans="2:9" ht="30" x14ac:dyDescent="0.25">
      <c r="B267" s="26">
        <f t="shared" si="4"/>
        <v>264</v>
      </c>
      <c r="C267" s="27">
        <v>46174</v>
      </c>
      <c r="D267" s="28" t="s">
        <v>1186</v>
      </c>
      <c r="E267" s="29" t="str">
        <f>_xlfn.XLOOKUP(Table7[[#This Row],[Malın kodu]],Table4[Malın kodu],Table4[Malın adı],"Xəta",0)</f>
        <v>Sınaq ələyi / ölçü: 500 / laboratoriya üçün / "Jeotest" türkiyə istehsalı</v>
      </c>
      <c r="F267" s="26">
        <v>1</v>
      </c>
      <c r="G267" s="26"/>
      <c r="H267" s="26" t="s">
        <v>899</v>
      </c>
      <c r="I267" s="26" t="s">
        <v>1918</v>
      </c>
    </row>
    <row r="268" spans="2:9" ht="30" x14ac:dyDescent="0.25">
      <c r="B268" s="26">
        <f t="shared" si="4"/>
        <v>265</v>
      </c>
      <c r="C268" s="27">
        <v>46174</v>
      </c>
      <c r="D268" s="28" t="s">
        <v>1187</v>
      </c>
      <c r="E268" s="29" t="str">
        <f>_xlfn.XLOOKUP(Table7[[#This Row],[Malın kodu]],Table4[Malın kodu],Table4[Malın adı],"Xəta",0)</f>
        <v>Sınaq ələyi / ölçü: 4 / laboratoriya üçün / "Jeotest" türkiyə istehsalı</v>
      </c>
      <c r="F268" s="26">
        <v>1</v>
      </c>
      <c r="G268" s="26"/>
      <c r="H268" s="26" t="s">
        <v>899</v>
      </c>
      <c r="I268" s="26" t="s">
        <v>1918</v>
      </c>
    </row>
    <row r="269" spans="2:9" ht="30" x14ac:dyDescent="0.25">
      <c r="B269" s="26">
        <f t="shared" si="4"/>
        <v>266</v>
      </c>
      <c r="C269" s="27">
        <v>46174</v>
      </c>
      <c r="D269" s="28" t="s">
        <v>1188</v>
      </c>
      <c r="E269" s="29" t="str">
        <f>_xlfn.XLOOKUP(Table7[[#This Row],[Malın kodu]],Table4[Malın kodu],Table4[Malın adı],"Xəta",0)</f>
        <v>Sınaq ələyi / ölçü: 14 / laboratoriya üçün / "Jeotest" türkiyə istehsalı</v>
      </c>
      <c r="F269" s="26">
        <v>1</v>
      </c>
      <c r="G269" s="26"/>
      <c r="H269" s="26" t="s">
        <v>899</v>
      </c>
      <c r="I269" s="26" t="s">
        <v>1918</v>
      </c>
    </row>
    <row r="270" spans="2:9" ht="30" x14ac:dyDescent="0.25">
      <c r="B270" s="26">
        <f t="shared" si="4"/>
        <v>267</v>
      </c>
      <c r="C270" s="27">
        <v>46174</v>
      </c>
      <c r="D270" s="28" t="s">
        <v>1189</v>
      </c>
      <c r="E270" s="29" t="str">
        <f>_xlfn.XLOOKUP(Table7[[#This Row],[Malın kodu]],Table4[Malın kodu],Table4[Malın adı],"Xəta",0)</f>
        <v>Sınaq ələyi / ölçü: 22.4 / laboratoriya üçün / "Jeotest" türkiyə istehsalı</v>
      </c>
      <c r="F270" s="26">
        <v>1</v>
      </c>
      <c r="G270" s="26"/>
      <c r="H270" s="26" t="s">
        <v>899</v>
      </c>
      <c r="I270" s="26" t="s">
        <v>1918</v>
      </c>
    </row>
    <row r="271" spans="2:9" ht="30" x14ac:dyDescent="0.25">
      <c r="B271" s="26">
        <f t="shared" si="4"/>
        <v>268</v>
      </c>
      <c r="C271" s="27">
        <v>46174</v>
      </c>
      <c r="D271" s="28" t="s">
        <v>1190</v>
      </c>
      <c r="E271" s="29" t="str">
        <f>_xlfn.XLOOKUP(Table7[[#This Row],[Malın kodu]],Table4[Malın kodu],Table4[Malın adı],"Xəta",0)</f>
        <v>Sınaq ələyi / ölçü: 600 / laboratoriya üçün / "Jeotest" türkiyə istehsalı</v>
      </c>
      <c r="F271" s="26">
        <v>1</v>
      </c>
      <c r="G271" s="26"/>
      <c r="H271" s="26" t="s">
        <v>899</v>
      </c>
      <c r="I271" s="26" t="s">
        <v>1918</v>
      </c>
    </row>
    <row r="272" spans="2:9" ht="30" x14ac:dyDescent="0.25">
      <c r="B272" s="26">
        <f t="shared" si="4"/>
        <v>269</v>
      </c>
      <c r="C272" s="27">
        <v>46174</v>
      </c>
      <c r="D272" s="28" t="s">
        <v>1191</v>
      </c>
      <c r="E272" s="29" t="str">
        <f>_xlfn.XLOOKUP(Table7[[#This Row],[Malın kodu]],Table4[Malın kodu],Table4[Malın adı],"Xəta",0)</f>
        <v>Sınaq ələyi / ölçü: 37.5 / laboratoriya üçün / "Jeotest" türkiyə istehsalı</v>
      </c>
      <c r="F272" s="26">
        <v>1</v>
      </c>
      <c r="G272" s="26"/>
      <c r="H272" s="26" t="s">
        <v>899</v>
      </c>
      <c r="I272" s="26" t="s">
        <v>1918</v>
      </c>
    </row>
    <row r="273" spans="2:9" ht="30" x14ac:dyDescent="0.25">
      <c r="B273" s="26">
        <f t="shared" si="4"/>
        <v>270</v>
      </c>
      <c r="C273" s="27">
        <v>46174</v>
      </c>
      <c r="D273" s="28" t="s">
        <v>1192</v>
      </c>
      <c r="E273" s="29" t="str">
        <f>_xlfn.XLOOKUP(Table7[[#This Row],[Malın kodu]],Table4[Malın kodu],Table4[Malın adı],"Xəta",0)</f>
        <v>Sınaq ələyi / ölçü: 19 / laboratoriya üçün / "Jeotest" türkiyə istehsalı</v>
      </c>
      <c r="F273" s="26">
        <v>1</v>
      </c>
      <c r="G273" s="26"/>
      <c r="H273" s="26" t="s">
        <v>899</v>
      </c>
      <c r="I273" s="26" t="s">
        <v>1918</v>
      </c>
    </row>
    <row r="274" spans="2:9" ht="30" x14ac:dyDescent="0.25">
      <c r="B274" s="26">
        <f t="shared" si="4"/>
        <v>271</v>
      </c>
      <c r="C274" s="27">
        <v>46174</v>
      </c>
      <c r="D274" s="28" t="s">
        <v>1193</v>
      </c>
      <c r="E274" s="29" t="str">
        <f>_xlfn.XLOOKUP(Table7[[#This Row],[Malın kodu]],Table4[Malın kodu],Table4[Malın adı],"Xəta",0)</f>
        <v>Sınaq ələyi / ölçü: 11.2 / laboratoriya üçün / "Jeotest" türkiyə istehsalı</v>
      </c>
      <c r="F274" s="26">
        <v>1</v>
      </c>
      <c r="G274" s="26"/>
      <c r="H274" s="26" t="s">
        <v>899</v>
      </c>
      <c r="I274" s="26" t="s">
        <v>1918</v>
      </c>
    </row>
    <row r="275" spans="2:9" ht="30" x14ac:dyDescent="0.25">
      <c r="B275" s="26">
        <f t="shared" si="4"/>
        <v>272</v>
      </c>
      <c r="C275" s="27">
        <v>46174</v>
      </c>
      <c r="D275" s="28" t="s">
        <v>1194</v>
      </c>
      <c r="E275" s="29" t="str">
        <f>_xlfn.XLOOKUP(Table7[[#This Row],[Malın kodu]],Table4[Malın kodu],Table4[Malın adı],"Xəta",0)</f>
        <v>Sınaq ələyi / ölçü: 75 / laboratoriya üçün / "Jeotest" türkiyə istehsalı</v>
      </c>
      <c r="F275" s="26">
        <v>1</v>
      </c>
      <c r="G275" s="26"/>
      <c r="H275" s="26" t="s">
        <v>899</v>
      </c>
      <c r="I275" s="26" t="s">
        <v>1918</v>
      </c>
    </row>
    <row r="276" spans="2:9" ht="30" x14ac:dyDescent="0.25">
      <c r="B276" s="26">
        <f t="shared" si="4"/>
        <v>273</v>
      </c>
      <c r="C276" s="27">
        <v>46174</v>
      </c>
      <c r="D276" s="28" t="s">
        <v>1195</v>
      </c>
      <c r="E276" s="29" t="str">
        <f>_xlfn.XLOOKUP(Table7[[#This Row],[Malın kodu]],Table4[Malın kodu],Table4[Malın adı],"Xəta",0)</f>
        <v>Sınaq ələyi / ölçü: 300 / laboratoriya üçün / "Jeotest" türkiyə istehsalı</v>
      </c>
      <c r="F276" s="26">
        <v>1</v>
      </c>
      <c r="G276" s="26"/>
      <c r="H276" s="26" t="s">
        <v>899</v>
      </c>
      <c r="I276" s="26" t="s">
        <v>1918</v>
      </c>
    </row>
    <row r="277" spans="2:9" ht="30" x14ac:dyDescent="0.25">
      <c r="B277" s="26">
        <f t="shared" si="4"/>
        <v>274</v>
      </c>
      <c r="C277" s="27">
        <v>46174</v>
      </c>
      <c r="D277" s="28" t="s">
        <v>1196</v>
      </c>
      <c r="E277" s="29" t="str">
        <f>_xlfn.XLOOKUP(Table7[[#This Row],[Malın kodu]],Table4[Malın kodu],Table4[Malın adı],"Xəta",0)</f>
        <v>Sınaq ələyi / ölçü: 250 / laboratoriya üçün / "Jeotest" türkiyə istehsalı</v>
      </c>
      <c r="F277" s="26">
        <v>1</v>
      </c>
      <c r="G277" s="26"/>
      <c r="H277" s="26" t="s">
        <v>899</v>
      </c>
      <c r="I277" s="26" t="s">
        <v>1918</v>
      </c>
    </row>
    <row r="278" spans="2:9" ht="30" x14ac:dyDescent="0.25">
      <c r="B278" s="26">
        <f t="shared" si="4"/>
        <v>275</v>
      </c>
      <c r="C278" s="27">
        <v>46174</v>
      </c>
      <c r="D278" s="28" t="s">
        <v>1197</v>
      </c>
      <c r="E278" s="29" t="str">
        <f>_xlfn.XLOOKUP(Table7[[#This Row],[Malın kodu]],Table4[Malın kodu],Table4[Malın adı],"Xəta",0)</f>
        <v>Sınaq ələyi / ölçü: 9.5 / laboratoriya üçün / "Jeotest" türkiyə istehsalı</v>
      </c>
      <c r="F278" s="26">
        <v>1</v>
      </c>
      <c r="G278" s="26"/>
      <c r="H278" s="26" t="s">
        <v>899</v>
      </c>
      <c r="I278" s="26" t="s">
        <v>1918</v>
      </c>
    </row>
    <row r="279" spans="2:9" x14ac:dyDescent="0.25">
      <c r="B279" s="26">
        <f t="shared" si="4"/>
        <v>276</v>
      </c>
      <c r="C279" s="27">
        <v>46174</v>
      </c>
      <c r="D279" s="28" t="s">
        <v>1198</v>
      </c>
      <c r="E279" s="29" t="str">
        <f>_xlfn.XLOOKUP(Table7[[#This Row],[Malın kodu]],Table4[Malın kodu],Table4[Malın adı],"Xəta",0)</f>
        <v>Təbaşir / metal üçün</v>
      </c>
      <c r="F279" s="26">
        <v>36</v>
      </c>
      <c r="G279" s="26"/>
      <c r="H279" s="26" t="s">
        <v>899</v>
      </c>
      <c r="I279" s="26" t="s">
        <v>1918</v>
      </c>
    </row>
    <row r="280" spans="2:9" x14ac:dyDescent="0.25">
      <c r="B280" s="26">
        <f t="shared" si="4"/>
        <v>277</v>
      </c>
      <c r="C280" s="27">
        <v>46174</v>
      </c>
      <c r="D280" s="28" t="s">
        <v>1199</v>
      </c>
      <c r="E280" s="29" t="str">
        <f>_xlfn.XLOOKUP(Table7[[#This Row],[Malın kodu]],Table4[Malın kodu],Table4[Malın adı],"Xəta",0)</f>
        <v>Şüşə / qaynaqçı maskası üçün / qara</v>
      </c>
      <c r="F280" s="26">
        <v>1</v>
      </c>
      <c r="G280" s="26"/>
      <c r="H280" s="26" t="s">
        <v>899</v>
      </c>
      <c r="I280" s="26" t="s">
        <v>1918</v>
      </c>
    </row>
    <row r="281" spans="2:9" x14ac:dyDescent="0.25">
      <c r="B281" s="26">
        <f t="shared" si="4"/>
        <v>278</v>
      </c>
      <c r="C281" s="27">
        <v>46174</v>
      </c>
      <c r="D281" s="28" t="s">
        <v>1200</v>
      </c>
      <c r="E281" s="29" t="str">
        <f>_xlfn.XLOOKUP(Table7[[#This Row],[Malın kodu]],Table4[Malın kodu],Table4[Malın adı],"Xəta",0)</f>
        <v>Şüşə / qaynaqçı maskası üçün / şəffaf</v>
      </c>
      <c r="F281" s="26">
        <v>7</v>
      </c>
      <c r="G281" s="26"/>
      <c r="H281" s="26" t="s">
        <v>899</v>
      </c>
      <c r="I281" s="26" t="s">
        <v>1918</v>
      </c>
    </row>
    <row r="282" spans="2:9" x14ac:dyDescent="0.25">
      <c r="B282" s="26">
        <f t="shared" si="4"/>
        <v>279</v>
      </c>
      <c r="C282" s="27">
        <v>46174</v>
      </c>
      <c r="D282" s="28" t="s">
        <v>1201</v>
      </c>
      <c r="E282" s="29" t="str">
        <f>_xlfn.XLOOKUP(Table7[[#This Row],[Malın kodu]],Table4[Malın kodu],Table4[Malın adı],"Xəta",0)</f>
        <v>Patron / electric</v>
      </c>
      <c r="F282" s="26">
        <v>2</v>
      </c>
      <c r="G282" s="26"/>
      <c r="H282" s="26" t="s">
        <v>899</v>
      </c>
      <c r="I282" s="26" t="s">
        <v>1918</v>
      </c>
    </row>
    <row r="283" spans="2:9" x14ac:dyDescent="0.25">
      <c r="B283" s="26">
        <f t="shared" si="4"/>
        <v>280</v>
      </c>
      <c r="C283" s="27">
        <v>46174</v>
      </c>
      <c r="D283" s="28" t="s">
        <v>1202</v>
      </c>
      <c r="E283" s="29" t="str">
        <f>_xlfn.XLOOKUP(Table7[[#This Row],[Malın kodu]],Table4[Malın kodu],Table4[Malın adı],"Xəta",0)</f>
        <v>Kabel ucluğu / № 2.5</v>
      </c>
      <c r="F283" s="26">
        <v>89</v>
      </c>
      <c r="G283" s="26"/>
      <c r="H283" s="26" t="s">
        <v>899</v>
      </c>
      <c r="I283" s="26" t="s">
        <v>1918</v>
      </c>
    </row>
    <row r="284" spans="2:9" ht="30" x14ac:dyDescent="0.25">
      <c r="B284" s="26">
        <f t="shared" si="4"/>
        <v>281</v>
      </c>
      <c r="C284" s="27">
        <v>46174</v>
      </c>
      <c r="D284" s="28" t="s">
        <v>1203</v>
      </c>
      <c r="E284" s="29" t="str">
        <f>_xlfn.XLOOKUP(Table7[[#This Row],[Malın kodu]],Table4[Malın kodu],Table4[Malın adı],"Xəta",0)</f>
        <v>Sayğac / elektrik / 3 faza / 4 telli / 10-60 A / "Makel" / Türk istehsalı</v>
      </c>
      <c r="F284" s="26">
        <v>1</v>
      </c>
      <c r="G284" s="26"/>
      <c r="H284" s="26" t="s">
        <v>899</v>
      </c>
      <c r="I284" s="26" t="s">
        <v>1918</v>
      </c>
    </row>
    <row r="285" spans="2:9" x14ac:dyDescent="0.25">
      <c r="B285" s="26">
        <f t="shared" si="4"/>
        <v>282</v>
      </c>
      <c r="C285" s="27">
        <v>46174</v>
      </c>
      <c r="D285" s="28" t="s">
        <v>1204</v>
      </c>
      <c r="E285" s="29" t="str">
        <f>_xlfn.XLOOKUP(Table7[[#This Row],[Malın kodu]],Table4[Malın kodu],Table4[Malın adı],"Xəta",0)</f>
        <v>Xamut / metal-rezin / d 32 mm / kabel və boru üçün</v>
      </c>
      <c r="F285" s="26">
        <v>36</v>
      </c>
      <c r="G285" s="26"/>
      <c r="H285" s="26" t="s">
        <v>899</v>
      </c>
      <c r="I285" s="26" t="s">
        <v>1918</v>
      </c>
    </row>
    <row r="286" spans="2:9" x14ac:dyDescent="0.25">
      <c r="B286" s="26">
        <f t="shared" si="4"/>
        <v>283</v>
      </c>
      <c r="C286" s="27">
        <v>46174</v>
      </c>
      <c r="D286" s="28" t="s">
        <v>1205</v>
      </c>
      <c r="E286" s="29" t="str">
        <f>_xlfn.XLOOKUP(Table7[[#This Row],[Malın kodu]],Table4[Malın kodu],Table4[Malın adı],"Xəta",0)</f>
        <v>Yol nişanı / sürət 10 km/s</v>
      </c>
      <c r="F286" s="26">
        <v>3</v>
      </c>
      <c r="G286" s="26"/>
      <c r="H286" s="26" t="s">
        <v>899</v>
      </c>
      <c r="I286" s="26" t="s">
        <v>1918</v>
      </c>
    </row>
    <row r="287" spans="2:9" x14ac:dyDescent="0.25">
      <c r="B287" s="26">
        <f t="shared" si="4"/>
        <v>284</v>
      </c>
      <c r="C287" s="27">
        <v>46174</v>
      </c>
      <c r="D287" s="28" t="s">
        <v>1206</v>
      </c>
      <c r="E287" s="29" t="str">
        <f>_xlfn.XLOOKUP(Table7[[#This Row],[Malın kodu]],Table4[Malın kodu],Table4[Malın adı],"Xəta",0)</f>
        <v>Çəkic / 3 LB</v>
      </c>
      <c r="F287" s="26">
        <v>1</v>
      </c>
      <c r="G287" s="26"/>
      <c r="H287" s="26" t="s">
        <v>899</v>
      </c>
      <c r="I287" s="26" t="s">
        <v>1918</v>
      </c>
    </row>
    <row r="288" spans="2:9" x14ac:dyDescent="0.25">
      <c r="B288" s="26">
        <f t="shared" si="4"/>
        <v>285</v>
      </c>
      <c r="C288" s="27">
        <v>46174</v>
      </c>
      <c r="D288" s="28" t="s">
        <v>1207</v>
      </c>
      <c r="E288" s="29" t="str">
        <f>_xlfn.XLOOKUP(Table7[[#This Row],[Malın kodu]],Table4[Malın kodu],Table4[Malın adı],"Xəta",0)</f>
        <v>Dolğu / kafel-metlax / 1 kq / fil dişi</v>
      </c>
      <c r="F288" s="26">
        <v>2</v>
      </c>
      <c r="G288" s="26"/>
      <c r="H288" s="26" t="s">
        <v>899</v>
      </c>
      <c r="I288" s="26" t="s">
        <v>1918</v>
      </c>
    </row>
    <row r="289" spans="2:9" x14ac:dyDescent="0.25">
      <c r="B289" s="26">
        <f t="shared" si="4"/>
        <v>286</v>
      </c>
      <c r="C289" s="27">
        <v>46174</v>
      </c>
      <c r="D289" s="28" t="s">
        <v>1208</v>
      </c>
      <c r="E289" s="29" t="str">
        <f>_xlfn.XLOOKUP(Table7[[#This Row],[Malın kodu]],Table4[Malın kodu],Table4[Malın adı],"Xəta",0)</f>
        <v>Spatel / rezin</v>
      </c>
      <c r="F289" s="26">
        <v>3</v>
      </c>
      <c r="G289" s="26"/>
      <c r="H289" s="26" t="s">
        <v>899</v>
      </c>
      <c r="I289" s="26" t="s">
        <v>1918</v>
      </c>
    </row>
    <row r="290" spans="2:9" x14ac:dyDescent="0.25">
      <c r="B290" s="26">
        <f t="shared" si="4"/>
        <v>287</v>
      </c>
      <c r="C290" s="27">
        <v>46174</v>
      </c>
      <c r="D290" s="28" t="s">
        <v>1209</v>
      </c>
      <c r="E290" s="29" t="str">
        <f>_xlfn.XLOOKUP(Table7[[#This Row],[Malın kodu]],Table4[Malın kodu],Table4[Malın adı],"Xəta",0)</f>
        <v>Videokamera / nəzarət / "Multistar" / A</v>
      </c>
      <c r="F290" s="26">
        <v>1</v>
      </c>
      <c r="G290" s="26"/>
      <c r="H290" s="26" t="s">
        <v>899</v>
      </c>
      <c r="I290" s="26" t="s">
        <v>1918</v>
      </c>
    </row>
    <row r="291" spans="2:9" x14ac:dyDescent="0.25">
      <c r="B291" s="26">
        <f t="shared" si="4"/>
        <v>288</v>
      </c>
      <c r="C291" s="27">
        <v>46174</v>
      </c>
      <c r="D291" s="28" t="s">
        <v>1210</v>
      </c>
      <c r="E291" s="29" t="str">
        <f>_xlfn.XLOOKUP(Table7[[#This Row],[Malın kodu]],Table4[Malın kodu],Table4[Malın adı],"Xəta",0)</f>
        <v>Videokamera / nəzarət / color / IR / "Hikvision"</v>
      </c>
      <c r="F291" s="26">
        <v>1</v>
      </c>
      <c r="G291" s="26"/>
      <c r="H291" s="26" t="s">
        <v>899</v>
      </c>
      <c r="I291" s="26" t="s">
        <v>1918</v>
      </c>
    </row>
    <row r="292" spans="2:9" x14ac:dyDescent="0.25">
      <c r="B292" s="26">
        <f t="shared" si="4"/>
        <v>289</v>
      </c>
      <c r="C292" s="27">
        <v>46174</v>
      </c>
      <c r="D292" s="28" t="s">
        <v>1211</v>
      </c>
      <c r="E292" s="29" t="str">
        <f>_xlfn.XLOOKUP(Table7[[#This Row],[Malın kodu]],Table4[Malın kodu],Table4[Malın adı],"Xəta",0)</f>
        <v>Videokamera / nəzarət / color / IR / "DAHUA"</v>
      </c>
      <c r="F292" s="26">
        <v>1</v>
      </c>
      <c r="G292" s="26"/>
      <c r="H292" s="26" t="s">
        <v>899</v>
      </c>
      <c r="I292" s="26" t="s">
        <v>1918</v>
      </c>
    </row>
    <row r="293" spans="2:9" x14ac:dyDescent="0.25">
      <c r="B293" s="26">
        <f t="shared" si="4"/>
        <v>290</v>
      </c>
      <c r="C293" s="27">
        <v>46174</v>
      </c>
      <c r="D293" s="28" t="s">
        <v>1212</v>
      </c>
      <c r="E293" s="29" t="str">
        <f>_xlfn.XLOOKUP(Table7[[#This Row],[Malın kodu]],Table4[Malın kodu],Table4[Malın adı],"Xəta",0)</f>
        <v>Videokamera / nəzarət / color / IR / 87GAHZ271</v>
      </c>
      <c r="F293" s="26">
        <v>1</v>
      </c>
      <c r="G293" s="26"/>
      <c r="H293" s="26" t="s">
        <v>899</v>
      </c>
      <c r="I293" s="26" t="s">
        <v>1918</v>
      </c>
    </row>
    <row r="294" spans="2:9" x14ac:dyDescent="0.25">
      <c r="B294" s="26">
        <f t="shared" si="4"/>
        <v>291</v>
      </c>
      <c r="C294" s="27">
        <v>46174</v>
      </c>
      <c r="D294" s="28" t="s">
        <v>1213</v>
      </c>
      <c r="E294" s="29" t="str">
        <f>_xlfn.XLOOKUP(Table7[[#This Row],[Malın kodu]],Table4[Malın kodu],Table4[Malın adı],"Xəta",0)</f>
        <v>Karot ucu / almaz / 168 x 450 mm</v>
      </c>
      <c r="F294" s="26">
        <v>1</v>
      </c>
      <c r="G294" s="26"/>
      <c r="H294" s="26" t="s">
        <v>899</v>
      </c>
      <c r="I294" s="26" t="s">
        <v>1918</v>
      </c>
    </row>
    <row r="295" spans="2:9" x14ac:dyDescent="0.25">
      <c r="B295" s="26">
        <f t="shared" si="4"/>
        <v>292</v>
      </c>
      <c r="C295" s="27">
        <v>46174</v>
      </c>
      <c r="D295" s="28" t="s">
        <v>1214</v>
      </c>
      <c r="E295" s="29" t="str">
        <f>_xlfn.XLOOKUP(Table7[[#This Row],[Malın kodu]],Table4[Malın kodu],Table4[Malın adı],"Xəta",0)</f>
        <v>Karot ucu / almaz / 160 x 420 mm / "DRT" / Türk istehsalı</v>
      </c>
      <c r="F295" s="26">
        <v>1</v>
      </c>
      <c r="G295" s="26"/>
      <c r="H295" s="26" t="s">
        <v>899</v>
      </c>
      <c r="I295" s="26" t="s">
        <v>1918</v>
      </c>
    </row>
    <row r="296" spans="2:9" x14ac:dyDescent="0.25">
      <c r="B296" s="26">
        <f t="shared" si="4"/>
        <v>293</v>
      </c>
      <c r="C296" s="27">
        <v>46174</v>
      </c>
      <c r="D296" s="28" t="s">
        <v>1215</v>
      </c>
      <c r="E296" s="29" t="str">
        <f>_xlfn.XLOOKUP(Table7[[#This Row],[Malın kodu]],Table4[Malın kodu],Table4[Malın adı],"Xəta",0)</f>
        <v>Karot ucu / almaz / 40 x 450 mm</v>
      </c>
      <c r="F296" s="26">
        <v>1</v>
      </c>
      <c r="G296" s="26"/>
      <c r="H296" s="26" t="s">
        <v>899</v>
      </c>
      <c r="I296" s="26" t="s">
        <v>1918</v>
      </c>
    </row>
    <row r="297" spans="2:9" x14ac:dyDescent="0.25">
      <c r="B297" s="26">
        <f t="shared" si="4"/>
        <v>294</v>
      </c>
      <c r="C297" s="27">
        <v>46174</v>
      </c>
      <c r="D297" s="28" t="s">
        <v>1216</v>
      </c>
      <c r="E297" s="29" t="str">
        <f>_xlfn.XLOOKUP(Table7[[#This Row],[Malın kodu]],Table4[Malın kodu],Table4[Malın adı],"Xəta",0)</f>
        <v>Ölçü qabı / metal /  laboratoriya üçün / 2 litr</v>
      </c>
      <c r="F297" s="26">
        <v>1</v>
      </c>
      <c r="G297" s="26"/>
      <c r="H297" s="26" t="s">
        <v>899</v>
      </c>
      <c r="I297" s="26" t="s">
        <v>1918</v>
      </c>
    </row>
    <row r="298" spans="2:9" x14ac:dyDescent="0.25">
      <c r="B298" s="26">
        <f t="shared" si="4"/>
        <v>295</v>
      </c>
      <c r="C298" s="27">
        <v>46174</v>
      </c>
      <c r="D298" s="28" t="s">
        <v>1217</v>
      </c>
      <c r="E298" s="29" t="str">
        <f>_xlfn.XLOOKUP(Table7[[#This Row],[Malın kodu]],Table4[Malın kodu],Table4[Malın adı],"Xəta",0)</f>
        <v>Ölçü qabı / metal /  laboratoriya üçün / 5 litr</v>
      </c>
      <c r="F298" s="26">
        <v>1</v>
      </c>
      <c r="G298" s="26"/>
      <c r="H298" s="26" t="s">
        <v>899</v>
      </c>
      <c r="I298" s="26" t="s">
        <v>1918</v>
      </c>
    </row>
    <row r="299" spans="2:9" x14ac:dyDescent="0.25">
      <c r="B299" s="26">
        <f t="shared" si="4"/>
        <v>296</v>
      </c>
      <c r="C299" s="27">
        <v>46174</v>
      </c>
      <c r="D299" s="28" t="s">
        <v>1218</v>
      </c>
      <c r="E299" s="29" t="str">
        <f>_xlfn.XLOOKUP(Table7[[#This Row],[Malın kodu]],Table4[Malın kodu],Table4[Malın adı],"Xəta",0)</f>
        <v>Sınaq qəlibi (Proktor) / laboratoriya üçün / d 150 mm / açılan</v>
      </c>
      <c r="F299" s="26">
        <v>1</v>
      </c>
      <c r="G299" s="26"/>
      <c r="H299" s="26" t="s">
        <v>899</v>
      </c>
      <c r="I299" s="26" t="s">
        <v>1918</v>
      </c>
    </row>
    <row r="300" spans="2:9" x14ac:dyDescent="0.25">
      <c r="B300" s="26">
        <f t="shared" si="4"/>
        <v>297</v>
      </c>
      <c r="C300" s="27">
        <v>46174</v>
      </c>
      <c r="D300" s="28" t="s">
        <v>1219</v>
      </c>
      <c r="E300" s="29" t="str">
        <f>_xlfn.XLOOKUP(Table7[[#This Row],[Malın kodu]],Table4[Malın kodu],Table4[Malın adı],"Xəta",0)</f>
        <v>Sınaq qəlibi (Proktor) / laboratoriya üçün / d 100 mm / açılan</v>
      </c>
      <c r="F300" s="26">
        <v>1</v>
      </c>
      <c r="G300" s="26"/>
      <c r="H300" s="26" t="s">
        <v>899</v>
      </c>
      <c r="I300" s="26" t="s">
        <v>1918</v>
      </c>
    </row>
    <row r="301" spans="2:9" x14ac:dyDescent="0.25">
      <c r="B301" s="26">
        <f t="shared" si="4"/>
        <v>298</v>
      </c>
      <c r="C301" s="27">
        <v>46174</v>
      </c>
      <c r="D301" s="28" t="s">
        <v>1220</v>
      </c>
      <c r="E301" s="29" t="str">
        <f>_xlfn.XLOOKUP(Table7[[#This Row],[Malın kodu]],Table4[Malın kodu],Table4[Malın adı],"Xəta",0)</f>
        <v>Elektrik lövhəsi / plastik / 300 x 400 x 165 mm</v>
      </c>
      <c r="F301" s="26">
        <v>3</v>
      </c>
      <c r="G301" s="26"/>
      <c r="H301" s="26" t="s">
        <v>899</v>
      </c>
      <c r="I301" s="26" t="s">
        <v>1918</v>
      </c>
    </row>
    <row r="302" spans="2:9" ht="30" x14ac:dyDescent="0.25">
      <c r="B302" s="26">
        <f t="shared" si="4"/>
        <v>299</v>
      </c>
      <c r="C302" s="27">
        <v>46174</v>
      </c>
      <c r="D302" s="28" t="s">
        <v>1221</v>
      </c>
      <c r="E302" s="29" t="str">
        <f>_xlfn.XLOOKUP(Table7[[#This Row],[Malın kodu]],Table4[Malın kodu],Table4[Malın adı],"Xəta",0)</f>
        <v>Qurutma sobası / laboratoriya üçün / "Jeotest" / TT 107 / Türkiyə istehsalı</v>
      </c>
      <c r="F302" s="26">
        <v>1</v>
      </c>
      <c r="G302" s="26"/>
      <c r="H302" s="26" t="s">
        <v>899</v>
      </c>
      <c r="I302" s="26" t="s">
        <v>1918</v>
      </c>
    </row>
    <row r="303" spans="2:9" x14ac:dyDescent="0.25">
      <c r="B303" s="26">
        <f t="shared" si="4"/>
        <v>300</v>
      </c>
      <c r="C303" s="27">
        <v>46174</v>
      </c>
      <c r="D303" s="28" t="s">
        <v>1222</v>
      </c>
      <c r="E303" s="29" t="str">
        <f>_xlfn.XLOOKUP(Table7[[#This Row],[Malın kodu]],Table4[Malın kodu],Table4[Malın adı],"Xəta",0)</f>
        <v>Bel / metal</v>
      </c>
      <c r="F303" s="26">
        <v>2</v>
      </c>
      <c r="G303" s="26"/>
      <c r="H303" s="26" t="s">
        <v>899</v>
      </c>
      <c r="I303" s="26" t="s">
        <v>1918</v>
      </c>
    </row>
    <row r="304" spans="2:9" x14ac:dyDescent="0.25">
      <c r="B304" s="26">
        <f t="shared" si="4"/>
        <v>301</v>
      </c>
      <c r="C304" s="27">
        <v>46174</v>
      </c>
      <c r="D304" s="28" t="s">
        <v>1223</v>
      </c>
      <c r="E304" s="29" t="str">
        <f>_xlfn.XLOOKUP(Table7[[#This Row],[Malın kodu]],Table4[Malın kodu],Table4[Malın adı],"Xəta",0)</f>
        <v>Dabilgə / plastik / ağ</v>
      </c>
      <c r="F304" s="26">
        <v>41</v>
      </c>
      <c r="G304" s="26"/>
      <c r="H304" s="26" t="s">
        <v>899</v>
      </c>
      <c r="I304" s="26" t="s">
        <v>1918</v>
      </c>
    </row>
    <row r="305" spans="2:9" x14ac:dyDescent="0.25">
      <c r="B305" s="26">
        <f t="shared" si="4"/>
        <v>302</v>
      </c>
      <c r="C305" s="27">
        <v>46174</v>
      </c>
      <c r="D305" s="28" t="s">
        <v>1224</v>
      </c>
      <c r="E305" s="29" t="str">
        <f>_xlfn.XLOOKUP(Table7[[#This Row],[Malın kodu]],Table4[Malın kodu],Table4[Malın adı],"Xəta",0)</f>
        <v>Dabilgə / plastik / sarı</v>
      </c>
      <c r="F305" s="26">
        <v>6</v>
      </c>
      <c r="G305" s="26"/>
      <c r="H305" s="26" t="s">
        <v>899</v>
      </c>
      <c r="I305" s="26" t="s">
        <v>1918</v>
      </c>
    </row>
    <row r="306" spans="2:9" x14ac:dyDescent="0.25">
      <c r="B306" s="26">
        <f t="shared" si="4"/>
        <v>303</v>
      </c>
      <c r="C306" s="27">
        <v>46174</v>
      </c>
      <c r="D306" s="28" t="s">
        <v>1225</v>
      </c>
      <c r="E306" s="29" t="str">
        <f>_xlfn.XLOOKUP(Table7[[#This Row],[Malın kodu]],Table4[Malın kodu],Table4[Malın adı],"Xəta",0)</f>
        <v>Dabilgə / plastik / qırmızı</v>
      </c>
      <c r="F306" s="26">
        <v>1</v>
      </c>
      <c r="G306" s="26"/>
      <c r="H306" s="26" t="s">
        <v>899</v>
      </c>
      <c r="I306" s="26" t="s">
        <v>1918</v>
      </c>
    </row>
    <row r="307" spans="2:9" x14ac:dyDescent="0.25">
      <c r="B307" s="26">
        <f t="shared" si="4"/>
        <v>304</v>
      </c>
      <c r="C307" s="27">
        <v>46174</v>
      </c>
      <c r="D307" s="28" t="s">
        <v>1226</v>
      </c>
      <c r="E307" s="29" t="str">
        <f>_xlfn.XLOOKUP(Table7[[#This Row],[Malın kodu]],Table4[Malın kodu],Table4[Malın adı],"Xəta",0)</f>
        <v>Dabilgə / plastik / yaşıl</v>
      </c>
      <c r="F307" s="26">
        <v>1</v>
      </c>
      <c r="G307" s="26"/>
      <c r="H307" s="26" t="s">
        <v>899</v>
      </c>
      <c r="I307" s="26" t="s">
        <v>1918</v>
      </c>
    </row>
    <row r="308" spans="2:9" x14ac:dyDescent="0.25">
      <c r="B308" s="26">
        <f t="shared" si="4"/>
        <v>305</v>
      </c>
      <c r="C308" s="27">
        <v>46174</v>
      </c>
      <c r="D308" s="28" t="s">
        <v>1227</v>
      </c>
      <c r="E308" s="29" t="str">
        <f>_xlfn.XLOOKUP(Table7[[#This Row],[Malın kodu]],Table4[Malın kodu],Table4[Malın adı],"Xəta",0)</f>
        <v>Dabilgə / plastik / göy</v>
      </c>
      <c r="F308" s="26">
        <v>7</v>
      </c>
      <c r="G308" s="26"/>
      <c r="H308" s="26" t="s">
        <v>899</v>
      </c>
      <c r="I308" s="26" t="s">
        <v>1918</v>
      </c>
    </row>
    <row r="309" spans="2:9" x14ac:dyDescent="0.25">
      <c r="B309" s="26">
        <f t="shared" si="4"/>
        <v>306</v>
      </c>
      <c r="C309" s="27">
        <v>46174</v>
      </c>
      <c r="D309" s="28" t="s">
        <v>1228</v>
      </c>
      <c r="E309" s="29" t="str">
        <f>_xlfn.XLOOKUP(Table7[[#This Row],[Malın kodu]],Table4[Malın kodu],Table4[Malın adı],"Xəta",0)</f>
        <v>Kəmər / alpinist / 29</v>
      </c>
      <c r="F309" s="26">
        <v>29</v>
      </c>
      <c r="G309" s="26"/>
      <c r="H309" s="26" t="s">
        <v>899</v>
      </c>
      <c r="I309" s="26" t="s">
        <v>1918</v>
      </c>
    </row>
    <row r="310" spans="2:9" ht="30" x14ac:dyDescent="0.25">
      <c r="B310" s="26">
        <f t="shared" si="4"/>
        <v>307</v>
      </c>
      <c r="C310" s="27">
        <v>46174</v>
      </c>
      <c r="D310" s="28" t="s">
        <v>1229</v>
      </c>
      <c r="E310" s="29" t="str">
        <f>_xlfn.XLOOKUP(Table7[[#This Row],[Malın kodu]],Table4[Malın kodu],Table4[Malın adı],"Xəta",0)</f>
        <v>Keçid / polietilen / xomut tipli / d 63 x 3/4 inch / 16 Atm / yivli / "Poelsan" / Türkiyə istehsalı</v>
      </c>
      <c r="F310" s="26">
        <v>397</v>
      </c>
      <c r="G310" s="26"/>
      <c r="H310" s="26" t="s">
        <v>899</v>
      </c>
      <c r="I310" s="26" t="s">
        <v>1918</v>
      </c>
    </row>
    <row r="311" spans="2:9" ht="30" x14ac:dyDescent="0.25">
      <c r="B311" s="26">
        <f t="shared" si="4"/>
        <v>308</v>
      </c>
      <c r="C311" s="27">
        <v>46174</v>
      </c>
      <c r="D311" s="28" t="s">
        <v>1230</v>
      </c>
      <c r="E311" s="29" t="str">
        <f>_xlfn.XLOOKUP(Table7[[#This Row],[Malın kodu]],Table4[Malın kodu],Table4[Malın adı],"Xəta",0)</f>
        <v>Keçid / polietilen / xomut tipli / d 110 x 1 inch / 16 Atm / yivli / "Poelsan" / Türkiyə istehsalı</v>
      </c>
      <c r="F311" s="26">
        <v>17</v>
      </c>
      <c r="G311" s="26"/>
      <c r="H311" s="26" t="s">
        <v>899</v>
      </c>
      <c r="I311" s="26" t="s">
        <v>1918</v>
      </c>
    </row>
    <row r="312" spans="2:9" x14ac:dyDescent="0.25">
      <c r="B312" s="26">
        <f t="shared" si="4"/>
        <v>309</v>
      </c>
      <c r="C312" s="27">
        <v>46174</v>
      </c>
      <c r="D312" s="28" t="s">
        <v>1231</v>
      </c>
      <c r="E312" s="29" t="str">
        <f>_xlfn.XLOOKUP(Table7[[#This Row],[Malın kodu]],Table4[Malın kodu],Table4[Malın adı],"Xəta",0)</f>
        <v>Nivelyatorun dayağı / ştativ</v>
      </c>
      <c r="F312" s="26">
        <v>5</v>
      </c>
      <c r="G312" s="26"/>
      <c r="H312" s="26" t="s">
        <v>899</v>
      </c>
      <c r="I312" s="26" t="s">
        <v>1918</v>
      </c>
    </row>
    <row r="313" spans="2:9" x14ac:dyDescent="0.25">
      <c r="B313" s="26">
        <f t="shared" si="4"/>
        <v>310</v>
      </c>
      <c r="C313" s="27">
        <v>46174</v>
      </c>
      <c r="D313" s="28" t="s">
        <v>1232</v>
      </c>
      <c r="E313" s="29" t="str">
        <f>_xlfn.XLOOKUP(Table7[[#This Row],[Malın kodu]],Table4[Malın kodu],Table4[Malın adı],"Xəta",0)</f>
        <v>Geodezik ştativ / üçayaq</v>
      </c>
      <c r="F313" s="26">
        <v>1</v>
      </c>
      <c r="G313" s="26"/>
      <c r="H313" s="26" t="s">
        <v>899</v>
      </c>
      <c r="I313" s="26" t="s">
        <v>1918</v>
      </c>
    </row>
    <row r="314" spans="2:9" x14ac:dyDescent="0.25">
      <c r="B314" s="26">
        <f t="shared" si="4"/>
        <v>311</v>
      </c>
      <c r="C314" s="27">
        <v>46174</v>
      </c>
      <c r="D314" s="28" t="s">
        <v>1233</v>
      </c>
      <c r="E314" s="29" t="str">
        <f>_xlfn.XLOOKUP(Table7[[#This Row],[Malın kodu]],Table4[Malın kodu],Table4[Malın adı],"Xəta",0)</f>
        <v>Ox / geodezik ştativ üçün</v>
      </c>
      <c r="F314" s="26">
        <v>3</v>
      </c>
      <c r="G314" s="26"/>
      <c r="H314" s="26" t="s">
        <v>899</v>
      </c>
      <c r="I314" s="26" t="s">
        <v>1918</v>
      </c>
    </row>
    <row r="315" spans="2:9" x14ac:dyDescent="0.25">
      <c r="B315" s="26">
        <f t="shared" si="4"/>
        <v>312</v>
      </c>
      <c r="C315" s="27">
        <v>46174</v>
      </c>
      <c r="D315" s="28" t="s">
        <v>1234</v>
      </c>
      <c r="E315" s="29" t="str">
        <f>_xlfn.XLOOKUP(Table7[[#This Row],[Malın kodu]],Table4[Malın kodu],Table4[Malın adı],"Xəta",0)</f>
        <v>Xətkeş / nivelyator üçün / 1 metr</v>
      </c>
      <c r="F315" s="26">
        <v>5</v>
      </c>
      <c r="G315" s="26"/>
      <c r="H315" s="26" t="s">
        <v>899</v>
      </c>
      <c r="I315" s="26" t="s">
        <v>1918</v>
      </c>
    </row>
    <row r="316" spans="2:9" x14ac:dyDescent="0.25">
      <c r="B316" s="26">
        <f t="shared" si="4"/>
        <v>313</v>
      </c>
      <c r="C316" s="27">
        <v>46174</v>
      </c>
      <c r="D316" s="28" t="s">
        <v>1235</v>
      </c>
      <c r="E316" s="29" t="str">
        <f>_xlfn.XLOOKUP(Table7[[#This Row],[Malın kodu]],Table4[Malın kodu],Table4[Malın adı],"Xəta",0)</f>
        <v>Karkas / plastik</v>
      </c>
      <c r="F316" s="26">
        <v>5</v>
      </c>
      <c r="G316" s="26"/>
      <c r="H316" s="26" t="s">
        <v>899</v>
      </c>
      <c r="I316" s="26" t="s">
        <v>1918</v>
      </c>
    </row>
    <row r="317" spans="2:9" x14ac:dyDescent="0.25">
      <c r="B317" s="26">
        <f t="shared" si="4"/>
        <v>314</v>
      </c>
      <c r="C317" s="27">
        <v>46174</v>
      </c>
      <c r="D317" s="28" t="s">
        <v>1236</v>
      </c>
      <c r="E317" s="29" t="str">
        <f>_xlfn.XLOOKUP(Table7[[#This Row],[Malın kodu]],Table4[Malın kodu],Table4[Malın adı],"Xəta",0)</f>
        <v>Profil / mayak / metal / 3 metr</v>
      </c>
      <c r="F317" s="26">
        <v>13</v>
      </c>
      <c r="G317" s="26"/>
      <c r="H317" s="26" t="s">
        <v>899</v>
      </c>
      <c r="I317" s="26" t="s">
        <v>1918</v>
      </c>
    </row>
    <row r="318" spans="2:9" x14ac:dyDescent="0.25">
      <c r="B318" s="26">
        <f t="shared" si="4"/>
        <v>315</v>
      </c>
      <c r="C318" s="27">
        <v>46174</v>
      </c>
      <c r="D318" s="28" t="s">
        <v>1237</v>
      </c>
      <c r="E318" s="29" t="str">
        <f>_xlfn.XLOOKUP(Table7[[#This Row],[Malın kodu]],Table4[Malın kodu],Table4[Malın adı],"Xəta",0)</f>
        <v>Profil / H / alüminium / 3 metr</v>
      </c>
      <c r="F318" s="26">
        <v>1</v>
      </c>
      <c r="G318" s="26"/>
      <c r="H318" s="26" t="s">
        <v>899</v>
      </c>
      <c r="I318" s="26" t="s">
        <v>1918</v>
      </c>
    </row>
    <row r="319" spans="2:9" x14ac:dyDescent="0.25">
      <c r="B319" s="26">
        <f t="shared" si="4"/>
        <v>316</v>
      </c>
      <c r="C319" s="27">
        <v>46174</v>
      </c>
      <c r="D319" s="28" t="s">
        <v>1238</v>
      </c>
      <c r="E319" s="29" t="str">
        <f>_xlfn.XLOOKUP(Table7[[#This Row],[Malın kodu]],Table4[Malın kodu],Table4[Malın adı],"Xəta",0)</f>
        <v>Profil / qutu alüminium / 3 metr</v>
      </c>
      <c r="F319" s="26">
        <v>1</v>
      </c>
      <c r="G319" s="26"/>
      <c r="H319" s="26" t="s">
        <v>899</v>
      </c>
      <c r="I319" s="26" t="s">
        <v>1918</v>
      </c>
    </row>
    <row r="320" spans="2:9" x14ac:dyDescent="0.25">
      <c r="B320" s="26">
        <f t="shared" si="4"/>
        <v>317</v>
      </c>
      <c r="C320" s="27">
        <v>46174</v>
      </c>
      <c r="D320" s="28" t="s">
        <v>1239</v>
      </c>
      <c r="E320" s="29" t="str">
        <f>_xlfn.XLOOKUP(Table7[[#This Row],[Malın kodu]],Table4[Malın kodu],Table4[Malın adı],"Xəta",0)</f>
        <v>Su qızdırıcısı / 1.5 kW / 50 litr / "Thermex" / Rusiya istehsalı</v>
      </c>
      <c r="F320" s="26">
        <v>1</v>
      </c>
      <c r="G320" s="26"/>
      <c r="H320" s="26" t="s">
        <v>899</v>
      </c>
      <c r="I320" s="26" t="s">
        <v>1918</v>
      </c>
    </row>
    <row r="321" spans="2:9" x14ac:dyDescent="0.25">
      <c r="B321" s="26">
        <f t="shared" si="4"/>
        <v>318</v>
      </c>
      <c r="C321" s="27">
        <v>46174</v>
      </c>
      <c r="D321" s="28" t="s">
        <v>1240</v>
      </c>
      <c r="E321" s="29" t="str">
        <f>_xlfn.XLOOKUP(Table7[[#This Row],[Malın kodu]],Table4[Malın kodu],Table4[Malın adı],"Xəta",0)</f>
        <v>Ventilyator / yerüstü</v>
      </c>
      <c r="F321" s="26">
        <v>4</v>
      </c>
      <c r="G321" s="26"/>
      <c r="H321" s="26" t="s">
        <v>899</v>
      </c>
      <c r="I321" s="26" t="s">
        <v>1918</v>
      </c>
    </row>
    <row r="322" spans="2:9" x14ac:dyDescent="0.25">
      <c r="B322" s="26">
        <f t="shared" si="4"/>
        <v>319</v>
      </c>
      <c r="C322" s="27">
        <v>46174</v>
      </c>
      <c r="D322" s="28" t="s">
        <v>1241</v>
      </c>
      <c r="E322" s="29" t="str">
        <f>_xlfn.XLOOKUP(Table7[[#This Row],[Malın kodu]],Table4[Malın kodu],Table4[Malın adı],"Xəta",0)</f>
        <v>Trap / plastik / 1 metr / 2 əd. metal baqmaqlıqla / "MUFLE"</v>
      </c>
      <c r="F322" s="26">
        <v>1</v>
      </c>
      <c r="G322" s="26"/>
      <c r="H322" s="26" t="s">
        <v>899</v>
      </c>
      <c r="I322" s="26" t="s">
        <v>1918</v>
      </c>
    </row>
    <row r="323" spans="2:9" x14ac:dyDescent="0.25">
      <c r="B323" s="26">
        <f t="shared" si="4"/>
        <v>320</v>
      </c>
      <c r="C323" s="27">
        <v>46174</v>
      </c>
      <c r="D323" s="28" t="s">
        <v>1242</v>
      </c>
      <c r="E323" s="29" t="str">
        <f>_xlfn.XLOOKUP(Table7[[#This Row],[Malın kodu]],Table4[Malın kodu],Table4[Malın adı],"Xəta",0)</f>
        <v>Armatur fiksatoru / plastik / ulduzvari</v>
      </c>
      <c r="F323" s="26">
        <v>400</v>
      </c>
      <c r="G323" s="26"/>
      <c r="H323" s="26" t="s">
        <v>899</v>
      </c>
      <c r="I323" s="26" t="s">
        <v>1918</v>
      </c>
    </row>
    <row r="324" spans="2:9" x14ac:dyDescent="0.25">
      <c r="B324" s="26">
        <f t="shared" ref="B324:B387" si="5">ROW()-3</f>
        <v>321</v>
      </c>
      <c r="C324" s="27">
        <v>46174</v>
      </c>
      <c r="D324" s="28" t="s">
        <v>1243</v>
      </c>
      <c r="E324" s="29" t="str">
        <f>_xlfn.XLOOKUP(Table7[[#This Row],[Malın kodu]],Table4[Malın kodu],Table4[Malın adı],"Xəta",0)</f>
        <v>Karot ucu / almaz / 250 x 450 mm</v>
      </c>
      <c r="F324" s="26">
        <v>1</v>
      </c>
      <c r="G324" s="26"/>
      <c r="H324" s="26" t="s">
        <v>899</v>
      </c>
      <c r="I324" s="26" t="s">
        <v>1918</v>
      </c>
    </row>
    <row r="325" spans="2:9" x14ac:dyDescent="0.25">
      <c r="B325" s="26">
        <f t="shared" si="5"/>
        <v>322</v>
      </c>
      <c r="C325" s="27">
        <v>46174</v>
      </c>
      <c r="D325" s="28" t="s">
        <v>1244</v>
      </c>
      <c r="E325" s="29" t="str">
        <f>_xlfn.XLOOKUP(Table7[[#This Row],[Malın kodu]],Table4[Malın kodu],Table4[Malın adı],"Xəta",0)</f>
        <v>Sıxılmış hava balonu / 300 Bar / maska ilə</v>
      </c>
      <c r="F325" s="26">
        <v>1</v>
      </c>
      <c r="G325" s="26"/>
      <c r="H325" s="26" t="s">
        <v>899</v>
      </c>
      <c r="I325" s="26" t="s">
        <v>1918</v>
      </c>
    </row>
    <row r="326" spans="2:9" x14ac:dyDescent="0.25">
      <c r="B326" s="26">
        <f t="shared" si="5"/>
        <v>323</v>
      </c>
      <c r="C326" s="27">
        <v>46174</v>
      </c>
      <c r="D326" s="28" t="s">
        <v>1245</v>
      </c>
      <c r="E326" s="29" t="str">
        <f>_xlfn.XLOOKUP(Table7[[#This Row],[Malın kodu]],Table4[Malın kodu],Table4[Malın adı],"Xəta",0)</f>
        <v>Keys / plastik / alətlər üçün / boş</v>
      </c>
      <c r="F326" s="26">
        <v>8</v>
      </c>
      <c r="G326" s="26"/>
      <c r="H326" s="26" t="s">
        <v>899</v>
      </c>
      <c r="I326" s="26" t="s">
        <v>1918</v>
      </c>
    </row>
    <row r="327" spans="2:9" x14ac:dyDescent="0.25">
      <c r="B327" s="26">
        <f t="shared" si="5"/>
        <v>324</v>
      </c>
      <c r="C327" s="27">
        <v>46174</v>
      </c>
      <c r="D327" s="28" t="s">
        <v>1246</v>
      </c>
      <c r="E327" s="29" t="str">
        <f>_xlfn.XLOOKUP(Table7[[#This Row],[Malın kodu]],Table4[Malın kodu],Table4[Malın adı],"Xəta",0)</f>
        <v>Keys / metal / alətlər üçün / boş</v>
      </c>
      <c r="F327" s="26">
        <v>1</v>
      </c>
      <c r="G327" s="26"/>
      <c r="H327" s="26" t="s">
        <v>899</v>
      </c>
      <c r="I327" s="26" t="s">
        <v>1918</v>
      </c>
    </row>
    <row r="328" spans="2:9" x14ac:dyDescent="0.25">
      <c r="B328" s="26">
        <f t="shared" si="5"/>
        <v>325</v>
      </c>
      <c r="C328" s="27">
        <v>46174</v>
      </c>
      <c r="D328" s="28" t="s">
        <v>1247</v>
      </c>
      <c r="E328" s="29" t="str">
        <f>_xlfn.XLOOKUP(Table7[[#This Row],[Malın kodu]],Table4[Malın kodu],Table4[Malın adı],"Xəta",0)</f>
        <v>Elektrik soket / 63A / IP67 / Type 234 / "Botric" / Türkiyə istehsalı</v>
      </c>
      <c r="F328" s="26">
        <v>1</v>
      </c>
      <c r="G328" s="26"/>
      <c r="H328" s="26" t="s">
        <v>899</v>
      </c>
      <c r="I328" s="26" t="s">
        <v>1918</v>
      </c>
    </row>
    <row r="329" spans="2:9" x14ac:dyDescent="0.25">
      <c r="B329" s="26">
        <f t="shared" si="5"/>
        <v>326</v>
      </c>
      <c r="C329" s="27">
        <v>46174</v>
      </c>
      <c r="D329" s="28" t="s">
        <v>1248</v>
      </c>
      <c r="E329" s="29" t="str">
        <f>_xlfn.XLOOKUP(Table7[[#This Row],[Malın kodu]],Table4[Malın kodu],Table4[Malın adı],"Xəta",0)</f>
        <v>Elektrik soket / 63A / IP44 / "Bemiş" / Türkiyə istehsalı</v>
      </c>
      <c r="F329" s="26">
        <v>1</v>
      </c>
      <c r="G329" s="26"/>
      <c r="H329" s="26" t="s">
        <v>899</v>
      </c>
      <c r="I329" s="26" t="s">
        <v>1918</v>
      </c>
    </row>
    <row r="330" spans="2:9" x14ac:dyDescent="0.25">
      <c r="B330" s="26">
        <f t="shared" si="5"/>
        <v>327</v>
      </c>
      <c r="C330" s="27">
        <v>46174</v>
      </c>
      <c r="D330" s="28" t="s">
        <v>1249</v>
      </c>
      <c r="E330" s="29" t="str">
        <f>_xlfn.XLOOKUP(Table7[[#This Row],[Malın kodu]],Table4[Malın kodu],Table4[Malın adı],"Xəta",0)</f>
        <v>Elektrik soket / 63A / IP67 / "Bemiş" / Türkiyə istehsalı</v>
      </c>
      <c r="F330" s="26">
        <v>1</v>
      </c>
      <c r="G330" s="26"/>
      <c r="H330" s="26" t="s">
        <v>899</v>
      </c>
      <c r="I330" s="26" t="s">
        <v>1918</v>
      </c>
    </row>
    <row r="331" spans="2:9" x14ac:dyDescent="0.25">
      <c r="B331" s="26">
        <f t="shared" si="5"/>
        <v>328</v>
      </c>
      <c r="C331" s="27">
        <v>46174</v>
      </c>
      <c r="D331" s="28" t="s">
        <v>1250</v>
      </c>
      <c r="E331" s="29" t="str">
        <f>_xlfn.XLOOKUP(Table7[[#This Row],[Malın kodu]],Table4[Malın kodu],Table4[Malın adı],"Xəta",0)</f>
        <v>Elektrik soket / 32A / "STE" / suya davamlı</v>
      </c>
      <c r="F331" s="26">
        <v>3</v>
      </c>
      <c r="G331" s="26"/>
      <c r="H331" s="26" t="s">
        <v>899</v>
      </c>
      <c r="I331" s="26" t="s">
        <v>1918</v>
      </c>
    </row>
    <row r="332" spans="2:9" x14ac:dyDescent="0.25">
      <c r="B332" s="26">
        <f t="shared" si="5"/>
        <v>329</v>
      </c>
      <c r="C332" s="27">
        <v>46174</v>
      </c>
      <c r="D332" s="28" t="s">
        <v>1251</v>
      </c>
      <c r="E332" s="29" t="str">
        <f>_xlfn.XLOOKUP(Table7[[#This Row],[Malın kodu]],Table4[Malın kodu],Table4[Malın adı],"Xəta",0)</f>
        <v>Elektrik yuvası / 80 A</v>
      </c>
      <c r="F332" s="26">
        <v>1</v>
      </c>
      <c r="G332" s="26"/>
      <c r="H332" s="26" t="s">
        <v>899</v>
      </c>
      <c r="I332" s="26" t="s">
        <v>1918</v>
      </c>
    </row>
    <row r="333" spans="2:9" x14ac:dyDescent="0.25">
      <c r="B333" s="26">
        <f t="shared" si="5"/>
        <v>330</v>
      </c>
      <c r="C333" s="27">
        <v>46174</v>
      </c>
      <c r="D333" s="28" t="s">
        <v>1252</v>
      </c>
      <c r="E333" s="29" t="str">
        <f>_xlfn.XLOOKUP(Table7[[#This Row],[Malın kodu]],Table4[Malın kodu],Table4[Malın adı],"Xəta",0)</f>
        <v>Elektrik soket / 32A / IP44 / Type 024K / "Beyti" Türkiyə istehsalı</v>
      </c>
      <c r="F333" s="26">
        <v>1</v>
      </c>
      <c r="G333" s="26"/>
      <c r="H333" s="26" t="s">
        <v>899</v>
      </c>
      <c r="I333" s="26" t="s">
        <v>1918</v>
      </c>
    </row>
    <row r="334" spans="2:9" x14ac:dyDescent="0.25">
      <c r="B334" s="26">
        <f t="shared" si="5"/>
        <v>331</v>
      </c>
      <c r="C334" s="27">
        <v>46174</v>
      </c>
      <c r="D334" s="28" t="s">
        <v>1253</v>
      </c>
      <c r="E334" s="29" t="str">
        <f>_xlfn.XLOOKUP(Table7[[#This Row],[Malın kodu]],Table4[Malın kodu],Table4[Malın adı],"Xəta",0)</f>
        <v>Elektrik soket / 32A / Type D-024 / "CEE"</v>
      </c>
      <c r="F334" s="26">
        <v>2</v>
      </c>
      <c r="G334" s="26"/>
      <c r="H334" s="26" t="s">
        <v>899</v>
      </c>
      <c r="I334" s="26" t="s">
        <v>1918</v>
      </c>
    </row>
    <row r="335" spans="2:9" x14ac:dyDescent="0.25">
      <c r="B335" s="26">
        <f t="shared" si="5"/>
        <v>332</v>
      </c>
      <c r="C335" s="27">
        <v>46174</v>
      </c>
      <c r="D335" s="28" t="s">
        <v>1254</v>
      </c>
      <c r="E335" s="29" t="str">
        <f>_xlfn.XLOOKUP(Table7[[#This Row],[Malın kodu]],Table4[Malın kodu],Table4[Malın adı],"Xəta",0)</f>
        <v>Elektrik soket / 32A / Type ST 024 / "STE"</v>
      </c>
      <c r="F335" s="26">
        <v>1</v>
      </c>
      <c r="G335" s="26"/>
      <c r="H335" s="26" t="s">
        <v>899</v>
      </c>
      <c r="I335" s="26" t="s">
        <v>1918</v>
      </c>
    </row>
    <row r="336" spans="2:9" x14ac:dyDescent="0.25">
      <c r="B336" s="26">
        <f t="shared" si="5"/>
        <v>333</v>
      </c>
      <c r="C336" s="27">
        <v>46174</v>
      </c>
      <c r="D336" s="28" t="s">
        <v>1255</v>
      </c>
      <c r="E336" s="29" t="str">
        <f>_xlfn.XLOOKUP(Table7[[#This Row],[Malın kodu]],Table4[Malın kodu],Table4[Malın adı],"Xəta",0)</f>
        <v>Elektrik soket / 32A / Type CR025 / "CEE"</v>
      </c>
      <c r="F336" s="26">
        <v>1</v>
      </c>
      <c r="G336" s="26"/>
      <c r="H336" s="26" t="s">
        <v>899</v>
      </c>
      <c r="I336" s="26" t="s">
        <v>1918</v>
      </c>
    </row>
    <row r="337" spans="2:9" x14ac:dyDescent="0.25">
      <c r="B337" s="26">
        <f t="shared" si="5"/>
        <v>334</v>
      </c>
      <c r="C337" s="27">
        <v>46174</v>
      </c>
      <c r="D337" s="28" t="s">
        <v>1256</v>
      </c>
      <c r="E337" s="29" t="str">
        <f>_xlfn.XLOOKUP(Table7[[#This Row],[Malın kodu]],Table4[Malın kodu],Table4[Malın adı],"Xəta",0)</f>
        <v>Elektrik soket / 32A / Type CNQD-225 / "CNOD"</v>
      </c>
      <c r="F337" s="26">
        <v>1</v>
      </c>
      <c r="G337" s="26"/>
      <c r="H337" s="26" t="s">
        <v>899</v>
      </c>
      <c r="I337" s="26" t="s">
        <v>1918</v>
      </c>
    </row>
    <row r="338" spans="2:9" x14ac:dyDescent="0.25">
      <c r="B338" s="26">
        <f t="shared" si="5"/>
        <v>335</v>
      </c>
      <c r="C338" s="27">
        <v>46174</v>
      </c>
      <c r="D338" s="28" t="s">
        <v>1257</v>
      </c>
      <c r="E338" s="29" t="str">
        <f>_xlfn.XLOOKUP(Table7[[#This Row],[Malın kodu]],Table4[Malın kodu],Table4[Malın adı],"Xəta",0)</f>
        <v>Elektrik soket / 63A / IP67 / Type 034 / "Botric" / Türkiyə istehsalı</v>
      </c>
      <c r="F338" s="26">
        <v>1</v>
      </c>
      <c r="G338" s="26"/>
      <c r="H338" s="26" t="s">
        <v>899</v>
      </c>
      <c r="I338" s="26" t="s">
        <v>1918</v>
      </c>
    </row>
    <row r="339" spans="2:9" x14ac:dyDescent="0.25">
      <c r="B339" s="26">
        <f t="shared" si="5"/>
        <v>336</v>
      </c>
      <c r="C339" s="27">
        <v>46174</v>
      </c>
      <c r="D339" s="28" t="s">
        <v>1258</v>
      </c>
      <c r="E339" s="29" t="str">
        <f>_xlfn.XLOOKUP(Table7[[#This Row],[Malın kodu]],Table4[Malın kodu],Table4[Malın adı],"Xəta",0)</f>
        <v>Su filtri / d 25 mm / polipropilen</v>
      </c>
      <c r="F339" s="26">
        <v>51</v>
      </c>
      <c r="G339" s="26"/>
      <c r="H339" s="26" t="s">
        <v>899</v>
      </c>
      <c r="I339" s="26" t="s">
        <v>1918</v>
      </c>
    </row>
    <row r="340" spans="2:9" x14ac:dyDescent="0.25">
      <c r="B340" s="26">
        <f t="shared" si="5"/>
        <v>337</v>
      </c>
      <c r="C340" s="27">
        <v>46174</v>
      </c>
      <c r="D340" s="28" t="s">
        <v>1259</v>
      </c>
      <c r="E340" s="29" t="str">
        <f>_xlfn.XLOOKUP(Table7[[#This Row],[Malın kodu]],Table4[Malın kodu],Table4[Malın adı],"Xəta",0)</f>
        <v>Su filtri / d 20mm / polipropilen</v>
      </c>
      <c r="F340" s="26">
        <v>3</v>
      </c>
      <c r="G340" s="26"/>
      <c r="H340" s="26" t="s">
        <v>899</v>
      </c>
      <c r="I340" s="26" t="s">
        <v>1918</v>
      </c>
    </row>
    <row r="341" spans="2:9" x14ac:dyDescent="0.25">
      <c r="B341" s="26">
        <f t="shared" si="5"/>
        <v>338</v>
      </c>
      <c r="C341" s="27">
        <v>46174</v>
      </c>
      <c r="D341" s="28" t="s">
        <v>1260</v>
      </c>
      <c r="E341" s="29" t="str">
        <f>_xlfn.XLOOKUP(Table7[[#This Row],[Malın kodu]],Table4[Malın kodu],Table4[Malın adı],"Xəta",0)</f>
        <v>Perforator / "Bosch" / GBH 8-45 D</v>
      </c>
      <c r="F341" s="26">
        <v>3</v>
      </c>
      <c r="G341" s="26"/>
      <c r="H341" s="26" t="s">
        <v>899</v>
      </c>
      <c r="I341" s="26" t="s">
        <v>1918</v>
      </c>
    </row>
    <row r="342" spans="2:9" x14ac:dyDescent="0.25">
      <c r="B342" s="26">
        <f t="shared" si="5"/>
        <v>339</v>
      </c>
      <c r="C342" s="27">
        <v>46174</v>
      </c>
      <c r="D342" s="28" t="s">
        <v>1261</v>
      </c>
      <c r="E342" s="29" t="str">
        <f>_xlfn.XLOOKUP(Table7[[#This Row],[Malın kodu]],Table4[Malın kodu],Table4[Malın adı],"Xəta",0)</f>
        <v>Perforator / "Bosch" / GBH 5-40 D</v>
      </c>
      <c r="F342" s="26">
        <v>1</v>
      </c>
      <c r="G342" s="26"/>
      <c r="H342" s="26" t="s">
        <v>899</v>
      </c>
      <c r="I342" s="26" t="s">
        <v>1918</v>
      </c>
    </row>
    <row r="343" spans="2:9" x14ac:dyDescent="0.25">
      <c r="B343" s="26">
        <f t="shared" si="5"/>
        <v>340</v>
      </c>
      <c r="C343" s="27">
        <v>46174</v>
      </c>
      <c r="D343" s="28" t="s">
        <v>1262</v>
      </c>
      <c r="E343" s="29" t="str">
        <f>_xlfn.XLOOKUP(Table7[[#This Row],[Malın kodu]],Table4[Malın kodu],Table4[Malın adı],"Xəta",0)</f>
        <v>Su pompası / dalğıc</v>
      </c>
      <c r="F343" s="26">
        <v>5</v>
      </c>
      <c r="G343" s="26"/>
      <c r="H343" s="26" t="s">
        <v>899</v>
      </c>
      <c r="I343" s="26" t="s">
        <v>1918</v>
      </c>
    </row>
    <row r="344" spans="2:9" ht="30" x14ac:dyDescent="0.25">
      <c r="B344" s="26">
        <f t="shared" si="5"/>
        <v>341</v>
      </c>
      <c r="C344" s="27">
        <v>46174</v>
      </c>
      <c r="D344" s="28" t="s">
        <v>1263</v>
      </c>
      <c r="E344" s="29" t="str">
        <f>_xlfn.XLOOKUP(Table7[[#This Row],[Malın kodu]],Table4[Malın kodu],Table4[Malın adı],"Xəta",0)</f>
        <v>Su pompası / dalğıc / 1.1 kvt / 1000 L/d / 9 metr / "Shimge" / QDX 40-7-1.1 K3F</v>
      </c>
      <c r="F344" s="26">
        <v>1</v>
      </c>
      <c r="G344" s="26"/>
      <c r="H344" s="26" t="s">
        <v>899</v>
      </c>
      <c r="I344" s="26" t="s">
        <v>1918</v>
      </c>
    </row>
    <row r="345" spans="2:9" x14ac:dyDescent="0.25">
      <c r="B345" s="26">
        <f t="shared" si="5"/>
        <v>342</v>
      </c>
      <c r="C345" s="27">
        <v>46174</v>
      </c>
      <c r="D345" s="28" t="s">
        <v>1264</v>
      </c>
      <c r="E345" s="29" t="str">
        <f>_xlfn.XLOOKUP(Table7[[#This Row],[Malın kodu]],Table4[Malın kodu],Table4[Malın adı],"Xəta",0)</f>
        <v>Lebyodka / 1000 kq / 1.7 kvt / "RZMA"</v>
      </c>
      <c r="F345" s="26">
        <v>2</v>
      </c>
      <c r="G345" s="26"/>
      <c r="H345" s="26" t="s">
        <v>899</v>
      </c>
      <c r="I345" s="26" t="s">
        <v>1918</v>
      </c>
    </row>
    <row r="346" spans="2:9" x14ac:dyDescent="0.25">
      <c r="B346" s="26">
        <f t="shared" si="5"/>
        <v>343</v>
      </c>
      <c r="C346" s="27">
        <v>46174</v>
      </c>
      <c r="D346" s="28" t="s">
        <v>1265</v>
      </c>
      <c r="E346" s="29" t="str">
        <f>_xlfn.XLOOKUP(Table7[[#This Row],[Malın kodu]],Table4[Malın kodu],Table4[Malın adı],"Xəta",0)</f>
        <v>Perforator / "Dingqi" / HAMMER</v>
      </c>
      <c r="F346" s="26">
        <v>1</v>
      </c>
      <c r="G346" s="26"/>
      <c r="H346" s="26" t="s">
        <v>899</v>
      </c>
      <c r="I346" s="26" t="s">
        <v>1918</v>
      </c>
    </row>
    <row r="347" spans="2:9" x14ac:dyDescent="0.25">
      <c r="B347" s="26">
        <f t="shared" si="5"/>
        <v>344</v>
      </c>
      <c r="C347" s="27">
        <v>46174</v>
      </c>
      <c r="D347" s="28" t="s">
        <v>1266</v>
      </c>
      <c r="E347" s="29" t="str">
        <f>_xlfn.XLOOKUP(Table7[[#This Row],[Malın kodu]],Table4[Malın kodu],Table4[Malın adı],"Xəta",0)</f>
        <v>Perforator / "SKOM" / SK-HD1600</v>
      </c>
      <c r="F347" s="26">
        <v>1</v>
      </c>
      <c r="G347" s="26"/>
      <c r="H347" s="26" t="s">
        <v>899</v>
      </c>
      <c r="I347" s="26" t="s">
        <v>1918</v>
      </c>
    </row>
    <row r="348" spans="2:9" x14ac:dyDescent="0.25">
      <c r="B348" s="26">
        <f t="shared" si="5"/>
        <v>345</v>
      </c>
      <c r="C348" s="27">
        <v>46174</v>
      </c>
      <c r="D348" s="28" t="s">
        <v>1267</v>
      </c>
      <c r="E348" s="29" t="str">
        <f>_xlfn.XLOOKUP(Table7[[#This Row],[Malın kodu]],Table4[Malın kodu],Table4[Malın adı],"Xəta",0)</f>
        <v>Nivelyator / "Leica" / NA 332</v>
      </c>
      <c r="F348" s="26">
        <v>1</v>
      </c>
      <c r="G348" s="26"/>
      <c r="H348" s="26" t="s">
        <v>899</v>
      </c>
      <c r="I348" s="26" t="s">
        <v>1918</v>
      </c>
    </row>
    <row r="349" spans="2:9" ht="30" x14ac:dyDescent="0.25">
      <c r="B349" s="26">
        <f t="shared" si="5"/>
        <v>346</v>
      </c>
      <c r="C349" s="27">
        <v>46174</v>
      </c>
      <c r="D349" s="28" t="s">
        <v>1268</v>
      </c>
      <c r="E349" s="29" t="str">
        <f>_xlfn.XLOOKUP(Table7[[#This Row],[Malın kodu]],Table4[Malın kodu],Table4[Malın adı],"Xəta",0)</f>
        <v>Akkumulyator / 12V / 450A / 50AH / "KAINAR" / Qazaxıstan istehsalı</v>
      </c>
      <c r="F349" s="26">
        <v>1</v>
      </c>
      <c r="G349" s="26"/>
      <c r="H349" s="26" t="s">
        <v>899</v>
      </c>
      <c r="I349" s="26" t="s">
        <v>1918</v>
      </c>
    </row>
    <row r="350" spans="2:9" x14ac:dyDescent="0.25">
      <c r="B350" s="26">
        <f t="shared" si="5"/>
        <v>347</v>
      </c>
      <c r="C350" s="27">
        <v>46174</v>
      </c>
      <c r="D350" s="28" t="s">
        <v>1269</v>
      </c>
      <c r="E350" s="29" t="str">
        <f>_xlfn.XLOOKUP(Table7[[#This Row],[Malın kodu]],Table4[Malın kodu],Table4[Malın adı],"Xəta",0)</f>
        <v>Akkumulyator / 12V / 580A / 60AH / "Formula" / Ukrayna istehsalı</v>
      </c>
      <c r="F350" s="26">
        <v>1</v>
      </c>
      <c r="G350" s="26"/>
      <c r="H350" s="26" t="s">
        <v>899</v>
      </c>
      <c r="I350" s="26" t="s">
        <v>1918</v>
      </c>
    </row>
    <row r="351" spans="2:9" x14ac:dyDescent="0.25">
      <c r="B351" s="26">
        <f t="shared" si="5"/>
        <v>348</v>
      </c>
      <c r="C351" s="27">
        <v>46174</v>
      </c>
      <c r="D351" s="28" t="s">
        <v>1270</v>
      </c>
      <c r="E351" s="29" t="str">
        <f>_xlfn.XLOOKUP(Table7[[#This Row],[Malın kodu]],Table4[Malın kodu],Table4[Malın adı],"Xəta",0)</f>
        <v>Akkumulyator / 12V / 77AH / 640A / "Tungstone"</v>
      </c>
      <c r="F351" s="26">
        <v>1</v>
      </c>
      <c r="G351" s="26"/>
      <c r="H351" s="26" t="s">
        <v>899</v>
      </c>
      <c r="I351" s="26" t="s">
        <v>1918</v>
      </c>
    </row>
    <row r="352" spans="2:9" x14ac:dyDescent="0.25">
      <c r="B352" s="26">
        <f t="shared" si="5"/>
        <v>349</v>
      </c>
      <c r="C352" s="27">
        <v>46174</v>
      </c>
      <c r="D352" s="28" t="s">
        <v>1271</v>
      </c>
      <c r="E352" s="29" t="str">
        <f>_xlfn.XLOOKUP(Table7[[#This Row],[Malın kodu]],Table4[Malın kodu],Table4[Malın adı],"Xəta",0)</f>
        <v>Akkumulyator / 12V / 45AH / 390A / "Racing" / Ukrayna istehsalı</v>
      </c>
      <c r="F352" s="26">
        <v>1</v>
      </c>
      <c r="G352" s="26"/>
      <c r="H352" s="26" t="s">
        <v>899</v>
      </c>
      <c r="I352" s="26" t="s">
        <v>1918</v>
      </c>
    </row>
    <row r="353" spans="2:9" x14ac:dyDescent="0.25">
      <c r="B353" s="26">
        <f t="shared" si="5"/>
        <v>350</v>
      </c>
      <c r="C353" s="27">
        <v>46174</v>
      </c>
      <c r="D353" s="28" t="s">
        <v>1272</v>
      </c>
      <c r="E353" s="29" t="str">
        <f>_xlfn.XLOOKUP(Table7[[#This Row],[Malın kodu]],Table4[Malın kodu],Table4[Malın adı],"Xəta",0)</f>
        <v>Akkumulyator / 12V / 10AH / 800A / "WESTA" / Ukrayna istehsalı</v>
      </c>
      <c r="F353" s="26">
        <v>1</v>
      </c>
      <c r="G353" s="26"/>
      <c r="H353" s="26" t="s">
        <v>899</v>
      </c>
      <c r="I353" s="26" t="s">
        <v>1918</v>
      </c>
    </row>
    <row r="354" spans="2:9" x14ac:dyDescent="0.25">
      <c r="B354" s="26">
        <f t="shared" si="5"/>
        <v>351</v>
      </c>
      <c r="C354" s="27">
        <v>46174</v>
      </c>
      <c r="D354" s="28" t="s">
        <v>1273</v>
      </c>
      <c r="E354" s="29" t="str">
        <f>_xlfn.XLOOKUP(Table7[[#This Row],[Malın kodu]],Table4[Malın kodu],Table4[Malın adı],"Xəta",0)</f>
        <v>Su tərəzisi</v>
      </c>
      <c r="F354" s="26">
        <v>1</v>
      </c>
      <c r="G354" s="26"/>
      <c r="H354" s="26" t="s">
        <v>899</v>
      </c>
      <c r="I354" s="26" t="s">
        <v>1918</v>
      </c>
    </row>
    <row r="355" spans="2:9" ht="30" x14ac:dyDescent="0.25">
      <c r="B355" s="26">
        <f t="shared" si="5"/>
        <v>352</v>
      </c>
      <c r="C355" s="27">
        <v>46174</v>
      </c>
      <c r="D355" s="28" t="s">
        <v>1274</v>
      </c>
      <c r="E355" s="29" t="str">
        <f>_xlfn.XLOOKUP(Table7[[#This Row],[Malın kodu]],Table4[Malın kodu],Table4[Malın adı],"Xəta",0)</f>
        <v>Mühərrik / elektrik / alüminium / 1.5 kvt / 1500 d/d / 220/380V / 50Hz / Çin istehsalı</v>
      </c>
      <c r="F355" s="26">
        <v>2</v>
      </c>
      <c r="G355" s="26"/>
      <c r="H355" s="26" t="s">
        <v>899</v>
      </c>
      <c r="I355" s="26" t="s">
        <v>1918</v>
      </c>
    </row>
    <row r="356" spans="2:9" x14ac:dyDescent="0.25">
      <c r="B356" s="26">
        <f t="shared" si="5"/>
        <v>353</v>
      </c>
      <c r="C356" s="27">
        <v>46174</v>
      </c>
      <c r="D356" s="28" t="s">
        <v>1275</v>
      </c>
      <c r="E356" s="29" t="str">
        <f>_xlfn.XLOOKUP(Table7[[#This Row],[Malın kodu]],Table4[Malın kodu],Table4[Malın adı],"Xəta",0)</f>
        <v>Bolt / M24 / L 80 mm</v>
      </c>
      <c r="F356" s="26">
        <v>23</v>
      </c>
      <c r="G356" s="26"/>
      <c r="H356" s="26" t="s">
        <v>899</v>
      </c>
      <c r="I356" s="26" t="s">
        <v>1918</v>
      </c>
    </row>
    <row r="357" spans="2:9" x14ac:dyDescent="0.25">
      <c r="B357" s="26">
        <f t="shared" si="5"/>
        <v>354</v>
      </c>
      <c r="C357" s="27">
        <v>46174</v>
      </c>
      <c r="D357" s="28" t="s">
        <v>1276</v>
      </c>
      <c r="E357" s="29" t="str">
        <f>_xlfn.XLOOKUP(Table7[[#This Row],[Malın kodu]],Table4[Malın kodu],Table4[Malın adı],"Xəta",0)</f>
        <v>Lagonda / 2000 vt / 6500 d/d / "Dingqi" / JB02401 / Çin istehsalı</v>
      </c>
      <c r="F357" s="26">
        <v>2</v>
      </c>
      <c r="G357" s="26"/>
      <c r="H357" s="26" t="s">
        <v>899</v>
      </c>
      <c r="I357" s="26" t="s">
        <v>1918</v>
      </c>
    </row>
    <row r="358" spans="2:9" x14ac:dyDescent="0.25">
      <c r="B358" s="26">
        <f t="shared" si="5"/>
        <v>355</v>
      </c>
      <c r="C358" s="27">
        <v>46174</v>
      </c>
      <c r="D358" s="28" t="s">
        <v>1277</v>
      </c>
      <c r="E358" s="29" t="str">
        <f>_xlfn.XLOOKUP(Table7[[#This Row],[Malın kodu]],Table4[Malın kodu],Table4[Malın adı],"Xəta",0)</f>
        <v>Lagonda / 2300 vt / 6500 d/d / "Dingqi" / Çin istehsalı</v>
      </c>
      <c r="F358" s="26">
        <v>1</v>
      </c>
      <c r="G358" s="26"/>
      <c r="H358" s="26" t="s">
        <v>899</v>
      </c>
      <c r="I358" s="26" t="s">
        <v>1918</v>
      </c>
    </row>
    <row r="359" spans="2:9" x14ac:dyDescent="0.25">
      <c r="B359" s="26">
        <f t="shared" si="5"/>
        <v>356</v>
      </c>
      <c r="C359" s="27">
        <v>46174</v>
      </c>
      <c r="D359" s="28" t="s">
        <v>1278</v>
      </c>
      <c r="E359" s="29" t="str">
        <f>_xlfn.XLOOKUP(Table7[[#This Row],[Malın kodu]],Table4[Malın kodu],Table4[Malın adı],"Xəta",0)</f>
        <v>Lagonda / "Bosch" / GWS 21</v>
      </c>
      <c r="F359" s="26">
        <v>1</v>
      </c>
      <c r="G359" s="26"/>
      <c r="H359" s="26" t="s">
        <v>899</v>
      </c>
      <c r="I359" s="26" t="s">
        <v>1918</v>
      </c>
    </row>
    <row r="360" spans="2:9" x14ac:dyDescent="0.25">
      <c r="B360" s="26">
        <f t="shared" si="5"/>
        <v>357</v>
      </c>
      <c r="C360" s="27">
        <v>46174</v>
      </c>
      <c r="D360" s="28" t="s">
        <v>1279</v>
      </c>
      <c r="E360" s="29" t="str">
        <f>_xlfn.XLOOKUP(Table7[[#This Row],[Malın kodu]],Table4[Malın kodu],Table4[Malın adı],"Xəta",0)</f>
        <v>Lobzik / 650 Vt / 3000 d/d / "Kad"</v>
      </c>
      <c r="F360" s="26">
        <v>2</v>
      </c>
      <c r="G360" s="26"/>
      <c r="H360" s="26" t="s">
        <v>899</v>
      </c>
      <c r="I360" s="26" t="s">
        <v>1918</v>
      </c>
    </row>
    <row r="361" spans="2:9" x14ac:dyDescent="0.25">
      <c r="B361" s="26">
        <f t="shared" si="5"/>
        <v>358</v>
      </c>
      <c r="C361" s="27">
        <v>46174</v>
      </c>
      <c r="D361" s="28" t="s">
        <v>1280</v>
      </c>
      <c r="E361" s="29" t="str">
        <f>_xlfn.XLOOKUP(Table7[[#This Row],[Malın kodu]],Table4[Malın kodu],Table4[Malın adı],"Xəta",0)</f>
        <v>Lobzik / "Hidroterm"</v>
      </c>
      <c r="F361" s="26">
        <v>1</v>
      </c>
      <c r="G361" s="26"/>
      <c r="H361" s="26" t="s">
        <v>899</v>
      </c>
      <c r="I361" s="26" t="s">
        <v>1918</v>
      </c>
    </row>
    <row r="362" spans="2:9" x14ac:dyDescent="0.25">
      <c r="B362" s="26">
        <f t="shared" si="5"/>
        <v>359</v>
      </c>
      <c r="C362" s="27">
        <v>46174</v>
      </c>
      <c r="D362" s="28" t="s">
        <v>1281</v>
      </c>
      <c r="E362" s="29" t="str">
        <f>_xlfn.XLOOKUP(Table7[[#This Row],[Malın kodu]],Table4[Malın kodu],Table4[Malın adı],"Xəta",0)</f>
        <v>Qızdırıcı / elektrik / 1200 Vt / 3 spirallı</v>
      </c>
      <c r="F362" s="26">
        <v>3</v>
      </c>
      <c r="G362" s="26"/>
      <c r="H362" s="26" t="s">
        <v>899</v>
      </c>
      <c r="I362" s="26" t="s">
        <v>1918</v>
      </c>
    </row>
    <row r="363" spans="2:9" ht="30" x14ac:dyDescent="0.25">
      <c r="B363" s="26">
        <f t="shared" si="5"/>
        <v>360</v>
      </c>
      <c r="C363" s="27">
        <v>46174</v>
      </c>
      <c r="D363" s="28" t="s">
        <v>1282</v>
      </c>
      <c r="E363" s="29" t="str">
        <f>_xlfn.XLOOKUP(Table7[[#This Row],[Malın kodu]],Table4[Malın kodu],Table4[Malın adı],"Xəta",0)</f>
        <v>Su pompası / hidrofor ilə / 0.37 kVt / H 32 metr / 2900 d/d / "M5"  / Çin istehsalı</v>
      </c>
      <c r="F363" s="26">
        <v>1</v>
      </c>
      <c r="G363" s="26"/>
      <c r="H363" s="26" t="s">
        <v>899</v>
      </c>
      <c r="I363" s="26" t="s">
        <v>1918</v>
      </c>
    </row>
    <row r="364" spans="2:9" x14ac:dyDescent="0.25">
      <c r="B364" s="26">
        <f t="shared" si="5"/>
        <v>361</v>
      </c>
      <c r="C364" s="27">
        <v>46174</v>
      </c>
      <c r="D364" s="28" t="s">
        <v>1283</v>
      </c>
      <c r="E364" s="29" t="str">
        <f>_xlfn.XLOOKUP(Table7[[#This Row],[Malın kodu]],Table4[Malın kodu],Table4[Malın adı],"Xəta",0)</f>
        <v>Qırıcı çəkic / pnevmatik</v>
      </c>
      <c r="F364" s="26">
        <v>2</v>
      </c>
      <c r="G364" s="26"/>
      <c r="H364" s="26" t="s">
        <v>899</v>
      </c>
      <c r="I364" s="26" t="s">
        <v>1918</v>
      </c>
    </row>
    <row r="365" spans="2:9" x14ac:dyDescent="0.25">
      <c r="B365" s="26">
        <f t="shared" si="5"/>
        <v>362</v>
      </c>
      <c r="C365" s="27">
        <v>46174</v>
      </c>
      <c r="D365" s="28" t="s">
        <v>1284</v>
      </c>
      <c r="E365" s="29" t="str">
        <f>_xlfn.XLOOKUP(Table7[[#This Row],[Malın kodu]],Table4[Malın kodu],Table4[Malın adı],"Xəta",0)</f>
        <v>Nivelyator / lazer / "Bosch" / GLL 3-80 P / Çin istehsalı</v>
      </c>
      <c r="F365" s="26">
        <v>1</v>
      </c>
      <c r="G365" s="26"/>
      <c r="H365" s="26" t="s">
        <v>899</v>
      </c>
      <c r="I365" s="26" t="s">
        <v>1918</v>
      </c>
    </row>
    <row r="366" spans="2:9" x14ac:dyDescent="0.25">
      <c r="B366" s="26">
        <f t="shared" si="5"/>
        <v>363</v>
      </c>
      <c r="C366" s="27">
        <v>46174</v>
      </c>
      <c r="D366" s="28" t="s">
        <v>1285</v>
      </c>
      <c r="E366" s="29" t="str">
        <f>_xlfn.XLOOKUP(Table7[[#This Row],[Malın kodu]],Table4[Malın kodu],Table4[Malın adı],"Xəta",0)</f>
        <v>Videokamera / nəzarət / "Multistar" / B</v>
      </c>
      <c r="F366" s="26">
        <v>1</v>
      </c>
      <c r="G366" s="26"/>
      <c r="H366" s="26" t="s">
        <v>899</v>
      </c>
      <c r="I366" s="26" t="s">
        <v>1918</v>
      </c>
    </row>
    <row r="367" spans="2:9" x14ac:dyDescent="0.25">
      <c r="B367" s="26">
        <f t="shared" si="5"/>
        <v>364</v>
      </c>
      <c r="C367" s="27">
        <v>46174</v>
      </c>
      <c r="D367" s="28" t="s">
        <v>1286</v>
      </c>
      <c r="E367" s="29" t="str">
        <f>_xlfn.XLOOKUP(Table7[[#This Row],[Malın kodu]],Table4[Malın kodu],Table4[Malın adı],"Xəta",0)</f>
        <v>Dizlik</v>
      </c>
      <c r="F367" s="26">
        <v>10</v>
      </c>
      <c r="G367" s="26"/>
      <c r="H367" s="26" t="s">
        <v>899</v>
      </c>
      <c r="I367" s="26" t="s">
        <v>1918</v>
      </c>
    </row>
    <row r="368" spans="2:9" x14ac:dyDescent="0.25">
      <c r="B368" s="26">
        <f t="shared" si="5"/>
        <v>365</v>
      </c>
      <c r="C368" s="27">
        <v>46174</v>
      </c>
      <c r="D368" s="28" t="s">
        <v>1287</v>
      </c>
      <c r="E368" s="29" t="str">
        <f>_xlfn.XLOOKUP(Table7[[#This Row],[Malın kodu]],Table4[Malın kodu],Table4[Malın adı],"Xəta",0)</f>
        <v>Xomut / d 56-60 mm / şuruplu / metal</v>
      </c>
      <c r="F368" s="26">
        <v>18</v>
      </c>
      <c r="G368" s="26"/>
      <c r="H368" s="26" t="s">
        <v>899</v>
      </c>
      <c r="I368" s="26" t="s">
        <v>1918</v>
      </c>
    </row>
    <row r="369" spans="2:9" x14ac:dyDescent="0.25">
      <c r="B369" s="26">
        <f t="shared" si="5"/>
        <v>366</v>
      </c>
      <c r="C369" s="27">
        <v>46174</v>
      </c>
      <c r="D369" s="28" t="s">
        <v>1288</v>
      </c>
      <c r="E369" s="29" t="str">
        <f>_xlfn.XLOOKUP(Table7[[#This Row],[Malın kodu]],Table4[Malın kodu],Table4[Malın adı],"Xəta",0)</f>
        <v>Fırça / lagonda üçün / 5 inch</v>
      </c>
      <c r="F369" s="26">
        <v>2</v>
      </c>
      <c r="G369" s="26"/>
      <c r="H369" s="26" t="s">
        <v>899</v>
      </c>
      <c r="I369" s="26" t="s">
        <v>1918</v>
      </c>
    </row>
    <row r="370" spans="2:9" x14ac:dyDescent="0.25">
      <c r="B370" s="26">
        <f t="shared" si="5"/>
        <v>367</v>
      </c>
      <c r="C370" s="27">
        <v>46174</v>
      </c>
      <c r="D370" s="28" t="s">
        <v>1289</v>
      </c>
      <c r="E370" s="29" t="str">
        <f>_xlfn.XLOOKUP(Table7[[#This Row],[Malın kodu]],Table4[Malın kodu],Table4[Malın adı],"Xəta",0)</f>
        <v>Diyircəkli yastıq / 30206</v>
      </c>
      <c r="F370" s="26">
        <v>15</v>
      </c>
      <c r="G370" s="26"/>
      <c r="H370" s="26" t="s">
        <v>899</v>
      </c>
      <c r="I370" s="26" t="s">
        <v>1918</v>
      </c>
    </row>
    <row r="371" spans="2:9" x14ac:dyDescent="0.25">
      <c r="B371" s="26">
        <f t="shared" si="5"/>
        <v>368</v>
      </c>
      <c r="C371" s="27">
        <v>46174</v>
      </c>
      <c r="D371" s="28" t="s">
        <v>1290</v>
      </c>
      <c r="E371" s="29" t="str">
        <f>_xlfn.XLOOKUP(Table7[[#This Row],[Malın kodu]],Table4[Malın kodu],Table4[Malın adı],"Xəta",0)</f>
        <v>Kabel sarğısı / spiralvari / 8 mm</v>
      </c>
      <c r="F371" s="26">
        <v>10</v>
      </c>
      <c r="G371" s="26"/>
      <c r="H371" s="26" t="s">
        <v>899</v>
      </c>
      <c r="I371" s="26" t="s">
        <v>1918</v>
      </c>
    </row>
    <row r="372" spans="2:9" x14ac:dyDescent="0.25">
      <c r="B372" s="26">
        <f t="shared" si="5"/>
        <v>369</v>
      </c>
      <c r="C372" s="27">
        <v>46174</v>
      </c>
      <c r="D372" s="28" t="s">
        <v>1291</v>
      </c>
      <c r="E372" s="29" t="str">
        <f>_xlfn.XLOOKUP(Table7[[#This Row],[Malın kodu]],Table4[Malın kodu],Table4[Malın adı],"Xəta",0)</f>
        <v>Qayka açarı / əldəqayırma</v>
      </c>
      <c r="F372" s="26">
        <v>1</v>
      </c>
      <c r="G372" s="26"/>
      <c r="H372" s="26" t="s">
        <v>899</v>
      </c>
      <c r="I372" s="26" t="s">
        <v>1918</v>
      </c>
    </row>
    <row r="373" spans="2:9" x14ac:dyDescent="0.25">
      <c r="B373" s="26">
        <f t="shared" si="5"/>
        <v>370</v>
      </c>
      <c r="C373" s="27">
        <v>46174</v>
      </c>
      <c r="D373" s="28" t="s">
        <v>1292</v>
      </c>
      <c r="E373" s="29" t="str">
        <f>_xlfn.XLOOKUP(Table7[[#This Row],[Malın kodu]],Table4[Malın kodu],Table4[Malın adı],"Xəta",0)</f>
        <v>Nivelyator dayağı / üçayaq / metal</v>
      </c>
      <c r="F373" s="26">
        <v>2</v>
      </c>
      <c r="G373" s="26"/>
      <c r="H373" s="26" t="s">
        <v>899</v>
      </c>
      <c r="I373" s="26" t="s">
        <v>1918</v>
      </c>
    </row>
    <row r="374" spans="2:9" x14ac:dyDescent="0.25">
      <c r="B374" s="26">
        <f t="shared" si="5"/>
        <v>371</v>
      </c>
      <c r="C374" s="27">
        <v>46174</v>
      </c>
      <c r="D374" s="28" t="s">
        <v>1293</v>
      </c>
      <c r="E374" s="29" t="str">
        <f>_xlfn.XLOOKUP(Table7[[#This Row],[Malın kodu]],Table4[Malın kodu],Table4[Malın adı],"Xəta",0)</f>
        <v>Tezlik çeviricisi / "ABB" ACS550 01-045A-4 / Finlandiya istehsalı</v>
      </c>
      <c r="F374" s="26">
        <v>1</v>
      </c>
      <c r="G374" s="26"/>
      <c r="H374" s="26" t="s">
        <v>899</v>
      </c>
      <c r="I374" s="26" t="s">
        <v>1918</v>
      </c>
    </row>
    <row r="375" spans="2:9" x14ac:dyDescent="0.25">
      <c r="B375" s="26">
        <f t="shared" si="5"/>
        <v>372</v>
      </c>
      <c r="C375" s="27">
        <v>46174</v>
      </c>
      <c r="D375" s="28" t="s">
        <v>1294</v>
      </c>
      <c r="E375" s="29" t="str">
        <f>_xlfn.XLOOKUP(Table7[[#This Row],[Malın kodu]],Table4[Malın kodu],Table4[Malın adı],"Xəta",0)</f>
        <v>Filtr / yağ / DW 962 / "Delsa" / Türkiyə istehsalı</v>
      </c>
      <c r="F375" s="26">
        <v>3</v>
      </c>
      <c r="G375" s="26"/>
      <c r="H375" s="26" t="s">
        <v>899</v>
      </c>
      <c r="I375" s="26" t="s">
        <v>1918</v>
      </c>
    </row>
    <row r="376" spans="2:9" x14ac:dyDescent="0.25">
      <c r="B376" s="26">
        <f t="shared" si="5"/>
        <v>373</v>
      </c>
      <c r="C376" s="27">
        <v>46174</v>
      </c>
      <c r="D376" s="28" t="s">
        <v>1295</v>
      </c>
      <c r="E376" s="29" t="str">
        <f>_xlfn.XLOOKUP(Table7[[#This Row],[Malın kodu]],Table4[Malın kodu],Table4[Malın adı],"Xəta",0)</f>
        <v>Filtr / yağ / DS 1329 / "Delsa" / Türkiyə istehsalı</v>
      </c>
      <c r="F376" s="26">
        <v>1</v>
      </c>
      <c r="G376" s="26"/>
      <c r="H376" s="26" t="s">
        <v>899</v>
      </c>
      <c r="I376" s="26" t="s">
        <v>1918</v>
      </c>
    </row>
    <row r="377" spans="2:9" x14ac:dyDescent="0.25">
      <c r="B377" s="26">
        <f t="shared" si="5"/>
        <v>374</v>
      </c>
      <c r="C377" s="27">
        <v>46174</v>
      </c>
      <c r="D377" s="28" t="s">
        <v>1296</v>
      </c>
      <c r="E377" s="29" t="str">
        <f>_xlfn.XLOOKUP(Table7[[#This Row],[Malın kodu]],Table4[Malın kodu],Table4[Malın adı],"Xəta",0)</f>
        <v>Filtr / yağ / DS 1430F / "Delsa" / Türkiyə istehsalı</v>
      </c>
      <c r="F377" s="26">
        <v>4</v>
      </c>
      <c r="G377" s="26"/>
      <c r="H377" s="26" t="s">
        <v>899</v>
      </c>
      <c r="I377" s="26" t="s">
        <v>1918</v>
      </c>
    </row>
    <row r="378" spans="2:9" x14ac:dyDescent="0.25">
      <c r="B378" s="26">
        <f t="shared" si="5"/>
        <v>375</v>
      </c>
      <c r="C378" s="27">
        <v>46174</v>
      </c>
      <c r="D378" s="28" t="s">
        <v>1297</v>
      </c>
      <c r="E378" s="29" t="str">
        <f>_xlfn.XLOOKUP(Table7[[#This Row],[Malın kodu]],Table4[Malın kodu],Table4[Malın adı],"Xəta",0)</f>
        <v>Bolt / M24 / L 70 mm</v>
      </c>
      <c r="F378" s="26">
        <v>23</v>
      </c>
      <c r="G378" s="26"/>
      <c r="H378" s="26" t="s">
        <v>899</v>
      </c>
      <c r="I378" s="26" t="s">
        <v>1918</v>
      </c>
    </row>
    <row r="379" spans="2:9" x14ac:dyDescent="0.25">
      <c r="B379" s="26">
        <f t="shared" si="5"/>
        <v>376</v>
      </c>
      <c r="C379" s="27">
        <v>46174</v>
      </c>
      <c r="D379" s="28" t="s">
        <v>1298</v>
      </c>
      <c r="E379" s="29" t="str">
        <f>_xlfn.XLOOKUP(Table7[[#This Row],[Malın kodu]],Table4[Malın kodu],Table4[Malın adı],"Xəta",0)</f>
        <v>Qayka / M24</v>
      </c>
      <c r="F379" s="26">
        <v>17</v>
      </c>
      <c r="G379" s="26"/>
      <c r="H379" s="26" t="s">
        <v>899</v>
      </c>
      <c r="I379" s="26" t="s">
        <v>1918</v>
      </c>
    </row>
    <row r="380" spans="2:9" ht="30" x14ac:dyDescent="0.25">
      <c r="B380" s="26">
        <f t="shared" si="5"/>
        <v>377</v>
      </c>
      <c r="C380" s="27">
        <v>46174</v>
      </c>
      <c r="D380" s="28" t="s">
        <v>1299</v>
      </c>
      <c r="E380" s="29" t="str">
        <f>_xlfn.XLOOKUP(Table7[[#This Row],[Malın kodu]],Table4[Malın kodu],Table4[Malın adı],"Xəta",0)</f>
        <v>Su pompası / dalğıc / 750 Vt / 2860 d/d / 47 metr / "Dingi" Çin istehsalı</v>
      </c>
      <c r="F380" s="26">
        <v>1</v>
      </c>
      <c r="G380" s="26"/>
      <c r="H380" s="26" t="s">
        <v>899</v>
      </c>
      <c r="I380" s="26" t="s">
        <v>1918</v>
      </c>
    </row>
    <row r="381" spans="2:9" ht="30" x14ac:dyDescent="0.25">
      <c r="B381" s="26">
        <f t="shared" si="5"/>
        <v>378</v>
      </c>
      <c r="C381" s="27">
        <v>46174</v>
      </c>
      <c r="D381" s="28" t="s">
        <v>1300</v>
      </c>
      <c r="E381" s="29" t="str">
        <f>_xlfn.XLOOKUP(Table7[[#This Row],[Malın kodu]],Table4[Malın kodu],Table4[Malın adı],"Xəta",0)</f>
        <v>Su pompası / dalğıc / 1500 Vt / 2860 d/d / 46 metr / "Dingi" Çin istehsalı</v>
      </c>
      <c r="F381" s="26">
        <v>1</v>
      </c>
      <c r="G381" s="26"/>
      <c r="H381" s="26" t="s">
        <v>899</v>
      </c>
      <c r="I381" s="26" t="s">
        <v>1918</v>
      </c>
    </row>
    <row r="382" spans="2:9" x14ac:dyDescent="0.25">
      <c r="B382" s="26">
        <f t="shared" si="5"/>
        <v>379</v>
      </c>
      <c r="C382" s="27">
        <v>46174</v>
      </c>
      <c r="D382" s="28" t="s">
        <v>1301</v>
      </c>
      <c r="E382" s="29" t="str">
        <f>_xlfn.XLOOKUP(Table7[[#This Row],[Malın kodu]],Table4[Malın kodu],Table4[Malın adı],"Xəta",0)</f>
        <v>Dəbilgə / ağ</v>
      </c>
      <c r="F382" s="26">
        <v>9</v>
      </c>
      <c r="G382" s="26"/>
      <c r="H382" s="26" t="s">
        <v>899</v>
      </c>
      <c r="I382" s="26" t="s">
        <v>1918</v>
      </c>
    </row>
    <row r="383" spans="2:9" x14ac:dyDescent="0.25">
      <c r="B383" s="26">
        <f t="shared" si="5"/>
        <v>380</v>
      </c>
      <c r="C383" s="27">
        <v>46174</v>
      </c>
      <c r="D383" s="28" t="s">
        <v>1302</v>
      </c>
      <c r="E383" s="29" t="str">
        <f>_xlfn.XLOOKUP(Table7[[#This Row],[Malın kodu]],Table4[Malın kodu],Table4[Malın adı],"Xəta",0)</f>
        <v>Beton vibratoru / şlanq ilə</v>
      </c>
      <c r="F383" s="26">
        <v>1</v>
      </c>
      <c r="G383" s="26"/>
      <c r="H383" s="26" t="s">
        <v>899</v>
      </c>
      <c r="I383" s="26" t="s">
        <v>1918</v>
      </c>
    </row>
    <row r="384" spans="2:9" x14ac:dyDescent="0.25">
      <c r="B384" s="26">
        <f t="shared" si="5"/>
        <v>381</v>
      </c>
      <c r="C384" s="27">
        <v>46174</v>
      </c>
      <c r="D384" s="28" t="s">
        <v>1303</v>
      </c>
      <c r="E384" s="29" t="str">
        <f>_xlfn.XLOOKUP(Table7[[#This Row],[Malın kodu]],Table4[Malın kodu],Table4[Malın adı],"Xəta",0)</f>
        <v>Mühərrik / beton vibratoru üçün</v>
      </c>
      <c r="F384" s="26">
        <v>4</v>
      </c>
      <c r="G384" s="26"/>
      <c r="H384" s="26" t="s">
        <v>899</v>
      </c>
      <c r="I384" s="26" t="s">
        <v>1918</v>
      </c>
    </row>
    <row r="385" spans="2:9" x14ac:dyDescent="0.25">
      <c r="B385" s="26">
        <f t="shared" si="5"/>
        <v>382</v>
      </c>
      <c r="C385" s="27">
        <v>46174</v>
      </c>
      <c r="D385" s="28" t="s">
        <v>1304</v>
      </c>
      <c r="E385" s="29" t="str">
        <f>_xlfn.XLOOKUP(Table7[[#This Row],[Malın kodu]],Table4[Malın kodu],Table4[Malın adı],"Xəta",0)</f>
        <v>Bolt / M24 / L 150 mm</v>
      </c>
      <c r="F385" s="26">
        <v>11</v>
      </c>
      <c r="G385" s="26"/>
      <c r="H385" s="26" t="s">
        <v>899</v>
      </c>
      <c r="I385" s="26" t="s">
        <v>1918</v>
      </c>
    </row>
    <row r="386" spans="2:9" x14ac:dyDescent="0.25">
      <c r="B386" s="26">
        <f t="shared" si="5"/>
        <v>383</v>
      </c>
      <c r="C386" s="27">
        <v>46174</v>
      </c>
      <c r="D386" s="28" t="s">
        <v>1305</v>
      </c>
      <c r="E386" s="29" t="str">
        <f>_xlfn.XLOOKUP(Table7[[#This Row],[Malın kodu]],Table4[Malın kodu],Table4[Malın adı],"Xəta",0)</f>
        <v>Əks klepan / d 80 mm / geri dönməyən</v>
      </c>
      <c r="F386" s="26">
        <v>2</v>
      </c>
      <c r="G386" s="26"/>
      <c r="H386" s="26" t="s">
        <v>899</v>
      </c>
      <c r="I386" s="26" t="s">
        <v>1918</v>
      </c>
    </row>
    <row r="387" spans="2:9" x14ac:dyDescent="0.25">
      <c r="B387" s="26">
        <f t="shared" si="5"/>
        <v>384</v>
      </c>
      <c r="C387" s="27">
        <v>46174</v>
      </c>
      <c r="D387" s="28" t="s">
        <v>1306</v>
      </c>
      <c r="E387" s="29" t="str">
        <f>_xlfn.XLOOKUP(Table7[[#This Row],[Malın kodu]],Table4[Malın kodu],Table4[Malın adı],"Xəta",0)</f>
        <v>Əks klepan / d 40 mm / geri dönməyən</v>
      </c>
      <c r="F387" s="26">
        <v>3</v>
      </c>
      <c r="G387" s="26"/>
      <c r="H387" s="26" t="s">
        <v>899</v>
      </c>
      <c r="I387" s="26" t="s">
        <v>1918</v>
      </c>
    </row>
    <row r="388" spans="2:9" x14ac:dyDescent="0.25">
      <c r="B388" s="26">
        <f t="shared" ref="B388:B451" si="6">ROW()-3</f>
        <v>385</v>
      </c>
      <c r="C388" s="27">
        <v>46174</v>
      </c>
      <c r="D388" s="28" t="s">
        <v>1307</v>
      </c>
      <c r="E388" s="29" t="str">
        <f>_xlfn.XLOOKUP(Table7[[#This Row],[Malın kodu]],Table4[Malın kodu],Table4[Malın adı],"Xəta",0)</f>
        <v>Əks klepan / d 150 mm / geri dönməyən</v>
      </c>
      <c r="F388" s="26">
        <v>3</v>
      </c>
      <c r="G388" s="26"/>
      <c r="H388" s="26" t="s">
        <v>899</v>
      </c>
      <c r="I388" s="26" t="s">
        <v>1918</v>
      </c>
    </row>
    <row r="389" spans="2:9" x14ac:dyDescent="0.25">
      <c r="B389" s="26">
        <f t="shared" si="6"/>
        <v>386</v>
      </c>
      <c r="C389" s="27">
        <v>46174</v>
      </c>
      <c r="D389" s="28" t="s">
        <v>1308</v>
      </c>
      <c r="E389" s="29" t="str">
        <f>_xlfn.XLOOKUP(Table7[[#This Row],[Malın kodu]],Table4[Malın kodu],Table4[Malın adı],"Xəta",0)</f>
        <v>Əks klepan / d 100 mm / geri dönməyən</v>
      </c>
      <c r="F389" s="26">
        <v>4</v>
      </c>
      <c r="G389" s="26"/>
      <c r="H389" s="26" t="s">
        <v>899</v>
      </c>
      <c r="I389" s="26" t="s">
        <v>1918</v>
      </c>
    </row>
    <row r="390" spans="2:9" x14ac:dyDescent="0.25">
      <c r="B390" s="26">
        <f t="shared" si="6"/>
        <v>387</v>
      </c>
      <c r="C390" s="27">
        <v>46174</v>
      </c>
      <c r="D390" s="28" t="s">
        <v>1309</v>
      </c>
      <c r="E390" s="29" t="str">
        <f>_xlfn.XLOOKUP(Table7[[#This Row],[Malın kodu]],Table4[Malın kodu],Table4[Malın adı],"Xəta",0)</f>
        <v>Əks klepan / d 65 mm / geri dönməyən</v>
      </c>
      <c r="F390" s="26">
        <v>1</v>
      </c>
      <c r="G390" s="26"/>
      <c r="H390" s="26" t="s">
        <v>899</v>
      </c>
      <c r="I390" s="26" t="s">
        <v>1918</v>
      </c>
    </row>
    <row r="391" spans="2:9" x14ac:dyDescent="0.25">
      <c r="B391" s="26">
        <f t="shared" si="6"/>
        <v>388</v>
      </c>
      <c r="C391" s="27">
        <v>46174</v>
      </c>
      <c r="D391" s="28" t="s">
        <v>1310</v>
      </c>
      <c r="E391" s="29" t="str">
        <f>_xlfn.XLOOKUP(Table7[[#This Row],[Malın kodu]],Table4[Malın kodu],Table4[Malın adı],"Xəta",0)</f>
        <v>Bolt-qayka / M28 / L 150 mm / şayba ilə</v>
      </c>
      <c r="F391" s="26">
        <v>19</v>
      </c>
      <c r="G391" s="26"/>
      <c r="H391" s="26" t="s">
        <v>899</v>
      </c>
      <c r="I391" s="26" t="s">
        <v>1918</v>
      </c>
    </row>
    <row r="392" spans="2:9" x14ac:dyDescent="0.25">
      <c r="B392" s="26">
        <f t="shared" si="6"/>
        <v>389</v>
      </c>
      <c r="C392" s="27">
        <v>46174</v>
      </c>
      <c r="D392" s="28" t="s">
        <v>1311</v>
      </c>
      <c r="E392" s="29" t="str">
        <f>_xlfn.XLOOKUP(Table7[[#This Row],[Malın kodu]],Table4[Malın kodu],Table4[Malın adı],"Xəta",0)</f>
        <v>Su filtri / d 20 mm / polipropilen / B</v>
      </c>
      <c r="F392" s="26">
        <v>53</v>
      </c>
      <c r="G392" s="26"/>
      <c r="H392" s="26" t="s">
        <v>899</v>
      </c>
      <c r="I392" s="26" t="s">
        <v>1918</v>
      </c>
    </row>
    <row r="393" spans="2:9" x14ac:dyDescent="0.25">
      <c r="B393" s="26">
        <f t="shared" si="6"/>
        <v>390</v>
      </c>
      <c r="C393" s="27">
        <v>46174</v>
      </c>
      <c r="D393" s="28" t="s">
        <v>1312</v>
      </c>
      <c r="E393" s="29" t="str">
        <f>_xlfn.XLOOKUP(Table7[[#This Row],[Malın kodu]],Table4[Malın kodu],Table4[Malın adı],"Xəta",0)</f>
        <v>Qapaq / d 25 mm / polietilen</v>
      </c>
      <c r="F393" s="26">
        <v>86</v>
      </c>
      <c r="G393" s="26"/>
      <c r="H393" s="26" t="s">
        <v>899</v>
      </c>
      <c r="I393" s="26" t="s">
        <v>1918</v>
      </c>
    </row>
    <row r="394" spans="2:9" x14ac:dyDescent="0.25">
      <c r="B394" s="26">
        <f t="shared" si="6"/>
        <v>391</v>
      </c>
      <c r="C394" s="27">
        <v>46174</v>
      </c>
      <c r="D394" s="28" t="s">
        <v>1313</v>
      </c>
      <c r="E394" s="29" t="str">
        <f>_xlfn.XLOOKUP(Table7[[#This Row],[Malın kodu]],Table4[Malın kodu],Table4[Malın adı],"Xəta",0)</f>
        <v>Mufta / d 40 mm / polietilen</v>
      </c>
      <c r="F394" s="26">
        <v>15</v>
      </c>
      <c r="G394" s="26"/>
      <c r="H394" s="26" t="s">
        <v>899</v>
      </c>
      <c r="I394" s="26" t="s">
        <v>1918</v>
      </c>
    </row>
    <row r="395" spans="2:9" x14ac:dyDescent="0.25">
      <c r="B395" s="26">
        <f t="shared" si="6"/>
        <v>392</v>
      </c>
      <c r="C395" s="27">
        <v>46174</v>
      </c>
      <c r="D395" s="28" t="s">
        <v>1314</v>
      </c>
      <c r="E395" s="29" t="str">
        <f>_xlfn.XLOOKUP(Table7[[#This Row],[Malın kodu]],Table4[Malın kodu],Table4[Malın adı],"Xəta",0)</f>
        <v>Keçid mufta / d 40 mm / çöl yiv / polipropilen</v>
      </c>
      <c r="F395" s="26">
        <v>1</v>
      </c>
      <c r="G395" s="26"/>
      <c r="H395" s="26" t="s">
        <v>899</v>
      </c>
      <c r="I395" s="26" t="s">
        <v>1918</v>
      </c>
    </row>
    <row r="396" spans="2:9" x14ac:dyDescent="0.25">
      <c r="B396" s="26">
        <f t="shared" si="6"/>
        <v>393</v>
      </c>
      <c r="C396" s="27">
        <v>46174</v>
      </c>
      <c r="D396" s="28" t="s">
        <v>1315</v>
      </c>
      <c r="E396" s="29" t="str">
        <f>_xlfn.XLOOKUP(Table7[[#This Row],[Malın kodu]],Table4[Malın kodu],Table4[Malın adı],"Xəta",0)</f>
        <v>Üçlük / 25 x 20 mm / polipropilen</v>
      </c>
      <c r="F396" s="26">
        <v>6</v>
      </c>
      <c r="G396" s="26"/>
      <c r="H396" s="26" t="s">
        <v>899</v>
      </c>
      <c r="I396" s="26" t="s">
        <v>1918</v>
      </c>
    </row>
    <row r="397" spans="2:9" x14ac:dyDescent="0.25">
      <c r="B397" s="26">
        <f t="shared" si="6"/>
        <v>394</v>
      </c>
      <c r="C397" s="27">
        <v>46174</v>
      </c>
      <c r="D397" s="28" t="s">
        <v>1316</v>
      </c>
      <c r="E397" s="29" t="str">
        <f>_xlfn.XLOOKUP(Table7[[#This Row],[Malın kodu]],Table4[Malın kodu],Table4[Malın adı],"Xəta",0)</f>
        <v>Keçid mufta / d 25 mm / polipropilen / iç yiv</v>
      </c>
      <c r="F397" s="26">
        <v>2</v>
      </c>
      <c r="G397" s="26"/>
      <c r="H397" s="26" t="s">
        <v>899</v>
      </c>
      <c r="I397" s="26" t="s">
        <v>1918</v>
      </c>
    </row>
    <row r="398" spans="2:9" x14ac:dyDescent="0.25">
      <c r="B398" s="26">
        <f t="shared" si="6"/>
        <v>395</v>
      </c>
      <c r="C398" s="27">
        <v>46174</v>
      </c>
      <c r="D398" s="28" t="s">
        <v>1317</v>
      </c>
      <c r="E398" s="29" t="str">
        <f>_xlfn.XLOOKUP(Table7[[#This Row],[Malın kodu]],Table4[Malın kodu],Table4[Malın adı],"Xəta",0)</f>
        <v>Keçid mufta / d 25 mm / polipropilen / çöl yiv</v>
      </c>
      <c r="F398" s="26">
        <v>4</v>
      </c>
      <c r="G398" s="26"/>
      <c r="H398" s="26" t="s">
        <v>899</v>
      </c>
      <c r="I398" s="26" t="s">
        <v>1918</v>
      </c>
    </row>
    <row r="399" spans="2:9" x14ac:dyDescent="0.25">
      <c r="B399" s="26">
        <f t="shared" si="6"/>
        <v>396</v>
      </c>
      <c r="C399" s="27">
        <v>46174</v>
      </c>
      <c r="D399" s="28" t="s">
        <v>1318</v>
      </c>
      <c r="E399" s="29" t="str">
        <f>_xlfn.XLOOKUP(Table7[[#This Row],[Malın kodu]],Table4[Malın kodu],Table4[Malın adı],"Xəta",0)</f>
        <v>Keçid mufta / d 32 x 40 mm / polipropilen</v>
      </c>
      <c r="F399" s="26">
        <v>1</v>
      </c>
      <c r="G399" s="26"/>
      <c r="H399" s="26" t="s">
        <v>899</v>
      </c>
      <c r="I399" s="26" t="s">
        <v>1918</v>
      </c>
    </row>
    <row r="400" spans="2:9" x14ac:dyDescent="0.25">
      <c r="B400" s="26">
        <f t="shared" si="6"/>
        <v>397</v>
      </c>
      <c r="C400" s="27">
        <v>46174</v>
      </c>
      <c r="D400" s="28" t="s">
        <v>1319</v>
      </c>
      <c r="E400" s="29" t="str">
        <f>_xlfn.XLOOKUP(Table7[[#This Row],[Malın kodu]],Table4[Malın kodu],Table4[Malın adı],"Xəta",0)</f>
        <v>Keçid mufta / d 25 x 32 mm / polipropilen</v>
      </c>
      <c r="F400" s="26">
        <v>1</v>
      </c>
      <c r="G400" s="26"/>
      <c r="H400" s="26" t="s">
        <v>899</v>
      </c>
      <c r="I400" s="26" t="s">
        <v>1918</v>
      </c>
    </row>
    <row r="401" spans="2:9" x14ac:dyDescent="0.25">
      <c r="B401" s="26">
        <f t="shared" si="6"/>
        <v>398</v>
      </c>
      <c r="C401" s="27">
        <v>46174</v>
      </c>
      <c r="D401" s="28" t="s">
        <v>1320</v>
      </c>
      <c r="E401" s="29" t="str">
        <f>_xlfn.XLOOKUP(Table7[[#This Row],[Malın kodu]],Table4[Malın kodu],Table4[Malın adı],"Xəta",0)</f>
        <v>Dirsək / d 25 mm / polipropilen / çöl yiv / 90</v>
      </c>
      <c r="F401" s="26">
        <v>1</v>
      </c>
      <c r="G401" s="26"/>
      <c r="H401" s="26" t="s">
        <v>899</v>
      </c>
      <c r="I401" s="26" t="s">
        <v>1918</v>
      </c>
    </row>
    <row r="402" spans="2:9" x14ac:dyDescent="0.25">
      <c r="B402" s="26">
        <f t="shared" si="6"/>
        <v>399</v>
      </c>
      <c r="C402" s="27">
        <v>46174</v>
      </c>
      <c r="D402" s="28" t="s">
        <v>1321</v>
      </c>
      <c r="E402" s="29" t="str">
        <f>_xlfn.XLOOKUP(Table7[[#This Row],[Malın kodu]],Table4[Malın kodu],Table4[Malın adı],"Xəta",0)</f>
        <v>Ventil / d 25 mm / polipropilen</v>
      </c>
      <c r="F402" s="26">
        <v>1</v>
      </c>
      <c r="G402" s="26"/>
      <c r="H402" s="26" t="s">
        <v>899</v>
      </c>
      <c r="I402" s="26" t="s">
        <v>1918</v>
      </c>
    </row>
    <row r="403" spans="2:9" x14ac:dyDescent="0.25">
      <c r="B403" s="26">
        <f t="shared" si="6"/>
        <v>400</v>
      </c>
      <c r="C403" s="27">
        <v>46174</v>
      </c>
      <c r="D403" s="28" t="s">
        <v>1322</v>
      </c>
      <c r="E403" s="29" t="str">
        <f>_xlfn.XLOOKUP(Table7[[#This Row],[Malın kodu]],Table4[Malın kodu],Table4[Malın adı],"Xəta",0)</f>
        <v>Üçlük / d 20 x 40 mm / polipropilen</v>
      </c>
      <c r="F403" s="26">
        <v>1</v>
      </c>
      <c r="G403" s="26"/>
      <c r="H403" s="26" t="s">
        <v>899</v>
      </c>
      <c r="I403" s="26" t="s">
        <v>1918</v>
      </c>
    </row>
    <row r="404" spans="2:9" x14ac:dyDescent="0.25">
      <c r="B404" s="26">
        <f t="shared" si="6"/>
        <v>401</v>
      </c>
      <c r="C404" s="27">
        <v>46174</v>
      </c>
      <c r="D404" s="28" t="s">
        <v>1323</v>
      </c>
      <c r="E404" s="29" t="str">
        <f>_xlfn.XLOOKUP(Table7[[#This Row],[Malın kodu]],Table4[Malın kodu],Table4[Malın adı],"Xəta",0)</f>
        <v>Üçlük / d 20 x 25 mm / polipropilen</v>
      </c>
      <c r="F404" s="26">
        <v>2</v>
      </c>
      <c r="G404" s="26"/>
      <c r="H404" s="26" t="s">
        <v>899</v>
      </c>
      <c r="I404" s="26" t="s">
        <v>1918</v>
      </c>
    </row>
    <row r="405" spans="2:9" x14ac:dyDescent="0.25">
      <c r="B405" s="26">
        <f t="shared" si="6"/>
        <v>402</v>
      </c>
      <c r="C405" s="27">
        <v>46174</v>
      </c>
      <c r="D405" s="28" t="s">
        <v>1324</v>
      </c>
      <c r="E405" s="29" t="str">
        <f>_xlfn.XLOOKUP(Table7[[#This Row],[Malın kodu]],Table4[Malın kodu],Table4[Malın adı],"Xəta",0)</f>
        <v>Mufta / d 25 mm / polipropilen / dolama</v>
      </c>
      <c r="F405" s="26">
        <v>10</v>
      </c>
      <c r="G405" s="26"/>
      <c r="H405" s="26" t="s">
        <v>899</v>
      </c>
      <c r="I405" s="26" t="s">
        <v>1918</v>
      </c>
    </row>
    <row r="406" spans="2:9" x14ac:dyDescent="0.25">
      <c r="B406" s="26">
        <f t="shared" si="6"/>
        <v>403</v>
      </c>
      <c r="C406" s="27">
        <v>46174</v>
      </c>
      <c r="D406" s="28" t="s">
        <v>1325</v>
      </c>
      <c r="E406" s="29" t="str">
        <f>_xlfn.XLOOKUP(Table7[[#This Row],[Malın kodu]],Table4[Malın kodu],Table4[Malın adı],"Xəta",0)</f>
        <v>Mufta / d 63 mm / polipropilen</v>
      </c>
      <c r="F406" s="26">
        <v>2</v>
      </c>
      <c r="G406" s="26"/>
      <c r="H406" s="26" t="s">
        <v>899</v>
      </c>
      <c r="I406" s="26" t="s">
        <v>1918</v>
      </c>
    </row>
    <row r="407" spans="2:9" x14ac:dyDescent="0.25">
      <c r="B407" s="26">
        <f t="shared" si="6"/>
        <v>404</v>
      </c>
      <c r="C407" s="27">
        <v>46174</v>
      </c>
      <c r="D407" s="28" t="s">
        <v>1326</v>
      </c>
      <c r="E407" s="29" t="str">
        <f>_xlfn.XLOOKUP(Table7[[#This Row],[Malın kodu]],Table4[Malın kodu],Table4[Malın adı],"Xəta",0)</f>
        <v>Dirsək / d 63 mm / polipropilen</v>
      </c>
      <c r="F407" s="26">
        <v>1</v>
      </c>
      <c r="G407" s="26"/>
      <c r="H407" s="26" t="s">
        <v>899</v>
      </c>
      <c r="I407" s="26" t="s">
        <v>1918</v>
      </c>
    </row>
    <row r="408" spans="2:9" x14ac:dyDescent="0.25">
      <c r="B408" s="26">
        <f t="shared" si="6"/>
        <v>405</v>
      </c>
      <c r="C408" s="27">
        <v>46174</v>
      </c>
      <c r="D408" s="28" t="s">
        <v>1327</v>
      </c>
      <c r="E408" s="29" t="str">
        <f>_xlfn.XLOOKUP(Table7[[#This Row],[Malın kodu]],Table4[Malın kodu],Table4[Malın adı],"Xəta",0)</f>
        <v>Keçid / d 50 x 75 mm / polipropilen</v>
      </c>
      <c r="F408" s="26">
        <v>1</v>
      </c>
      <c r="G408" s="26"/>
      <c r="H408" s="26" t="s">
        <v>899</v>
      </c>
      <c r="I408" s="26" t="s">
        <v>1918</v>
      </c>
    </row>
    <row r="409" spans="2:9" x14ac:dyDescent="0.25">
      <c r="B409" s="26">
        <f t="shared" si="6"/>
        <v>406</v>
      </c>
      <c r="C409" s="27">
        <v>46174</v>
      </c>
      <c r="D409" s="28" t="s">
        <v>1328</v>
      </c>
      <c r="E409" s="29" t="str">
        <f>_xlfn.XLOOKUP(Table7[[#This Row],[Malın kodu]],Table4[Malın kodu],Table4[Malın adı],"Xəta",0)</f>
        <v>Dirsək / d 25 mm / polipropilen / 45°</v>
      </c>
      <c r="F409" s="26">
        <v>1</v>
      </c>
      <c r="G409" s="26"/>
      <c r="H409" s="26" t="s">
        <v>899</v>
      </c>
      <c r="I409" s="26" t="s">
        <v>1918</v>
      </c>
    </row>
    <row r="410" spans="2:9" x14ac:dyDescent="0.25">
      <c r="B410" s="26">
        <f t="shared" si="6"/>
        <v>407</v>
      </c>
      <c r="C410" s="27">
        <v>46174</v>
      </c>
      <c r="D410" s="28" t="s">
        <v>1329</v>
      </c>
      <c r="E410" s="29" t="str">
        <f>_xlfn.XLOOKUP(Table7[[#This Row],[Malın kodu]],Table4[Malın kodu],Table4[Malın adı],"Xəta",0)</f>
        <v>Mufta / d 25 mm / polipropilen</v>
      </c>
      <c r="F410" s="26">
        <v>1</v>
      </c>
      <c r="G410" s="26"/>
      <c r="H410" s="26" t="s">
        <v>899</v>
      </c>
      <c r="I410" s="26" t="s">
        <v>1918</v>
      </c>
    </row>
    <row r="411" spans="2:9" x14ac:dyDescent="0.25">
      <c r="B411" s="26">
        <f t="shared" si="6"/>
        <v>408</v>
      </c>
      <c r="C411" s="27">
        <v>46174</v>
      </c>
      <c r="D411" s="28" t="s">
        <v>1330</v>
      </c>
      <c r="E411" s="29" t="str">
        <f>_xlfn.XLOOKUP(Table7[[#This Row],[Malın kodu]],Table4[Malın kodu],Table4[Malın adı],"Xəta",0)</f>
        <v>Dirsək / d 40 mm / polipropilen / 45°</v>
      </c>
      <c r="F411" s="26">
        <v>1</v>
      </c>
      <c r="G411" s="26"/>
      <c r="H411" s="26" t="s">
        <v>899</v>
      </c>
      <c r="I411" s="26" t="s">
        <v>1918</v>
      </c>
    </row>
    <row r="412" spans="2:9" x14ac:dyDescent="0.25">
      <c r="B412" s="26">
        <f t="shared" si="6"/>
        <v>409</v>
      </c>
      <c r="C412" s="27">
        <v>46174</v>
      </c>
      <c r="D412" s="28" t="s">
        <v>1331</v>
      </c>
      <c r="E412" s="29" t="str">
        <f>_xlfn.XLOOKUP(Table7[[#This Row],[Malın kodu]],Table4[Malın kodu],Table4[Malın adı],"Xəta",0)</f>
        <v>Keçid / d 25 x 50 mm / polipropilen</v>
      </c>
      <c r="F412" s="26">
        <v>1</v>
      </c>
      <c r="G412" s="26"/>
      <c r="H412" s="26" t="s">
        <v>899</v>
      </c>
      <c r="I412" s="26" t="s">
        <v>1918</v>
      </c>
    </row>
    <row r="413" spans="2:9" x14ac:dyDescent="0.25">
      <c r="B413" s="26">
        <f t="shared" si="6"/>
        <v>410</v>
      </c>
      <c r="C413" s="27">
        <v>46174</v>
      </c>
      <c r="D413" s="28" t="s">
        <v>1332</v>
      </c>
      <c r="E413" s="29" t="str">
        <f>_xlfn.XLOOKUP(Table7[[#This Row],[Malın kodu]],Table4[Malın kodu],Table4[Malın adı],"Xəta",0)</f>
        <v>Mufta / d 32 mm / polietilen / elektrofizyon / A</v>
      </c>
      <c r="F413" s="26">
        <v>1</v>
      </c>
      <c r="G413" s="26"/>
      <c r="H413" s="26" t="s">
        <v>899</v>
      </c>
      <c r="I413" s="26" t="s">
        <v>1918</v>
      </c>
    </row>
    <row r="414" spans="2:9" x14ac:dyDescent="0.25">
      <c r="B414" s="26">
        <f t="shared" si="6"/>
        <v>411</v>
      </c>
      <c r="C414" s="27">
        <v>46174</v>
      </c>
      <c r="D414" s="28" t="s">
        <v>1333</v>
      </c>
      <c r="E414" s="29" t="str">
        <f>_xlfn.XLOOKUP(Table7[[#This Row],[Malın kodu]],Table4[Malın kodu],Table4[Malın adı],"Xəta",0)</f>
        <v>Dirsək / d 32 mm / PVC U /  90°</v>
      </c>
      <c r="F414" s="26">
        <v>1</v>
      </c>
      <c r="G414" s="26"/>
      <c r="H414" s="26" t="s">
        <v>899</v>
      </c>
      <c r="I414" s="26" t="s">
        <v>1918</v>
      </c>
    </row>
    <row r="415" spans="2:9" x14ac:dyDescent="0.25">
      <c r="B415" s="26">
        <f t="shared" si="6"/>
        <v>412</v>
      </c>
      <c r="C415" s="27">
        <v>46174</v>
      </c>
      <c r="D415" s="28" t="s">
        <v>1334</v>
      </c>
      <c r="E415" s="29" t="str">
        <f>_xlfn.XLOOKUP(Table7[[#This Row],[Malın kodu]],Table4[Malın kodu],Table4[Malın adı],"Xəta",0)</f>
        <v>Üçlük / d 25 x 20 mm / polipropilen</v>
      </c>
      <c r="F415" s="26">
        <v>1</v>
      </c>
      <c r="G415" s="26"/>
      <c r="H415" s="26" t="s">
        <v>899</v>
      </c>
      <c r="I415" s="26" t="s">
        <v>1918</v>
      </c>
    </row>
    <row r="416" spans="2:9" x14ac:dyDescent="0.25">
      <c r="B416" s="26">
        <f t="shared" si="6"/>
        <v>413</v>
      </c>
      <c r="C416" s="27">
        <v>46174</v>
      </c>
      <c r="D416" s="28" t="s">
        <v>1335</v>
      </c>
      <c r="E416" s="29" t="str">
        <f>_xlfn.XLOOKUP(Table7[[#This Row],[Malın kodu]],Table4[Malın kodu],Table4[Malın adı],"Xəta",0)</f>
        <v>Kabel / 4 x 0.22 / internet</v>
      </c>
      <c r="F416" s="26">
        <v>115</v>
      </c>
      <c r="G416" s="26"/>
      <c r="H416" s="26" t="s">
        <v>899</v>
      </c>
      <c r="I416" s="26" t="s">
        <v>1918</v>
      </c>
    </row>
    <row r="417" spans="2:9" x14ac:dyDescent="0.25">
      <c r="B417" s="26">
        <f t="shared" si="6"/>
        <v>414</v>
      </c>
      <c r="C417" s="27">
        <v>46174</v>
      </c>
      <c r="D417" s="28" t="s">
        <v>1336</v>
      </c>
      <c r="E417" s="29" t="str">
        <f>_xlfn.XLOOKUP(Table7[[#This Row],[Malın kodu]],Table4[Malın kodu],Table4[Malın adı],"Xəta",0)</f>
        <v>Üz qoruyucu sipər / şəffav plastik</v>
      </c>
      <c r="F417" s="26">
        <v>1</v>
      </c>
      <c r="G417" s="26"/>
      <c r="H417" s="26" t="s">
        <v>899</v>
      </c>
      <c r="I417" s="26" t="s">
        <v>1918</v>
      </c>
    </row>
    <row r="418" spans="2:9" x14ac:dyDescent="0.25">
      <c r="B418" s="26">
        <f t="shared" si="6"/>
        <v>415</v>
      </c>
      <c r="C418" s="27">
        <v>46174</v>
      </c>
      <c r="D418" s="28" t="s">
        <v>1337</v>
      </c>
      <c r="E418" s="29" t="str">
        <f>_xlfn.XLOOKUP(Table7[[#This Row],[Malın kodu]],Table4[Malın kodu],Table4[Malın adı],"Xəta",0)</f>
        <v>Suqızdırıcısı / spirallı / "Cemsan" / Türkiyə istehsalı</v>
      </c>
      <c r="F418" s="26">
        <v>1</v>
      </c>
      <c r="G418" s="26"/>
      <c r="H418" s="26" t="s">
        <v>899</v>
      </c>
      <c r="I418" s="26" t="s">
        <v>1918</v>
      </c>
    </row>
    <row r="419" spans="2:9" x14ac:dyDescent="0.25">
      <c r="B419" s="26">
        <f t="shared" si="6"/>
        <v>416</v>
      </c>
      <c r="C419" s="27">
        <v>46174</v>
      </c>
      <c r="D419" s="28" t="s">
        <v>1338</v>
      </c>
      <c r="E419" s="29" t="str">
        <f>_xlfn.XLOOKUP(Table7[[#This Row],[Malın kodu]],Table4[Malın kodu],Table4[Malın adı],"Xəta",0)</f>
        <v>Tıxac / şurup üçün / 6-lıq / plastik</v>
      </c>
      <c r="F419" s="26">
        <v>1</v>
      </c>
      <c r="G419" s="26"/>
      <c r="H419" s="26" t="s">
        <v>899</v>
      </c>
      <c r="I419" s="26" t="s">
        <v>1918</v>
      </c>
    </row>
    <row r="420" spans="2:9" x14ac:dyDescent="0.25">
      <c r="B420" s="26">
        <f t="shared" si="6"/>
        <v>417</v>
      </c>
      <c r="C420" s="27">
        <v>46174</v>
      </c>
      <c r="D420" s="28" t="s">
        <v>1339</v>
      </c>
      <c r="E420" s="29" t="str">
        <f>_xlfn.XLOOKUP(Table7[[#This Row],[Malın kodu]],Table4[Malın kodu],Table4[Malın adı],"Xəta",0)</f>
        <v>Tıxac / şurup üçün / 10-luq / plastik</v>
      </c>
      <c r="F420" s="26">
        <v>1</v>
      </c>
      <c r="G420" s="26"/>
      <c r="H420" s="26" t="s">
        <v>899</v>
      </c>
      <c r="I420" s="26" t="s">
        <v>1918</v>
      </c>
    </row>
    <row r="421" spans="2:9" x14ac:dyDescent="0.25">
      <c r="B421" s="26">
        <f t="shared" si="6"/>
        <v>418</v>
      </c>
      <c r="C421" s="27">
        <v>46174</v>
      </c>
      <c r="D421" s="28" t="s">
        <v>1340</v>
      </c>
      <c r="E421" s="29" t="str">
        <f>_xlfn.XLOOKUP(Table7[[#This Row],[Malın kodu]],Table4[Malın kodu],Table4[Malın adı],"Xəta",0)</f>
        <v>Üçlük / d 32 mm / polietilen / A</v>
      </c>
      <c r="F421" s="26">
        <v>1</v>
      </c>
      <c r="G421" s="26"/>
      <c r="H421" s="26" t="s">
        <v>899</v>
      </c>
      <c r="I421" s="26" t="s">
        <v>1918</v>
      </c>
    </row>
    <row r="422" spans="2:9" x14ac:dyDescent="0.25">
      <c r="B422" s="26">
        <f t="shared" si="6"/>
        <v>419</v>
      </c>
      <c r="C422" s="27">
        <v>46174</v>
      </c>
      <c r="D422" s="28" t="s">
        <v>1341</v>
      </c>
      <c r="E422" s="29" t="str">
        <f>_xlfn.XLOOKUP(Table7[[#This Row],[Malın kodu]],Table4[Malın kodu],Table4[Malın adı],"Xəta",0)</f>
        <v>Tıxac / plastik / şurup ilə</v>
      </c>
      <c r="F422" s="26">
        <v>65</v>
      </c>
      <c r="G422" s="26"/>
      <c r="H422" s="26" t="s">
        <v>899</v>
      </c>
      <c r="I422" s="26" t="s">
        <v>1918</v>
      </c>
    </row>
    <row r="423" spans="2:9" x14ac:dyDescent="0.25">
      <c r="B423" s="26">
        <f t="shared" si="6"/>
        <v>420</v>
      </c>
      <c r="C423" s="27">
        <v>46174</v>
      </c>
      <c r="D423" s="28" t="s">
        <v>1342</v>
      </c>
      <c r="E423" s="29" t="str">
        <f>_xlfn.XLOOKUP(Table7[[#This Row],[Malın kodu]],Table4[Malın kodu],Table4[Malın adı],"Xəta",0)</f>
        <v>Diyircəkli yastıq / 32309</v>
      </c>
      <c r="F423" s="26">
        <v>2</v>
      </c>
      <c r="G423" s="26"/>
      <c r="H423" s="26" t="s">
        <v>899</v>
      </c>
      <c r="I423" s="26" t="s">
        <v>1918</v>
      </c>
    </row>
    <row r="424" spans="2:9" x14ac:dyDescent="0.25">
      <c r="B424" s="26">
        <f t="shared" si="6"/>
        <v>421</v>
      </c>
      <c r="C424" s="27">
        <v>46174</v>
      </c>
      <c r="D424" s="28" t="s">
        <v>1343</v>
      </c>
      <c r="E424" s="29" t="str">
        <f>_xlfn.XLOOKUP(Table7[[#This Row],[Malın kodu]],Table4[Malın kodu],Table4[Malın adı],"Xəta",0)</f>
        <v>Diyircəkli yastıq / 62309</v>
      </c>
      <c r="F424" s="26">
        <v>1</v>
      </c>
      <c r="G424" s="26"/>
      <c r="H424" s="26" t="s">
        <v>899</v>
      </c>
      <c r="I424" s="26" t="s">
        <v>1918</v>
      </c>
    </row>
    <row r="425" spans="2:9" x14ac:dyDescent="0.25">
      <c r="B425" s="26">
        <f t="shared" si="6"/>
        <v>422</v>
      </c>
      <c r="C425" s="27">
        <v>46174</v>
      </c>
      <c r="D425" s="28" t="s">
        <v>1344</v>
      </c>
      <c r="E425" s="29" t="str">
        <f>_xlfn.XLOOKUP(Table7[[#This Row],[Malın kodu]],Table4[Malın kodu],Table4[Malın adı],"Xəta",0)</f>
        <v>Fırça / laqononda üçün / 3 İnch</v>
      </c>
      <c r="F425" s="26">
        <v>2</v>
      </c>
      <c r="G425" s="26"/>
      <c r="H425" s="26" t="s">
        <v>899</v>
      </c>
      <c r="I425" s="26" t="s">
        <v>1918</v>
      </c>
    </row>
    <row r="426" spans="2:9" x14ac:dyDescent="0.25">
      <c r="B426" s="26">
        <f t="shared" si="6"/>
        <v>423</v>
      </c>
      <c r="C426" s="27">
        <v>46174</v>
      </c>
      <c r="D426" s="28" t="s">
        <v>1345</v>
      </c>
      <c r="E426" s="29" t="str">
        <f>_xlfn.XLOOKUP(Table7[[#This Row],[Malın kodu]],Table4[Malın kodu],Table4[Malın adı],"Xəta",0)</f>
        <v>Fiksator / plastik / armatur üçün / 30/8-24</v>
      </c>
      <c r="F426" s="26">
        <v>77</v>
      </c>
      <c r="G426" s="26"/>
      <c r="H426" s="26" t="s">
        <v>899</v>
      </c>
      <c r="I426" s="26" t="s">
        <v>1918</v>
      </c>
    </row>
    <row r="427" spans="2:9" x14ac:dyDescent="0.25">
      <c r="B427" s="26">
        <f t="shared" si="6"/>
        <v>424</v>
      </c>
      <c r="C427" s="27">
        <v>46174</v>
      </c>
      <c r="D427" s="28" t="s">
        <v>1346</v>
      </c>
      <c r="E427" s="29" t="str">
        <f>_xlfn.XLOOKUP(Table7[[#This Row],[Malın kodu]],Table4[Malın kodu],Table4[Malın adı],"Xəta",0)</f>
        <v>Yanğınsöndürən balon</v>
      </c>
      <c r="F427" s="26">
        <v>10</v>
      </c>
      <c r="G427" s="26"/>
      <c r="H427" s="26" t="s">
        <v>899</v>
      </c>
      <c r="I427" s="26" t="s">
        <v>1918</v>
      </c>
    </row>
    <row r="428" spans="2:9" x14ac:dyDescent="0.25">
      <c r="B428" s="26">
        <f t="shared" si="6"/>
        <v>425</v>
      </c>
      <c r="C428" s="27">
        <v>46174</v>
      </c>
      <c r="D428" s="28" t="s">
        <v>1347</v>
      </c>
      <c r="E428" s="29" t="str">
        <f>_xlfn.XLOOKUP(Table7[[#This Row],[Malın kodu]],Table4[Malın kodu],Table4[Malın adı],"Xəta",0)</f>
        <v>Armatur başlığı / plastik / qoruyucu</v>
      </c>
      <c r="F428" s="26">
        <v>293</v>
      </c>
      <c r="G428" s="26"/>
      <c r="H428" s="26" t="s">
        <v>899</v>
      </c>
      <c r="I428" s="26" t="s">
        <v>1918</v>
      </c>
    </row>
    <row r="429" spans="2:9" x14ac:dyDescent="0.25">
      <c r="B429" s="26">
        <f t="shared" si="6"/>
        <v>426</v>
      </c>
      <c r="C429" s="27">
        <v>46174</v>
      </c>
      <c r="D429" s="28" t="s">
        <v>1348</v>
      </c>
      <c r="E429" s="29" t="str">
        <f>_xlfn.XLOOKUP(Table7[[#This Row],[Malın kodu]],Table4[Malın kodu],Table4[Malın adı],"Xəta",0)</f>
        <v>Yanğınsöndürmə şlanqı / 6 İnch (150 mm) x 20 metr</v>
      </c>
      <c r="F429" s="26">
        <v>3</v>
      </c>
      <c r="G429" s="26"/>
      <c r="H429" s="26" t="s">
        <v>899</v>
      </c>
      <c r="I429" s="26" t="s">
        <v>1918</v>
      </c>
    </row>
    <row r="430" spans="2:9" x14ac:dyDescent="0.25">
      <c r="B430" s="26">
        <f t="shared" si="6"/>
        <v>427</v>
      </c>
      <c r="C430" s="27">
        <v>46174</v>
      </c>
      <c r="D430" s="28" t="s">
        <v>1349</v>
      </c>
      <c r="E430" s="29" t="str">
        <f>_xlfn.XLOOKUP(Table7[[#This Row],[Malın kodu]],Table4[Malın kodu],Table4[Malın adı],"Xəta",0)</f>
        <v>Xomut / boru üçün / metal / 149 x 161 mm</v>
      </c>
      <c r="F430" s="26">
        <v>8</v>
      </c>
      <c r="G430" s="26"/>
      <c r="H430" s="26" t="s">
        <v>899</v>
      </c>
      <c r="I430" s="26" t="s">
        <v>1918</v>
      </c>
    </row>
    <row r="431" spans="2:9" x14ac:dyDescent="0.25">
      <c r="B431" s="26">
        <f t="shared" si="6"/>
        <v>428</v>
      </c>
      <c r="C431" s="27">
        <v>46174</v>
      </c>
      <c r="D431" s="28" t="s">
        <v>1350</v>
      </c>
      <c r="E431" s="29" t="str">
        <f>_xlfn.XLOOKUP(Table7[[#This Row],[Malın kodu]],Table4[Malın kodu],Table4[Malın adı],"Xəta",0)</f>
        <v>Əhəng / söndürülmüş / 20 kq / "Bertaş"</v>
      </c>
      <c r="F431" s="26">
        <v>1</v>
      </c>
      <c r="G431" s="26"/>
      <c r="H431" s="26" t="s">
        <v>899</v>
      </c>
      <c r="I431" s="26" t="s">
        <v>1918</v>
      </c>
    </row>
    <row r="432" spans="2:9" x14ac:dyDescent="0.25">
      <c r="B432" s="26">
        <f t="shared" si="6"/>
        <v>429</v>
      </c>
      <c r="C432" s="27">
        <v>46174</v>
      </c>
      <c r="D432" s="28" t="s">
        <v>1351</v>
      </c>
      <c r="E432" s="29" t="str">
        <f>_xlfn.XLOOKUP(Table7[[#This Row],[Malın kodu]],Table4[Malın kodu],Table4[Malın adı],"Xəta",0)</f>
        <v>Ştuser / d 150 mm / polad</v>
      </c>
      <c r="F432" s="26">
        <v>2</v>
      </c>
      <c r="G432" s="26"/>
      <c r="H432" s="26" t="s">
        <v>899</v>
      </c>
      <c r="I432" s="26" t="s">
        <v>1918</v>
      </c>
    </row>
    <row r="433" spans="2:9" x14ac:dyDescent="0.25">
      <c r="B433" s="26">
        <f t="shared" si="6"/>
        <v>430</v>
      </c>
      <c r="C433" s="27">
        <v>46174</v>
      </c>
      <c r="D433" s="28" t="s">
        <v>1352</v>
      </c>
      <c r="E433" s="29" t="str">
        <f>_xlfn.XLOOKUP(Table7[[#This Row],[Malın kodu]],Table4[Malın kodu],Table4[Malın adı],"Xəta",0)</f>
        <v>Xətkeş / nivelyator üçün / A</v>
      </c>
      <c r="F433" s="26">
        <v>1</v>
      </c>
      <c r="G433" s="26"/>
      <c r="H433" s="26" t="s">
        <v>899</v>
      </c>
      <c r="I433" s="26" t="s">
        <v>1918</v>
      </c>
    </row>
    <row r="434" spans="2:9" x14ac:dyDescent="0.25">
      <c r="B434" s="26">
        <f t="shared" si="6"/>
        <v>431</v>
      </c>
      <c r="C434" s="27">
        <v>46174</v>
      </c>
      <c r="D434" s="28" t="s">
        <v>1353</v>
      </c>
      <c r="E434" s="29" t="str">
        <f>_xlfn.XLOOKUP(Table7[[#This Row],[Malın kodu]],Table4[Malın kodu],Table4[Malın adı],"Xəta",0)</f>
        <v>Geodezik prizma / d 62 mm / "Leica"</v>
      </c>
      <c r="F434" s="26">
        <v>2</v>
      </c>
      <c r="G434" s="26"/>
      <c r="H434" s="26" t="s">
        <v>899</v>
      </c>
      <c r="I434" s="26" t="s">
        <v>1918</v>
      </c>
    </row>
    <row r="435" spans="2:9" x14ac:dyDescent="0.25">
      <c r="B435" s="26">
        <f t="shared" si="6"/>
        <v>432</v>
      </c>
      <c r="C435" s="27">
        <v>46174</v>
      </c>
      <c r="D435" s="28" t="s">
        <v>1354</v>
      </c>
      <c r="E435" s="29" t="str">
        <f>_xlfn.XLOOKUP(Table7[[#This Row],[Malın kodu]],Table4[Malın kodu],Table4[Malın adı],"Xəta",0)</f>
        <v>Filtr / yanacaq / "Sampiyon" / CS 0169M</v>
      </c>
      <c r="F435" s="26">
        <v>1</v>
      </c>
      <c r="G435" s="26"/>
      <c r="H435" s="26" t="s">
        <v>899</v>
      </c>
      <c r="I435" s="26" t="s">
        <v>1918</v>
      </c>
    </row>
    <row r="436" spans="2:9" x14ac:dyDescent="0.25">
      <c r="B436" s="26">
        <f t="shared" si="6"/>
        <v>433</v>
      </c>
      <c r="C436" s="27">
        <v>46174</v>
      </c>
      <c r="D436" s="28" t="s">
        <v>1355</v>
      </c>
      <c r="E436" s="29" t="str">
        <f>_xlfn.XLOOKUP(Table7[[#This Row],[Malın kodu]],Table4[Malın kodu],Table4[Malın adı],"Xəta",0)</f>
        <v>Filtr / yanacaq / "Sampiyon" / CS 1606M</v>
      </c>
      <c r="F436" s="26">
        <v>1</v>
      </c>
      <c r="G436" s="26"/>
      <c r="H436" s="26" t="s">
        <v>899</v>
      </c>
      <c r="I436" s="26" t="s">
        <v>1918</v>
      </c>
    </row>
    <row r="437" spans="2:9" x14ac:dyDescent="0.25">
      <c r="B437" s="26">
        <f t="shared" si="6"/>
        <v>434</v>
      </c>
      <c r="C437" s="27">
        <v>46174</v>
      </c>
      <c r="D437" s="28" t="s">
        <v>1356</v>
      </c>
      <c r="E437" s="29" t="str">
        <f>_xlfn.XLOOKUP(Table7[[#This Row],[Malın kodu]],Table4[Malın kodu],Table4[Malın adı],"Xəta",0)</f>
        <v>Filtr / yanacaq / "Sampiyon" / CS 1430MVL</v>
      </c>
      <c r="F437" s="26">
        <v>1</v>
      </c>
      <c r="G437" s="26"/>
      <c r="H437" s="26" t="s">
        <v>899</v>
      </c>
      <c r="I437" s="26" t="s">
        <v>1918</v>
      </c>
    </row>
    <row r="438" spans="2:9" x14ac:dyDescent="0.25">
      <c r="B438" s="26">
        <f t="shared" si="6"/>
        <v>435</v>
      </c>
      <c r="C438" s="27">
        <v>46174</v>
      </c>
      <c r="D438" s="28" t="s">
        <v>1357</v>
      </c>
      <c r="E438" s="29" t="str">
        <f>_xlfn.XLOOKUP(Table7[[#This Row],[Malın kodu]],Table4[Malın kodu],Table4[Malın adı],"Xəta",0)</f>
        <v>Filtr / yağ / "Sampiyon" / CS 1428</v>
      </c>
      <c r="F438" s="26">
        <v>2</v>
      </c>
      <c r="G438" s="26"/>
      <c r="H438" s="26" t="s">
        <v>899</v>
      </c>
      <c r="I438" s="26" t="s">
        <v>1918</v>
      </c>
    </row>
    <row r="439" spans="2:9" x14ac:dyDescent="0.25">
      <c r="B439" s="26">
        <f t="shared" si="6"/>
        <v>436</v>
      </c>
      <c r="C439" s="27">
        <v>46174</v>
      </c>
      <c r="D439" s="28" t="s">
        <v>1358</v>
      </c>
      <c r="E439" s="29" t="str">
        <f>_xlfn.XLOOKUP(Table7[[#This Row],[Malın kodu]],Table4[Malın kodu],Table4[Malın adı],"Xəta",0)</f>
        <v>Filtr / yanacaq / "Delsa" / DE 1001F</v>
      </c>
      <c r="F439" s="26">
        <v>1</v>
      </c>
      <c r="G439" s="26"/>
      <c r="H439" s="26" t="s">
        <v>899</v>
      </c>
      <c r="I439" s="26" t="s">
        <v>1918</v>
      </c>
    </row>
    <row r="440" spans="2:9" ht="30" x14ac:dyDescent="0.25">
      <c r="B440" s="26">
        <f t="shared" si="6"/>
        <v>437</v>
      </c>
      <c r="C440" s="27">
        <v>46174</v>
      </c>
      <c r="D440" s="28" t="s">
        <v>1359</v>
      </c>
      <c r="E440" s="29" t="str">
        <f>_xlfn.XLOOKUP(Table7[[#This Row],[Malın kodu]],Table4[Malın kodu],Table4[Malın adı],"Xəta",0)</f>
        <v>Yağ / transmissiya / 80 W 90 / API GL-5 / 20Litr / "ALPINE" Almaniya istehsalı</v>
      </c>
      <c r="F440" s="26">
        <v>1</v>
      </c>
      <c r="G440" s="26"/>
      <c r="H440" s="26" t="s">
        <v>899</v>
      </c>
      <c r="I440" s="26" t="s">
        <v>1918</v>
      </c>
    </row>
    <row r="441" spans="2:9" x14ac:dyDescent="0.25">
      <c r="B441" s="26">
        <f t="shared" si="6"/>
        <v>438</v>
      </c>
      <c r="C441" s="27">
        <v>46174</v>
      </c>
      <c r="D441" s="28" t="s">
        <v>1360</v>
      </c>
      <c r="E441" s="29" t="str">
        <f>_xlfn.XLOOKUP(Table7[[#This Row],[Malın kodu]],Table4[Malın kodu],Table4[Malın adı],"Xəta",0)</f>
        <v>Jilet / fosforlu</v>
      </c>
      <c r="F441" s="26">
        <v>10</v>
      </c>
      <c r="G441" s="26"/>
      <c r="H441" s="26" t="s">
        <v>899</v>
      </c>
      <c r="I441" s="26" t="s">
        <v>1918</v>
      </c>
    </row>
    <row r="442" spans="2:9" x14ac:dyDescent="0.25">
      <c r="B442" s="26">
        <f t="shared" si="6"/>
        <v>439</v>
      </c>
      <c r="C442" s="27">
        <v>46174</v>
      </c>
      <c r="D442" s="28" t="s">
        <v>1361</v>
      </c>
      <c r="E442" s="29" t="str">
        <f>_xlfn.XLOOKUP(Table7[[#This Row],[Malın kodu]],Table4[Malın kodu],Table4[Malın adı],"Xəta",0)</f>
        <v>Lobzik / 3000 d/d / "Kad" / W650</v>
      </c>
      <c r="F442" s="26">
        <v>1</v>
      </c>
      <c r="G442" s="26"/>
      <c r="H442" s="26" t="s">
        <v>899</v>
      </c>
      <c r="I442" s="26" t="s">
        <v>1918</v>
      </c>
    </row>
    <row r="443" spans="2:9" x14ac:dyDescent="0.25">
      <c r="B443" s="26">
        <f t="shared" si="6"/>
        <v>440</v>
      </c>
      <c r="C443" s="27">
        <v>46174</v>
      </c>
      <c r="D443" s="28" t="s">
        <v>1362</v>
      </c>
      <c r="E443" s="29" t="str">
        <f>_xlfn.XLOOKUP(Table7[[#This Row],[Malın kodu]],Table4[Malın kodu],Table4[Malın adı],"Xəta",0)</f>
        <v>Hidravlik pompa / "Boring"</v>
      </c>
      <c r="F443" s="26">
        <v>1</v>
      </c>
      <c r="G443" s="26"/>
      <c r="H443" s="26" t="s">
        <v>899</v>
      </c>
      <c r="I443" s="26" t="s">
        <v>1918</v>
      </c>
    </row>
    <row r="444" spans="2:9" x14ac:dyDescent="0.25">
      <c r="B444" s="26">
        <f t="shared" si="6"/>
        <v>441</v>
      </c>
      <c r="C444" s="27">
        <v>46174</v>
      </c>
      <c r="D444" s="28" t="s">
        <v>1363</v>
      </c>
      <c r="E444" s="29" t="str">
        <f>_xlfn.XLOOKUP(Table7[[#This Row],[Malın kodu]],Table4[Malın kodu],Table4[Malın adı],"Xəta",0)</f>
        <v>Silikon / 250 ml</v>
      </c>
      <c r="F444" s="26">
        <v>2</v>
      </c>
      <c r="G444" s="26"/>
      <c r="H444" s="26" t="s">
        <v>899</v>
      </c>
      <c r="I444" s="26" t="s">
        <v>1918</v>
      </c>
    </row>
    <row r="445" spans="2:9" x14ac:dyDescent="0.25">
      <c r="B445" s="26">
        <f t="shared" si="6"/>
        <v>442</v>
      </c>
      <c r="C445" s="27">
        <v>46174</v>
      </c>
      <c r="D445" s="28" t="s">
        <v>1364</v>
      </c>
      <c r="E445" s="29" t="str">
        <f>_xlfn.XLOOKUP(Table7[[#This Row],[Malın kodu]],Table4[Malın kodu],Table4[Malın adı],"Xəta",0)</f>
        <v>Starter / avto</v>
      </c>
      <c r="F445" s="26">
        <v>1</v>
      </c>
      <c r="G445" s="26"/>
      <c r="H445" s="26" t="s">
        <v>899</v>
      </c>
      <c r="I445" s="26" t="s">
        <v>1918</v>
      </c>
    </row>
    <row r="446" spans="2:9" x14ac:dyDescent="0.25">
      <c r="B446" s="26">
        <f t="shared" si="6"/>
        <v>443</v>
      </c>
      <c r="C446" s="27">
        <v>46174</v>
      </c>
      <c r="D446" s="28" t="s">
        <v>1365</v>
      </c>
      <c r="E446" s="29" t="str">
        <f>_xlfn.XLOOKUP(Table7[[#This Row],[Malın kodu]],Table4[Malın kodu],Table4[Malın adı],"Xəta",0)</f>
        <v>Vibrator / beton üçün / portativ</v>
      </c>
      <c r="F446" s="26">
        <v>1</v>
      </c>
      <c r="G446" s="26"/>
      <c r="H446" s="26" t="s">
        <v>899</v>
      </c>
      <c r="I446" s="26" t="s">
        <v>1918</v>
      </c>
    </row>
    <row r="447" spans="2:9" x14ac:dyDescent="0.25">
      <c r="B447" s="26">
        <f t="shared" si="6"/>
        <v>444</v>
      </c>
      <c r="C447" s="27">
        <v>46174</v>
      </c>
      <c r="D447" s="28" t="s">
        <v>1366</v>
      </c>
      <c r="E447" s="29" t="str">
        <f>_xlfn.XLOOKUP(Table7[[#This Row],[Malın kodu]],Table4[Malın kodu],Table4[Malın adı],"Xəta",0)</f>
        <v>Karot ucu / d 75 mm x 110 mm / almaz</v>
      </c>
      <c r="F447" s="26">
        <v>2</v>
      </c>
      <c r="G447" s="26"/>
      <c r="H447" s="26" t="s">
        <v>899</v>
      </c>
      <c r="I447" s="26" t="s">
        <v>1918</v>
      </c>
    </row>
    <row r="448" spans="2:9" x14ac:dyDescent="0.25">
      <c r="B448" s="26">
        <f t="shared" si="6"/>
        <v>445</v>
      </c>
      <c r="C448" s="27">
        <v>46174</v>
      </c>
      <c r="D448" s="28" t="s">
        <v>1367</v>
      </c>
      <c r="E448" s="29" t="str">
        <f>_xlfn.XLOOKUP(Table7[[#This Row],[Malın kodu]],Table4[Malın kodu],Table4[Malın adı],"Xəta",0)</f>
        <v>Karot ucu / d 75 mm x 125 mm / almaz</v>
      </c>
      <c r="F448" s="26">
        <v>1</v>
      </c>
      <c r="G448" s="26"/>
      <c r="H448" s="26" t="s">
        <v>899</v>
      </c>
      <c r="I448" s="26" t="s">
        <v>1918</v>
      </c>
    </row>
    <row r="449" spans="2:9" x14ac:dyDescent="0.25">
      <c r="B449" s="26">
        <f t="shared" si="6"/>
        <v>446</v>
      </c>
      <c r="C449" s="27">
        <v>46174</v>
      </c>
      <c r="D449" s="28" t="s">
        <v>1368</v>
      </c>
      <c r="E449" s="29" t="str">
        <f>_xlfn.XLOOKUP(Table7[[#This Row],[Malın kodu]],Table4[Malın kodu],Table4[Malın adı],"Xəta",0)</f>
        <v>Karot ucu / d 90 mm x L 110 mm / almaz</v>
      </c>
      <c r="F449" s="26">
        <v>2</v>
      </c>
      <c r="G449" s="26"/>
      <c r="H449" s="26" t="s">
        <v>899</v>
      </c>
      <c r="I449" s="26" t="s">
        <v>1918</v>
      </c>
    </row>
    <row r="450" spans="2:9" ht="30" x14ac:dyDescent="0.25">
      <c r="B450" s="26">
        <f t="shared" si="6"/>
        <v>447</v>
      </c>
      <c r="C450" s="27">
        <v>46174</v>
      </c>
      <c r="D450" s="28" t="s">
        <v>1369</v>
      </c>
      <c r="E450" s="29" t="str">
        <f>_xlfn.XLOOKUP(Table7[[#This Row],[Malın kodu]],Table4[Malın kodu],Table4[Malın adı],"Xəta",0)</f>
        <v>Şlanq / hidravlik / 330 Bar / 3/8 inch / L 155 mm / "FORCESTREAM"</v>
      </c>
      <c r="F450" s="26">
        <v>3</v>
      </c>
      <c r="G450" s="26"/>
      <c r="H450" s="26" t="s">
        <v>899</v>
      </c>
      <c r="I450" s="26" t="s">
        <v>1918</v>
      </c>
    </row>
    <row r="451" spans="2:9" ht="30" x14ac:dyDescent="0.25">
      <c r="B451" s="26">
        <f t="shared" si="6"/>
        <v>448</v>
      </c>
      <c r="C451" s="27">
        <v>46174</v>
      </c>
      <c r="D451" s="28" t="s">
        <v>1370</v>
      </c>
      <c r="E451" s="29" t="str">
        <f>_xlfn.XLOOKUP(Table7[[#This Row],[Malın kodu]],Table4[Malın kodu],Table4[Malın adı],"Xəta",0)</f>
        <v>Şlanq / Hidravlik / 330 Bar / L 100 mm / 3/8 inch / "FORCESTREAM"</v>
      </c>
      <c r="F451" s="26">
        <v>2</v>
      </c>
      <c r="G451" s="26"/>
      <c r="H451" s="26" t="s">
        <v>899</v>
      </c>
      <c r="I451" s="26" t="s">
        <v>1918</v>
      </c>
    </row>
    <row r="452" spans="2:9" x14ac:dyDescent="0.25">
      <c r="B452" s="26">
        <f t="shared" ref="B452:B515" si="7">ROW()-3</f>
        <v>449</v>
      </c>
      <c r="C452" s="27">
        <v>46174</v>
      </c>
      <c r="D452" s="28" t="s">
        <v>1371</v>
      </c>
      <c r="E452" s="29" t="str">
        <f>_xlfn.XLOOKUP(Table7[[#This Row],[Malın kodu]],Table4[Malın kodu],Table4[Malın adı],"Xəta",0)</f>
        <v>Qaynaqçı dəbilgəsi</v>
      </c>
      <c r="F452" s="26">
        <v>2</v>
      </c>
      <c r="G452" s="26"/>
      <c r="H452" s="26" t="s">
        <v>899</v>
      </c>
      <c r="I452" s="26" t="s">
        <v>1918</v>
      </c>
    </row>
    <row r="453" spans="2:9" x14ac:dyDescent="0.25">
      <c r="B453" s="26">
        <f t="shared" si="7"/>
        <v>450</v>
      </c>
      <c r="C453" s="27">
        <v>46174</v>
      </c>
      <c r="D453" s="28" t="s">
        <v>1372</v>
      </c>
      <c r="E453" s="29" t="str">
        <f>_xlfn.XLOOKUP(Table7[[#This Row],[Malın kodu]],Table4[Malın kodu],Table4[Malın adı],"Xəta",0)</f>
        <v>Sipər çərçivəsi / şüşəsiz</v>
      </c>
      <c r="F453" s="26">
        <v>11</v>
      </c>
      <c r="G453" s="26"/>
      <c r="H453" s="26" t="s">
        <v>899</v>
      </c>
      <c r="I453" s="26" t="s">
        <v>1918</v>
      </c>
    </row>
    <row r="454" spans="2:9" x14ac:dyDescent="0.25">
      <c r="B454" s="26">
        <f t="shared" si="7"/>
        <v>451</v>
      </c>
      <c r="C454" s="27">
        <v>46174</v>
      </c>
      <c r="D454" s="28" t="s">
        <v>1373</v>
      </c>
      <c r="E454" s="29" t="str">
        <f>_xlfn.XLOOKUP(Table7[[#This Row],[Malın kodu]],Table4[Malın kodu],Table4[Malın adı],"Xəta",0)</f>
        <v>Su pompası / dalğıc / "SHIMGE" / 417 L/d</v>
      </c>
      <c r="F454" s="26">
        <v>1</v>
      </c>
      <c r="G454" s="26"/>
      <c r="H454" s="26" t="s">
        <v>899</v>
      </c>
      <c r="I454" s="26" t="s">
        <v>1918</v>
      </c>
    </row>
    <row r="455" spans="2:9" x14ac:dyDescent="0.25">
      <c r="B455" s="26">
        <f t="shared" si="7"/>
        <v>452</v>
      </c>
      <c r="C455" s="27">
        <v>46174</v>
      </c>
      <c r="D455" s="28" t="s">
        <v>1374</v>
      </c>
      <c r="E455" s="29" t="str">
        <f>_xlfn.XLOOKUP(Table7[[#This Row],[Malın kodu]],Table4[Malın kodu],Table4[Malın adı],"Xəta",0)</f>
        <v>Su pompası / dalğıc / 2.2 kvt / 14.5 metr / 400 L/d</v>
      </c>
      <c r="F455" s="26">
        <v>1</v>
      </c>
      <c r="G455" s="26"/>
      <c r="H455" s="26" t="s">
        <v>899</v>
      </c>
      <c r="I455" s="26" t="s">
        <v>1918</v>
      </c>
    </row>
    <row r="456" spans="2:9" x14ac:dyDescent="0.25">
      <c r="B456" s="26">
        <f t="shared" si="7"/>
        <v>453</v>
      </c>
      <c r="C456" s="27">
        <v>46174</v>
      </c>
      <c r="D456" s="28" t="s">
        <v>1375</v>
      </c>
      <c r="E456" s="29" t="str">
        <f>_xlfn.XLOOKUP(Table7[[#This Row],[Malın kodu]],Table4[Malın kodu],Table4[Malın adı],"Xəta",0)</f>
        <v>Qarmaq / 3 tonn</v>
      </c>
      <c r="F456" s="26">
        <v>1</v>
      </c>
      <c r="G456" s="26"/>
      <c r="H456" s="26" t="s">
        <v>899</v>
      </c>
      <c r="I456" s="26" t="s">
        <v>1918</v>
      </c>
    </row>
    <row r="457" spans="2:9" x14ac:dyDescent="0.25">
      <c r="B457" s="26">
        <f t="shared" si="7"/>
        <v>454</v>
      </c>
      <c r="C457" s="27">
        <v>46174</v>
      </c>
      <c r="D457" s="28" t="s">
        <v>1376</v>
      </c>
      <c r="E457" s="29" t="str">
        <f>_xlfn.XLOOKUP(Table7[[#This Row],[Malın kodu]],Table4[Malın kodu],Table4[Malın adı],"Xəta",0)</f>
        <v>Xomut / metal / torpaqlama üçün</v>
      </c>
      <c r="F457" s="26">
        <v>14</v>
      </c>
      <c r="G457" s="26"/>
      <c r="H457" s="26" t="s">
        <v>899</v>
      </c>
      <c r="I457" s="26" t="s">
        <v>1918</v>
      </c>
    </row>
    <row r="458" spans="2:9" x14ac:dyDescent="0.25">
      <c r="B458" s="26">
        <f t="shared" si="7"/>
        <v>455</v>
      </c>
      <c r="C458" s="27">
        <v>46174</v>
      </c>
      <c r="D458" s="28" t="s">
        <v>1377</v>
      </c>
      <c r="E458" s="29" t="str">
        <f>_xlfn.XLOOKUP(Table7[[#This Row],[Malın kodu]],Table4[Malın kodu],Table4[Malın adı],"Xəta",0)</f>
        <v>Pəstah / rezin</v>
      </c>
      <c r="F458" s="26">
        <v>12</v>
      </c>
      <c r="G458" s="26"/>
      <c r="H458" s="26" t="s">
        <v>899</v>
      </c>
      <c r="I458" s="26" t="s">
        <v>1918</v>
      </c>
    </row>
    <row r="459" spans="2:9" ht="30" x14ac:dyDescent="0.25">
      <c r="B459" s="26">
        <f t="shared" si="7"/>
        <v>456</v>
      </c>
      <c r="C459" s="27">
        <v>46174</v>
      </c>
      <c r="D459" s="28" t="s">
        <v>1378</v>
      </c>
      <c r="E459" s="29" t="str">
        <f>_xlfn.XLOOKUP(Table7[[#This Row],[Malın kodu]],Table4[Malın kodu],Table4[Malın adı],"Xəta",0)</f>
        <v>Qaynaq Aparatı / plastik boru üçün / 15 kvt / d 160-400 mm / "TURAN MAKINA"</v>
      </c>
      <c r="F459" s="26">
        <v>1</v>
      </c>
      <c r="G459" s="26"/>
      <c r="H459" s="26" t="s">
        <v>899</v>
      </c>
      <c r="I459" s="26" t="s">
        <v>1918</v>
      </c>
    </row>
    <row r="460" spans="2:9" ht="30" x14ac:dyDescent="0.25">
      <c r="B460" s="26">
        <f t="shared" si="7"/>
        <v>457</v>
      </c>
      <c r="C460" s="27">
        <v>46174</v>
      </c>
      <c r="D460" s="28" t="s">
        <v>1379</v>
      </c>
      <c r="E460" s="29" t="str">
        <f>_xlfn.XLOOKUP(Table7[[#This Row],[Malın kodu]],Table4[Malın kodu],Table4[Malın adı],"Xəta",0)</f>
        <v>Qaynaq aparatı / plastik boru üçün / 3 kvt / d 63-160 mm / "TURAN MAKINA"</v>
      </c>
      <c r="F460" s="26">
        <v>1</v>
      </c>
      <c r="G460" s="26"/>
      <c r="H460" s="26" t="s">
        <v>899</v>
      </c>
      <c r="I460" s="26" t="s">
        <v>1918</v>
      </c>
    </row>
    <row r="461" spans="2:9" ht="30" x14ac:dyDescent="0.25">
      <c r="B461" s="26">
        <f t="shared" si="7"/>
        <v>458</v>
      </c>
      <c r="C461" s="27">
        <v>46174</v>
      </c>
      <c r="D461" s="28" t="s">
        <v>1380</v>
      </c>
      <c r="E461" s="29" t="str">
        <f>_xlfn.XLOOKUP(Table7[[#This Row],[Malın kodu]],Table4[Malın kodu],Table4[Malın adı],"Xəta",0)</f>
        <v>Tezlik və gərginlik çeviricisi / "Wacker Neuson" / 2/042/200W / Almaniya istehsalı</v>
      </c>
      <c r="F461" s="26">
        <v>1</v>
      </c>
      <c r="G461" s="26"/>
      <c r="H461" s="26" t="s">
        <v>899</v>
      </c>
      <c r="I461" s="26" t="s">
        <v>1918</v>
      </c>
    </row>
    <row r="462" spans="2:9" x14ac:dyDescent="0.25">
      <c r="B462" s="26">
        <f t="shared" si="7"/>
        <v>459</v>
      </c>
      <c r="C462" s="27">
        <v>46174</v>
      </c>
      <c r="D462" s="28" t="s">
        <v>1381</v>
      </c>
      <c r="E462" s="29" t="str">
        <f>_xlfn.XLOOKUP(Table7[[#This Row],[Malın kodu]],Table4[Malın kodu],Table4[Malın adı],"Xəta",0)</f>
        <v>Nivelyator oxu / 4 ədədli</v>
      </c>
      <c r="F462" s="26">
        <v>2</v>
      </c>
      <c r="G462" s="26"/>
      <c r="H462" s="26" t="s">
        <v>899</v>
      </c>
      <c r="I462" s="26" t="s">
        <v>1918</v>
      </c>
    </row>
    <row r="463" spans="2:9" x14ac:dyDescent="0.25">
      <c r="B463" s="26">
        <f t="shared" si="7"/>
        <v>460</v>
      </c>
      <c r="C463" s="27">
        <v>46174</v>
      </c>
      <c r="D463" s="28" t="s">
        <v>1382</v>
      </c>
      <c r="E463" s="29" t="str">
        <f>_xlfn.XLOOKUP(Table7[[#This Row],[Malın kodu]],Table4[Malın kodu],Table4[Malın adı],"Xəta",0)</f>
        <v>Aragatı / rezin</v>
      </c>
      <c r="F463" s="26">
        <v>3.75</v>
      </c>
      <c r="G463" s="26"/>
      <c r="H463" s="26" t="s">
        <v>899</v>
      </c>
      <c r="I463" s="26" t="s">
        <v>1918</v>
      </c>
    </row>
    <row r="464" spans="2:9" x14ac:dyDescent="0.25">
      <c r="B464" s="26">
        <f t="shared" si="7"/>
        <v>461</v>
      </c>
      <c r="C464" s="27">
        <v>46174</v>
      </c>
      <c r="D464" s="28" t="s">
        <v>1383</v>
      </c>
      <c r="E464" s="29" t="str">
        <f>_xlfn.XLOOKUP(Table7[[#This Row],[Malın kodu]],Table4[Malın kodu],Table4[Malın adı],"Xəta",0)</f>
        <v>Starter / 30107817231</v>
      </c>
      <c r="F464" s="26">
        <v>1</v>
      </c>
      <c r="G464" s="26"/>
      <c r="H464" s="26" t="s">
        <v>899</v>
      </c>
      <c r="I464" s="26" t="s">
        <v>1918</v>
      </c>
    </row>
    <row r="465" spans="2:9" x14ac:dyDescent="0.25">
      <c r="B465" s="26">
        <f t="shared" si="7"/>
        <v>462</v>
      </c>
      <c r="C465" s="27">
        <v>46174</v>
      </c>
      <c r="D465" s="28" t="s">
        <v>1384</v>
      </c>
      <c r="E465" s="29" t="str">
        <f>_xlfn.XLOOKUP(Table7[[#This Row],[Malın kodu]],Table4[Malın kodu],Table4[Malın adı],"Xəta",0)</f>
        <v>Starter / "Denso" / YM 119717-77010 / Yaponiya istehsalı</v>
      </c>
      <c r="F465" s="26">
        <v>1</v>
      </c>
      <c r="G465" s="26"/>
      <c r="H465" s="26" t="s">
        <v>899</v>
      </c>
      <c r="I465" s="26" t="s">
        <v>1918</v>
      </c>
    </row>
    <row r="466" spans="2:9" x14ac:dyDescent="0.25">
      <c r="B466" s="26">
        <f t="shared" si="7"/>
        <v>463</v>
      </c>
      <c r="C466" s="27">
        <v>46174</v>
      </c>
      <c r="D466" s="28" t="s">
        <v>1385</v>
      </c>
      <c r="E466" s="29" t="str">
        <f>_xlfn.XLOOKUP(Table7[[#This Row],[Malın kodu]],Table4[Malın kodu],Table4[Malın adı],"Xəta",0)</f>
        <v>Bolt / ikitərəfli qaykalı / M18 L 200 mm</v>
      </c>
      <c r="F466" s="26">
        <v>8</v>
      </c>
      <c r="G466" s="26"/>
      <c r="H466" s="26" t="s">
        <v>899</v>
      </c>
      <c r="I466" s="26" t="s">
        <v>1918</v>
      </c>
    </row>
    <row r="467" spans="2:9" x14ac:dyDescent="0.25">
      <c r="B467" s="26">
        <f t="shared" si="7"/>
        <v>464</v>
      </c>
      <c r="C467" s="27">
        <v>46174</v>
      </c>
      <c r="D467" s="28" t="s">
        <v>1386</v>
      </c>
      <c r="E467" s="29" t="str">
        <f>_xlfn.XLOOKUP(Table7[[#This Row],[Malın kodu]],Table4[Malın kodu],Table4[Malın adı],"Xəta",0)</f>
        <v>Respirator / 2 kartric ilə</v>
      </c>
      <c r="F467" s="26">
        <v>2</v>
      </c>
      <c r="G467" s="26"/>
      <c r="H467" s="26" t="s">
        <v>899</v>
      </c>
      <c r="I467" s="26" t="s">
        <v>1918</v>
      </c>
    </row>
    <row r="468" spans="2:9" x14ac:dyDescent="0.25">
      <c r="B468" s="26">
        <f t="shared" si="7"/>
        <v>465</v>
      </c>
      <c r="C468" s="27">
        <v>46174</v>
      </c>
      <c r="D468" s="28" t="s">
        <v>1387</v>
      </c>
      <c r="E468" s="29" t="str">
        <f>_xlfn.XLOOKUP(Table7[[#This Row],[Malın kodu]],Table4[Malın kodu],Table4[Malın adı],"Xəta",0)</f>
        <v>Pika / 14 x 250 mm / perforator üçün</v>
      </c>
      <c r="F468" s="26">
        <v>1</v>
      </c>
      <c r="G468" s="26"/>
      <c r="H468" s="26" t="s">
        <v>899</v>
      </c>
      <c r="I468" s="26" t="s">
        <v>1918</v>
      </c>
    </row>
    <row r="469" spans="2:9" x14ac:dyDescent="0.25">
      <c r="B469" s="26">
        <f t="shared" si="7"/>
        <v>466</v>
      </c>
      <c r="C469" s="27">
        <v>46174</v>
      </c>
      <c r="D469" s="28" t="s">
        <v>1388</v>
      </c>
      <c r="E469" s="29" t="str">
        <f>_xlfn.XLOOKUP(Table7[[#This Row],[Malın kodu]],Table4[Malın kodu],Table4[Malın adı],"Xəta",0)</f>
        <v>Köynək / cibli / qəlibçi üçün</v>
      </c>
      <c r="F469" s="26">
        <v>3</v>
      </c>
      <c r="G469" s="26"/>
      <c r="H469" s="26" t="s">
        <v>899</v>
      </c>
      <c r="I469" s="26" t="s">
        <v>1918</v>
      </c>
    </row>
    <row r="470" spans="2:9" x14ac:dyDescent="0.25">
      <c r="B470" s="26">
        <f t="shared" si="7"/>
        <v>467</v>
      </c>
      <c r="C470" s="27">
        <v>46174</v>
      </c>
      <c r="D470" s="28" t="s">
        <v>1389</v>
      </c>
      <c r="E470" s="29" t="str">
        <f>_xlfn.XLOOKUP(Table7[[#This Row],[Malın kodu]],Table4[Malın kodu],Table4[Malın adı],"Xəta",0)</f>
        <v>Şalvar / qaynaqçı üçün</v>
      </c>
      <c r="F470" s="26">
        <v>2</v>
      </c>
      <c r="G470" s="26"/>
      <c r="H470" s="26" t="s">
        <v>899</v>
      </c>
      <c r="I470" s="26" t="s">
        <v>1918</v>
      </c>
    </row>
    <row r="471" spans="2:9" x14ac:dyDescent="0.25">
      <c r="B471" s="26">
        <f t="shared" si="7"/>
        <v>468</v>
      </c>
      <c r="C471" s="27">
        <v>46174</v>
      </c>
      <c r="D471" s="28" t="s">
        <v>1390</v>
      </c>
      <c r="E471" s="29" t="str">
        <f>_xlfn.XLOOKUP(Table7[[#This Row],[Malın kodu]],Table4[Malın kodu],Table4[Malın adı],"Xəta",0)</f>
        <v>Bolt-qayka / M20 / L 200 mm</v>
      </c>
      <c r="F471" s="26">
        <v>25</v>
      </c>
      <c r="G471" s="26"/>
      <c r="H471" s="26" t="s">
        <v>899</v>
      </c>
      <c r="I471" s="26" t="s">
        <v>1918</v>
      </c>
    </row>
    <row r="472" spans="2:9" x14ac:dyDescent="0.25">
      <c r="B472" s="26">
        <f t="shared" si="7"/>
        <v>469</v>
      </c>
      <c r="C472" s="27">
        <v>46174</v>
      </c>
      <c r="D472" s="28" t="s">
        <v>1391</v>
      </c>
      <c r="E472" s="29" t="str">
        <f>_xlfn.XLOOKUP(Table7[[#This Row],[Malın kodu]],Table4[Malın kodu],Table4[Malın adı],"Xəta",0)</f>
        <v>Sırğa / 6 tonn</v>
      </c>
      <c r="F472" s="26">
        <v>1</v>
      </c>
      <c r="G472" s="26"/>
      <c r="H472" s="26" t="s">
        <v>899</v>
      </c>
      <c r="I472" s="26" t="s">
        <v>1918</v>
      </c>
    </row>
    <row r="473" spans="2:9" x14ac:dyDescent="0.25">
      <c r="B473" s="26">
        <f t="shared" si="7"/>
        <v>470</v>
      </c>
      <c r="C473" s="27">
        <v>46174</v>
      </c>
      <c r="D473" s="28" t="s">
        <v>1392</v>
      </c>
      <c r="E473" s="29" t="str">
        <f>_xlfn.XLOOKUP(Table7[[#This Row],[Malın kodu]],Table4[Malın kodu],Table4[Malın adı],"Xəta",0)</f>
        <v>Boya / alüminium / 350° dözümlü / 0.85 Litr</v>
      </c>
      <c r="F473" s="26">
        <v>2</v>
      </c>
      <c r="G473" s="26"/>
      <c r="H473" s="26" t="s">
        <v>899</v>
      </c>
      <c r="I473" s="26" t="s">
        <v>1918</v>
      </c>
    </row>
    <row r="474" spans="2:9" x14ac:dyDescent="0.25">
      <c r="B474" s="26">
        <f t="shared" si="7"/>
        <v>471</v>
      </c>
      <c r="C474" s="27">
        <v>46174</v>
      </c>
      <c r="D474" s="28" t="s">
        <v>1393</v>
      </c>
      <c r="E474" s="29" t="str">
        <f>_xlfn.XLOOKUP(Table7[[#This Row],[Malın kodu]],Table4[Malın kodu],Table4[Malın adı],"Xəta",0)</f>
        <v>Sürtkü yağı / kauçuklu / KG-3 / "Greson"</v>
      </c>
      <c r="F474" s="26">
        <v>4</v>
      </c>
      <c r="G474" s="26"/>
      <c r="H474" s="26" t="s">
        <v>899</v>
      </c>
      <c r="I474" s="26" t="s">
        <v>1918</v>
      </c>
    </row>
    <row r="475" spans="2:9" x14ac:dyDescent="0.25">
      <c r="B475" s="26">
        <f t="shared" si="7"/>
        <v>472</v>
      </c>
      <c r="C475" s="27">
        <v>46174</v>
      </c>
      <c r="D475" s="28" t="s">
        <v>1394</v>
      </c>
      <c r="E475" s="29" t="str">
        <f>_xlfn.XLOOKUP(Table7[[#This Row],[Malın kodu]],Table4[Malın kodu],Table4[Malın adı],"Xəta",0)</f>
        <v>Tiner</v>
      </c>
      <c r="F475" s="26">
        <v>2</v>
      </c>
      <c r="G475" s="26"/>
      <c r="H475" s="26" t="s">
        <v>899</v>
      </c>
      <c r="I475" s="26" t="s">
        <v>1918</v>
      </c>
    </row>
    <row r="476" spans="2:9" x14ac:dyDescent="0.25">
      <c r="B476" s="26">
        <f t="shared" si="7"/>
        <v>473</v>
      </c>
      <c r="C476" s="27">
        <v>46174</v>
      </c>
      <c r="D476" s="28" t="s">
        <v>1395</v>
      </c>
      <c r="E476" s="29" t="str">
        <f>_xlfn.XLOOKUP(Table7[[#This Row],[Malın kodu]],Table4[Malın kodu],Table4[Malın adı],"Xəta",0)</f>
        <v>Boya / fasad / akril / "Expert" / 15 litr</v>
      </c>
      <c r="F476" s="26">
        <v>1</v>
      </c>
      <c r="G476" s="26"/>
      <c r="H476" s="26" t="s">
        <v>899</v>
      </c>
      <c r="I476" s="26" t="s">
        <v>1918</v>
      </c>
    </row>
    <row r="477" spans="2:9" x14ac:dyDescent="0.25">
      <c r="B477" s="26">
        <f t="shared" si="7"/>
        <v>474</v>
      </c>
      <c r="C477" s="27">
        <v>46174</v>
      </c>
      <c r="D477" s="28" t="s">
        <v>1396</v>
      </c>
      <c r="E477" s="29" t="str">
        <f>_xlfn.XLOOKUP(Table7[[#This Row],[Malın kodu]],Table4[Malın kodu],Table4[Malın adı],"Xəta",0)</f>
        <v>Yapışdırıcı / divar kağızı üçün / 150 gr</v>
      </c>
      <c r="F477" s="26">
        <v>1</v>
      </c>
      <c r="G477" s="26"/>
      <c r="H477" s="26" t="s">
        <v>899</v>
      </c>
      <c r="I477" s="26" t="s">
        <v>1918</v>
      </c>
    </row>
    <row r="478" spans="2:9" x14ac:dyDescent="0.25">
      <c r="B478" s="26">
        <f t="shared" si="7"/>
        <v>475</v>
      </c>
      <c r="C478" s="27">
        <v>46174</v>
      </c>
      <c r="D478" s="28" t="s">
        <v>1397</v>
      </c>
      <c r="E478" s="29" t="str">
        <f>_xlfn.XLOOKUP(Table7[[#This Row],[Malın kodu]],Table4[Malın kodu],Table4[Malın adı],"Xəta",0)</f>
        <v>Çıkic / sapı ilə/ 500 gr</v>
      </c>
      <c r="F478" s="26">
        <v>1</v>
      </c>
      <c r="G478" s="26"/>
      <c r="H478" s="26" t="s">
        <v>899</v>
      </c>
      <c r="I478" s="26" t="s">
        <v>1918</v>
      </c>
    </row>
    <row r="479" spans="2:9" x14ac:dyDescent="0.25">
      <c r="B479" s="26">
        <f t="shared" si="7"/>
        <v>476</v>
      </c>
      <c r="C479" s="27">
        <v>46174</v>
      </c>
      <c r="D479" s="28" t="s">
        <v>1398</v>
      </c>
      <c r="E479" s="29" t="str">
        <f>_xlfn.XLOOKUP(Table7[[#This Row],[Malın kodu]],Table4[Malın kodu],Table4[Malın adı],"Xəta",0)</f>
        <v>Pika / L 250</v>
      </c>
      <c r="F479" s="26">
        <v>1</v>
      </c>
      <c r="G479" s="26"/>
      <c r="H479" s="26" t="s">
        <v>899</v>
      </c>
      <c r="I479" s="26" t="s">
        <v>1918</v>
      </c>
    </row>
    <row r="480" spans="2:9" x14ac:dyDescent="0.25">
      <c r="B480" s="26">
        <f t="shared" si="7"/>
        <v>477</v>
      </c>
      <c r="C480" s="27">
        <v>46174</v>
      </c>
      <c r="D480" s="28" t="s">
        <v>1399</v>
      </c>
      <c r="E480" s="29" t="str">
        <f>_xlfn.XLOOKUP(Table7[[#This Row],[Malın kodu]],Table4[Malın kodu],Table4[Malın adı],"Xəta",0)</f>
        <v>Dişli qayıs / 9.5 x 1150 mm</v>
      </c>
      <c r="F480" s="26">
        <v>1</v>
      </c>
      <c r="G480" s="26"/>
      <c r="H480" s="26" t="s">
        <v>899</v>
      </c>
      <c r="I480" s="26" t="s">
        <v>1918</v>
      </c>
    </row>
    <row r="481" spans="2:9" x14ac:dyDescent="0.25">
      <c r="B481" s="26">
        <f t="shared" si="7"/>
        <v>478</v>
      </c>
      <c r="C481" s="27">
        <v>46174</v>
      </c>
      <c r="D481" s="28" t="s">
        <v>1400</v>
      </c>
      <c r="E481" s="29" t="str">
        <f>_xlfn.XLOOKUP(Table7[[#This Row],[Malın kodu]],Table4[Malın kodu],Table4[Malın adı],"Xəta",0)</f>
        <v>Dişli qayış / 13A1200C / "Dayco"</v>
      </c>
      <c r="F481" s="26">
        <v>2</v>
      </c>
      <c r="G481" s="26"/>
      <c r="H481" s="26" t="s">
        <v>899</v>
      </c>
      <c r="I481" s="26" t="s">
        <v>1918</v>
      </c>
    </row>
    <row r="482" spans="2:9" x14ac:dyDescent="0.25">
      <c r="B482" s="26">
        <f t="shared" si="7"/>
        <v>479</v>
      </c>
      <c r="C482" s="27">
        <v>46174</v>
      </c>
      <c r="D482" s="28" t="s">
        <v>1401</v>
      </c>
      <c r="E482" s="29" t="str">
        <f>_xlfn.XLOOKUP(Table7[[#This Row],[Malın kodu]],Table4[Malın kodu],Table4[Malın adı],"Xəta",0)</f>
        <v>Qayış / A71 / "Dongil"</v>
      </c>
      <c r="F482" s="26">
        <v>3</v>
      </c>
      <c r="G482" s="26"/>
      <c r="H482" s="26" t="s">
        <v>899</v>
      </c>
      <c r="I482" s="26" t="s">
        <v>1918</v>
      </c>
    </row>
    <row r="483" spans="2:9" x14ac:dyDescent="0.25">
      <c r="B483" s="26">
        <f t="shared" si="7"/>
        <v>480</v>
      </c>
      <c r="C483" s="27">
        <v>46174</v>
      </c>
      <c r="D483" s="28" t="s">
        <v>1402</v>
      </c>
      <c r="E483" s="29" t="str">
        <f>_xlfn.XLOOKUP(Table7[[#This Row],[Malın kodu]],Table4[Malın kodu],Table4[Malın adı],"Xəta",0)</f>
        <v>Elektrik lövhəsi / 300 x 400 x 165 mm</v>
      </c>
      <c r="F483" s="26">
        <v>2</v>
      </c>
      <c r="G483" s="26"/>
      <c r="H483" s="26" t="s">
        <v>899</v>
      </c>
      <c r="I483" s="26" t="s">
        <v>1918</v>
      </c>
    </row>
    <row r="484" spans="2:9" x14ac:dyDescent="0.25">
      <c r="B484" s="26">
        <f t="shared" si="7"/>
        <v>481</v>
      </c>
      <c r="C484" s="27">
        <v>46174</v>
      </c>
      <c r="D484" s="28" t="s">
        <v>1403</v>
      </c>
      <c r="E484" s="29" t="str">
        <f>_xlfn.XLOOKUP(Table7[[#This Row],[Malın kodu]],Table4[Malın kodu],Table4[Malın adı],"Xəta",0)</f>
        <v>Elektrik lövhəsi / 400 x 500 x 170 mm</v>
      </c>
      <c r="F484" s="26">
        <v>1</v>
      </c>
      <c r="G484" s="26"/>
      <c r="H484" s="26" t="s">
        <v>899</v>
      </c>
      <c r="I484" s="26" t="s">
        <v>1918</v>
      </c>
    </row>
    <row r="485" spans="2:9" x14ac:dyDescent="0.25">
      <c r="B485" s="26">
        <f t="shared" si="7"/>
        <v>482</v>
      </c>
      <c r="C485" s="27">
        <v>46174</v>
      </c>
      <c r="D485" s="28" t="s">
        <v>1404</v>
      </c>
      <c r="E485" s="29" t="str">
        <f>_xlfn.XLOOKUP(Table7[[#This Row],[Malın kodu]],Table4[Malın kodu],Table4[Malın adı],"Xəta",0)</f>
        <v>Səviyyəölçən / ultrasəs / "ATEK" / Türkiyə istehsalı</v>
      </c>
      <c r="F485" s="26">
        <v>1</v>
      </c>
      <c r="G485" s="26"/>
      <c r="H485" s="26" t="s">
        <v>899</v>
      </c>
      <c r="I485" s="26" t="s">
        <v>1918</v>
      </c>
    </row>
    <row r="486" spans="2:9" x14ac:dyDescent="0.25">
      <c r="B486" s="26">
        <f t="shared" si="7"/>
        <v>483</v>
      </c>
      <c r="C486" s="27">
        <v>46174</v>
      </c>
      <c r="D486" s="28" t="s">
        <v>1405</v>
      </c>
      <c r="E486" s="29" t="str">
        <f>_xlfn.XLOOKUP(Table7[[#This Row],[Malın kodu]],Table4[Malın kodu],Table4[Malın adı],"Xəta",0)</f>
        <v>Dişli qayış / 12.5 x 950 mm</v>
      </c>
      <c r="F486" s="26">
        <v>1</v>
      </c>
      <c r="G486" s="26"/>
      <c r="H486" s="26" t="s">
        <v>899</v>
      </c>
      <c r="I486" s="26" t="s">
        <v>1918</v>
      </c>
    </row>
    <row r="487" spans="2:9" x14ac:dyDescent="0.25">
      <c r="B487" s="26">
        <f t="shared" si="7"/>
        <v>484</v>
      </c>
      <c r="C487" s="27">
        <v>46174</v>
      </c>
      <c r="D487" s="28" t="s">
        <v>1406</v>
      </c>
      <c r="E487" s="29" t="str">
        <f>_xlfn.XLOOKUP(Table7[[#This Row],[Malın kodu]],Table4[Malın kodu],Table4[Malın adı],"Xəta",0)</f>
        <v>Qayış / 9.5 x 750 mm</v>
      </c>
      <c r="F487" s="26">
        <v>1</v>
      </c>
      <c r="G487" s="26"/>
      <c r="H487" s="26" t="s">
        <v>899</v>
      </c>
      <c r="I487" s="26" t="s">
        <v>1918</v>
      </c>
    </row>
    <row r="488" spans="2:9" x14ac:dyDescent="0.25">
      <c r="B488" s="26">
        <f t="shared" si="7"/>
        <v>485</v>
      </c>
      <c r="C488" s="27">
        <v>46174</v>
      </c>
      <c r="D488" s="28" t="s">
        <v>1407</v>
      </c>
      <c r="E488" s="29" t="str">
        <f>_xlfn.XLOOKUP(Table7[[#This Row],[Malın kodu]],Table4[Malın kodu],Table4[Malın adı],"Xəta",0)</f>
        <v>Qayış / 17 x 1100 mm</v>
      </c>
      <c r="F488" s="26">
        <v>2</v>
      </c>
      <c r="G488" s="26"/>
      <c r="H488" s="26" t="s">
        <v>899</v>
      </c>
      <c r="I488" s="26" t="s">
        <v>1918</v>
      </c>
    </row>
    <row r="489" spans="2:9" x14ac:dyDescent="0.25">
      <c r="B489" s="26">
        <f t="shared" si="7"/>
        <v>486</v>
      </c>
      <c r="C489" s="27">
        <v>46174</v>
      </c>
      <c r="D489" s="28" t="s">
        <v>1408</v>
      </c>
      <c r="E489" s="29" t="str">
        <f>_xlfn.XLOOKUP(Table7[[#This Row],[Malın kodu]],Table4[Malın kodu],Table4[Malın adı],"Xəta",0)</f>
        <v>Dişli qayış / 9.5 x 1200 mm</v>
      </c>
      <c r="F489" s="26">
        <v>1</v>
      </c>
      <c r="G489" s="26"/>
      <c r="H489" s="26" t="s">
        <v>899</v>
      </c>
      <c r="I489" s="26" t="s">
        <v>1918</v>
      </c>
    </row>
    <row r="490" spans="2:9" x14ac:dyDescent="0.25">
      <c r="B490" s="26">
        <f t="shared" si="7"/>
        <v>487</v>
      </c>
      <c r="C490" s="27">
        <v>46174</v>
      </c>
      <c r="D490" s="28" t="s">
        <v>1409</v>
      </c>
      <c r="E490" s="29" t="str">
        <f>_xlfn.XLOOKUP(Table7[[#This Row],[Malın kodu]],Table4[Malın kodu],Table4[Malın adı],"Xəta",0)</f>
        <v>Dişli qayış / 154 x 25.4 mm</v>
      </c>
      <c r="F490" s="26">
        <v>1</v>
      </c>
      <c r="G490" s="26"/>
      <c r="H490" s="26" t="s">
        <v>899</v>
      </c>
      <c r="I490" s="26" t="s">
        <v>1918</v>
      </c>
    </row>
    <row r="491" spans="2:9" x14ac:dyDescent="0.25">
      <c r="B491" s="26">
        <f t="shared" si="7"/>
        <v>488</v>
      </c>
      <c r="C491" s="27">
        <v>46174</v>
      </c>
      <c r="D491" s="28" t="s">
        <v>1410</v>
      </c>
      <c r="E491" s="29" t="str">
        <f>_xlfn.XLOOKUP(Table7[[#This Row],[Malın kodu]],Table4[Malın kodu],Table4[Malın adı],"Xəta",0)</f>
        <v>Kondisioner / split / mühərriksiz / "AUX"</v>
      </c>
      <c r="F491" s="26">
        <v>1</v>
      </c>
      <c r="G491" s="26"/>
      <c r="H491" s="26" t="s">
        <v>899</v>
      </c>
      <c r="I491" s="26" t="s">
        <v>1918</v>
      </c>
    </row>
    <row r="492" spans="2:9" x14ac:dyDescent="0.25">
      <c r="B492" s="26">
        <f t="shared" si="7"/>
        <v>489</v>
      </c>
      <c r="C492" s="27">
        <v>46174</v>
      </c>
      <c r="D492" s="28" t="s">
        <v>1411</v>
      </c>
      <c r="E492" s="29" t="str">
        <f>_xlfn.XLOOKUP(Table7[[#This Row],[Malın kodu]],Table4[Malın kodu],Table4[Malın adı],"Xəta",0)</f>
        <v>Disk / kəsici / laqonda üçün / d 180 mm</v>
      </c>
      <c r="F492" s="26">
        <v>2</v>
      </c>
      <c r="G492" s="26"/>
      <c r="H492" s="26" t="s">
        <v>899</v>
      </c>
      <c r="I492" s="26" t="s">
        <v>1918</v>
      </c>
    </row>
    <row r="493" spans="2:9" x14ac:dyDescent="0.25">
      <c r="B493" s="26">
        <f t="shared" si="7"/>
        <v>490</v>
      </c>
      <c r="C493" s="27">
        <v>46174</v>
      </c>
      <c r="D493" s="28" t="s">
        <v>1412</v>
      </c>
      <c r="E493" s="29" t="str">
        <f>_xlfn.XLOOKUP(Table7[[#This Row],[Malın kodu]],Table4[Malın kodu],Table4[Malın adı],"Xəta",0)</f>
        <v>Diyircəkli yastıq / 4T-HM 89410 / "NTN" / Yaponiya istehsalı</v>
      </c>
      <c r="F493" s="26">
        <v>1</v>
      </c>
      <c r="G493" s="26"/>
      <c r="H493" s="26" t="s">
        <v>899</v>
      </c>
      <c r="I493" s="26" t="s">
        <v>1918</v>
      </c>
    </row>
    <row r="494" spans="2:9" x14ac:dyDescent="0.25">
      <c r="B494" s="26">
        <f t="shared" si="7"/>
        <v>491</v>
      </c>
      <c r="C494" s="27">
        <v>46174</v>
      </c>
      <c r="D494" s="28" t="s">
        <v>1413</v>
      </c>
      <c r="E494" s="29" t="str">
        <f>_xlfn.XLOOKUP(Table7[[#This Row],[Malın kodu]],Table4[Malın kodu],Table4[Malın adı],"Xəta",0)</f>
        <v>Qayka / M20</v>
      </c>
      <c r="F494" s="26">
        <v>29</v>
      </c>
      <c r="G494" s="26"/>
      <c r="H494" s="26" t="s">
        <v>899</v>
      </c>
      <c r="I494" s="26" t="s">
        <v>1918</v>
      </c>
    </row>
    <row r="495" spans="2:9" x14ac:dyDescent="0.25">
      <c r="B495" s="26">
        <f t="shared" si="7"/>
        <v>492</v>
      </c>
      <c r="C495" s="27">
        <v>46174</v>
      </c>
      <c r="D495" s="28" t="s">
        <v>1414</v>
      </c>
      <c r="E495" s="29" t="str">
        <f>_xlfn.XLOOKUP(Table7[[#This Row],[Malın kodu]],Table4[Malın kodu],Table4[Malın adı],"Xəta",0)</f>
        <v>Təzyiq klapanı / boyler üçün</v>
      </c>
      <c r="F495" s="26">
        <v>1</v>
      </c>
      <c r="G495" s="26"/>
      <c r="H495" s="26" t="s">
        <v>899</v>
      </c>
      <c r="I495" s="26" t="s">
        <v>1918</v>
      </c>
    </row>
    <row r="496" spans="2:9" x14ac:dyDescent="0.25">
      <c r="B496" s="26">
        <f t="shared" si="7"/>
        <v>493</v>
      </c>
      <c r="C496" s="27">
        <v>46174</v>
      </c>
      <c r="D496" s="28" t="s">
        <v>1415</v>
      </c>
      <c r="E496" s="29" t="str">
        <f>_xlfn.XLOOKUP(Table7[[#This Row],[Malın kodu]],Table4[Malın kodu],Table4[Malın adı],"Xəta",0)</f>
        <v>Keçid / d 15 x 25 mm / metal</v>
      </c>
      <c r="F496" s="26">
        <v>1</v>
      </c>
      <c r="G496" s="26"/>
      <c r="H496" s="26" t="s">
        <v>899</v>
      </c>
      <c r="I496" s="26" t="s">
        <v>1918</v>
      </c>
    </row>
    <row r="497" spans="2:9" x14ac:dyDescent="0.25">
      <c r="B497" s="26">
        <f t="shared" si="7"/>
        <v>494</v>
      </c>
      <c r="C497" s="27">
        <v>46174</v>
      </c>
      <c r="D497" s="28" t="s">
        <v>1416</v>
      </c>
      <c r="E497" s="29" t="str">
        <f>_xlfn.XLOOKUP(Table7[[#This Row],[Malın kodu]],Table4[Malın kodu],Table4[Malın adı],"Xəta",0)</f>
        <v>Aragatı / paronit / d 110 mm</v>
      </c>
      <c r="F497" s="26">
        <v>6</v>
      </c>
      <c r="G497" s="26"/>
      <c r="H497" s="26" t="s">
        <v>899</v>
      </c>
      <c r="I497" s="26" t="s">
        <v>1918</v>
      </c>
    </row>
    <row r="498" spans="2:9" x14ac:dyDescent="0.25">
      <c r="B498" s="26">
        <f t="shared" si="7"/>
        <v>495</v>
      </c>
      <c r="C498" s="27">
        <v>46174</v>
      </c>
      <c r="D498" s="28" t="s">
        <v>1417</v>
      </c>
      <c r="E498" s="29" t="str">
        <f>_xlfn.XLOOKUP(Table7[[#This Row],[Malın kodu]],Table4[Malın kodu],Table4[Malın adı],"Xəta",0)</f>
        <v>Aragatı / paronit / d 150 mm</v>
      </c>
      <c r="F498" s="26">
        <v>22</v>
      </c>
      <c r="G498" s="26"/>
      <c r="H498" s="26" t="s">
        <v>899</v>
      </c>
      <c r="I498" s="26" t="s">
        <v>1918</v>
      </c>
    </row>
    <row r="499" spans="2:9" x14ac:dyDescent="0.25">
      <c r="B499" s="26">
        <f t="shared" si="7"/>
        <v>496</v>
      </c>
      <c r="C499" s="27">
        <v>46174</v>
      </c>
      <c r="D499" s="28" t="s">
        <v>1418</v>
      </c>
      <c r="E499" s="29" t="str">
        <f>_xlfn.XLOOKUP(Table7[[#This Row],[Malın kodu]],Table4[Malın kodu],Table4[Malın adı],"Xəta",0)</f>
        <v>Aragatı / metal / d 150 mm</v>
      </c>
      <c r="F499" s="26">
        <v>4</v>
      </c>
      <c r="G499" s="26"/>
      <c r="H499" s="26" t="s">
        <v>899</v>
      </c>
      <c r="I499" s="26" t="s">
        <v>1918</v>
      </c>
    </row>
    <row r="500" spans="2:9" x14ac:dyDescent="0.25">
      <c r="B500" s="26">
        <f t="shared" si="7"/>
        <v>497</v>
      </c>
      <c r="C500" s="27">
        <v>46174</v>
      </c>
      <c r="D500" s="28" t="s">
        <v>1419</v>
      </c>
      <c r="E500" s="29" t="str">
        <f>_xlfn.XLOOKUP(Table7[[#This Row],[Malın kodu]],Table4[Malın kodu],Table4[Malın adı],"Xəta",0)</f>
        <v>Aragatı / paronit / d 50 mm</v>
      </c>
      <c r="F500" s="26">
        <v>9</v>
      </c>
      <c r="G500" s="26"/>
      <c r="H500" s="26" t="s">
        <v>899</v>
      </c>
      <c r="I500" s="26" t="s">
        <v>1918</v>
      </c>
    </row>
    <row r="501" spans="2:9" x14ac:dyDescent="0.25">
      <c r="B501" s="26">
        <f t="shared" si="7"/>
        <v>498</v>
      </c>
      <c r="C501" s="27">
        <v>46174</v>
      </c>
      <c r="D501" s="28" t="s">
        <v>1420</v>
      </c>
      <c r="E501" s="29" t="str">
        <f>_xlfn.XLOOKUP(Table7[[#This Row],[Malın kodu]],Table4[Malın kodu],Table4[Malın adı],"Xəta",0)</f>
        <v>Aragatı / paronit / d 80 mm</v>
      </c>
      <c r="F501" s="26">
        <v>1</v>
      </c>
      <c r="G501" s="26"/>
      <c r="H501" s="26" t="s">
        <v>899</v>
      </c>
      <c r="I501" s="26" t="s">
        <v>1918</v>
      </c>
    </row>
    <row r="502" spans="2:9" x14ac:dyDescent="0.25">
      <c r="B502" s="26">
        <f t="shared" si="7"/>
        <v>499</v>
      </c>
      <c r="C502" s="27">
        <v>46174</v>
      </c>
      <c r="D502" s="28" t="s">
        <v>1421</v>
      </c>
      <c r="E502" s="29" t="str">
        <f>_xlfn.XLOOKUP(Table7[[#This Row],[Malın kodu]],Table4[Malın kodu],Table4[Malın adı],"Xəta",0)</f>
        <v>Aragatı / paronit / d 500 mm</v>
      </c>
      <c r="F502" s="26">
        <v>2</v>
      </c>
      <c r="G502" s="26"/>
      <c r="H502" s="26" t="s">
        <v>899</v>
      </c>
      <c r="I502" s="26" t="s">
        <v>1918</v>
      </c>
    </row>
    <row r="503" spans="2:9" x14ac:dyDescent="0.25">
      <c r="B503" s="26">
        <f t="shared" si="7"/>
        <v>500</v>
      </c>
      <c r="C503" s="27">
        <v>46174</v>
      </c>
      <c r="D503" s="28" t="s">
        <v>1422</v>
      </c>
      <c r="E503" s="29" t="str">
        <f>_xlfn.XLOOKUP(Table7[[#This Row],[Malın kodu]],Table4[Malın kodu],Table4[Malın adı],"Xəta",0)</f>
        <v>Manometr / 60 atm</v>
      </c>
      <c r="F503" s="26">
        <v>1</v>
      </c>
      <c r="G503" s="26"/>
      <c r="H503" s="26" t="s">
        <v>899</v>
      </c>
      <c r="I503" s="26" t="s">
        <v>1918</v>
      </c>
    </row>
    <row r="504" spans="2:9" x14ac:dyDescent="0.25">
      <c r="B504" s="26">
        <f t="shared" si="7"/>
        <v>501</v>
      </c>
      <c r="C504" s="27">
        <v>46174</v>
      </c>
      <c r="D504" s="28" t="s">
        <v>1423</v>
      </c>
      <c r="E504" s="29" t="str">
        <f>_xlfn.XLOOKUP(Table7[[#This Row],[Malın kodu]],Table4[Malın kodu],Table4[Malın adı],"Xəta",0)</f>
        <v>Rels / metal / 1 metr / elektrik lövhəsi üçün</v>
      </c>
      <c r="F504" s="26">
        <v>1</v>
      </c>
      <c r="G504" s="26"/>
      <c r="H504" s="26" t="s">
        <v>899</v>
      </c>
      <c r="I504" s="26" t="s">
        <v>1918</v>
      </c>
    </row>
    <row r="505" spans="2:9" x14ac:dyDescent="0.25">
      <c r="B505" s="26">
        <f t="shared" si="7"/>
        <v>502</v>
      </c>
      <c r="C505" s="27">
        <v>46174</v>
      </c>
      <c r="D505" s="28" t="s">
        <v>1424</v>
      </c>
      <c r="E505" s="29" t="str">
        <f>_xlfn.XLOOKUP(Table7[[#This Row],[Malın kodu]],Table4[Malın kodu],Table4[Malın adı],"Xəta",0)</f>
        <v>Dişli qayış / "Bomag" / 06312023</v>
      </c>
      <c r="F505" s="26">
        <v>3</v>
      </c>
      <c r="G505" s="26"/>
      <c r="H505" s="26" t="s">
        <v>899</v>
      </c>
      <c r="I505" s="26" t="s">
        <v>1918</v>
      </c>
    </row>
    <row r="506" spans="2:9" x14ac:dyDescent="0.25">
      <c r="B506" s="26">
        <f t="shared" si="7"/>
        <v>503</v>
      </c>
      <c r="C506" s="27">
        <v>46174</v>
      </c>
      <c r="D506" s="28" t="s">
        <v>1425</v>
      </c>
      <c r="E506" s="29" t="str">
        <f>_xlfn.XLOOKUP(Table7[[#This Row],[Malın kodu]],Table4[Malın kodu],Table4[Malın adı],"Xəta",0)</f>
        <v>Dişli qayış / XBZPZ 1175 La</v>
      </c>
      <c r="F506" s="26">
        <v>1</v>
      </c>
      <c r="G506" s="26"/>
      <c r="H506" s="26" t="s">
        <v>899</v>
      </c>
      <c r="I506" s="26" t="s">
        <v>1918</v>
      </c>
    </row>
    <row r="507" spans="2:9" x14ac:dyDescent="0.25">
      <c r="B507" s="26">
        <f t="shared" si="7"/>
        <v>504</v>
      </c>
      <c r="C507" s="27">
        <v>46174</v>
      </c>
      <c r="D507" s="28" t="s">
        <v>1426</v>
      </c>
      <c r="E507" s="29" t="str">
        <f>_xlfn.XLOOKUP(Table7[[#This Row],[Malın kodu]],Table4[Malın kodu],Table4[Malın adı],"Xəta",0)</f>
        <v>Dişli qayış / XPZ 775 La</v>
      </c>
      <c r="F507" s="26">
        <v>1</v>
      </c>
      <c r="G507" s="26"/>
      <c r="H507" s="26" t="s">
        <v>899</v>
      </c>
      <c r="I507" s="26" t="s">
        <v>1918</v>
      </c>
    </row>
    <row r="508" spans="2:9" x14ac:dyDescent="0.25">
      <c r="B508" s="26">
        <f t="shared" si="7"/>
        <v>505</v>
      </c>
      <c r="C508" s="27">
        <v>46174</v>
      </c>
      <c r="D508" s="28" t="s">
        <v>1427</v>
      </c>
      <c r="E508" s="29" t="str">
        <f>_xlfn.XLOOKUP(Table7[[#This Row],[Malın kodu]],Table4[Malın kodu],Table4[Malın adı],"Xəta",0)</f>
        <v>Dişli qayış / 4PK 863</v>
      </c>
      <c r="F508" s="26">
        <v>1</v>
      </c>
      <c r="G508" s="26"/>
      <c r="H508" s="26" t="s">
        <v>899</v>
      </c>
      <c r="I508" s="26" t="s">
        <v>1918</v>
      </c>
    </row>
    <row r="509" spans="2:9" x14ac:dyDescent="0.25">
      <c r="B509" s="26">
        <f t="shared" si="7"/>
        <v>506</v>
      </c>
      <c r="C509" s="27">
        <v>46174</v>
      </c>
      <c r="D509" s="28" t="s">
        <v>1428</v>
      </c>
      <c r="E509" s="29" t="str">
        <f>_xlfn.XLOOKUP(Table7[[#This Row],[Malın kodu]],Table4[Malın kodu],Table4[Malın adı],"Xəta",0)</f>
        <v>Dişli qayış / 17 x 1500 mm</v>
      </c>
      <c r="F509" s="26">
        <v>1</v>
      </c>
      <c r="G509" s="26"/>
      <c r="H509" s="26" t="s">
        <v>899</v>
      </c>
      <c r="I509" s="26" t="s">
        <v>1918</v>
      </c>
    </row>
    <row r="510" spans="2:9" x14ac:dyDescent="0.25">
      <c r="B510" s="26">
        <f t="shared" si="7"/>
        <v>507</v>
      </c>
      <c r="C510" s="27">
        <v>46174</v>
      </c>
      <c r="D510" s="28" t="s">
        <v>1429</v>
      </c>
      <c r="E510" s="29" t="str">
        <f>_xlfn.XLOOKUP(Table7[[#This Row],[Malın kodu]],Table4[Malın kodu],Table4[Malın adı],"Xəta",0)</f>
        <v>Qayış / 17 x 847 mm</v>
      </c>
      <c r="F510" s="26">
        <v>1</v>
      </c>
      <c r="G510" s="26"/>
      <c r="H510" s="26" t="s">
        <v>899</v>
      </c>
      <c r="I510" s="26" t="s">
        <v>1918</v>
      </c>
    </row>
    <row r="511" spans="2:9" x14ac:dyDescent="0.25">
      <c r="B511" s="26">
        <f t="shared" si="7"/>
        <v>508</v>
      </c>
      <c r="C511" s="27">
        <v>46174</v>
      </c>
      <c r="D511" s="28" t="s">
        <v>1430</v>
      </c>
      <c r="E511" s="29" t="str">
        <f>_xlfn.XLOOKUP(Table7[[#This Row],[Malın kodu]],Table4[Malın kodu],Table4[Malın adı],"Xəta",0)</f>
        <v>Dişli qayış / 12.5 x 1175 mm</v>
      </c>
      <c r="F511" s="26">
        <v>2</v>
      </c>
      <c r="G511" s="26"/>
      <c r="H511" s="26" t="s">
        <v>899</v>
      </c>
      <c r="I511" s="26" t="s">
        <v>1918</v>
      </c>
    </row>
    <row r="512" spans="2:9" x14ac:dyDescent="0.25">
      <c r="B512" s="26">
        <f t="shared" si="7"/>
        <v>509</v>
      </c>
      <c r="C512" s="27">
        <v>46174</v>
      </c>
      <c r="D512" s="28" t="s">
        <v>1431</v>
      </c>
      <c r="E512" s="29" t="str">
        <f>_xlfn.XLOOKUP(Table7[[#This Row],[Malın kodu]],Table4[Malın kodu],Table4[Malın adı],"Xəta",0)</f>
        <v>Dişli qayış / 12.5 x 775 mm</v>
      </c>
      <c r="F512" s="26">
        <v>1</v>
      </c>
      <c r="G512" s="26"/>
      <c r="H512" s="26" t="s">
        <v>899</v>
      </c>
      <c r="I512" s="26" t="s">
        <v>1918</v>
      </c>
    </row>
    <row r="513" spans="2:9" x14ac:dyDescent="0.25">
      <c r="B513" s="26">
        <f t="shared" si="7"/>
        <v>510</v>
      </c>
      <c r="C513" s="27">
        <v>46174</v>
      </c>
      <c r="D513" s="28" t="s">
        <v>1432</v>
      </c>
      <c r="E513" s="29" t="str">
        <f>_xlfn.XLOOKUP(Table7[[#This Row],[Malın kodu]],Table4[Malın kodu],Table4[Malın adı],"Xəta",0)</f>
        <v>Dişli qayış / 8944791010</v>
      </c>
      <c r="F513" s="26">
        <v>2</v>
      </c>
      <c r="G513" s="26"/>
      <c r="H513" s="26" t="s">
        <v>899</v>
      </c>
      <c r="I513" s="26" t="s">
        <v>1918</v>
      </c>
    </row>
    <row r="514" spans="2:9" x14ac:dyDescent="0.25">
      <c r="B514" s="26">
        <f t="shared" si="7"/>
        <v>511</v>
      </c>
      <c r="C514" s="27">
        <v>46174</v>
      </c>
      <c r="D514" s="28" t="s">
        <v>1433</v>
      </c>
      <c r="E514" s="29" t="str">
        <f>_xlfn.XLOOKUP(Table7[[#This Row],[Malın kodu]],Table4[Malın kodu],Table4[Malın adı],"Xəta",0)</f>
        <v>Dişli qayış / 15 x 1100 mm</v>
      </c>
      <c r="F514" s="26">
        <v>1</v>
      </c>
      <c r="G514" s="26"/>
      <c r="H514" s="26" t="s">
        <v>899</v>
      </c>
      <c r="I514" s="26" t="s">
        <v>1918</v>
      </c>
    </row>
    <row r="515" spans="2:9" x14ac:dyDescent="0.25">
      <c r="B515" s="26">
        <f t="shared" si="7"/>
        <v>512</v>
      </c>
      <c r="C515" s="27">
        <v>46174</v>
      </c>
      <c r="D515" s="28" t="s">
        <v>1434</v>
      </c>
      <c r="E515" s="29" t="str">
        <f>_xlfn.XLOOKUP(Table7[[#This Row],[Malın kodu]],Table4[Malın kodu],Table4[Malın adı],"Xəta",0)</f>
        <v>Dişli qayış / 12.5 x 1050 mm</v>
      </c>
      <c r="F515" s="26">
        <v>2</v>
      </c>
      <c r="G515" s="26"/>
      <c r="H515" s="26" t="s">
        <v>899</v>
      </c>
      <c r="I515" s="26" t="s">
        <v>1918</v>
      </c>
    </row>
    <row r="516" spans="2:9" x14ac:dyDescent="0.25">
      <c r="B516" s="26">
        <f t="shared" ref="B516:B579" si="8">ROW()-3</f>
        <v>513</v>
      </c>
      <c r="C516" s="27">
        <v>46174</v>
      </c>
      <c r="D516" s="28" t="s">
        <v>1435</v>
      </c>
      <c r="E516" s="29" t="str">
        <f>_xlfn.XLOOKUP(Table7[[#This Row],[Malın kodu]],Table4[Malın kodu],Table4[Malın adı],"Xəta",0)</f>
        <v>Dişli qayış / 13 x 1200 mm</v>
      </c>
      <c r="F516" s="26">
        <v>2</v>
      </c>
      <c r="G516" s="26"/>
      <c r="H516" s="26" t="s">
        <v>899</v>
      </c>
      <c r="I516" s="26" t="s">
        <v>1918</v>
      </c>
    </row>
    <row r="517" spans="2:9" x14ac:dyDescent="0.25">
      <c r="B517" s="26">
        <f t="shared" si="8"/>
        <v>514</v>
      </c>
      <c r="C517" s="27">
        <v>46174</v>
      </c>
      <c r="D517" s="28" t="s">
        <v>1436</v>
      </c>
      <c r="E517" s="29" t="str">
        <f>_xlfn.XLOOKUP(Table7[[#This Row],[Malın kodu]],Table4[Malın kodu],Table4[Malın adı],"Xəta",0)</f>
        <v>Dişli qayış / 9.5 x 1175 mm</v>
      </c>
      <c r="F517" s="26">
        <v>1</v>
      </c>
      <c r="G517" s="26"/>
      <c r="H517" s="26" t="s">
        <v>899</v>
      </c>
      <c r="I517" s="26" t="s">
        <v>1918</v>
      </c>
    </row>
    <row r="518" spans="2:9" x14ac:dyDescent="0.25">
      <c r="B518" s="26">
        <f t="shared" si="8"/>
        <v>515</v>
      </c>
      <c r="C518" s="27">
        <v>46174</v>
      </c>
      <c r="D518" s="28" t="s">
        <v>1437</v>
      </c>
      <c r="E518" s="29" t="str">
        <f>_xlfn.XLOOKUP(Table7[[#This Row],[Malın kodu]],Table4[Malın kodu],Table4[Malın adı],"Xəta",0)</f>
        <v>Reduktor / 1000-lik makina üçün</v>
      </c>
      <c r="F518" s="26">
        <v>2</v>
      </c>
      <c r="G518" s="26"/>
      <c r="H518" s="26" t="s">
        <v>899</v>
      </c>
      <c r="I518" s="26" t="s">
        <v>1918</v>
      </c>
    </row>
    <row r="519" spans="2:9" x14ac:dyDescent="0.25">
      <c r="B519" s="26">
        <f t="shared" si="8"/>
        <v>516</v>
      </c>
      <c r="C519" s="27">
        <v>46174</v>
      </c>
      <c r="D519" s="28" t="s">
        <v>1438</v>
      </c>
      <c r="E519" s="29" t="str">
        <f>_xlfn.XLOOKUP(Table7[[#This Row],[Malın kodu]],Table4[Malın kodu],Table4[Malın adı],"Xəta",0)</f>
        <v>Yönləndirmə mühərriki (ümitə) / 1400-lük makina üçün</v>
      </c>
      <c r="F519" s="26">
        <v>1</v>
      </c>
      <c r="G519" s="26"/>
      <c r="H519" s="26" t="s">
        <v>899</v>
      </c>
      <c r="I519" s="26" t="s">
        <v>1918</v>
      </c>
    </row>
    <row r="520" spans="2:9" x14ac:dyDescent="0.25">
      <c r="B520" s="26">
        <f t="shared" si="8"/>
        <v>517</v>
      </c>
      <c r="C520" s="27">
        <v>46174</v>
      </c>
      <c r="D520" s="28" t="s">
        <v>1439</v>
      </c>
      <c r="E520" s="29" t="str">
        <f>_xlfn.XLOOKUP(Table7[[#This Row],[Malın kodu]],Table4[Malın kodu],Table4[Malın adı],"Xəta",0)</f>
        <v>Su basıncı (ilbizvari)/ 1400-lük makina üçün</v>
      </c>
      <c r="F520" s="26">
        <v>1</v>
      </c>
      <c r="G520" s="26"/>
      <c r="H520" s="26" t="s">
        <v>899</v>
      </c>
      <c r="I520" s="26" t="s">
        <v>1918</v>
      </c>
    </row>
    <row r="521" spans="2:9" x14ac:dyDescent="0.25">
      <c r="B521" s="26">
        <f t="shared" si="8"/>
        <v>518</v>
      </c>
      <c r="C521" s="27">
        <v>46174</v>
      </c>
      <c r="D521" s="28" t="s">
        <v>1440</v>
      </c>
      <c r="E521" s="29" t="str">
        <f>_xlfn.XLOOKUP(Table7[[#This Row],[Malın kodu]],Table4[Malın kodu],Table4[Malın adı],"Xəta",0)</f>
        <v>Yönləndirmə mühərriki (ümitə) / 1000-lik makina üçün</v>
      </c>
      <c r="F521" s="26">
        <v>1</v>
      </c>
      <c r="G521" s="26"/>
      <c r="H521" s="26" t="s">
        <v>899</v>
      </c>
      <c r="I521" s="26" t="s">
        <v>1918</v>
      </c>
    </row>
    <row r="522" spans="2:9" x14ac:dyDescent="0.25">
      <c r="B522" s="26">
        <f t="shared" si="8"/>
        <v>519</v>
      </c>
      <c r="C522" s="27">
        <v>46174</v>
      </c>
      <c r="D522" s="28" t="s">
        <v>1441</v>
      </c>
      <c r="E522" s="29" t="str">
        <f>_xlfn.XLOOKUP(Table7[[#This Row],[Malın kodu]],Table4[Malın kodu],Table4[Malın adı],"Xəta",0)</f>
        <v>Konus / flyanslı / d 250 mm / laboratoriya üçün</v>
      </c>
      <c r="F522" s="26">
        <v>1</v>
      </c>
      <c r="G522" s="26"/>
      <c r="H522" s="26" t="s">
        <v>899</v>
      </c>
      <c r="I522" s="26" t="s">
        <v>1918</v>
      </c>
    </row>
    <row r="523" spans="2:9" x14ac:dyDescent="0.25">
      <c r="B523" s="26">
        <f t="shared" si="8"/>
        <v>520</v>
      </c>
      <c r="C523" s="27">
        <v>46174</v>
      </c>
      <c r="D523" s="28" t="s">
        <v>1442</v>
      </c>
      <c r="E523" s="29" t="str">
        <f>_xlfn.XLOOKUP(Table7[[#This Row],[Malın kodu]],Table4[Malın kodu],Table4[Malın adı],"Xəta",0)</f>
        <v>Ələk / №20 / laboratoriya üçün / “Jeotest” / Türkiyə istehsalı</v>
      </c>
      <c r="F523" s="26">
        <v>1</v>
      </c>
      <c r="G523" s="26"/>
      <c r="H523" s="26" t="s">
        <v>899</v>
      </c>
      <c r="I523" s="26" t="s">
        <v>1918</v>
      </c>
    </row>
    <row r="524" spans="2:9" x14ac:dyDescent="0.25">
      <c r="B524" s="26">
        <f t="shared" si="8"/>
        <v>521</v>
      </c>
      <c r="C524" s="27">
        <v>46174</v>
      </c>
      <c r="D524" s="28" t="s">
        <v>1443</v>
      </c>
      <c r="E524" s="29" t="str">
        <f>_xlfn.XLOOKUP(Table7[[#This Row],[Malın kodu]],Table4[Malın kodu],Table4[Malın adı],"Xəta",0)</f>
        <v>Metal qab (tava) / d 300 mm / laboratoriya üçün</v>
      </c>
      <c r="F524" s="26">
        <v>1</v>
      </c>
      <c r="G524" s="26"/>
      <c r="H524" s="26" t="s">
        <v>899</v>
      </c>
      <c r="I524" s="26" t="s">
        <v>1918</v>
      </c>
    </row>
    <row r="525" spans="2:9" ht="30" x14ac:dyDescent="0.25">
      <c r="B525" s="26">
        <f t="shared" si="8"/>
        <v>522</v>
      </c>
      <c r="C525" s="27">
        <v>46174</v>
      </c>
      <c r="D525" s="28" t="s">
        <v>1444</v>
      </c>
      <c r="E525" s="29" t="str">
        <f>_xlfn.XLOOKUP(Table7[[#This Row],[Malın kodu]],Table4[Malın kodu],Table4[Malın adı],"Xəta",0)</f>
        <v>Kasaqrande cihazı / bürünc qabı ilə / laboratoriya üçün / “Jeotest” / Türkiyə istehsalı</v>
      </c>
      <c r="F525" s="26">
        <v>2</v>
      </c>
      <c r="G525" s="26"/>
      <c r="H525" s="26" t="s">
        <v>899</v>
      </c>
      <c r="I525" s="26" t="s">
        <v>1918</v>
      </c>
    </row>
    <row r="526" spans="2:9" x14ac:dyDescent="0.25">
      <c r="B526" s="26">
        <f t="shared" si="8"/>
        <v>523</v>
      </c>
      <c r="C526" s="27">
        <v>46174</v>
      </c>
      <c r="D526" s="28" t="s">
        <v>1445</v>
      </c>
      <c r="E526" s="29" t="str">
        <f>_xlfn.XLOOKUP(Table7[[#This Row],[Malın kodu]],Table4[Malın kodu],Table4[Malın adı],"Xəta",0)</f>
        <v>Metal qab / 4 künc / qulplu / 520x520 mm / laboratoriya üçün</v>
      </c>
      <c r="F526" s="26">
        <v>2</v>
      </c>
      <c r="G526" s="26"/>
      <c r="H526" s="26" t="s">
        <v>899</v>
      </c>
      <c r="I526" s="26" t="s">
        <v>1918</v>
      </c>
    </row>
    <row r="527" spans="2:9" x14ac:dyDescent="0.25">
      <c r="B527" s="26">
        <f t="shared" si="8"/>
        <v>524</v>
      </c>
      <c r="C527" s="27">
        <v>46174</v>
      </c>
      <c r="D527" s="28" t="s">
        <v>1446</v>
      </c>
      <c r="E527" s="29" t="str">
        <f>_xlfn.XLOOKUP(Table7[[#This Row],[Malın kodu]],Table4[Malın kodu],Table4[Malın adı],"Xəta",0)</f>
        <v>Metal qab / 4 künc / 590x470 mm / laboratoriya üçün</v>
      </c>
      <c r="F527" s="26">
        <v>2</v>
      </c>
      <c r="G527" s="26"/>
      <c r="H527" s="26" t="s">
        <v>899</v>
      </c>
      <c r="I527" s="26" t="s">
        <v>1918</v>
      </c>
    </row>
    <row r="528" spans="2:9" ht="30" x14ac:dyDescent="0.25">
      <c r="B528" s="26">
        <f t="shared" si="8"/>
        <v>525</v>
      </c>
      <c r="C528" s="27">
        <v>46174</v>
      </c>
      <c r="D528" s="28" t="s">
        <v>1447</v>
      </c>
      <c r="E528" s="29" t="str">
        <f>_xlfn.XLOOKUP(Table7[[#This Row],[Malın kodu]],Table4[Malın kodu],Table4[Malın adı],"Xəta",0)</f>
        <v>Elektrik mişar / 1380 Vt / d 185 mm / 5300 dövr/dəq / “Makute” Çin istehsalı</v>
      </c>
      <c r="F528" s="26">
        <v>2</v>
      </c>
      <c r="G528" s="26"/>
      <c r="H528" s="26" t="s">
        <v>899</v>
      </c>
      <c r="I528" s="26" t="s">
        <v>1918</v>
      </c>
    </row>
    <row r="529" spans="2:9" x14ac:dyDescent="0.25">
      <c r="B529" s="26">
        <f t="shared" si="8"/>
        <v>526</v>
      </c>
      <c r="C529" s="27">
        <v>46174</v>
      </c>
      <c r="D529" s="28" t="s">
        <v>1448</v>
      </c>
      <c r="E529" s="29" t="str">
        <f>_xlfn.XLOOKUP(Table7[[#This Row],[Malın kodu]],Table4[Malın kodu],Table4[Malın adı],"Xəta",0)</f>
        <v>Freza dişi / xüsusi texnika üçün</v>
      </c>
      <c r="F529" s="26">
        <v>46</v>
      </c>
      <c r="G529" s="26"/>
      <c r="H529" s="26" t="s">
        <v>899</v>
      </c>
      <c r="I529" s="26" t="s">
        <v>1918</v>
      </c>
    </row>
    <row r="530" spans="2:9" x14ac:dyDescent="0.25">
      <c r="B530" s="26">
        <f t="shared" si="8"/>
        <v>527</v>
      </c>
      <c r="C530" s="27">
        <v>46174</v>
      </c>
      <c r="D530" s="28" t="s">
        <v>1449</v>
      </c>
      <c r="E530" s="29" t="str">
        <f>_xlfn.XLOOKUP(Table7[[#This Row],[Malın kodu]],Table4[Malın kodu],Table4[Malın adı],"Xəta",0)</f>
        <v>Ekstraktor - yiv açan</v>
      </c>
      <c r="F530" s="26">
        <v>1</v>
      </c>
      <c r="G530" s="26"/>
      <c r="H530" s="26" t="s">
        <v>899</v>
      </c>
      <c r="I530" s="26" t="s">
        <v>1918</v>
      </c>
    </row>
    <row r="531" spans="2:9" x14ac:dyDescent="0.25">
      <c r="B531" s="26">
        <f t="shared" si="8"/>
        <v>528</v>
      </c>
      <c r="C531" s="27">
        <v>46174</v>
      </c>
      <c r="D531" s="28" t="s">
        <v>1450</v>
      </c>
      <c r="E531" s="29" t="str">
        <f>_xlfn.XLOOKUP(Table7[[#This Row],[Malın kodu]],Table4[Malın kodu],Table4[Malın adı],"Xəta",0)</f>
        <v>Şlanq / oksiqen</v>
      </c>
      <c r="F531" s="26">
        <v>1</v>
      </c>
      <c r="G531" s="26"/>
      <c r="H531" s="26" t="s">
        <v>899</v>
      </c>
      <c r="I531" s="26" t="s">
        <v>1918</v>
      </c>
    </row>
    <row r="532" spans="2:9" x14ac:dyDescent="0.25">
      <c r="B532" s="26">
        <f t="shared" si="8"/>
        <v>529</v>
      </c>
      <c r="C532" s="27">
        <v>46174</v>
      </c>
      <c r="D532" s="28" t="s">
        <v>1451</v>
      </c>
      <c r="E532" s="29" t="str">
        <f>_xlfn.XLOOKUP(Table7[[#This Row],[Malın kodu]],Table4[Malın kodu],Table4[Malın adı],"Xəta",0)</f>
        <v>Lobzik / elektrik / 500 Vt / GST700</v>
      </c>
      <c r="F532" s="26">
        <v>1</v>
      </c>
      <c r="G532" s="26"/>
      <c r="H532" s="26" t="s">
        <v>899</v>
      </c>
      <c r="I532" s="26" t="s">
        <v>1918</v>
      </c>
    </row>
    <row r="533" spans="2:9" x14ac:dyDescent="0.25">
      <c r="B533" s="26">
        <f t="shared" si="8"/>
        <v>530</v>
      </c>
      <c r="C533" s="27">
        <v>46174</v>
      </c>
      <c r="D533" s="28" t="s">
        <v>1452</v>
      </c>
      <c r="E533" s="29" t="str">
        <f>_xlfn.XLOOKUP(Table7[[#This Row],[Malın kodu]],Table4[Malın kodu],Table4[Malın adı],"Xəta",0)</f>
        <v>Xəta</v>
      </c>
      <c r="F533" s="26"/>
      <c r="G533" s="26"/>
      <c r="H533" s="26" t="s">
        <v>899</v>
      </c>
      <c r="I533" s="26" t="s">
        <v>1918</v>
      </c>
    </row>
    <row r="534" spans="2:9" x14ac:dyDescent="0.25">
      <c r="B534" s="26">
        <f t="shared" si="8"/>
        <v>531</v>
      </c>
      <c r="C534" s="27">
        <v>46174</v>
      </c>
      <c r="D534" s="28" t="s">
        <v>1453</v>
      </c>
      <c r="E534" s="29" t="str">
        <f>_xlfn.XLOOKUP(Table7[[#This Row],[Malın kodu]],Table4[Malın kodu],Table4[Malın adı],"Xəta",0)</f>
        <v>Keçid / d 250 x 280 mm / polietilen / "NTG" / Türkiyə istehsalı</v>
      </c>
      <c r="F534" s="26">
        <v>1</v>
      </c>
      <c r="G534" s="26"/>
      <c r="H534" s="26" t="s">
        <v>899</v>
      </c>
      <c r="I534" s="26" t="s">
        <v>1918</v>
      </c>
    </row>
    <row r="535" spans="2:9" x14ac:dyDescent="0.25">
      <c r="B535" s="26">
        <f t="shared" si="8"/>
        <v>532</v>
      </c>
      <c r="C535" s="27">
        <v>46174</v>
      </c>
      <c r="D535" s="28" t="s">
        <v>1454</v>
      </c>
      <c r="E535" s="29" t="str">
        <f>_xlfn.XLOOKUP(Table7[[#This Row],[Malın kodu]],Table4[Malın kodu],Table4[Malın adı],"Xəta",0)</f>
        <v>Keçid / d 250 x 315 mm / polietilen / "NTG" / Türkiyə istehsalı</v>
      </c>
      <c r="F535" s="26">
        <v>1</v>
      </c>
      <c r="G535" s="26"/>
      <c r="H535" s="26" t="s">
        <v>899</v>
      </c>
      <c r="I535" s="26" t="s">
        <v>1918</v>
      </c>
    </row>
    <row r="536" spans="2:9" x14ac:dyDescent="0.25">
      <c r="B536" s="26">
        <f t="shared" si="8"/>
        <v>533</v>
      </c>
      <c r="C536" s="27">
        <v>46174</v>
      </c>
      <c r="D536" s="28" t="s">
        <v>1455</v>
      </c>
      <c r="E536" s="29" t="str">
        <f>_xlfn.XLOOKUP(Table7[[#This Row],[Malın kodu]],Table4[Malın kodu],Table4[Malın adı],"Xəta",0)</f>
        <v>Dirsək (Угол) / d 350 mm / polietilen / 45°</v>
      </c>
      <c r="F536" s="26">
        <v>1</v>
      </c>
      <c r="G536" s="26"/>
      <c r="H536" s="26" t="s">
        <v>899</v>
      </c>
      <c r="I536" s="26" t="s">
        <v>1918</v>
      </c>
    </row>
    <row r="537" spans="2:9" x14ac:dyDescent="0.25">
      <c r="B537" s="26">
        <f t="shared" si="8"/>
        <v>534</v>
      </c>
      <c r="C537" s="27">
        <v>46174</v>
      </c>
      <c r="D537" s="28" t="s">
        <v>1456</v>
      </c>
      <c r="E537" s="29" t="str">
        <f>_xlfn.XLOOKUP(Table7[[#This Row],[Malın kodu]],Table4[Malın kodu],Table4[Malın adı],"Xəta",0)</f>
        <v>Keçid / d 160 x 280 mm / polietilen</v>
      </c>
      <c r="F537" s="26">
        <v>2</v>
      </c>
      <c r="G537" s="26"/>
      <c r="H537" s="26" t="s">
        <v>899</v>
      </c>
      <c r="I537" s="26" t="s">
        <v>1918</v>
      </c>
    </row>
    <row r="538" spans="2:9" x14ac:dyDescent="0.25">
      <c r="B538" s="26">
        <f t="shared" si="8"/>
        <v>535</v>
      </c>
      <c r="C538" s="27">
        <v>46174</v>
      </c>
      <c r="D538" s="28" t="s">
        <v>1457</v>
      </c>
      <c r="E538" s="29" t="str">
        <f>_xlfn.XLOOKUP(Table7[[#This Row],[Malın kodu]],Table4[Malın kodu],Table4[Malın adı],"Xəta",0)</f>
        <v>Üçlük / d 200 x 280 mm / polietilen</v>
      </c>
      <c r="F538" s="26">
        <v>2</v>
      </c>
      <c r="G538" s="26"/>
      <c r="H538" s="26" t="s">
        <v>899</v>
      </c>
      <c r="I538" s="26" t="s">
        <v>1918</v>
      </c>
    </row>
    <row r="539" spans="2:9" x14ac:dyDescent="0.25">
      <c r="B539" s="26">
        <f t="shared" si="8"/>
        <v>536</v>
      </c>
      <c r="C539" s="27">
        <v>46174</v>
      </c>
      <c r="D539" s="28" t="s">
        <v>1458</v>
      </c>
      <c r="E539" s="29" t="str">
        <f>_xlfn.XLOOKUP(Table7[[#This Row],[Malın kodu]],Table4[Malın kodu],Table4[Malın adı],"Xəta",0)</f>
        <v>Üçlük / d 160 x 225 mm / polietilen</v>
      </c>
      <c r="F539" s="26">
        <v>1</v>
      </c>
      <c r="G539" s="26"/>
      <c r="H539" s="26" t="s">
        <v>899</v>
      </c>
      <c r="I539" s="26" t="s">
        <v>1918</v>
      </c>
    </row>
    <row r="540" spans="2:9" x14ac:dyDescent="0.25">
      <c r="B540" s="26">
        <f t="shared" si="8"/>
        <v>537</v>
      </c>
      <c r="C540" s="27">
        <v>46174</v>
      </c>
      <c r="D540" s="28" t="s">
        <v>1459</v>
      </c>
      <c r="E540" s="29" t="str">
        <f>_xlfn.XLOOKUP(Table7[[#This Row],[Malın kodu]],Table4[Malın kodu],Table4[Malın adı],"Xəta",0)</f>
        <v>Dirsək / d 180 mm / polietilen / 45° / "Borfit" / Türkiyə istehsalı</v>
      </c>
      <c r="F540" s="26">
        <v>1</v>
      </c>
      <c r="G540" s="26"/>
      <c r="H540" s="26" t="s">
        <v>899</v>
      </c>
      <c r="I540" s="26" t="s">
        <v>1918</v>
      </c>
    </row>
    <row r="541" spans="2:9" x14ac:dyDescent="0.25">
      <c r="B541" s="26">
        <f t="shared" si="8"/>
        <v>538</v>
      </c>
      <c r="C541" s="27">
        <v>46174</v>
      </c>
      <c r="D541" s="28" t="s">
        <v>1460</v>
      </c>
      <c r="E541" s="29" t="str">
        <f>_xlfn.XLOOKUP(Table7[[#This Row],[Malın kodu]],Table4[Malın kodu],Table4[Malın adı],"Xəta",0)</f>
        <v>Adaptor / d 110 mm / polietilen / "Borfit" / Türkiyə istehsalı</v>
      </c>
      <c r="F541" s="26">
        <v>3</v>
      </c>
      <c r="G541" s="26"/>
      <c r="H541" s="26" t="s">
        <v>899</v>
      </c>
      <c r="I541" s="26" t="s">
        <v>1918</v>
      </c>
    </row>
    <row r="542" spans="2:9" x14ac:dyDescent="0.25">
      <c r="B542" s="26">
        <f t="shared" si="8"/>
        <v>539</v>
      </c>
      <c r="C542" s="27">
        <v>46174</v>
      </c>
      <c r="D542" s="28" t="s">
        <v>1461</v>
      </c>
      <c r="E542" s="29" t="str">
        <f>_xlfn.XLOOKUP(Table7[[#This Row],[Malın kodu]],Table4[Malın kodu],Table4[Malın adı],"Xəta",0)</f>
        <v>Üçlük / d 160 x 710 mm / polietilen / "Borfit" / Türkiyə istehsalı</v>
      </c>
      <c r="F542" s="26">
        <v>1</v>
      </c>
      <c r="G542" s="26"/>
      <c r="H542" s="26" t="s">
        <v>899</v>
      </c>
      <c r="I542" s="26" t="s">
        <v>1918</v>
      </c>
    </row>
    <row r="543" spans="2:9" x14ac:dyDescent="0.25">
      <c r="B543" s="26">
        <f t="shared" si="8"/>
        <v>540</v>
      </c>
      <c r="C543" s="27">
        <v>46174</v>
      </c>
      <c r="D543" s="28" t="s">
        <v>1462</v>
      </c>
      <c r="E543" s="29" t="str">
        <f>_xlfn.XLOOKUP(Table7[[#This Row],[Malın kodu]],Table4[Malın kodu],Table4[Malın adı],"Xəta",0)</f>
        <v>Üçlük / d 110 x 160 mm / polietilen / "Borfit" / Türkiyə istehsalı</v>
      </c>
      <c r="F543" s="26">
        <v>1</v>
      </c>
      <c r="G543" s="26"/>
      <c r="H543" s="26" t="s">
        <v>899</v>
      </c>
      <c r="I543" s="26" t="s">
        <v>1918</v>
      </c>
    </row>
    <row r="544" spans="2:9" x14ac:dyDescent="0.25">
      <c r="B544" s="26">
        <f t="shared" si="8"/>
        <v>541</v>
      </c>
      <c r="C544" s="27">
        <v>46174</v>
      </c>
      <c r="D544" s="28" t="s">
        <v>1463</v>
      </c>
      <c r="E544" s="29" t="str">
        <f>_xlfn.XLOOKUP(Table7[[#This Row],[Malın kodu]],Table4[Malın kodu],Table4[Malın adı],"Xəta",0)</f>
        <v>Qapaq / d 280 mm / polietilen / "Borfit" / Türkiyə istehsalı</v>
      </c>
      <c r="F544" s="26">
        <v>1</v>
      </c>
      <c r="G544" s="26"/>
      <c r="H544" s="26" t="s">
        <v>899</v>
      </c>
      <c r="I544" s="26" t="s">
        <v>1918</v>
      </c>
    </row>
    <row r="545" spans="2:9" x14ac:dyDescent="0.25">
      <c r="B545" s="26">
        <f t="shared" si="8"/>
        <v>542</v>
      </c>
      <c r="C545" s="27">
        <v>46174</v>
      </c>
      <c r="D545" s="28" t="s">
        <v>1464</v>
      </c>
      <c r="E545" s="29" t="str">
        <f>_xlfn.XLOOKUP(Table7[[#This Row],[Malın kodu]],Table4[Malın kodu],Table4[Malın adı],"Xəta",0)</f>
        <v>Qapaq / d 160 mm / polietilen / "Borfit" / Türkiyə istehsalı</v>
      </c>
      <c r="F545" s="26">
        <v>3</v>
      </c>
      <c r="G545" s="26"/>
      <c r="H545" s="26" t="s">
        <v>899</v>
      </c>
      <c r="I545" s="26" t="s">
        <v>1918</v>
      </c>
    </row>
    <row r="546" spans="2:9" x14ac:dyDescent="0.25">
      <c r="B546" s="26">
        <f t="shared" si="8"/>
        <v>543</v>
      </c>
      <c r="C546" s="27">
        <v>46174</v>
      </c>
      <c r="D546" s="28" t="s">
        <v>1465</v>
      </c>
      <c r="E546" s="29" t="str">
        <f>_xlfn.XLOOKUP(Table7[[#This Row],[Malın kodu]],Table4[Malın kodu],Table4[Malın adı],"Xəta",0)</f>
        <v>Qapaq / d 355 mm / polietilen / "Borfit" / Türkiyə istehsalı</v>
      </c>
      <c r="F546" s="26">
        <v>4</v>
      </c>
      <c r="G546" s="26"/>
      <c r="H546" s="26" t="s">
        <v>899</v>
      </c>
      <c r="I546" s="26" t="s">
        <v>1918</v>
      </c>
    </row>
    <row r="547" spans="2:9" x14ac:dyDescent="0.25">
      <c r="B547" s="26">
        <f t="shared" si="8"/>
        <v>544</v>
      </c>
      <c r="C547" s="27">
        <v>46174</v>
      </c>
      <c r="D547" s="28" t="s">
        <v>1466</v>
      </c>
      <c r="E547" s="29" t="str">
        <f>_xlfn.XLOOKUP(Table7[[#This Row],[Malın kodu]],Table4[Malın kodu],Table4[Malın adı],"Xəta",0)</f>
        <v>Keçid / d 90 x 110 mm / polietilen</v>
      </c>
      <c r="F547" s="26">
        <v>1</v>
      </c>
      <c r="G547" s="26"/>
      <c r="H547" s="26" t="s">
        <v>899</v>
      </c>
      <c r="I547" s="26" t="s">
        <v>1918</v>
      </c>
    </row>
    <row r="548" spans="2:9" x14ac:dyDescent="0.25">
      <c r="B548" s="26">
        <f t="shared" si="8"/>
        <v>545</v>
      </c>
      <c r="C548" s="27">
        <v>46174</v>
      </c>
      <c r="D548" s="28" t="s">
        <v>1467</v>
      </c>
      <c r="E548" s="29" t="str">
        <f>_xlfn.XLOOKUP(Table7[[#This Row],[Malın kodu]],Table4[Malın kodu],Table4[Malın adı],"Xəta",0)</f>
        <v>Dirsək / d 355 mm / polietilen / 45°</v>
      </c>
      <c r="F548" s="26">
        <v>2</v>
      </c>
      <c r="G548" s="26"/>
      <c r="H548" s="26" t="s">
        <v>899</v>
      </c>
      <c r="I548" s="26" t="s">
        <v>1918</v>
      </c>
    </row>
    <row r="549" spans="2:9" x14ac:dyDescent="0.25">
      <c r="B549" s="26">
        <f t="shared" si="8"/>
        <v>546</v>
      </c>
      <c r="C549" s="27">
        <v>46174</v>
      </c>
      <c r="D549" s="28" t="s">
        <v>1468</v>
      </c>
      <c r="E549" s="29" t="str">
        <f>_xlfn.XLOOKUP(Table7[[#This Row],[Malın kodu]],Table4[Malın kodu],Table4[Malın adı],"Xəta",0)</f>
        <v>Üçlük / d 250 x 355 mm / polietilen / "Borfit" / Türkiyə istehsalı</v>
      </c>
      <c r="F549" s="26">
        <v>1</v>
      </c>
      <c r="G549" s="26"/>
      <c r="H549" s="26" t="s">
        <v>899</v>
      </c>
      <c r="I549" s="26" t="s">
        <v>1918</v>
      </c>
    </row>
    <row r="550" spans="2:9" x14ac:dyDescent="0.25">
      <c r="B550" s="26">
        <f t="shared" si="8"/>
        <v>547</v>
      </c>
      <c r="C550" s="27">
        <v>46174</v>
      </c>
      <c r="D550" s="28" t="s">
        <v>1469</v>
      </c>
      <c r="E550" s="29" t="str">
        <f>_xlfn.XLOOKUP(Table7[[#This Row],[Malın kodu]],Table4[Malın kodu],Table4[Malın adı],"Xəta",0)</f>
        <v>Keçid / d 225 x 250 mm / polietilen / "NTG" / Türkiyə istehsalı</v>
      </c>
      <c r="F550" s="26">
        <v>1</v>
      </c>
      <c r="G550" s="26"/>
      <c r="H550" s="26" t="s">
        <v>899</v>
      </c>
      <c r="I550" s="26" t="s">
        <v>1918</v>
      </c>
    </row>
    <row r="551" spans="2:9" x14ac:dyDescent="0.25">
      <c r="B551" s="26">
        <f t="shared" si="8"/>
        <v>548</v>
      </c>
      <c r="C551" s="27">
        <v>46174</v>
      </c>
      <c r="D551" s="28" t="s">
        <v>1470</v>
      </c>
      <c r="E551" s="29" t="str">
        <f>_xlfn.XLOOKUP(Table7[[#This Row],[Malın kodu]],Table4[Malın kodu],Table4[Malın adı],"Xəta",0)</f>
        <v>Adaptor / d 355 mm / polietilen / "Borfit" / Türkiyə istehsalı</v>
      </c>
      <c r="F551" s="26">
        <v>5</v>
      </c>
      <c r="G551" s="26"/>
      <c r="H551" s="26" t="s">
        <v>899</v>
      </c>
      <c r="I551" s="26" t="s">
        <v>1918</v>
      </c>
    </row>
    <row r="552" spans="2:9" x14ac:dyDescent="0.25">
      <c r="B552" s="26">
        <f t="shared" si="8"/>
        <v>549</v>
      </c>
      <c r="C552" s="27">
        <v>46174</v>
      </c>
      <c r="D552" s="28" t="s">
        <v>1471</v>
      </c>
      <c r="E552" s="29" t="str">
        <f>_xlfn.XLOOKUP(Table7[[#This Row],[Malın kodu]],Table4[Malın kodu],Table4[Malın adı],"Xəta",0)</f>
        <v>Adaptor / d 225 mm / polietilen</v>
      </c>
      <c r="F552" s="26">
        <v>3</v>
      </c>
      <c r="G552" s="26"/>
      <c r="H552" s="26" t="s">
        <v>899</v>
      </c>
      <c r="I552" s="26" t="s">
        <v>1918</v>
      </c>
    </row>
    <row r="553" spans="2:9" x14ac:dyDescent="0.25">
      <c r="B553" s="26">
        <f t="shared" si="8"/>
        <v>550</v>
      </c>
      <c r="C553" s="27">
        <v>46174</v>
      </c>
      <c r="D553" s="28" t="s">
        <v>1472</v>
      </c>
      <c r="E553" s="29" t="str">
        <f>_xlfn.XLOOKUP(Table7[[#This Row],[Malın kodu]],Table4[Malın kodu],Table4[Malın adı],"Xəta",0)</f>
        <v>Adaptor / d 180 mm / polietilen / "Borfit" / Türkiyə istehsalı</v>
      </c>
      <c r="F553" s="26">
        <v>1</v>
      </c>
      <c r="G553" s="26"/>
      <c r="H553" s="26" t="s">
        <v>899</v>
      </c>
      <c r="I553" s="26" t="s">
        <v>1918</v>
      </c>
    </row>
    <row r="554" spans="2:9" x14ac:dyDescent="0.25">
      <c r="B554" s="26">
        <f t="shared" si="8"/>
        <v>551</v>
      </c>
      <c r="C554" s="27">
        <v>46174</v>
      </c>
      <c r="D554" s="28" t="s">
        <v>1473</v>
      </c>
      <c r="E554" s="29" t="str">
        <f>_xlfn.XLOOKUP(Table7[[#This Row],[Malın kodu]],Table4[Malın kodu],Table4[Malın adı],"Xəta",0)</f>
        <v>Adaptor / d 315 mm / polietilen</v>
      </c>
      <c r="F554" s="26">
        <v>1</v>
      </c>
      <c r="G554" s="26"/>
      <c r="H554" s="26" t="s">
        <v>899</v>
      </c>
      <c r="I554" s="26" t="s">
        <v>1918</v>
      </c>
    </row>
    <row r="555" spans="2:9" x14ac:dyDescent="0.25">
      <c r="B555" s="26">
        <f t="shared" si="8"/>
        <v>552</v>
      </c>
      <c r="C555" s="27">
        <v>46174</v>
      </c>
      <c r="D555" s="28" t="s">
        <v>1474</v>
      </c>
      <c r="E555" s="29" t="str">
        <f>_xlfn.XLOOKUP(Table7[[#This Row],[Malın kodu]],Table4[Malın kodu],Table4[Malın adı],"Xəta",0)</f>
        <v>Dirsək / d 280 mm / polietilen / 45° / "Borfit" / Türkiyə istehsalı</v>
      </c>
      <c r="F555" s="26">
        <v>1</v>
      </c>
      <c r="G555" s="26"/>
      <c r="H555" s="26" t="s">
        <v>899</v>
      </c>
      <c r="I555" s="26" t="s">
        <v>1918</v>
      </c>
    </row>
    <row r="556" spans="2:9" x14ac:dyDescent="0.25">
      <c r="B556" s="26">
        <f t="shared" si="8"/>
        <v>553</v>
      </c>
      <c r="C556" s="27">
        <v>46174</v>
      </c>
      <c r="D556" s="28" t="s">
        <v>1475</v>
      </c>
      <c r="E556" s="29" t="str">
        <f>_xlfn.XLOOKUP(Table7[[#This Row],[Malın kodu]],Table4[Malın kodu],Table4[Malın adı],"Xəta",0)</f>
        <v>Dirsək / d 160 mm / polietilen / 90° / "Borfit" / Türkiyə istehsalı</v>
      </c>
      <c r="F556" s="26">
        <v>1</v>
      </c>
      <c r="G556" s="26"/>
      <c r="H556" s="26" t="s">
        <v>899</v>
      </c>
      <c r="I556" s="26" t="s">
        <v>1918</v>
      </c>
    </row>
    <row r="557" spans="2:9" x14ac:dyDescent="0.25">
      <c r="B557" s="26">
        <f t="shared" si="8"/>
        <v>554</v>
      </c>
      <c r="C557" s="27">
        <v>46174</v>
      </c>
      <c r="D557" s="28" t="s">
        <v>1476</v>
      </c>
      <c r="E557" s="29" t="str">
        <f>_xlfn.XLOOKUP(Table7[[#This Row],[Malın kodu]],Table4[Malın kodu],Table4[Malın adı],"Xəta",0)</f>
        <v>Dirsək / d 315 mm / polietilen / 90°</v>
      </c>
      <c r="F557" s="26">
        <v>1</v>
      </c>
      <c r="G557" s="26"/>
      <c r="H557" s="26" t="s">
        <v>899</v>
      </c>
      <c r="I557" s="26" t="s">
        <v>1918</v>
      </c>
    </row>
    <row r="558" spans="2:9" x14ac:dyDescent="0.25">
      <c r="B558" s="26">
        <f t="shared" si="8"/>
        <v>555</v>
      </c>
      <c r="C558" s="27">
        <v>46174</v>
      </c>
      <c r="D558" s="28" t="s">
        <v>1477</v>
      </c>
      <c r="E558" s="29" t="str">
        <f>_xlfn.XLOOKUP(Table7[[#This Row],[Malın kodu]],Table4[Malın kodu],Table4[Malın adı],"Xəta",0)</f>
        <v>Dirsək / d 400 mm / polietilen / 45°</v>
      </c>
      <c r="F558" s="26">
        <v>1</v>
      </c>
      <c r="G558" s="26"/>
      <c r="H558" s="26" t="s">
        <v>899</v>
      </c>
      <c r="I558" s="26" t="s">
        <v>1918</v>
      </c>
    </row>
    <row r="559" spans="2:9" x14ac:dyDescent="0.25">
      <c r="B559" s="26">
        <f t="shared" si="8"/>
        <v>556</v>
      </c>
      <c r="C559" s="27">
        <v>46174</v>
      </c>
      <c r="D559" s="28" t="s">
        <v>1478</v>
      </c>
      <c r="E559" s="29" t="str">
        <f>_xlfn.XLOOKUP(Table7[[#This Row],[Malın kodu]],Table4[Malın kodu],Table4[Malın adı],"Xəta",0)</f>
        <v>Siyirtmə sükanı (maxovik) / kiçik ölçülü</v>
      </c>
      <c r="F559" s="26">
        <v>69</v>
      </c>
      <c r="G559" s="26"/>
      <c r="H559" s="26" t="s">
        <v>899</v>
      </c>
      <c r="I559" s="26" t="s">
        <v>1918</v>
      </c>
    </row>
    <row r="560" spans="2:9" x14ac:dyDescent="0.25">
      <c r="B560" s="26">
        <f t="shared" si="8"/>
        <v>557</v>
      </c>
      <c r="C560" s="27">
        <v>46174</v>
      </c>
      <c r="D560" s="28" t="s">
        <v>1479</v>
      </c>
      <c r="E560" s="29" t="str">
        <f>_xlfn.XLOOKUP(Table7[[#This Row],[Malın kodu]],Table4[Malın kodu],Table4[Malın adı],"Xəta",0)</f>
        <v>Siyirtmə sükanı (maxovik) / orta ölçülü</v>
      </c>
      <c r="F560" s="26">
        <v>7</v>
      </c>
      <c r="G560" s="26"/>
      <c r="H560" s="26" t="s">
        <v>899</v>
      </c>
      <c r="I560" s="26" t="s">
        <v>1918</v>
      </c>
    </row>
    <row r="561" spans="2:9" x14ac:dyDescent="0.25">
      <c r="B561" s="26">
        <f t="shared" si="8"/>
        <v>558</v>
      </c>
      <c r="C561" s="27">
        <v>46174</v>
      </c>
      <c r="D561" s="28" t="s">
        <v>1480</v>
      </c>
      <c r="E561" s="29" t="str">
        <f>_xlfn.XLOOKUP(Table7[[#This Row],[Malın kodu]],Table4[Malın kodu],Table4[Malın adı],"Xəta",0)</f>
        <v>Siyirtmə sükanı (maxovik) / böyük ölçülü</v>
      </c>
      <c r="F561" s="26">
        <v>2</v>
      </c>
      <c r="G561" s="26"/>
      <c r="H561" s="26" t="s">
        <v>899</v>
      </c>
      <c r="I561" s="26" t="s">
        <v>1918</v>
      </c>
    </row>
    <row r="562" spans="2:9" x14ac:dyDescent="0.25">
      <c r="B562" s="26">
        <f t="shared" si="8"/>
        <v>559</v>
      </c>
      <c r="C562" s="27">
        <v>46174</v>
      </c>
      <c r="D562" s="28" t="s">
        <v>1481</v>
      </c>
      <c r="E562" s="29" t="str">
        <f>_xlfn.XLOOKUP(Table7[[#This Row],[Malın kodu]],Table4[Malın kodu],Table4[Malın adı],"Xəta",0)</f>
        <v>Siyirtmə qapağı</v>
      </c>
      <c r="F562" s="26">
        <v>17</v>
      </c>
      <c r="G562" s="26"/>
      <c r="H562" s="26" t="s">
        <v>899</v>
      </c>
      <c r="I562" s="26" t="s">
        <v>1918</v>
      </c>
    </row>
    <row r="563" spans="2:9" x14ac:dyDescent="0.25">
      <c r="B563" s="26">
        <f t="shared" si="8"/>
        <v>560</v>
      </c>
      <c r="C563" s="27">
        <v>46174</v>
      </c>
      <c r="D563" s="28" t="s">
        <v>1482</v>
      </c>
      <c r="E563" s="29" t="str">
        <f>_xlfn.XLOOKUP(Table7[[#This Row],[Malın kodu]],Table4[Malın kodu],Table4[Malın adı],"Xəta",0)</f>
        <v>Başlıq / yanğın şlanqı üçün / alüminium</v>
      </c>
      <c r="F563" s="26">
        <v>226</v>
      </c>
      <c r="G563" s="26"/>
      <c r="H563" s="26" t="s">
        <v>899</v>
      </c>
      <c r="I563" s="26" t="s">
        <v>1918</v>
      </c>
    </row>
    <row r="564" spans="2:9" x14ac:dyDescent="0.25">
      <c r="B564" s="26">
        <f t="shared" si="8"/>
        <v>561</v>
      </c>
      <c r="C564" s="27">
        <v>46174</v>
      </c>
      <c r="D564" s="28" t="s">
        <v>1483</v>
      </c>
      <c r="E564" s="29" t="str">
        <f>_xlfn.XLOOKUP(Table7[[#This Row],[Malın kodu]],Table4[Malın kodu],Table4[Malın adı],"Xəta",0)</f>
        <v>Dirsək / d 63 mm / polietilen / 90° / "Borfit" / Türkiyə istehsalı</v>
      </c>
      <c r="F564" s="26">
        <v>1</v>
      </c>
      <c r="G564" s="26"/>
      <c r="H564" s="26" t="s">
        <v>899</v>
      </c>
      <c r="I564" s="26" t="s">
        <v>1918</v>
      </c>
    </row>
    <row r="565" spans="2:9" ht="30" x14ac:dyDescent="0.25">
      <c r="B565" s="26">
        <f t="shared" si="8"/>
        <v>562</v>
      </c>
      <c r="C565" s="27">
        <v>46174</v>
      </c>
      <c r="D565" s="28" t="s">
        <v>1484</v>
      </c>
      <c r="E565" s="29" t="str">
        <f>_xlfn.XLOOKUP(Table7[[#This Row],[Malın kodu]],Table4[Malın kodu],Table4[Malın adı],"Xəta",0)</f>
        <v>Mufta / elektrofizyon / d 90 mm / polietilen / "Borfit" / Türkiyə istehsalı</v>
      </c>
      <c r="F565" s="26">
        <v>1</v>
      </c>
      <c r="G565" s="26"/>
      <c r="H565" s="26" t="s">
        <v>899</v>
      </c>
      <c r="I565" s="26" t="s">
        <v>1918</v>
      </c>
    </row>
    <row r="566" spans="2:9" x14ac:dyDescent="0.25">
      <c r="B566" s="26">
        <f t="shared" si="8"/>
        <v>563</v>
      </c>
      <c r="C566" s="27">
        <v>46174</v>
      </c>
      <c r="D566" s="28" t="s">
        <v>1485</v>
      </c>
      <c r="E566" s="29" t="str">
        <f>_xlfn.XLOOKUP(Table7[[#This Row],[Malın kodu]],Table4[Malın kodu],Table4[Malın adı],"Xəta",0)</f>
        <v>Keçid / d 32 x 63 mm / polietilen / "Borfit" / Türkiyə istehsalı</v>
      </c>
      <c r="F566" s="26">
        <v>1</v>
      </c>
      <c r="G566" s="26"/>
      <c r="H566" s="26" t="s">
        <v>899</v>
      </c>
      <c r="I566" s="26" t="s">
        <v>1918</v>
      </c>
    </row>
    <row r="567" spans="2:9" x14ac:dyDescent="0.25">
      <c r="B567" s="26">
        <f t="shared" si="8"/>
        <v>564</v>
      </c>
      <c r="C567" s="27">
        <v>46174</v>
      </c>
      <c r="D567" s="28" t="s">
        <v>1486</v>
      </c>
      <c r="E567" s="29" t="str">
        <f>_xlfn.XLOOKUP(Table7[[#This Row],[Malın kodu]],Table4[Malın kodu],Table4[Malın adı],"Xəta",0)</f>
        <v>Adaptor / d 90 mm / polietilen / "Borfit" / Türkiyə istehsalı</v>
      </c>
      <c r="F567" s="26">
        <v>1</v>
      </c>
      <c r="G567" s="26"/>
      <c r="H567" s="26" t="s">
        <v>899</v>
      </c>
      <c r="I567" s="26" t="s">
        <v>1918</v>
      </c>
    </row>
    <row r="568" spans="2:9" x14ac:dyDescent="0.25">
      <c r="B568" s="26">
        <f t="shared" si="8"/>
        <v>565</v>
      </c>
      <c r="C568" s="27">
        <v>46174</v>
      </c>
      <c r="D568" s="28" t="s">
        <v>1487</v>
      </c>
      <c r="E568" s="29" t="str">
        <f>_xlfn.XLOOKUP(Table7[[#This Row],[Malın kodu]],Table4[Malın kodu],Table4[Malın adı],"Xəta",0)</f>
        <v>Qapaq / d 90 mm / polietilen / "NTG" / Türkiyə istehsalı</v>
      </c>
      <c r="F568" s="26">
        <v>1</v>
      </c>
      <c r="G568" s="26"/>
      <c r="H568" s="26" t="s">
        <v>899</v>
      </c>
      <c r="I568" s="26" t="s">
        <v>1918</v>
      </c>
    </row>
    <row r="569" spans="2:9" x14ac:dyDescent="0.25">
      <c r="B569" s="26">
        <f t="shared" si="8"/>
        <v>566</v>
      </c>
      <c r="C569" s="27">
        <v>46174</v>
      </c>
      <c r="D569" s="28" t="s">
        <v>1488</v>
      </c>
      <c r="E569" s="29" t="str">
        <f>_xlfn.XLOOKUP(Table7[[#This Row],[Malın kodu]],Table4[Malın kodu],Table4[Malın adı],"Xəta",0)</f>
        <v>Dirsək / d 50 mm / polietilen / 90°</v>
      </c>
      <c r="F569" s="26">
        <v>1</v>
      </c>
      <c r="G569" s="26"/>
      <c r="H569" s="26" t="s">
        <v>899</v>
      </c>
      <c r="I569" s="26" t="s">
        <v>1918</v>
      </c>
    </row>
    <row r="570" spans="2:9" x14ac:dyDescent="0.25">
      <c r="B570" s="26">
        <f t="shared" si="8"/>
        <v>567</v>
      </c>
      <c r="C570" s="27">
        <v>46174</v>
      </c>
      <c r="D570" s="28" t="s">
        <v>1489</v>
      </c>
      <c r="E570" s="29" t="str">
        <f>_xlfn.XLOOKUP(Table7[[#This Row],[Malın kodu]],Table4[Malın kodu],Table4[Malın adı],"Xəta",0)</f>
        <v>Dirsək / d 25 mm / polietilen / 90° / "Borfit" / Türkiyə istehsalı</v>
      </c>
      <c r="F570" s="26">
        <v>4</v>
      </c>
      <c r="G570" s="26"/>
      <c r="H570" s="26" t="s">
        <v>899</v>
      </c>
      <c r="I570" s="26" t="s">
        <v>1918</v>
      </c>
    </row>
    <row r="571" spans="2:9" x14ac:dyDescent="0.25">
      <c r="B571" s="26">
        <f t="shared" si="8"/>
        <v>568</v>
      </c>
      <c r="C571" s="27">
        <v>46174</v>
      </c>
      <c r="D571" s="28" t="s">
        <v>1490</v>
      </c>
      <c r="E571" s="29" t="str">
        <f>_xlfn.XLOOKUP(Table7[[#This Row],[Malın kodu]],Table4[Malın kodu],Table4[Malın adı],"Xəta",0)</f>
        <v>Dirsək / d 25 mm / polietilen / 45° / "TEGA" / Türkiyə istehsalı</v>
      </c>
      <c r="F571" s="26">
        <v>1</v>
      </c>
      <c r="G571" s="26"/>
      <c r="H571" s="26" t="s">
        <v>899</v>
      </c>
      <c r="I571" s="26" t="s">
        <v>1918</v>
      </c>
    </row>
    <row r="572" spans="2:9" x14ac:dyDescent="0.25">
      <c r="B572" s="26">
        <f t="shared" si="8"/>
        <v>569</v>
      </c>
      <c r="C572" s="27">
        <v>46174</v>
      </c>
      <c r="D572" s="28" t="s">
        <v>1491</v>
      </c>
      <c r="E572" s="29" t="str">
        <f>_xlfn.XLOOKUP(Table7[[#This Row],[Malın kodu]],Table4[Malın kodu],Table4[Malın adı],"Xəta",0)</f>
        <v>Üçlük / d 25 mm / polietilen / "Borfit" / Türkiyə istehsalı</v>
      </c>
      <c r="F572" s="26">
        <v>2</v>
      </c>
      <c r="G572" s="26"/>
      <c r="H572" s="26" t="s">
        <v>899</v>
      </c>
      <c r="I572" s="26" t="s">
        <v>1918</v>
      </c>
    </row>
    <row r="573" spans="2:9" x14ac:dyDescent="0.25">
      <c r="B573" s="26">
        <f t="shared" si="8"/>
        <v>570</v>
      </c>
      <c r="C573" s="27">
        <v>46174</v>
      </c>
      <c r="D573" s="28" t="s">
        <v>1492</v>
      </c>
      <c r="E573" s="29" t="str">
        <f>_xlfn.XLOOKUP(Table7[[#This Row],[Malın kodu]],Table4[Malın kodu],Table4[Malın adı],"Xəta",0)</f>
        <v>Adaptor / d 110 mm / polipropilen</v>
      </c>
      <c r="F573" s="26">
        <v>2</v>
      </c>
      <c r="G573" s="26"/>
      <c r="H573" s="26" t="s">
        <v>899</v>
      </c>
      <c r="I573" s="26" t="s">
        <v>1918</v>
      </c>
    </row>
    <row r="574" spans="2:9" x14ac:dyDescent="0.25">
      <c r="B574" s="26">
        <f t="shared" si="8"/>
        <v>571</v>
      </c>
      <c r="C574" s="27">
        <v>46174</v>
      </c>
      <c r="D574" s="28" t="s">
        <v>1493</v>
      </c>
      <c r="E574" s="29" t="str">
        <f>_xlfn.XLOOKUP(Table7[[#This Row],[Malın kodu]],Table4[Malın kodu],Table4[Malın adı],"Xəta",0)</f>
        <v>Üçlük / d 50x63 mm / polipropilen</v>
      </c>
      <c r="F574" s="26">
        <v>1</v>
      </c>
      <c r="G574" s="26"/>
      <c r="H574" s="26" t="s">
        <v>899</v>
      </c>
      <c r="I574" s="26" t="s">
        <v>1918</v>
      </c>
    </row>
    <row r="575" spans="2:9" x14ac:dyDescent="0.25">
      <c r="B575" s="26">
        <f t="shared" si="8"/>
        <v>572</v>
      </c>
      <c r="C575" s="27">
        <v>46174</v>
      </c>
      <c r="D575" s="28" t="s">
        <v>1494</v>
      </c>
      <c r="E575" s="29" t="str">
        <f>_xlfn.XLOOKUP(Table7[[#This Row],[Malın kodu]],Table4[Malın kodu],Table4[Malın adı],"Xəta",0)</f>
        <v>Üçlük / d 90 mm / polipropilen</v>
      </c>
      <c r="F575" s="26">
        <v>1</v>
      </c>
      <c r="G575" s="26"/>
      <c r="H575" s="26" t="s">
        <v>899</v>
      </c>
      <c r="I575" s="26" t="s">
        <v>1918</v>
      </c>
    </row>
    <row r="576" spans="2:9" x14ac:dyDescent="0.25">
      <c r="B576" s="26">
        <f t="shared" si="8"/>
        <v>573</v>
      </c>
      <c r="C576" s="27">
        <v>46174</v>
      </c>
      <c r="D576" s="28" t="s">
        <v>1495</v>
      </c>
      <c r="E576" s="29" t="str">
        <f>_xlfn.XLOOKUP(Table7[[#This Row],[Malın kodu]],Table4[Malın kodu],Table4[Malın adı],"Xəta",0)</f>
        <v>Dirsək / d 110 mm / 90° / polipropilen</v>
      </c>
      <c r="F576" s="26">
        <v>1</v>
      </c>
      <c r="G576" s="26"/>
      <c r="H576" s="26" t="s">
        <v>899</v>
      </c>
      <c r="I576" s="26" t="s">
        <v>1918</v>
      </c>
    </row>
    <row r="577" spans="2:9" x14ac:dyDescent="0.25">
      <c r="B577" s="26">
        <f t="shared" si="8"/>
        <v>574</v>
      </c>
      <c r="C577" s="27">
        <v>46174</v>
      </c>
      <c r="D577" s="28" t="s">
        <v>1496</v>
      </c>
      <c r="E577" s="29" t="str">
        <f>_xlfn.XLOOKUP(Table7[[#This Row],[Malın kodu]],Table4[Malın kodu],Table4[Malın adı],"Xəta",0)</f>
        <v>Konteyner / 6 metr</v>
      </c>
      <c r="F577" s="26">
        <v>8</v>
      </c>
      <c r="G577" s="26"/>
      <c r="H577" s="26" t="s">
        <v>899</v>
      </c>
      <c r="I577" s="26" t="s">
        <v>1918</v>
      </c>
    </row>
    <row r="578" spans="2:9" x14ac:dyDescent="0.25">
      <c r="B578" s="26">
        <f t="shared" si="8"/>
        <v>575</v>
      </c>
      <c r="C578" s="27">
        <v>46174</v>
      </c>
      <c r="D578" s="28" t="s">
        <v>1497</v>
      </c>
      <c r="E578" s="29" t="str">
        <f>_xlfn.XLOOKUP(Table7[[#This Row],[Malın kodu]],Table4[Malın kodu],Table4[Malın adı],"Xəta",0)</f>
        <v>Konteyner / 12 metr</v>
      </c>
      <c r="F578" s="26">
        <v>3</v>
      </c>
      <c r="G578" s="26"/>
      <c r="H578" s="26" t="s">
        <v>899</v>
      </c>
      <c r="I578" s="26" t="s">
        <v>1918</v>
      </c>
    </row>
    <row r="579" spans="2:9" x14ac:dyDescent="0.25">
      <c r="B579" s="26">
        <f t="shared" si="8"/>
        <v>576</v>
      </c>
      <c r="C579" s="27">
        <v>46174</v>
      </c>
      <c r="D579" s="28" t="s">
        <v>1498</v>
      </c>
      <c r="E579" s="29" t="str">
        <f>_xlfn.XLOOKUP(Table7[[#This Row],[Malın kodu]],Table4[Malın kodu],Table4[Malın adı],"Xəta",0)</f>
        <v>Elevator korpusu / mühərrikli</v>
      </c>
      <c r="F579" s="26">
        <v>1</v>
      </c>
      <c r="G579" s="26"/>
      <c r="H579" s="26" t="s">
        <v>899</v>
      </c>
      <c r="I579" s="26" t="s">
        <v>1918</v>
      </c>
    </row>
    <row r="580" spans="2:9" x14ac:dyDescent="0.25">
      <c r="B580" s="26">
        <f t="shared" ref="B580:B643" si="9">ROW()-3</f>
        <v>577</v>
      </c>
      <c r="C580" s="27">
        <v>46174</v>
      </c>
      <c r="D580" s="28" t="s">
        <v>1499</v>
      </c>
      <c r="E580" s="29" t="str">
        <f>_xlfn.XLOOKUP(Table7[[#This Row],[Malın kodu]],Table4[Malın kodu],Table4[Malın adı],"Xəta",0)</f>
        <v>Ana piston dəsti / press / d1000 mm</v>
      </c>
      <c r="F580" s="26">
        <v>1</v>
      </c>
      <c r="G580" s="26"/>
      <c r="H580" s="26" t="s">
        <v>899</v>
      </c>
      <c r="I580" s="26" t="s">
        <v>1918</v>
      </c>
    </row>
    <row r="581" spans="2:9" x14ac:dyDescent="0.25">
      <c r="B581" s="26">
        <f t="shared" si="9"/>
        <v>578</v>
      </c>
      <c r="C581" s="27">
        <v>46174</v>
      </c>
      <c r="D581" s="28" t="s">
        <v>1500</v>
      </c>
      <c r="E581" s="29" t="str">
        <f>_xlfn.XLOOKUP(Table7[[#This Row],[Malın kodu]],Table4[Malın kodu],Table4[Malın adı],"Xəta",0)</f>
        <v>Rels / ana piston üçün / d1000 mm</v>
      </c>
      <c r="F581" s="26">
        <v>1</v>
      </c>
      <c r="G581" s="26"/>
      <c r="H581" s="26" t="s">
        <v>899</v>
      </c>
      <c r="I581" s="26" t="s">
        <v>1918</v>
      </c>
    </row>
    <row r="582" spans="2:9" x14ac:dyDescent="0.25">
      <c r="B582" s="26">
        <f t="shared" si="9"/>
        <v>579</v>
      </c>
      <c r="C582" s="27">
        <v>46174</v>
      </c>
      <c r="D582" s="28" t="s">
        <v>1501</v>
      </c>
      <c r="E582" s="29" t="str">
        <f>_xlfn.XLOOKUP(Table7[[#This Row],[Malın kodu]],Table4[Malın kodu],Table4[Malın adı],"Xəta",0)</f>
        <v>Ana piston dəsti / press / d2000 mm</v>
      </c>
      <c r="F582" s="26">
        <v>1</v>
      </c>
      <c r="G582" s="26"/>
      <c r="H582" s="26" t="s">
        <v>899</v>
      </c>
      <c r="I582" s="26" t="s">
        <v>1918</v>
      </c>
    </row>
    <row r="583" spans="2:9" x14ac:dyDescent="0.25">
      <c r="B583" s="26">
        <f t="shared" si="9"/>
        <v>580</v>
      </c>
      <c r="C583" s="27">
        <v>46174</v>
      </c>
      <c r="D583" s="28" t="s">
        <v>1502</v>
      </c>
      <c r="E583" s="29" t="str">
        <f>_xlfn.XLOOKUP(Table7[[#This Row],[Malın kodu]],Table4[Malın kodu],Table4[Malın adı],"Xəta",0)</f>
        <v>Ana piston dəsti / press / d1400 mm</v>
      </c>
      <c r="F583" s="26">
        <v>1</v>
      </c>
      <c r="G583" s="26"/>
      <c r="H583" s="26" t="s">
        <v>899</v>
      </c>
      <c r="I583" s="26" t="s">
        <v>1918</v>
      </c>
    </row>
    <row r="584" spans="2:9" x14ac:dyDescent="0.25">
      <c r="B584" s="26">
        <f t="shared" si="9"/>
        <v>581</v>
      </c>
      <c r="C584" s="27">
        <v>46174</v>
      </c>
      <c r="D584" s="28" t="s">
        <v>1503</v>
      </c>
      <c r="E584" s="29" t="str">
        <f>_xlfn.XLOOKUP(Table7[[#This Row],[Malın kodu]],Table4[Malın kodu],Table4[Malın adı],"Xəta",0)</f>
        <v>Başlıq / uran / d2500 mm</v>
      </c>
      <c r="F584" s="26">
        <v>1</v>
      </c>
      <c r="G584" s="26"/>
      <c r="H584" s="26" t="s">
        <v>899</v>
      </c>
      <c r="I584" s="26" t="s">
        <v>1918</v>
      </c>
    </row>
    <row r="585" spans="2:9" x14ac:dyDescent="0.25">
      <c r="B585" s="26">
        <f t="shared" si="9"/>
        <v>582</v>
      </c>
      <c r="C585" s="27">
        <v>46174</v>
      </c>
      <c r="D585" s="28" t="s">
        <v>1504</v>
      </c>
      <c r="E585" s="29" t="str">
        <f>_xlfn.XLOOKUP(Table7[[#This Row],[Malın kodu]],Table4[Malın kodu],Table4[Malın adı],"Xəta",0)</f>
        <v>Başlıq / uran / d2200 mm</v>
      </c>
      <c r="F585" s="26">
        <v>1</v>
      </c>
      <c r="G585" s="26"/>
      <c r="H585" s="26" t="s">
        <v>899</v>
      </c>
      <c r="I585" s="26" t="s">
        <v>1918</v>
      </c>
    </row>
    <row r="586" spans="2:9" x14ac:dyDescent="0.25">
      <c r="B586" s="26">
        <f t="shared" si="9"/>
        <v>583</v>
      </c>
      <c r="C586" s="27">
        <v>46174</v>
      </c>
      <c r="D586" s="28" t="s">
        <v>1505</v>
      </c>
      <c r="E586" s="29" t="str">
        <f>_xlfn.XLOOKUP(Table7[[#This Row],[Malın kodu]],Table4[Malın kodu],Table4[Malın adı],"Xəta",0)</f>
        <v>Başlıq / uran / d1000 mm</v>
      </c>
      <c r="F586" s="26">
        <v>2</v>
      </c>
      <c r="G586" s="26"/>
      <c r="H586" s="26" t="s">
        <v>899</v>
      </c>
      <c r="I586" s="26" t="s">
        <v>1918</v>
      </c>
    </row>
    <row r="587" spans="2:9" x14ac:dyDescent="0.25">
      <c r="B587" s="26">
        <f t="shared" si="9"/>
        <v>584</v>
      </c>
      <c r="C587" s="27">
        <v>46174</v>
      </c>
      <c r="D587" s="28" t="s">
        <v>1506</v>
      </c>
      <c r="E587" s="29" t="str">
        <f>_xlfn.XLOOKUP(Table7[[#This Row],[Malın kodu]],Table4[Malın kodu],Table4[Malın adı],"Xəta",0)</f>
        <v>Başlıq / uran / d1000 mm / ön parçası</v>
      </c>
      <c r="F587" s="26">
        <v>1</v>
      </c>
      <c r="G587" s="26"/>
      <c r="H587" s="26" t="s">
        <v>899</v>
      </c>
      <c r="I587" s="26" t="s">
        <v>1918</v>
      </c>
    </row>
    <row r="588" spans="2:9" x14ac:dyDescent="0.25">
      <c r="B588" s="26">
        <f t="shared" si="9"/>
        <v>585</v>
      </c>
      <c r="C588" s="27">
        <v>46174</v>
      </c>
      <c r="D588" s="28" t="s">
        <v>1507</v>
      </c>
      <c r="E588" s="29" t="str">
        <f>_xlfn.XLOOKUP(Table7[[#This Row],[Malın kodu]],Table4[Malın kodu],Table4[Malın adı],"Xəta",0)</f>
        <v>Ara tampon / d1000 mm / eni 600 mm</v>
      </c>
      <c r="F588" s="26">
        <v>1</v>
      </c>
      <c r="G588" s="26"/>
      <c r="H588" s="26" t="s">
        <v>899</v>
      </c>
      <c r="I588" s="26" t="s">
        <v>1918</v>
      </c>
    </row>
    <row r="589" spans="2:9" x14ac:dyDescent="0.25">
      <c r="B589" s="26">
        <f t="shared" si="9"/>
        <v>586</v>
      </c>
      <c r="C589" s="27">
        <v>46174</v>
      </c>
      <c r="D589" s="28" t="s">
        <v>1508</v>
      </c>
      <c r="E589" s="29" t="str">
        <f>_xlfn.XLOOKUP(Table7[[#This Row],[Malın kodu]],Table4[Malın kodu],Table4[Malın adı],"Xəta",0)</f>
        <v>Ara tampon / d1000 mm / eni 1250 mm</v>
      </c>
      <c r="F589" s="26">
        <v>1</v>
      </c>
      <c r="G589" s="26"/>
      <c r="H589" s="26" t="s">
        <v>899</v>
      </c>
      <c r="I589" s="26" t="s">
        <v>1918</v>
      </c>
    </row>
    <row r="590" spans="2:9" x14ac:dyDescent="0.25">
      <c r="B590" s="26">
        <f t="shared" si="9"/>
        <v>587</v>
      </c>
      <c r="C590" s="27">
        <v>46174</v>
      </c>
      <c r="D590" s="28" t="s">
        <v>1509</v>
      </c>
      <c r="E590" s="29" t="str">
        <f>_xlfn.XLOOKUP(Table7[[#This Row],[Malın kodu]],Table4[Malın kodu],Table4[Malın adı],"Xəta",0)</f>
        <v>Ara tampon / d1000 mm / eni 1180 mm</v>
      </c>
      <c r="F590" s="26">
        <v>1</v>
      </c>
      <c r="G590" s="26"/>
      <c r="H590" s="26" t="s">
        <v>899</v>
      </c>
      <c r="I590" s="26" t="s">
        <v>1918</v>
      </c>
    </row>
    <row r="591" spans="2:9" x14ac:dyDescent="0.25">
      <c r="B591" s="26">
        <f t="shared" si="9"/>
        <v>588</v>
      </c>
      <c r="C591" s="27">
        <v>46174</v>
      </c>
      <c r="D591" s="28" t="s">
        <v>1510</v>
      </c>
      <c r="E591" s="29" t="str">
        <f>_xlfn.XLOOKUP(Table7[[#This Row],[Malın kodu]],Table4[Malın kodu],Table4[Malın adı],"Xəta",0)</f>
        <v>Ara tampon / d1400 mm / eni 1900 mm</v>
      </c>
      <c r="F591" s="26">
        <v>1</v>
      </c>
      <c r="G591" s="26"/>
      <c r="H591" s="26" t="s">
        <v>899</v>
      </c>
      <c r="I591" s="26" t="s">
        <v>1918</v>
      </c>
    </row>
    <row r="592" spans="2:9" x14ac:dyDescent="0.25">
      <c r="B592" s="26">
        <f t="shared" si="9"/>
        <v>589</v>
      </c>
      <c r="C592" s="27">
        <v>46174</v>
      </c>
      <c r="D592" s="28" t="s">
        <v>1511</v>
      </c>
      <c r="E592" s="29" t="str">
        <f>_xlfn.XLOOKUP(Table7[[#This Row],[Malın kodu]],Table4[Malın kodu],Table4[Malın adı],"Xəta",0)</f>
        <v>Ara tampon / d1400 mm / eni 2040 mm</v>
      </c>
      <c r="F592" s="26">
        <v>1</v>
      </c>
      <c r="G592" s="26"/>
      <c r="H592" s="26" t="s">
        <v>899</v>
      </c>
      <c r="I592" s="26" t="s">
        <v>1918</v>
      </c>
    </row>
    <row r="593" spans="2:9" x14ac:dyDescent="0.25">
      <c r="B593" s="26">
        <f t="shared" si="9"/>
        <v>590</v>
      </c>
      <c r="C593" s="27">
        <v>46174</v>
      </c>
      <c r="D593" s="28" t="s">
        <v>1512</v>
      </c>
      <c r="E593" s="29" t="str">
        <f>_xlfn.XLOOKUP(Table7[[#This Row],[Malın kodu]],Table4[Malın kodu],Table4[Malın adı],"Xəta",0)</f>
        <v>Ara tampon / d1400 mm / eni 1180 mm</v>
      </c>
      <c r="F593" s="26">
        <v>1</v>
      </c>
      <c r="G593" s="26"/>
      <c r="H593" s="26" t="s">
        <v>899</v>
      </c>
      <c r="I593" s="26" t="s">
        <v>1918</v>
      </c>
    </row>
    <row r="594" spans="2:9" x14ac:dyDescent="0.25">
      <c r="B594" s="26">
        <f t="shared" si="9"/>
        <v>591</v>
      </c>
      <c r="C594" s="27">
        <v>46174</v>
      </c>
      <c r="D594" s="28" t="s">
        <v>1513</v>
      </c>
      <c r="E594" s="29" t="str">
        <f>_xlfn.XLOOKUP(Table7[[#This Row],[Malın kodu]],Table4[Malın kodu],Table4[Malın adı],"Xəta",0)</f>
        <v>Ara tampon / d 2160 mm / eni 1250 mm</v>
      </c>
      <c r="F594" s="26">
        <v>1</v>
      </c>
      <c r="G594" s="26"/>
      <c r="H594" s="26" t="s">
        <v>899</v>
      </c>
      <c r="I594" s="26" t="s">
        <v>1918</v>
      </c>
    </row>
    <row r="595" spans="2:9" x14ac:dyDescent="0.25">
      <c r="B595" s="26">
        <f t="shared" si="9"/>
        <v>592</v>
      </c>
      <c r="C595" s="27">
        <v>46174</v>
      </c>
      <c r="D595" s="28" t="s">
        <v>1514</v>
      </c>
      <c r="E595" s="29" t="str">
        <f>_xlfn.XLOOKUP(Table7[[#This Row],[Malın kodu]],Table4[Malın kodu],Table4[Malın adı],"Xəta",0)</f>
        <v>Ara tampon / d 2400 mm / eni 1500 mm</v>
      </c>
      <c r="F595" s="26">
        <v>1</v>
      </c>
      <c r="G595" s="26"/>
      <c r="H595" s="26" t="s">
        <v>899</v>
      </c>
      <c r="I595" s="26" t="s">
        <v>1918</v>
      </c>
    </row>
    <row r="596" spans="2:9" x14ac:dyDescent="0.25">
      <c r="B596" s="26">
        <f t="shared" si="9"/>
        <v>593</v>
      </c>
      <c r="C596" s="27">
        <v>46174</v>
      </c>
      <c r="D596" s="28" t="s">
        <v>1515</v>
      </c>
      <c r="E596" s="29" t="str">
        <f>_xlfn.XLOOKUP(Table7[[#This Row],[Malın kodu]],Table4[Malın kodu],Table4[Malın adı],"Xəta",0)</f>
        <v>Diyircəkli yastıq / d 1300 mm</v>
      </c>
      <c r="F596" s="26">
        <v>1</v>
      </c>
      <c r="G596" s="26"/>
      <c r="H596" s="26" t="s">
        <v>899</v>
      </c>
      <c r="I596" s="26" t="s">
        <v>1918</v>
      </c>
    </row>
    <row r="597" spans="2:9" x14ac:dyDescent="0.25">
      <c r="B597" s="26">
        <f t="shared" si="9"/>
        <v>594</v>
      </c>
      <c r="C597" s="27">
        <v>46174</v>
      </c>
      <c r="D597" s="28" t="s">
        <v>1516</v>
      </c>
      <c r="E597" s="29" t="str">
        <f>_xlfn.XLOOKUP(Table7[[#This Row],[Malın kodu]],Table4[Malın kodu],Table4[Malın adı],"Xəta",0)</f>
        <v>Başlıq / d 1000 mm / metal</v>
      </c>
      <c r="F597" s="26">
        <v>1</v>
      </c>
      <c r="G597" s="26"/>
      <c r="H597" s="26" t="s">
        <v>899</v>
      </c>
      <c r="I597" s="26" t="s">
        <v>1918</v>
      </c>
    </row>
    <row r="598" spans="2:9" x14ac:dyDescent="0.25">
      <c r="B598" s="26">
        <f t="shared" si="9"/>
        <v>595</v>
      </c>
      <c r="C598" s="27">
        <v>46174</v>
      </c>
      <c r="D598" s="28" t="s">
        <v>1517</v>
      </c>
      <c r="E598" s="29" t="str">
        <f>_xlfn.XLOOKUP(Table7[[#This Row],[Malın kodu]],Table4[Malın kodu],Table4[Malın adı],"Xəta",0)</f>
        <v>Artırma qolu / 540x240mm / 2000mm ara pistonu üçün</v>
      </c>
      <c r="F598" s="26">
        <v>5</v>
      </c>
      <c r="G598" s="26"/>
      <c r="H598" s="26" t="s">
        <v>899</v>
      </c>
      <c r="I598" s="26" t="s">
        <v>1918</v>
      </c>
    </row>
    <row r="599" spans="2:9" x14ac:dyDescent="0.25">
      <c r="B599" s="26">
        <f t="shared" si="9"/>
        <v>596</v>
      </c>
      <c r="C599" s="27">
        <v>46174</v>
      </c>
      <c r="D599" s="28" t="s">
        <v>1518</v>
      </c>
      <c r="E599" s="29" t="str">
        <f>_xlfn.XLOOKUP(Table7[[#This Row],[Malın kodu]],Table4[Malın kodu],Table4[Malın adı],"Xəta",0)</f>
        <v>Şlanq / hidravlik / d 25mm / L 8metr / 380 atm</v>
      </c>
      <c r="F599" s="26">
        <v>14</v>
      </c>
      <c r="G599" s="26"/>
      <c r="H599" s="26" t="s">
        <v>899</v>
      </c>
      <c r="I599" s="26" t="s">
        <v>1918</v>
      </c>
    </row>
    <row r="600" spans="2:9" x14ac:dyDescent="0.25">
      <c r="B600" s="26">
        <f t="shared" si="9"/>
        <v>597</v>
      </c>
      <c r="C600" s="27">
        <v>46174</v>
      </c>
      <c r="D600" s="28" t="s">
        <v>1519</v>
      </c>
      <c r="E600" s="29" t="str">
        <f>_xlfn.XLOOKUP(Table7[[#This Row],[Malın kodu]],Table4[Malın kodu],Table4[Malın adı],"Xəta",0)</f>
        <v>Kompakter / əl katoku / dizel</v>
      </c>
      <c r="F600" s="26">
        <v>5</v>
      </c>
      <c r="G600" s="26"/>
      <c r="H600" s="26" t="s">
        <v>899</v>
      </c>
      <c r="I600" s="26" t="s">
        <v>1918</v>
      </c>
    </row>
    <row r="601" spans="2:9" x14ac:dyDescent="0.25">
      <c r="B601" s="26">
        <f t="shared" si="9"/>
        <v>598</v>
      </c>
      <c r="C601" s="27">
        <v>46174</v>
      </c>
      <c r="D601" s="28" t="s">
        <v>1520</v>
      </c>
      <c r="E601" s="29" t="str">
        <f>_xlfn.XLOOKUP(Table7[[#This Row],[Malın kodu]],Table4[Malın kodu],Table4[Malın adı],"Xəta",0)</f>
        <v>Ventilyator / 2.2 kvt / 8100 m³/saat / 940 d/d / ilbiz tipli / "Vents"</v>
      </c>
      <c r="F601" s="26">
        <v>2</v>
      </c>
      <c r="G601" s="26"/>
      <c r="H601" s="26" t="s">
        <v>899</v>
      </c>
      <c r="I601" s="26" t="s">
        <v>1918</v>
      </c>
    </row>
    <row r="602" spans="2:9" x14ac:dyDescent="0.25">
      <c r="B602" s="26">
        <f t="shared" si="9"/>
        <v>599</v>
      </c>
      <c r="C602" s="27">
        <v>46174</v>
      </c>
      <c r="D602" s="28" t="s">
        <v>1521</v>
      </c>
      <c r="E602" s="29" t="str">
        <f>_xlfn.XLOOKUP(Table7[[#This Row],[Malın kodu]],Table4[Malın kodu],Table4[Malın adı],"Xəta",0)</f>
        <v>Qaynaq aparatı / ütü / d 315 mm / polietilen boru üçün</v>
      </c>
      <c r="F602" s="26">
        <v>1</v>
      </c>
      <c r="G602" s="26"/>
      <c r="H602" s="26" t="s">
        <v>899</v>
      </c>
      <c r="I602" s="26" t="s">
        <v>1918</v>
      </c>
    </row>
    <row r="603" spans="2:9" x14ac:dyDescent="0.25">
      <c r="B603" s="26">
        <f t="shared" si="9"/>
        <v>600</v>
      </c>
      <c r="C603" s="27">
        <v>46174</v>
      </c>
      <c r="D603" s="28" t="s">
        <v>1522</v>
      </c>
      <c r="E603" s="29" t="str">
        <f>_xlfn.XLOOKUP(Table7[[#This Row],[Malın kodu]],Table4[Malın kodu],Table4[Malın adı],"Xəta",0)</f>
        <v>Generator / "NSM" / T100 LA / İtaliya istehsalı</v>
      </c>
      <c r="F603" s="26">
        <v>1</v>
      </c>
      <c r="G603" s="26"/>
      <c r="H603" s="26" t="s">
        <v>899</v>
      </c>
      <c r="I603" s="26" t="s">
        <v>1918</v>
      </c>
    </row>
    <row r="604" spans="2:9" x14ac:dyDescent="0.25">
      <c r="B604" s="26">
        <f t="shared" si="9"/>
        <v>601</v>
      </c>
      <c r="C604" s="27">
        <v>46174</v>
      </c>
      <c r="D604" s="28" t="s">
        <v>1523</v>
      </c>
      <c r="E604" s="29" t="str">
        <f>_xlfn.XLOOKUP(Table7[[#This Row],[Malın kodu]],Table4[Malın kodu],Table4[Malın adı],"Xəta",0)</f>
        <v>Generator / "NSM" / WS220 TDC / İtaliya istehsalı</v>
      </c>
      <c r="F604" s="26">
        <v>1</v>
      </c>
      <c r="G604" s="26"/>
      <c r="H604" s="26" t="s">
        <v>899</v>
      </c>
      <c r="I604" s="26" t="s">
        <v>1918</v>
      </c>
    </row>
    <row r="605" spans="2:9" x14ac:dyDescent="0.25">
      <c r="B605" s="26">
        <f t="shared" si="9"/>
        <v>602</v>
      </c>
      <c r="C605" s="27">
        <v>46174</v>
      </c>
      <c r="D605" s="28" t="s">
        <v>1524</v>
      </c>
      <c r="E605" s="29" t="str">
        <f>_xlfn.XLOOKUP(Table7[[#This Row],[Malın kodu]],Table4[Malın kodu],Table4[Malın adı],"Xəta",0)</f>
        <v>Generator / 7.5 kVA / dizel / "Power Tech"</v>
      </c>
      <c r="F605" s="26">
        <v>1</v>
      </c>
      <c r="G605" s="26"/>
      <c r="H605" s="26" t="s">
        <v>899</v>
      </c>
      <c r="I605" s="26" t="s">
        <v>1918</v>
      </c>
    </row>
    <row r="606" spans="2:9" ht="30" x14ac:dyDescent="0.25">
      <c r="B606" s="26">
        <f t="shared" si="9"/>
        <v>603</v>
      </c>
      <c r="C606" s="27">
        <v>46174</v>
      </c>
      <c r="D606" s="28" t="s">
        <v>1525</v>
      </c>
      <c r="E606" s="29" t="str">
        <f>_xlfn.XLOOKUP(Table7[[#This Row],[Malın kodu]],Table4[Malın kodu],Table4[Malın adı],"Xəta",0)</f>
        <v>Armatur kəsən / hidravlik / d 36 mm / 4 kvt / 1500 d/d / "AFACAN" / Türkiyə istehsalı</v>
      </c>
      <c r="F606" s="26">
        <v>2</v>
      </c>
      <c r="G606" s="26"/>
      <c r="H606" s="26" t="s">
        <v>899</v>
      </c>
      <c r="I606" s="26" t="s">
        <v>1918</v>
      </c>
    </row>
    <row r="607" spans="2:9" x14ac:dyDescent="0.25">
      <c r="B607" s="26">
        <f t="shared" si="9"/>
        <v>604</v>
      </c>
      <c r="C607" s="27">
        <v>46174</v>
      </c>
      <c r="D607" s="28" t="s">
        <v>1526</v>
      </c>
      <c r="E607" s="29" t="str">
        <f>_xlfn.XLOOKUP(Table7[[#This Row],[Malın kodu]],Table4[Malın kodu],Table4[Malın adı],"Xəta",0)</f>
        <v>Lebyodka / 2 ton / 60 metr / elektrik mühərrikli</v>
      </c>
      <c r="F607" s="26">
        <v>1</v>
      </c>
      <c r="G607" s="26"/>
      <c r="H607" s="26" t="s">
        <v>899</v>
      </c>
      <c r="I607" s="26" t="s">
        <v>1918</v>
      </c>
    </row>
    <row r="608" spans="2:9" x14ac:dyDescent="0.25">
      <c r="B608" s="26">
        <f t="shared" si="9"/>
        <v>605</v>
      </c>
      <c r="C608" s="27">
        <v>46174</v>
      </c>
      <c r="D608" s="28" t="s">
        <v>1527</v>
      </c>
      <c r="E608" s="29" t="str">
        <f>_xlfn.XLOOKUP(Table7[[#This Row],[Malın kodu]],Table4[Malın kodu],Table4[Malın adı],"Xəta",0)</f>
        <v>Rəndə dəzgahı / 1800 Vt / 300 mm / 9000 d/d / "ЗУБР" / РС-330</v>
      </c>
      <c r="F608" s="26">
        <v>1</v>
      </c>
      <c r="G608" s="26"/>
      <c r="H608" s="26" t="s">
        <v>899</v>
      </c>
      <c r="I608" s="26" t="s">
        <v>1918</v>
      </c>
    </row>
    <row r="609" spans="2:9" x14ac:dyDescent="0.25">
      <c r="B609" s="26">
        <f t="shared" si="9"/>
        <v>606</v>
      </c>
      <c r="C609" s="27">
        <v>46174</v>
      </c>
      <c r="D609" s="28" t="s">
        <v>1528</v>
      </c>
      <c r="E609" s="29" t="str">
        <f>_xlfn.XLOOKUP(Table7[[#This Row],[Malın kodu]],Table4[Malın kodu],Table4[Malın adı],"Xəta",0)</f>
        <v>Generator / benzin / 3.0 kvt / AVR automatic</v>
      </c>
      <c r="F609" s="26">
        <v>1</v>
      </c>
      <c r="G609" s="26"/>
      <c r="H609" s="26" t="s">
        <v>899</v>
      </c>
      <c r="I609" s="26" t="s">
        <v>1918</v>
      </c>
    </row>
    <row r="610" spans="2:9" x14ac:dyDescent="0.25">
      <c r="B610" s="26">
        <f t="shared" si="9"/>
        <v>607</v>
      </c>
      <c r="C610" s="27">
        <v>46174</v>
      </c>
      <c r="D610" s="28" t="s">
        <v>1529</v>
      </c>
      <c r="E610" s="29" t="str">
        <f>_xlfn.XLOOKUP(Table7[[#This Row],[Malın kodu]],Table4[Malın kodu],Table4[Malın adı],"Xəta",0)</f>
        <v>Hasar / plastik</v>
      </c>
      <c r="F610" s="26">
        <v>10</v>
      </c>
      <c r="G610" s="26"/>
      <c r="H610" s="26" t="s">
        <v>899</v>
      </c>
      <c r="I610" s="26" t="s">
        <v>1918</v>
      </c>
    </row>
    <row r="611" spans="2:9" ht="30" x14ac:dyDescent="0.25">
      <c r="B611" s="26">
        <f t="shared" si="9"/>
        <v>608</v>
      </c>
      <c r="C611" s="27">
        <v>46174</v>
      </c>
      <c r="D611" s="28" t="s">
        <v>1530</v>
      </c>
      <c r="E611" s="29" t="str">
        <f>_xlfn.XLOOKUP(Table7[[#This Row],[Malın kodu]],Table4[Malın kodu],Table4[Malın adı],"Xəta",0)</f>
        <v>Qazma qurğusu / horizantal şnekli / d 720 mm / 80-150 metr / 100 ton / Lazer nişanlı / "МЕМПЭКС" / МНБШ-600 / Belarus istehsalı</v>
      </c>
      <c r="F611" s="26">
        <v>1</v>
      </c>
      <c r="G611" s="26"/>
      <c r="H611" s="26" t="s">
        <v>899</v>
      </c>
      <c r="I611" s="26" t="s">
        <v>1918</v>
      </c>
    </row>
    <row r="612" spans="2:9" x14ac:dyDescent="0.25">
      <c r="B612" s="26">
        <f t="shared" si="9"/>
        <v>609</v>
      </c>
      <c r="C612" s="27">
        <v>46174</v>
      </c>
      <c r="D612" s="28" t="s">
        <v>1531</v>
      </c>
      <c r="E612" s="29" t="str">
        <f>_xlfn.XLOOKUP(Table7[[#This Row],[Malın kodu]],Table4[Malın kodu],Table4[Malın adı],"Xəta",0)</f>
        <v>Beton kəsən / "PALME" / PD13B / Türkiyə istehsalı</v>
      </c>
      <c r="F612" s="26">
        <v>1</v>
      </c>
      <c r="G612" s="26"/>
      <c r="H612" s="26" t="s">
        <v>899</v>
      </c>
      <c r="I612" s="26" t="s">
        <v>1918</v>
      </c>
    </row>
    <row r="613" spans="2:9" ht="30" x14ac:dyDescent="0.25">
      <c r="B613" s="26">
        <f t="shared" si="9"/>
        <v>610</v>
      </c>
      <c r="C613" s="27">
        <v>46174</v>
      </c>
      <c r="D613" s="28" t="s">
        <v>1532</v>
      </c>
      <c r="E613" s="29" t="str">
        <f>_xlfn.XLOOKUP(Table7[[#This Row],[Malın kodu]],Table4[Malın kodu],Table4[Malın adı],"Xəta",0)</f>
        <v>Generator / dizel / 4.5 kvt / 220V / 50 Hz / IP23 / "FIRMAN" / SDG5500CLE / Çin istehsalı / 1 əd</v>
      </c>
      <c r="F613" s="26">
        <v>1</v>
      </c>
      <c r="G613" s="26"/>
      <c r="H613" s="26" t="s">
        <v>899</v>
      </c>
      <c r="I613" s="26" t="s">
        <v>1918</v>
      </c>
    </row>
    <row r="614" spans="2:9" x14ac:dyDescent="0.25">
      <c r="B614" s="26">
        <f t="shared" si="9"/>
        <v>611</v>
      </c>
      <c r="C614" s="27">
        <v>46174</v>
      </c>
      <c r="D614" s="28" t="s">
        <v>1533</v>
      </c>
      <c r="E614" s="29" t="str">
        <f>_xlfn.XLOOKUP(Table7[[#This Row],[Malın kodu]],Table4[Malın kodu],Table4[Malın adı],"Xəta",0)</f>
        <v>Generator / "ITC POWER" / Çin istehsalı</v>
      </c>
      <c r="F614" s="26">
        <v>1</v>
      </c>
      <c r="G614" s="26"/>
      <c r="H614" s="26" t="s">
        <v>899</v>
      </c>
      <c r="I614" s="26" t="s">
        <v>1918</v>
      </c>
    </row>
    <row r="615" spans="2:9" ht="30" x14ac:dyDescent="0.25">
      <c r="B615" s="26">
        <f t="shared" si="9"/>
        <v>612</v>
      </c>
      <c r="C615" s="27">
        <v>46174</v>
      </c>
      <c r="D615" s="28" t="s">
        <v>1534</v>
      </c>
      <c r="E615" s="29" t="str">
        <f>_xlfn.XLOOKUP(Table7[[#This Row],[Malın kodu]],Table4[Malın kodu],Table4[Malın adı],"Xəta",0)</f>
        <v>Qaynaq Aparatı / 650A / 3 faza / 380V / 50/60 Hz / IP23 / "Gekamac" / RKM650 / Türkiyə istehsalı</v>
      </c>
      <c r="F615" s="26">
        <v>1</v>
      </c>
      <c r="G615" s="26"/>
      <c r="H615" s="26" t="s">
        <v>899</v>
      </c>
      <c r="I615" s="26" t="s">
        <v>1918</v>
      </c>
    </row>
    <row r="616" spans="2:9" ht="30" x14ac:dyDescent="0.25">
      <c r="B616" s="26">
        <f t="shared" si="9"/>
        <v>613</v>
      </c>
      <c r="C616" s="27">
        <v>46174</v>
      </c>
      <c r="D616" s="28" t="s">
        <v>1535</v>
      </c>
      <c r="E616" s="29" t="str">
        <f>_xlfn.XLOOKUP(Table7[[#This Row],[Malın kodu]],Table4[Malın kodu],Table4[Malın adı],"Xəta",0)</f>
        <v>Armatur kəsən / hidravlik / 3 kvt / 380V / "Yakar Kardeşler" / YK2609 / Türkiyə istehsalı</v>
      </c>
      <c r="F616" s="26">
        <v>1</v>
      </c>
      <c r="G616" s="26"/>
      <c r="H616" s="26" t="s">
        <v>899</v>
      </c>
      <c r="I616" s="26" t="s">
        <v>1918</v>
      </c>
    </row>
    <row r="617" spans="2:9" ht="30" x14ac:dyDescent="0.25">
      <c r="B617" s="26">
        <f t="shared" si="9"/>
        <v>614</v>
      </c>
      <c r="C617" s="27">
        <v>46174</v>
      </c>
      <c r="D617" s="28" t="s">
        <v>1536</v>
      </c>
      <c r="E617" s="29" t="str">
        <f>_xlfn.XLOOKUP(Table7[[#This Row],[Malın kodu]],Table4[Malın kodu],Table4[Malın adı],"Xəta",0)</f>
        <v>Generator / 6.5 kVA / 220A / 50 Hz / IP23 / 230-400V / "Antor HW" / Türkiyə istehsalı</v>
      </c>
      <c r="F617" s="26">
        <v>1</v>
      </c>
      <c r="G617" s="26"/>
      <c r="H617" s="26" t="s">
        <v>899</v>
      </c>
      <c r="I617" s="26" t="s">
        <v>1918</v>
      </c>
    </row>
    <row r="618" spans="2:9" ht="30" x14ac:dyDescent="0.25">
      <c r="B618" s="26">
        <f t="shared" si="9"/>
        <v>615</v>
      </c>
      <c r="C618" s="27">
        <v>46174</v>
      </c>
      <c r="D618" s="28" t="s">
        <v>1537</v>
      </c>
      <c r="E618" s="29" t="str">
        <f>_xlfn.XLOOKUP(Table7[[#This Row],[Malın kodu]],Table4[Malın kodu],Table4[Malın adı],"Xəta",0)</f>
        <v>Generator / 8.5 kVA / dizel / 220-240V / 1 faza / "Bison" / BS11000DCE / Çin istehsalı</v>
      </c>
      <c r="F618" s="26">
        <v>1</v>
      </c>
      <c r="G618" s="26"/>
      <c r="H618" s="26" t="s">
        <v>899</v>
      </c>
      <c r="I618" s="26" t="s">
        <v>1918</v>
      </c>
    </row>
    <row r="619" spans="2:9" ht="30" x14ac:dyDescent="0.25">
      <c r="B619" s="26">
        <f t="shared" si="9"/>
        <v>616</v>
      </c>
      <c r="C619" s="27">
        <v>46174</v>
      </c>
      <c r="D619" s="28" t="s">
        <v>1538</v>
      </c>
      <c r="E619" s="29" t="str">
        <f>_xlfn.XLOOKUP(Table7[[#This Row],[Malın kodu]],Table4[Malın kodu],Table4[Malın adı],"Xəta",0)</f>
        <v>Generator / 6.5 kvt / 230V / benzin / "AKSA" / AAP8000E / Türkiyə istehsalı</v>
      </c>
      <c r="F619" s="26">
        <v>1</v>
      </c>
      <c r="G619" s="26"/>
      <c r="H619" s="26" t="s">
        <v>899</v>
      </c>
      <c r="I619" s="26" t="s">
        <v>1918</v>
      </c>
    </row>
    <row r="620" spans="2:9" x14ac:dyDescent="0.25">
      <c r="B620" s="26">
        <f t="shared" si="9"/>
        <v>617</v>
      </c>
      <c r="C620" s="27">
        <v>46174</v>
      </c>
      <c r="D620" s="28" t="s">
        <v>1539</v>
      </c>
      <c r="E620" s="29" t="str">
        <f>_xlfn.XLOOKUP(Table7[[#This Row],[Malın kodu]],Table4[Malın kodu],Table4[Malın adı],"Xəta",0)</f>
        <v>Generator / 7.5 kvt / benzin / 220-230V / "KEMAN" / Çin istehsalı</v>
      </c>
      <c r="F620" s="26">
        <v>1</v>
      </c>
      <c r="G620" s="26"/>
      <c r="H620" s="26" t="s">
        <v>899</v>
      </c>
      <c r="I620" s="26" t="s">
        <v>1918</v>
      </c>
    </row>
    <row r="621" spans="2:9" ht="30" x14ac:dyDescent="0.25">
      <c r="B621" s="26">
        <f t="shared" si="9"/>
        <v>618</v>
      </c>
      <c r="C621" s="27">
        <v>46174</v>
      </c>
      <c r="D621" s="28" t="s">
        <v>1540</v>
      </c>
      <c r="E621" s="29" t="str">
        <f>_xlfn.XLOOKUP(Table7[[#This Row],[Malın kodu]],Table4[Malın kodu],Table4[Malın adı],"Xəta",0)</f>
        <v>Armatur əyən / 3 kvt / 11 d/d / 380V / 3 faza / "AFACAN" / B36 / Türkiyə istehsalı</v>
      </c>
      <c r="F621" s="26">
        <v>3</v>
      </c>
      <c r="G621" s="26"/>
      <c r="H621" s="26" t="s">
        <v>899</v>
      </c>
      <c r="I621" s="26" t="s">
        <v>1918</v>
      </c>
    </row>
    <row r="622" spans="2:9" x14ac:dyDescent="0.25">
      <c r="B622" s="26">
        <f t="shared" si="9"/>
        <v>619</v>
      </c>
      <c r="C622" s="27">
        <v>46174</v>
      </c>
      <c r="D622" s="28" t="s">
        <v>1541</v>
      </c>
      <c r="E622" s="29" t="str">
        <f>_xlfn.XLOOKUP(Table7[[#This Row],[Malın kodu]],Table4[Malın kodu],Table4[Malın adı],"Xəta",0)</f>
        <v>Pərçimləmə dəzgahı / press</v>
      </c>
      <c r="F622" s="26">
        <v>1</v>
      </c>
      <c r="G622" s="26"/>
      <c r="H622" s="26" t="s">
        <v>899</v>
      </c>
      <c r="I622" s="26" t="s">
        <v>1918</v>
      </c>
    </row>
    <row r="623" spans="2:9" ht="30" x14ac:dyDescent="0.25">
      <c r="B623" s="26">
        <f t="shared" si="9"/>
        <v>620</v>
      </c>
      <c r="C623" s="27">
        <v>46174</v>
      </c>
      <c r="D623" s="28" t="s">
        <v>1542</v>
      </c>
      <c r="E623" s="29" t="str">
        <f>_xlfn.XLOOKUP(Table7[[#This Row],[Malın kodu]],Table4[Malın kodu],Table4[Malın adı],"Xəta",0)</f>
        <v>Kompressor / 2.4 Atm / "IR Ingersoll Rand" / 7/3IE / İngiltərə istehsalı</v>
      </c>
      <c r="F623" s="26">
        <v>1</v>
      </c>
      <c r="G623" s="26"/>
      <c r="H623" s="26" t="s">
        <v>899</v>
      </c>
      <c r="I623" s="26" t="s">
        <v>1918</v>
      </c>
    </row>
    <row r="624" spans="2:9" ht="30" x14ac:dyDescent="0.25">
      <c r="B624" s="26">
        <f t="shared" si="9"/>
        <v>621</v>
      </c>
      <c r="C624" s="27">
        <v>46174</v>
      </c>
      <c r="D624" s="28" t="s">
        <v>1543</v>
      </c>
      <c r="E624" s="29" t="str">
        <f>_xlfn.XLOOKUP(Table7[[#This Row],[Malın kodu]],Table4[Malın kodu],Table4[Malın adı],"Xəta",0)</f>
        <v>Generator / dizel / 36 kVt/ 1500 d/d / "AKSA" / A3CRX32T / Türk istehsalı</v>
      </c>
      <c r="F624" s="26">
        <v>1</v>
      </c>
      <c r="G624" s="26"/>
      <c r="H624" s="26" t="s">
        <v>899</v>
      </c>
      <c r="I624" s="26" t="s">
        <v>1918</v>
      </c>
    </row>
    <row r="625" spans="2:9" x14ac:dyDescent="0.25">
      <c r="B625" s="26">
        <f t="shared" si="9"/>
        <v>622</v>
      </c>
      <c r="C625" s="27">
        <v>46174</v>
      </c>
      <c r="D625" s="28" t="s">
        <v>1544</v>
      </c>
      <c r="E625" s="29" t="str">
        <f>_xlfn.XLOOKUP(Table7[[#This Row],[Malın kodu]],Table4[Malın kodu],Table4[Malın adı],"Xəta",0)</f>
        <v>Qazma qurğusu / horizantal şnekli / relsli</v>
      </c>
      <c r="F625" s="26">
        <v>1</v>
      </c>
      <c r="G625" s="26"/>
      <c r="H625" s="26" t="s">
        <v>899</v>
      </c>
      <c r="I625" s="26" t="s">
        <v>1918</v>
      </c>
    </row>
    <row r="626" spans="2:9" x14ac:dyDescent="0.25">
      <c r="B626" s="26">
        <f t="shared" si="9"/>
        <v>623</v>
      </c>
      <c r="C626" s="27">
        <v>46174</v>
      </c>
      <c r="D626" s="28" t="s">
        <v>1545</v>
      </c>
      <c r="E626" s="29" t="str">
        <f>_xlfn.XLOOKUP(Table7[[#This Row],[Malın kodu]],Table4[Malın kodu],Table4[Malın adı],"Xəta",0)</f>
        <v>Generator / dizel / "TOPOR"</v>
      </c>
      <c r="F626" s="26">
        <v>1</v>
      </c>
      <c r="G626" s="26"/>
      <c r="H626" s="26" t="s">
        <v>899</v>
      </c>
      <c r="I626" s="26" t="s">
        <v>1918</v>
      </c>
    </row>
    <row r="627" spans="2:9" x14ac:dyDescent="0.25">
      <c r="B627" s="26">
        <f t="shared" si="9"/>
        <v>624</v>
      </c>
      <c r="C627" s="27">
        <v>46174</v>
      </c>
      <c r="D627" s="28" t="s">
        <v>907</v>
      </c>
      <c r="E627" s="29" t="str">
        <f>_xlfn.XLOOKUP(Table7[[#This Row],[Malın kodu]],Table4[Malın kodu],Table4[Malın adı],"Xəta",0)</f>
        <v>Boru / d 25 mm x 4.2 mm / polipropilen / 4 metr / "Metak"</v>
      </c>
      <c r="F627" s="26">
        <v>23</v>
      </c>
      <c r="G627" s="26"/>
      <c r="H627" s="26" t="s">
        <v>899</v>
      </c>
      <c r="I627" s="26" t="s">
        <v>1918</v>
      </c>
    </row>
    <row r="628" spans="2:9" x14ac:dyDescent="0.25">
      <c r="B628" s="26">
        <f t="shared" si="9"/>
        <v>625</v>
      </c>
      <c r="C628" s="27">
        <v>46174</v>
      </c>
      <c r="D628" s="28" t="s">
        <v>1546</v>
      </c>
      <c r="E628" s="29" t="str">
        <f>_xlfn.XLOOKUP(Table7[[#This Row],[Malın kodu]],Table4[Malın kodu],Table4[Malın adı],"Xəta",0)</f>
        <v>Boru / d 32 mm x 5.4 mm / polipropilen / 4 metr / "Metak"</v>
      </c>
      <c r="F628" s="26">
        <v>11</v>
      </c>
      <c r="G628" s="26"/>
      <c r="H628" s="26" t="s">
        <v>899</v>
      </c>
      <c r="I628" s="26" t="s">
        <v>1918</v>
      </c>
    </row>
    <row r="629" spans="2:9" x14ac:dyDescent="0.25">
      <c r="B629" s="26">
        <f t="shared" si="9"/>
        <v>626</v>
      </c>
      <c r="C629" s="27">
        <v>46174</v>
      </c>
      <c r="D629" s="28" t="s">
        <v>1547</v>
      </c>
      <c r="E629" s="29" t="str">
        <f>_xlfn.XLOOKUP(Table7[[#This Row],[Malın kodu]],Table4[Malın kodu],Table4[Malın adı],"Xəta",0)</f>
        <v>Boru / d 110 mm / PVC / 5 metr</v>
      </c>
      <c r="F629" s="26">
        <v>2</v>
      </c>
      <c r="G629" s="26"/>
      <c r="H629" s="26" t="s">
        <v>899</v>
      </c>
      <c r="I629" s="26" t="s">
        <v>1918</v>
      </c>
    </row>
    <row r="630" spans="2:9" x14ac:dyDescent="0.25">
      <c r="B630" s="26">
        <f t="shared" si="9"/>
        <v>627</v>
      </c>
      <c r="C630" s="27">
        <v>46174</v>
      </c>
      <c r="D630" s="28" t="s">
        <v>1548</v>
      </c>
      <c r="E630" s="29" t="str">
        <f>_xlfn.XLOOKUP(Table7[[#This Row],[Malın kodu]],Table4[Malın kodu],Table4[Malın adı],"Xəta",0)</f>
        <v>Boru / d 63 x 2.3 mm / polietilen / 6 metr</v>
      </c>
      <c r="F630" s="26">
        <v>1</v>
      </c>
      <c r="G630" s="26"/>
      <c r="H630" s="26" t="s">
        <v>899</v>
      </c>
      <c r="I630" s="26" t="s">
        <v>1918</v>
      </c>
    </row>
    <row r="631" spans="2:9" x14ac:dyDescent="0.25">
      <c r="B631" s="26">
        <f t="shared" si="9"/>
        <v>628</v>
      </c>
      <c r="C631" s="27">
        <v>46174</v>
      </c>
      <c r="D631" s="28" t="s">
        <v>1549</v>
      </c>
      <c r="E631" s="29" t="str">
        <f>_xlfn.XLOOKUP(Table7[[#This Row],[Malın kodu]],Table4[Malın kodu],Table4[Malın adı],"Xəta",0)</f>
        <v>Boru / d 25 x 2.4 mm / polietilen / 5.8 metr</v>
      </c>
      <c r="F631" s="26">
        <v>1</v>
      </c>
      <c r="G631" s="26"/>
      <c r="H631" s="26" t="s">
        <v>899</v>
      </c>
      <c r="I631" s="26" t="s">
        <v>1918</v>
      </c>
    </row>
    <row r="632" spans="2:9" x14ac:dyDescent="0.25">
      <c r="B632" s="26">
        <f t="shared" si="9"/>
        <v>629</v>
      </c>
      <c r="C632" s="27">
        <v>46174</v>
      </c>
      <c r="D632" s="28" t="s">
        <v>1550</v>
      </c>
      <c r="E632" s="29" t="str">
        <f>_xlfn.XLOOKUP(Table7[[#This Row],[Malın kodu]],Table4[Malın kodu],Table4[Malın adı],"Xəta",0)</f>
        <v>Boru / d 32 x 2 mm / polietilen / 4 metr</v>
      </c>
      <c r="F632" s="26">
        <v>1</v>
      </c>
      <c r="G632" s="26"/>
      <c r="H632" s="26" t="s">
        <v>899</v>
      </c>
      <c r="I632" s="26" t="s">
        <v>1918</v>
      </c>
    </row>
    <row r="633" spans="2:9" x14ac:dyDescent="0.25">
      <c r="B633" s="26">
        <f t="shared" si="9"/>
        <v>630</v>
      </c>
      <c r="C633" s="27">
        <v>46174</v>
      </c>
      <c r="D633" s="28" t="s">
        <v>1551</v>
      </c>
      <c r="E633" s="29" t="str">
        <f>_xlfn.XLOOKUP(Table7[[#This Row],[Malın kodu]],Table4[Malın kodu],Table4[Malın adı],"Xəta",0)</f>
        <v>Şnek / d 450 mm</v>
      </c>
      <c r="F633" s="26">
        <v>9</v>
      </c>
      <c r="G633" s="26"/>
      <c r="H633" s="26" t="s">
        <v>899</v>
      </c>
      <c r="I633" s="26" t="s">
        <v>1918</v>
      </c>
    </row>
    <row r="634" spans="2:9" x14ac:dyDescent="0.25">
      <c r="B634" s="26">
        <f t="shared" si="9"/>
        <v>631</v>
      </c>
      <c r="C634" s="27">
        <v>46174</v>
      </c>
      <c r="D634" s="28" t="s">
        <v>1552</v>
      </c>
      <c r="E634" s="29" t="str">
        <f>_xlfn.XLOOKUP(Table7[[#This Row],[Malın kodu]],Table4[Malın kodu],Table4[Malın adı],"Xəta",0)</f>
        <v>Şnek / d 400 mm</v>
      </c>
      <c r="F634" s="26">
        <v>5</v>
      </c>
      <c r="G634" s="26"/>
      <c r="H634" s="26" t="s">
        <v>899</v>
      </c>
      <c r="I634" s="26" t="s">
        <v>1918</v>
      </c>
    </row>
    <row r="635" spans="2:9" x14ac:dyDescent="0.25">
      <c r="B635" s="26">
        <f t="shared" si="9"/>
        <v>632</v>
      </c>
      <c r="C635" s="27">
        <v>46174</v>
      </c>
      <c r="D635" s="28" t="s">
        <v>1553</v>
      </c>
      <c r="E635" s="29" t="str">
        <f>_xlfn.XLOOKUP(Table7[[#This Row],[Malın kodu]],Table4[Malın kodu],Table4[Malın adı],"Xəta",0)</f>
        <v>Şnek / d 700 mm</v>
      </c>
      <c r="F635" s="26">
        <v>6</v>
      </c>
      <c r="G635" s="26"/>
      <c r="H635" s="26" t="s">
        <v>899</v>
      </c>
      <c r="I635" s="26" t="s">
        <v>1918</v>
      </c>
    </row>
    <row r="636" spans="2:9" x14ac:dyDescent="0.25">
      <c r="B636" s="26">
        <f t="shared" si="9"/>
        <v>633</v>
      </c>
      <c r="C636" s="27">
        <v>46174</v>
      </c>
      <c r="D636" s="28" t="s">
        <v>1554</v>
      </c>
      <c r="E636" s="29" t="str">
        <f>_xlfn.XLOOKUP(Table7[[#This Row],[Malın kodu]],Table4[Malın kodu],Table4[Malın adı],"Xəta",0)</f>
        <v>Şnek / d 600 mm</v>
      </c>
      <c r="F636" s="26">
        <v>1</v>
      </c>
      <c r="G636" s="26"/>
      <c r="H636" s="26" t="s">
        <v>899</v>
      </c>
      <c r="I636" s="26" t="s">
        <v>1918</v>
      </c>
    </row>
    <row r="637" spans="2:9" x14ac:dyDescent="0.25">
      <c r="B637" s="26">
        <f t="shared" si="9"/>
        <v>634</v>
      </c>
      <c r="C637" s="27">
        <v>46174</v>
      </c>
      <c r="D637" s="28" t="s">
        <v>1555</v>
      </c>
      <c r="E637" s="29" t="str">
        <f>_xlfn.XLOOKUP(Table7[[#This Row],[Malın kodu]],Table4[Malın kodu],Table4[Malın adı],"Xəta",0)</f>
        <v>Şnek / d 300 mm</v>
      </c>
      <c r="F637" s="26">
        <v>2</v>
      </c>
      <c r="G637" s="26"/>
      <c r="H637" s="26" t="s">
        <v>899</v>
      </c>
      <c r="I637" s="26" t="s">
        <v>1918</v>
      </c>
    </row>
    <row r="638" spans="2:9" x14ac:dyDescent="0.25">
      <c r="B638" s="26">
        <f t="shared" si="9"/>
        <v>635</v>
      </c>
      <c r="C638" s="27">
        <v>46174</v>
      </c>
      <c r="D638" s="28" t="s">
        <v>1556</v>
      </c>
      <c r="E638" s="29" t="str">
        <f>_xlfn.XLOOKUP(Table7[[#This Row],[Malın kodu]],Table4[Malın kodu],Table4[Malın adı],"Xəta",0)</f>
        <v>Tunel qəlibi / giriş-çıxış quyuları üçün</v>
      </c>
      <c r="F638" s="26">
        <v>29</v>
      </c>
      <c r="G638" s="26"/>
      <c r="H638" s="26" t="s">
        <v>899</v>
      </c>
      <c r="I638" s="26" t="s">
        <v>1918</v>
      </c>
    </row>
    <row r="639" spans="2:9" x14ac:dyDescent="0.25">
      <c r="B639" s="26">
        <f t="shared" si="9"/>
        <v>636</v>
      </c>
      <c r="C639" s="27">
        <v>46174</v>
      </c>
      <c r="D639" s="28" t="s">
        <v>1557</v>
      </c>
      <c r="E639" s="29" t="str">
        <f>_xlfn.XLOOKUP(Table7[[#This Row],[Malın kodu]],Table4[Malın kodu],Table4[Malın adı],"Xəta",0)</f>
        <v>Beton boru / d 1400 mm</v>
      </c>
      <c r="F639" s="26">
        <v>2</v>
      </c>
      <c r="G639" s="26"/>
      <c r="H639" s="26" t="s">
        <v>899</v>
      </c>
      <c r="I639" s="26" t="s">
        <v>1918</v>
      </c>
    </row>
    <row r="640" spans="2:9" x14ac:dyDescent="0.25">
      <c r="B640" s="26">
        <f t="shared" si="9"/>
        <v>637</v>
      </c>
      <c r="C640" s="27">
        <v>46174</v>
      </c>
      <c r="D640" s="28" t="s">
        <v>1558</v>
      </c>
      <c r="E640" s="29" t="str">
        <f>_xlfn.XLOOKUP(Table7[[#This Row],[Malın kodu]],Table4[Malın kodu],Table4[Malın adı],"Xəta",0)</f>
        <v>Beton boru / d 1000 mm</v>
      </c>
      <c r="F640" s="26">
        <v>1</v>
      </c>
      <c r="G640" s="26"/>
      <c r="H640" s="26" t="s">
        <v>899</v>
      </c>
      <c r="I640" s="26" t="s">
        <v>1918</v>
      </c>
    </row>
    <row r="641" spans="2:9" x14ac:dyDescent="0.25">
      <c r="B641" s="26">
        <f t="shared" si="9"/>
        <v>638</v>
      </c>
      <c r="C641" s="27">
        <v>46174</v>
      </c>
      <c r="D641" s="28" t="s">
        <v>1559</v>
      </c>
      <c r="E641" s="29" t="str">
        <f>_xlfn.XLOOKUP(Table7[[#This Row],[Malın kodu]],Table4[Malın kodu],Table4[Malın adı],"Xəta",0)</f>
        <v>Hasar / metal / torlu</v>
      </c>
      <c r="F641" s="26">
        <v>25</v>
      </c>
      <c r="G641" s="26"/>
      <c r="H641" s="26" t="s">
        <v>899</v>
      </c>
      <c r="I641" s="26" t="s">
        <v>1918</v>
      </c>
    </row>
    <row r="642" spans="2:9" x14ac:dyDescent="0.25">
      <c r="B642" s="26">
        <f t="shared" si="9"/>
        <v>639</v>
      </c>
      <c r="C642" s="27">
        <v>46174</v>
      </c>
      <c r="D642" s="28" t="s">
        <v>1560</v>
      </c>
      <c r="E642" s="29" t="str">
        <f>_xlfn.XLOOKUP(Table7[[#This Row],[Malın kodu]],Table4[Malın kodu],Table4[Malın adı],"Xəta",0)</f>
        <v>Boru / d 40 mm / polietilen / 53 metr</v>
      </c>
      <c r="F642" s="26">
        <v>1</v>
      </c>
      <c r="G642" s="26"/>
      <c r="H642" s="26" t="s">
        <v>899</v>
      </c>
      <c r="I642" s="26" t="s">
        <v>1918</v>
      </c>
    </row>
    <row r="643" spans="2:9" x14ac:dyDescent="0.25">
      <c r="B643" s="26">
        <f t="shared" si="9"/>
        <v>640</v>
      </c>
      <c r="C643" s="27">
        <v>46174</v>
      </c>
      <c r="D643" s="28" t="s">
        <v>1561</v>
      </c>
      <c r="E643" s="29" t="str">
        <f>_xlfn.XLOOKUP(Table7[[#This Row],[Malın kodu]],Table4[Malın kodu],Table4[Malın adı],"Xəta",0)</f>
        <v>Su sayğacı / d 100 mm / polad / filtr ilə</v>
      </c>
      <c r="F643" s="26">
        <v>16</v>
      </c>
      <c r="G643" s="26"/>
      <c r="H643" s="26" t="s">
        <v>899</v>
      </c>
      <c r="I643" s="26" t="s">
        <v>1918</v>
      </c>
    </row>
    <row r="644" spans="2:9" x14ac:dyDescent="0.25">
      <c r="B644" s="26">
        <f t="shared" ref="B644:B707" si="10">ROW()-3</f>
        <v>641</v>
      </c>
      <c r="C644" s="27">
        <v>46174</v>
      </c>
      <c r="D644" s="28" t="s">
        <v>1562</v>
      </c>
      <c r="E644" s="29" t="str">
        <f>_xlfn.XLOOKUP(Table7[[#This Row],[Malın kodu]],Table4[Malın kodu],Table4[Malın adı],"Xəta",0)</f>
        <v>Siyirtmə / d 150 mm</v>
      </c>
      <c r="F644" s="26">
        <v>2</v>
      </c>
      <c r="G644" s="26"/>
      <c r="H644" s="26" t="s">
        <v>899</v>
      </c>
      <c r="I644" s="26" t="s">
        <v>1918</v>
      </c>
    </row>
    <row r="645" spans="2:9" x14ac:dyDescent="0.25">
      <c r="B645" s="26">
        <f t="shared" si="10"/>
        <v>642</v>
      </c>
      <c r="C645" s="27">
        <v>46174</v>
      </c>
      <c r="D645" s="28" t="s">
        <v>1563</v>
      </c>
      <c r="E645" s="29" t="str">
        <f>_xlfn.XLOOKUP(Table7[[#This Row],[Malın kodu]],Table4[Malın kodu],Table4[Malın adı],"Xəta",0)</f>
        <v>Siyirtmə / d 80 mm</v>
      </c>
      <c r="F645" s="26">
        <v>1</v>
      </c>
      <c r="G645" s="26"/>
      <c r="H645" s="26" t="s">
        <v>899</v>
      </c>
      <c r="I645" s="26" t="s">
        <v>1918</v>
      </c>
    </row>
    <row r="646" spans="2:9" x14ac:dyDescent="0.25">
      <c r="B646" s="26">
        <f t="shared" si="10"/>
        <v>643</v>
      </c>
      <c r="C646" s="27">
        <v>46174</v>
      </c>
      <c r="D646" s="28" t="s">
        <v>1564</v>
      </c>
      <c r="E646" s="29" t="str">
        <f>_xlfn.XLOOKUP(Table7[[#This Row],[Malın kodu]],Table4[Malın kodu],Table4[Malın adı],"Xəta",0)</f>
        <v>Flans / d 110 mm / polad</v>
      </c>
      <c r="F646" s="26">
        <v>29</v>
      </c>
      <c r="G646" s="26"/>
      <c r="H646" s="26" t="s">
        <v>899</v>
      </c>
      <c r="I646" s="26" t="s">
        <v>1918</v>
      </c>
    </row>
    <row r="647" spans="2:9" x14ac:dyDescent="0.25">
      <c r="B647" s="26">
        <f t="shared" si="10"/>
        <v>644</v>
      </c>
      <c r="C647" s="27">
        <v>46174</v>
      </c>
      <c r="D647" s="28" t="s">
        <v>1565</v>
      </c>
      <c r="E647" s="29" t="str">
        <f>_xlfn.XLOOKUP(Table7[[#This Row],[Malın kodu]],Table4[Malın kodu],Table4[Malın adı],"Xəta",0)</f>
        <v>Flans / d 60 mm / polad</v>
      </c>
      <c r="F647" s="26">
        <v>2</v>
      </c>
      <c r="G647" s="26"/>
      <c r="H647" s="26" t="s">
        <v>899</v>
      </c>
      <c r="I647" s="26" t="s">
        <v>1918</v>
      </c>
    </row>
    <row r="648" spans="2:9" x14ac:dyDescent="0.25">
      <c r="B648" s="26">
        <f t="shared" si="10"/>
        <v>645</v>
      </c>
      <c r="C648" s="27">
        <v>46174</v>
      </c>
      <c r="D648" s="28" t="s">
        <v>1566</v>
      </c>
      <c r="E648" s="29" t="str">
        <f>_xlfn.XLOOKUP(Table7[[#This Row],[Malın kodu]],Table4[Malın kodu],Table4[Malın adı],"Xəta",0)</f>
        <v>Kompressor / "Pighon"</v>
      </c>
      <c r="F648" s="26">
        <v>1</v>
      </c>
      <c r="G648" s="26"/>
      <c r="H648" s="26" t="s">
        <v>899</v>
      </c>
      <c r="I648" s="26" t="s">
        <v>1918</v>
      </c>
    </row>
    <row r="649" spans="2:9" x14ac:dyDescent="0.25">
      <c r="B649" s="26">
        <f t="shared" si="10"/>
        <v>646</v>
      </c>
      <c r="C649" s="27">
        <v>46174</v>
      </c>
      <c r="D649" s="28" t="s">
        <v>1567</v>
      </c>
      <c r="E649" s="29" t="str">
        <f>_xlfn.XLOOKUP(Table7[[#This Row],[Malın kodu]],Table4[Malın kodu],Table4[Malın adı],"Xəta",0)</f>
        <v>Boru / polietilen / d 32 mm x 2 mm / 100 metr</v>
      </c>
      <c r="F649" s="26">
        <v>1</v>
      </c>
      <c r="G649" s="26"/>
      <c r="H649" s="26" t="s">
        <v>899</v>
      </c>
      <c r="I649" s="26" t="s">
        <v>1918</v>
      </c>
    </row>
    <row r="650" spans="2:9" x14ac:dyDescent="0.25">
      <c r="B650" s="26">
        <f t="shared" si="10"/>
        <v>647</v>
      </c>
      <c r="C650" s="27">
        <v>46174</v>
      </c>
      <c r="D650" s="28" t="s">
        <v>1568</v>
      </c>
      <c r="E650" s="29" t="str">
        <f>_xlfn.XLOOKUP(Table7[[#This Row],[Malın kodu]],Table4[Malın kodu],Table4[Malın adı],"Xəta",0)</f>
        <v>Boru / polietilen / d 32 mm x 2 mm / 200 metr</v>
      </c>
      <c r="F650" s="26">
        <v>1</v>
      </c>
      <c r="G650" s="26"/>
      <c r="H650" s="26" t="s">
        <v>899</v>
      </c>
      <c r="I650" s="26" t="s">
        <v>1918</v>
      </c>
    </row>
    <row r="651" spans="2:9" x14ac:dyDescent="0.25">
      <c r="B651" s="26">
        <f t="shared" si="10"/>
        <v>648</v>
      </c>
      <c r="C651" s="27">
        <v>46174</v>
      </c>
      <c r="D651" s="28" t="s">
        <v>1569</v>
      </c>
      <c r="E651" s="29" t="str">
        <f>_xlfn.XLOOKUP(Table7[[#This Row],[Malın kodu]],Table4[Malın kodu],Table4[Malın adı],"Xəta",0)</f>
        <v>Boru / polietilen / d 25 mm x 2.4 mm / 50 metr</v>
      </c>
      <c r="F651" s="26">
        <v>1</v>
      </c>
      <c r="G651" s="26"/>
      <c r="H651" s="26" t="s">
        <v>899</v>
      </c>
      <c r="I651" s="26" t="s">
        <v>1918</v>
      </c>
    </row>
    <row r="652" spans="2:9" x14ac:dyDescent="0.25">
      <c r="B652" s="26">
        <f t="shared" si="10"/>
        <v>649</v>
      </c>
      <c r="C652" s="27">
        <v>46174</v>
      </c>
      <c r="D652" s="28" t="s">
        <v>1570</v>
      </c>
      <c r="E652" s="29" t="str">
        <f>_xlfn.XLOOKUP(Table7[[#This Row],[Malın kodu]],Table4[Malın kodu],Table4[Malın adı],"Xəta",0)</f>
        <v>Boru / polietilen / d 25 x 2 mm / 52 metr</v>
      </c>
      <c r="F652" s="26">
        <v>1</v>
      </c>
      <c r="G652" s="26"/>
      <c r="H652" s="26" t="s">
        <v>899</v>
      </c>
      <c r="I652" s="26" t="s">
        <v>1918</v>
      </c>
    </row>
    <row r="653" spans="2:9" x14ac:dyDescent="0.25">
      <c r="B653" s="26">
        <f t="shared" si="10"/>
        <v>650</v>
      </c>
      <c r="C653" s="27">
        <v>46174</v>
      </c>
      <c r="D653" s="28" t="s">
        <v>1571</v>
      </c>
      <c r="E653" s="29" t="str">
        <f>_xlfn.XLOOKUP(Table7[[#This Row],[Malın kodu]],Table4[Malın kodu],Table4[Malın adı],"Xəta",0)</f>
        <v>Boru / polietilen / d 32 mm</v>
      </c>
      <c r="F653" s="26">
        <v>10</v>
      </c>
      <c r="G653" s="26"/>
      <c r="H653" s="26" t="s">
        <v>899</v>
      </c>
      <c r="I653" s="26" t="s">
        <v>1918</v>
      </c>
    </row>
    <row r="654" spans="2:9" x14ac:dyDescent="0.25">
      <c r="B654" s="26">
        <f t="shared" si="10"/>
        <v>651</v>
      </c>
      <c r="C654" s="27">
        <v>46174</v>
      </c>
      <c r="D654" s="28" t="s">
        <v>1572</v>
      </c>
      <c r="E654" s="29" t="str">
        <f>_xlfn.XLOOKUP(Table7[[#This Row],[Malın kodu]],Table4[Malın kodu],Table4[Malın adı],"Xəta",0)</f>
        <v>Boru / koruqe / d 300 mm / 6 metr</v>
      </c>
      <c r="F654" s="26">
        <v>4</v>
      </c>
      <c r="G654" s="26"/>
      <c r="H654" s="26" t="s">
        <v>899</v>
      </c>
      <c r="I654" s="26" t="s">
        <v>1918</v>
      </c>
    </row>
    <row r="655" spans="2:9" x14ac:dyDescent="0.25">
      <c r="B655" s="26">
        <f t="shared" si="10"/>
        <v>652</v>
      </c>
      <c r="C655" s="27">
        <v>46174</v>
      </c>
      <c r="D655" s="28" t="s">
        <v>1573</v>
      </c>
      <c r="E655" s="29" t="str">
        <f>_xlfn.XLOOKUP(Table7[[#This Row],[Malın kodu]],Table4[Malın kodu],Table4[Malın adı],"Xəta",0)</f>
        <v>Boru / polietilen / d 225 mm / 4,9 metr</v>
      </c>
      <c r="F655" s="26">
        <v>3</v>
      </c>
      <c r="G655" s="26"/>
      <c r="H655" s="26" t="s">
        <v>899</v>
      </c>
      <c r="I655" s="26" t="s">
        <v>1918</v>
      </c>
    </row>
    <row r="656" spans="2:9" x14ac:dyDescent="0.25">
      <c r="B656" s="26">
        <f t="shared" si="10"/>
        <v>653</v>
      </c>
      <c r="C656" s="27">
        <v>46174</v>
      </c>
      <c r="D656" s="28" t="s">
        <v>1574</v>
      </c>
      <c r="E656" s="29" t="str">
        <f>_xlfn.XLOOKUP(Table7[[#This Row],[Malın kodu]],Table4[Malın kodu],Table4[Malın adı],"Xəta",0)</f>
        <v>Boru / PVC-U / d 160 mm / 6 metr</v>
      </c>
      <c r="F656" s="26">
        <v>2</v>
      </c>
      <c r="G656" s="26"/>
      <c r="H656" s="26" t="s">
        <v>899</v>
      </c>
      <c r="I656" s="26" t="s">
        <v>1918</v>
      </c>
    </row>
    <row r="657" spans="2:9" x14ac:dyDescent="0.25">
      <c r="B657" s="26">
        <f t="shared" si="10"/>
        <v>654</v>
      </c>
      <c r="C657" s="27">
        <v>46174</v>
      </c>
      <c r="D657" s="28" t="s">
        <v>1575</v>
      </c>
      <c r="E657" s="29" t="str">
        <f>_xlfn.XLOOKUP(Table7[[#This Row],[Malın kodu]],Table4[Malın kodu],Table4[Malın adı],"Xəta",0)</f>
        <v>Boru / PVC-U / d 110 mm / 6 metr</v>
      </c>
      <c r="F657" s="26">
        <v>1</v>
      </c>
      <c r="G657" s="26"/>
      <c r="H657" s="26" t="s">
        <v>899</v>
      </c>
      <c r="I657" s="26" t="s">
        <v>1918</v>
      </c>
    </row>
    <row r="658" spans="2:9" x14ac:dyDescent="0.25">
      <c r="B658" s="26">
        <f t="shared" si="10"/>
        <v>655</v>
      </c>
      <c r="C658" s="27">
        <v>46174</v>
      </c>
      <c r="D658" s="28" t="s">
        <v>1576</v>
      </c>
      <c r="E658" s="29" t="str">
        <f>_xlfn.XLOOKUP(Table7[[#This Row],[Malın kodu]],Table4[Malın kodu],Table4[Malın adı],"Xəta",0)</f>
        <v>Boru / polietilen / d 140 mm / 6 metr</v>
      </c>
      <c r="F658" s="26">
        <v>1</v>
      </c>
      <c r="G658" s="26"/>
      <c r="H658" s="26" t="s">
        <v>899</v>
      </c>
      <c r="I658" s="26" t="s">
        <v>1918</v>
      </c>
    </row>
    <row r="659" spans="2:9" x14ac:dyDescent="0.25">
      <c r="B659" s="26">
        <f t="shared" si="10"/>
        <v>656</v>
      </c>
      <c r="C659" s="27">
        <v>46174</v>
      </c>
      <c r="D659" s="28" t="s">
        <v>1577</v>
      </c>
      <c r="E659" s="29" t="str">
        <f>_xlfn.XLOOKUP(Table7[[#This Row],[Malın kodu]],Table4[Malın kodu],Table4[Malın adı],"Xəta",0)</f>
        <v>Boru / polietilen / d 160 mm / 5,5 metr</v>
      </c>
      <c r="F659" s="26">
        <v>1</v>
      </c>
      <c r="G659" s="26"/>
      <c r="H659" s="26" t="s">
        <v>899</v>
      </c>
      <c r="I659" s="26" t="s">
        <v>1918</v>
      </c>
    </row>
    <row r="660" spans="2:9" x14ac:dyDescent="0.25">
      <c r="B660" s="26">
        <f t="shared" si="10"/>
        <v>657</v>
      </c>
      <c r="C660" s="27">
        <v>46174</v>
      </c>
      <c r="D660" s="28" t="s">
        <v>1578</v>
      </c>
      <c r="E660" s="29" t="str">
        <f>_xlfn.XLOOKUP(Table7[[#This Row],[Malın kodu]],Table4[Malın kodu],Table4[Malın adı],"Xəta",0)</f>
        <v>Subasıncı / d100mm / mühərriklə / ilbiz tipli</v>
      </c>
      <c r="F660" s="26">
        <v>2</v>
      </c>
      <c r="G660" s="26"/>
      <c r="H660" s="26" t="s">
        <v>899</v>
      </c>
      <c r="I660" s="26" t="s">
        <v>1918</v>
      </c>
    </row>
    <row r="661" spans="2:9" x14ac:dyDescent="0.25">
      <c r="B661" s="26">
        <f t="shared" si="10"/>
        <v>658</v>
      </c>
      <c r="C661" s="27">
        <v>46174</v>
      </c>
      <c r="D661" s="28" t="s">
        <v>1579</v>
      </c>
      <c r="E661" s="29" t="str">
        <f>_xlfn.XLOOKUP(Table7[[#This Row],[Malın kodu]],Table4[Malın kodu],Table4[Malın adı],"Xəta",0)</f>
        <v>Su çəni / 1 tonn / plastik</v>
      </c>
      <c r="F661" s="26">
        <v>1</v>
      </c>
      <c r="G661" s="26"/>
      <c r="H661" s="26" t="s">
        <v>899</v>
      </c>
      <c r="I661" s="26" t="s">
        <v>1918</v>
      </c>
    </row>
    <row r="662" spans="2:9" x14ac:dyDescent="0.25">
      <c r="B662" s="26">
        <f t="shared" si="10"/>
        <v>659</v>
      </c>
      <c r="C662" s="27">
        <v>46174</v>
      </c>
      <c r="D662" s="28" t="s">
        <v>1580</v>
      </c>
      <c r="E662" s="29" t="str">
        <f>_xlfn.XLOOKUP(Table7[[#This Row],[Malın kodu]],Table4[Malın kodu],Table4[Malın adı],"Xəta",0)</f>
        <v>Vaqonet (badya) /</v>
      </c>
      <c r="F662" s="26">
        <v>5</v>
      </c>
      <c r="G662" s="26"/>
      <c r="H662" s="26" t="s">
        <v>899</v>
      </c>
      <c r="I662" s="26" t="s">
        <v>1918</v>
      </c>
    </row>
    <row r="663" spans="2:9" x14ac:dyDescent="0.25">
      <c r="B663" s="26">
        <f t="shared" si="10"/>
        <v>660</v>
      </c>
      <c r="C663" s="27">
        <v>46174</v>
      </c>
      <c r="D663" s="28" t="s">
        <v>1581</v>
      </c>
      <c r="E663" s="29" t="str">
        <f>_xlfn.XLOOKUP(Table7[[#This Row],[Malın kodu]],Table4[Malın kodu],Table4[Malın adı],"Xəta",0)</f>
        <v>Bucurqad (Lebyodka) / mühərrik ilə</v>
      </c>
      <c r="F663" s="26">
        <v>1</v>
      </c>
      <c r="G663" s="26"/>
      <c r="H663" s="26" t="s">
        <v>899</v>
      </c>
      <c r="I663" s="26" t="s">
        <v>1918</v>
      </c>
    </row>
    <row r="664" spans="2:9" x14ac:dyDescent="0.25">
      <c r="B664" s="26">
        <f t="shared" si="10"/>
        <v>661</v>
      </c>
      <c r="C664" s="27">
        <v>46174</v>
      </c>
      <c r="D664" s="28" t="s">
        <v>1582</v>
      </c>
      <c r="E664" s="29" t="str">
        <f>_xlfn.XLOOKUP(Table7[[#This Row],[Malın kodu]],Table4[Malın kodu],Table4[Malın adı],"Xəta",0)</f>
        <v>Şlanq / hidravlik / 3/4 inch / 350 atm</v>
      </c>
      <c r="F664" s="26">
        <v>4</v>
      </c>
      <c r="G664" s="26"/>
      <c r="H664" s="26" t="s">
        <v>899</v>
      </c>
      <c r="I664" s="26" t="s">
        <v>1918</v>
      </c>
    </row>
    <row r="665" spans="2:9" x14ac:dyDescent="0.25">
      <c r="B665" s="26">
        <f t="shared" si="10"/>
        <v>662</v>
      </c>
      <c r="C665" s="27">
        <v>46174</v>
      </c>
      <c r="D665" s="28" t="s">
        <v>1583</v>
      </c>
      <c r="E665" s="29" t="str">
        <f>_xlfn.XLOOKUP(Table7[[#This Row],[Malın kodu]],Table4[Malın kodu],Table4[Malın adı],"Xəta",0)</f>
        <v>Seyf / İNV0000000245</v>
      </c>
      <c r="F665" s="26">
        <v>1</v>
      </c>
      <c r="G665" s="26"/>
      <c r="H665" s="26" t="s">
        <v>899</v>
      </c>
      <c r="I665" s="26" t="s">
        <v>1918</v>
      </c>
    </row>
    <row r="666" spans="2:9" x14ac:dyDescent="0.25">
      <c r="B666" s="26">
        <f t="shared" si="10"/>
        <v>663</v>
      </c>
      <c r="C666" s="27">
        <v>46174</v>
      </c>
      <c r="D666" s="28" t="s">
        <v>1584</v>
      </c>
      <c r="E666" s="29" t="str">
        <f>_xlfn.XLOOKUP(Table7[[#This Row],[Malın kodu]],Table4[Malın kodu],Table4[Malın adı],"Xəta",0)</f>
        <v>Hidrant</v>
      </c>
      <c r="F666" s="26">
        <v>1</v>
      </c>
      <c r="G666" s="26"/>
      <c r="H666" s="26" t="s">
        <v>899</v>
      </c>
      <c r="I666" s="26" t="s">
        <v>1918</v>
      </c>
    </row>
    <row r="667" spans="2:9" x14ac:dyDescent="0.25">
      <c r="B667" s="26">
        <f t="shared" si="10"/>
        <v>664</v>
      </c>
      <c r="C667" s="27">
        <v>46174</v>
      </c>
      <c r="D667" s="28" t="s">
        <v>1585</v>
      </c>
      <c r="E667" s="29" t="str">
        <f>_xlfn.XLOOKUP(Table7[[#This Row],[Malın kodu]],Table4[Malın kodu],Table4[Malın adı],"Xəta",0)</f>
        <v>Qaynaq aparatı (ütü) / d150mm / plastik boru üçün</v>
      </c>
      <c r="F667" s="26">
        <v>1</v>
      </c>
      <c r="G667" s="26"/>
      <c r="H667" s="26" t="s">
        <v>899</v>
      </c>
      <c r="I667" s="26" t="s">
        <v>1918</v>
      </c>
    </row>
    <row r="668" spans="2:9" x14ac:dyDescent="0.25">
      <c r="B668" s="26">
        <f t="shared" si="10"/>
        <v>665</v>
      </c>
      <c r="C668" s="27">
        <v>46174</v>
      </c>
      <c r="D668" s="28" t="s">
        <v>1586</v>
      </c>
      <c r="E668" s="29" t="str">
        <f>_xlfn.XLOOKUP(Table7[[#This Row],[Malın kodu]],Table4[Malın kodu],Table4[Malın adı],"Xəta",0)</f>
        <v>Su pompası / mühərriksiz / "AK Misan"</v>
      </c>
      <c r="F668" s="26">
        <v>1</v>
      </c>
      <c r="G668" s="26"/>
      <c r="H668" s="26" t="s">
        <v>899</v>
      </c>
      <c r="I668" s="26" t="s">
        <v>1918</v>
      </c>
    </row>
    <row r="669" spans="2:9" x14ac:dyDescent="0.25">
      <c r="B669" s="26">
        <f t="shared" si="10"/>
        <v>666</v>
      </c>
      <c r="C669" s="27">
        <v>46174</v>
      </c>
      <c r="D669" s="28" t="s">
        <v>1587</v>
      </c>
      <c r="E669" s="29" t="str">
        <f>_xlfn.XLOOKUP(Table7[[#This Row],[Malın kodu]],Table4[Malın kodu],Table4[Malın adı],"Xəta",0)</f>
        <v>Qazma başlıqı / d 750mm</v>
      </c>
      <c r="F669" s="26">
        <v>1</v>
      </c>
      <c r="G669" s="26"/>
      <c r="H669" s="26" t="s">
        <v>899</v>
      </c>
      <c r="I669" s="26" t="s">
        <v>1918</v>
      </c>
    </row>
    <row r="670" spans="2:9" x14ac:dyDescent="0.25">
      <c r="B670" s="26">
        <f t="shared" si="10"/>
        <v>667</v>
      </c>
      <c r="C670" s="27">
        <v>46174</v>
      </c>
      <c r="D670" s="28" t="s">
        <v>1588</v>
      </c>
      <c r="E670" s="29" t="str">
        <f>_xlfn.XLOOKUP(Table7[[#This Row],[Malın kodu]],Table4[Malın kodu],Table4[Malın adı],"Xəta",0)</f>
        <v>Qazma başlıqı / d 560mm</v>
      </c>
      <c r="F670" s="26">
        <v>1</v>
      </c>
      <c r="G670" s="26"/>
      <c r="H670" s="26" t="s">
        <v>899</v>
      </c>
      <c r="I670" s="26" t="s">
        <v>1918</v>
      </c>
    </row>
    <row r="671" spans="2:9" x14ac:dyDescent="0.25">
      <c r="B671" s="26">
        <f t="shared" si="10"/>
        <v>668</v>
      </c>
      <c r="C671" s="27">
        <v>46174</v>
      </c>
      <c r="D671" s="28" t="s">
        <v>1589</v>
      </c>
      <c r="E671" s="29" t="str">
        <f>_xlfn.XLOOKUP(Table7[[#This Row],[Malın kodu]],Table4[Malın kodu],Table4[Malın adı],"Xəta",0)</f>
        <v>Dairə / metal / 1000x25mm</v>
      </c>
      <c r="F671" s="26">
        <v>1</v>
      </c>
      <c r="G671" s="26"/>
      <c r="H671" s="26" t="s">
        <v>899</v>
      </c>
      <c r="I671" s="26" t="s">
        <v>1918</v>
      </c>
    </row>
    <row r="672" spans="2:9" x14ac:dyDescent="0.25">
      <c r="B672" s="26">
        <f t="shared" si="10"/>
        <v>669</v>
      </c>
      <c r="C672" s="27">
        <v>46174</v>
      </c>
      <c r="D672" s="28" t="s">
        <v>1590</v>
      </c>
      <c r="E672" s="29" t="str">
        <f>_xlfn.XLOOKUP(Table7[[#This Row],[Malın kodu]],Table4[Malın kodu],Table4[Malın adı],"Xəta",0)</f>
        <v>Qapaq / flyanslı / metal / 500x30mm</v>
      </c>
      <c r="F672" s="26">
        <v>1</v>
      </c>
      <c r="G672" s="26"/>
      <c r="H672" s="26" t="s">
        <v>899</v>
      </c>
      <c r="I672" s="26" t="s">
        <v>1918</v>
      </c>
    </row>
    <row r="673" spans="2:9" x14ac:dyDescent="0.25">
      <c r="B673" s="26">
        <f t="shared" si="10"/>
        <v>670</v>
      </c>
      <c r="C673" s="27">
        <v>46174</v>
      </c>
      <c r="D673" s="28" t="s">
        <v>1591</v>
      </c>
      <c r="E673" s="29" t="str">
        <f>_xlfn.XLOOKUP(Table7[[#This Row],[Malın kodu]],Table4[Malın kodu],Table4[Malın adı],"Xəta",0)</f>
        <v>Qapaq / flyanslı / metal / 555x34mm</v>
      </c>
      <c r="F673" s="26">
        <v>2</v>
      </c>
      <c r="G673" s="26"/>
      <c r="H673" s="26" t="s">
        <v>899</v>
      </c>
      <c r="I673" s="26" t="s">
        <v>1918</v>
      </c>
    </row>
    <row r="674" spans="2:9" x14ac:dyDescent="0.25">
      <c r="B674" s="26">
        <f t="shared" si="10"/>
        <v>671</v>
      </c>
      <c r="C674" s="27">
        <v>46174</v>
      </c>
      <c r="D674" s="28" t="s">
        <v>1592</v>
      </c>
      <c r="E674" s="29" t="str">
        <f>_xlfn.XLOOKUP(Table7[[#This Row],[Malın kodu]],Table4[Malın kodu],Table4[Malın adı],"Xəta",0)</f>
        <v>Qapaq / flyanslı / metal / 605x20mm</v>
      </c>
      <c r="F674" s="26">
        <v>5</v>
      </c>
      <c r="G674" s="26"/>
      <c r="H674" s="26" t="s">
        <v>899</v>
      </c>
      <c r="I674" s="26" t="s">
        <v>1918</v>
      </c>
    </row>
    <row r="675" spans="2:9" x14ac:dyDescent="0.25">
      <c r="B675" s="26">
        <f t="shared" si="10"/>
        <v>672</v>
      </c>
      <c r="C675" s="27">
        <v>46174</v>
      </c>
      <c r="D675" s="28" t="s">
        <v>1593</v>
      </c>
      <c r="E675" s="29" t="str">
        <f>_xlfn.XLOOKUP(Table7[[#This Row],[Malın kodu]],Table4[Malın kodu],Table4[Malın adı],"Xəta",0)</f>
        <v>Xəta</v>
      </c>
      <c r="F675" s="26"/>
      <c r="G675" s="26"/>
      <c r="H675" s="26" t="s">
        <v>899</v>
      </c>
      <c r="I675" s="26" t="s">
        <v>1918</v>
      </c>
    </row>
    <row r="676" spans="2:9" ht="30" x14ac:dyDescent="0.25">
      <c r="B676" s="26">
        <f t="shared" si="10"/>
        <v>673</v>
      </c>
      <c r="C676" s="27">
        <v>46174</v>
      </c>
      <c r="D676" s="28" t="s">
        <v>1594</v>
      </c>
      <c r="E676" s="29" t="str">
        <f>_xlfn.XLOOKUP(Table7[[#This Row],[Malın kodu]],Table4[Malın kodu],Table4[Malın adı],"Xəta",0)</f>
        <v>Servis birləşməsi / elektrofizyon / d 110 x 32 mm / "Borfit" / Türkiyə istehsalı</v>
      </c>
      <c r="F676" s="26">
        <v>107</v>
      </c>
      <c r="G676" s="26"/>
      <c r="H676" s="26" t="s">
        <v>899</v>
      </c>
      <c r="I676" s="26" t="s">
        <v>1918</v>
      </c>
    </row>
    <row r="677" spans="2:9" ht="30" x14ac:dyDescent="0.25">
      <c r="B677" s="26">
        <f t="shared" si="10"/>
        <v>674</v>
      </c>
      <c r="C677" s="27">
        <v>46174</v>
      </c>
      <c r="D677" s="28" t="s">
        <v>1595</v>
      </c>
      <c r="E677" s="29" t="str">
        <f>_xlfn.XLOOKUP(Table7[[#This Row],[Malın kodu]],Table4[Malın kodu],Table4[Malın adı],"Xəta",0)</f>
        <v>Servis birləşməsi / elektrofizyon / d 110 x 40 mm / "Borfit" / Türkiyə istehsalı</v>
      </c>
      <c r="F677" s="26">
        <v>22</v>
      </c>
      <c r="G677" s="26"/>
      <c r="H677" s="26" t="s">
        <v>899</v>
      </c>
      <c r="I677" s="26" t="s">
        <v>1918</v>
      </c>
    </row>
    <row r="678" spans="2:9" ht="30" x14ac:dyDescent="0.25">
      <c r="B678" s="26">
        <f t="shared" si="10"/>
        <v>675</v>
      </c>
      <c r="C678" s="27">
        <v>46174</v>
      </c>
      <c r="D678" s="28" t="s">
        <v>1596</v>
      </c>
      <c r="E678" s="29" t="str">
        <f>_xlfn.XLOOKUP(Table7[[#This Row],[Malın kodu]],Table4[Malın kodu],Table4[Malın adı],"Xəta",0)</f>
        <v>Servis birləşməsi / elektrofizyon / d 110 x 63 mm / "Borfit" / Türkiyə istehsalı</v>
      </c>
      <c r="F678" s="26">
        <v>6</v>
      </c>
      <c r="G678" s="26"/>
      <c r="H678" s="26" t="s">
        <v>899</v>
      </c>
      <c r="I678" s="26" t="s">
        <v>1918</v>
      </c>
    </row>
    <row r="679" spans="2:9" ht="30" x14ac:dyDescent="0.25">
      <c r="B679" s="26">
        <f t="shared" si="10"/>
        <v>676</v>
      </c>
      <c r="C679" s="27">
        <v>46174</v>
      </c>
      <c r="D679" s="28" t="s">
        <v>1597</v>
      </c>
      <c r="E679" s="29" t="str">
        <f>_xlfn.XLOOKUP(Table7[[#This Row],[Malın kodu]],Table4[Malın kodu],Table4[Malın adı],"Xəta",0)</f>
        <v>Servis birləşməsi / elektrofizyon / d 63 x 280 mm / "Borfit" / Türkiyə istehsalı</v>
      </c>
      <c r="F679" s="26">
        <v>1</v>
      </c>
      <c r="G679" s="26"/>
      <c r="H679" s="26" t="s">
        <v>899</v>
      </c>
      <c r="I679" s="26" t="s">
        <v>1918</v>
      </c>
    </row>
    <row r="680" spans="2:9" ht="30" x14ac:dyDescent="0.25">
      <c r="B680" s="26">
        <f t="shared" si="10"/>
        <v>677</v>
      </c>
      <c r="C680" s="27">
        <v>46174</v>
      </c>
      <c r="D680" s="28" t="s">
        <v>1598</v>
      </c>
      <c r="E680" s="29" t="str">
        <f>_xlfn.XLOOKUP(Table7[[#This Row],[Malın kodu]],Table4[Malın kodu],Table4[Malın adı],"Xəta",0)</f>
        <v>Servis birləşməsi / elektrofizyon / d 40 x 280 mm / "Borfit" / Türkiyə istehsalı</v>
      </c>
      <c r="F680" s="26">
        <v>1</v>
      </c>
      <c r="G680" s="26"/>
      <c r="H680" s="26" t="s">
        <v>899</v>
      </c>
      <c r="I680" s="26" t="s">
        <v>1918</v>
      </c>
    </row>
    <row r="681" spans="2:9" ht="30" x14ac:dyDescent="0.25">
      <c r="B681" s="26">
        <f t="shared" si="10"/>
        <v>678</v>
      </c>
      <c r="C681" s="27">
        <v>46174</v>
      </c>
      <c r="D681" s="28" t="s">
        <v>1599</v>
      </c>
      <c r="E681" s="29" t="str">
        <f>_xlfn.XLOOKUP(Table7[[#This Row],[Malın kodu]],Table4[Malın kodu],Table4[Malın adı],"Xəta",0)</f>
        <v>Servis birləşməsi / elektrofizyon / d 32 x 90 mm / "Borfit" / Türkiyə istehsalı</v>
      </c>
      <c r="F681" s="26">
        <v>1</v>
      </c>
      <c r="G681" s="26"/>
      <c r="H681" s="26" t="s">
        <v>899</v>
      </c>
      <c r="I681" s="26" t="s">
        <v>1918</v>
      </c>
    </row>
    <row r="682" spans="2:9" ht="30" x14ac:dyDescent="0.25">
      <c r="B682" s="26">
        <f t="shared" si="10"/>
        <v>679</v>
      </c>
      <c r="C682" s="27">
        <v>46174</v>
      </c>
      <c r="D682" s="28" t="s">
        <v>1600</v>
      </c>
      <c r="E682" s="29" t="str">
        <f>_xlfn.XLOOKUP(Table7[[#This Row],[Malın kodu]],Table4[Malın kodu],Table4[Malın adı],"Xəta",0)</f>
        <v>Servis birləşməsi / elektrofizyon / d 32 x 63 mm / "Borfit" / Türkiyə istehsalı</v>
      </c>
      <c r="F682" s="26">
        <v>4</v>
      </c>
      <c r="G682" s="26"/>
      <c r="H682" s="26" t="s">
        <v>899</v>
      </c>
      <c r="I682" s="26" t="s">
        <v>1918</v>
      </c>
    </row>
    <row r="683" spans="2:9" ht="30" x14ac:dyDescent="0.25">
      <c r="B683" s="26">
        <f t="shared" si="10"/>
        <v>680</v>
      </c>
      <c r="C683" s="27">
        <v>46174</v>
      </c>
      <c r="D683" s="28" t="s">
        <v>1601</v>
      </c>
      <c r="E683" s="29" t="str">
        <f>_xlfn.XLOOKUP(Table7[[#This Row],[Malın kodu]],Table4[Malın kodu],Table4[Malın adı],"Xəta",0)</f>
        <v>Servis birləşməsi / elektrofizyon / d 40 x 63 mm / "Borfit" / Türkiyə istehsalı</v>
      </c>
      <c r="F683" s="26">
        <v>3</v>
      </c>
      <c r="G683" s="26"/>
      <c r="H683" s="26" t="s">
        <v>899</v>
      </c>
      <c r="I683" s="26" t="s">
        <v>1918</v>
      </c>
    </row>
    <row r="684" spans="2:9" ht="30" x14ac:dyDescent="0.25">
      <c r="B684" s="26">
        <f t="shared" si="10"/>
        <v>681</v>
      </c>
      <c r="C684" s="27">
        <v>46174</v>
      </c>
      <c r="D684" s="28" t="s">
        <v>1602</v>
      </c>
      <c r="E684" s="29" t="str">
        <f>_xlfn.XLOOKUP(Table7[[#This Row],[Malın kodu]],Table4[Malın kodu],Table4[Malın adı],"Xəta",0)</f>
        <v>Servis birləşməsi / elektrofizyon / d 40 x 90 mm / "Borfit" / Türkiyə istehsalı</v>
      </c>
      <c r="F684" s="26">
        <v>2</v>
      </c>
      <c r="G684" s="26"/>
      <c r="H684" s="26" t="s">
        <v>899</v>
      </c>
      <c r="I684" s="26" t="s">
        <v>1918</v>
      </c>
    </row>
    <row r="685" spans="2:9" ht="30" x14ac:dyDescent="0.25">
      <c r="B685" s="26">
        <f t="shared" si="10"/>
        <v>682</v>
      </c>
      <c r="C685" s="27">
        <v>46174</v>
      </c>
      <c r="D685" s="28" t="s">
        <v>1603</v>
      </c>
      <c r="E685" s="29" t="str">
        <f>_xlfn.XLOOKUP(Table7[[#This Row],[Malın kodu]],Table4[Malın kodu],Table4[Malın adı],"Xəta",0)</f>
        <v>Servis birləşməsi / elektrofizyon / d 32 x 40 mm / "TEGA" / Türkiyə istehsalı</v>
      </c>
      <c r="F685" s="26">
        <v>2</v>
      </c>
      <c r="G685" s="26"/>
      <c r="H685" s="26" t="s">
        <v>899</v>
      </c>
      <c r="I685" s="26" t="s">
        <v>1918</v>
      </c>
    </row>
    <row r="686" spans="2:9" x14ac:dyDescent="0.25">
      <c r="B686" s="26">
        <f t="shared" si="10"/>
        <v>683</v>
      </c>
      <c r="C686" s="27">
        <v>46174</v>
      </c>
      <c r="D686" s="28" t="s">
        <v>1604</v>
      </c>
      <c r="E686" s="29" t="str">
        <f>_xlfn.XLOOKUP(Table7[[#This Row],[Malın kodu]],Table4[Malın kodu],Table4[Malın adı],"Xəta",0)</f>
        <v>Dirsək / d 110 mm / polietilen / 90°</v>
      </c>
      <c r="F686" s="26">
        <v>17</v>
      </c>
      <c r="G686" s="26"/>
      <c r="H686" s="26" t="s">
        <v>899</v>
      </c>
      <c r="I686" s="26" t="s">
        <v>1918</v>
      </c>
    </row>
    <row r="687" spans="2:9" x14ac:dyDescent="0.25">
      <c r="B687" s="26">
        <f t="shared" si="10"/>
        <v>684</v>
      </c>
      <c r="C687" s="27">
        <v>46174</v>
      </c>
      <c r="D687" s="28" t="s">
        <v>1605</v>
      </c>
      <c r="E687" s="29" t="str">
        <f>_xlfn.XLOOKUP(Table7[[#This Row],[Malın kodu]],Table4[Malın kodu],Table4[Malın adı],"Xəta",0)</f>
        <v>Dirsək / d 180 mm / polietilen / 90°</v>
      </c>
      <c r="F687" s="26">
        <v>2</v>
      </c>
      <c r="G687" s="26"/>
      <c r="H687" s="26" t="s">
        <v>899</v>
      </c>
      <c r="I687" s="26" t="s">
        <v>1918</v>
      </c>
    </row>
    <row r="688" spans="2:9" x14ac:dyDescent="0.25">
      <c r="B688" s="26">
        <f t="shared" si="10"/>
        <v>685</v>
      </c>
      <c r="C688" s="27">
        <v>46174</v>
      </c>
      <c r="D688" s="28" t="s">
        <v>1606</v>
      </c>
      <c r="E688" s="29" t="str">
        <f>_xlfn.XLOOKUP(Table7[[#This Row],[Malın kodu]],Table4[Malın kodu],Table4[Malın adı],"Xəta",0)</f>
        <v>Dirsək / d 110 mm / polietilen / 45°</v>
      </c>
      <c r="F688" s="26">
        <v>8</v>
      </c>
      <c r="G688" s="26"/>
      <c r="H688" s="26" t="s">
        <v>899</v>
      </c>
      <c r="I688" s="26" t="s">
        <v>1918</v>
      </c>
    </row>
    <row r="689" spans="2:9" x14ac:dyDescent="0.25">
      <c r="B689" s="26">
        <f t="shared" si="10"/>
        <v>686</v>
      </c>
      <c r="C689" s="27">
        <v>46174</v>
      </c>
      <c r="D689" s="28" t="s">
        <v>1607</v>
      </c>
      <c r="E689" s="29" t="str">
        <f>_xlfn.XLOOKUP(Table7[[#This Row],[Malın kodu]],Table4[Malın kodu],Table4[Malın adı],"Xəta",0)</f>
        <v>Adaptor / d 110 mm / polietilen</v>
      </c>
      <c r="F689" s="26">
        <v>10</v>
      </c>
      <c r="G689" s="26"/>
      <c r="H689" s="26" t="s">
        <v>899</v>
      </c>
      <c r="I689" s="26" t="s">
        <v>1918</v>
      </c>
    </row>
    <row r="690" spans="2:9" x14ac:dyDescent="0.25">
      <c r="B690" s="26">
        <f t="shared" si="10"/>
        <v>687</v>
      </c>
      <c r="C690" s="27">
        <v>46174</v>
      </c>
      <c r="D690" s="28" t="s">
        <v>1608</v>
      </c>
      <c r="E690" s="29" t="str">
        <f>_xlfn.XLOOKUP(Table7[[#This Row],[Malın kodu]],Table4[Malın kodu],Table4[Malın adı],"Xəta",0)</f>
        <v>Adaptor / d 90 mm / polietilen</v>
      </c>
      <c r="F690" s="26">
        <v>6</v>
      </c>
      <c r="G690" s="26"/>
      <c r="H690" s="26" t="s">
        <v>899</v>
      </c>
      <c r="I690" s="26" t="s">
        <v>1918</v>
      </c>
    </row>
    <row r="691" spans="2:9" x14ac:dyDescent="0.25">
      <c r="B691" s="26">
        <f t="shared" si="10"/>
        <v>688</v>
      </c>
      <c r="C691" s="27">
        <v>46174</v>
      </c>
      <c r="D691" s="28" t="s">
        <v>1609</v>
      </c>
      <c r="E691" s="29" t="str">
        <f>_xlfn.XLOOKUP(Table7[[#This Row],[Malın kodu]],Table4[Malın kodu],Table4[Malın adı],"Xəta",0)</f>
        <v>Adaptor / d 160 mm / polietilen</v>
      </c>
      <c r="F691" s="26">
        <v>2</v>
      </c>
      <c r="G691" s="26"/>
      <c r="H691" s="26" t="s">
        <v>899</v>
      </c>
      <c r="I691" s="26" t="s">
        <v>1918</v>
      </c>
    </row>
    <row r="692" spans="2:9" x14ac:dyDescent="0.25">
      <c r="B692" s="26">
        <f t="shared" si="10"/>
        <v>689</v>
      </c>
      <c r="C692" s="27">
        <v>46174</v>
      </c>
      <c r="D692" s="28" t="s">
        <v>1610</v>
      </c>
      <c r="E692" s="29" t="str">
        <f>_xlfn.XLOOKUP(Table7[[#This Row],[Malın kodu]],Table4[Malın kodu],Table4[Malın adı],"Xəta",0)</f>
        <v>Üçlük / d 110 mm / polietilen / 5 əd / "Borfit" / Türkiyə istehsalı</v>
      </c>
      <c r="F692" s="26">
        <v>5</v>
      </c>
      <c r="G692" s="26"/>
      <c r="H692" s="26" t="s">
        <v>899</v>
      </c>
      <c r="I692" s="26" t="s">
        <v>1918</v>
      </c>
    </row>
    <row r="693" spans="2:9" x14ac:dyDescent="0.25">
      <c r="B693" s="26">
        <f t="shared" si="10"/>
        <v>690</v>
      </c>
      <c r="C693" s="27">
        <v>46174</v>
      </c>
      <c r="D693" s="28" t="s">
        <v>1611</v>
      </c>
      <c r="E693" s="29" t="str">
        <f>_xlfn.XLOOKUP(Table7[[#This Row],[Malın kodu]],Table4[Malın kodu],Table4[Malın adı],"Xəta",0)</f>
        <v>Adaptor / d 180 mm / polietilen / 1 əd / "Borfit" / Türkiyə istehsalı</v>
      </c>
      <c r="F693" s="26">
        <v>1</v>
      </c>
      <c r="G693" s="26"/>
      <c r="H693" s="26" t="s">
        <v>899</v>
      </c>
      <c r="I693" s="26" t="s">
        <v>1918</v>
      </c>
    </row>
    <row r="694" spans="2:9" x14ac:dyDescent="0.25">
      <c r="B694" s="26">
        <f t="shared" si="10"/>
        <v>691</v>
      </c>
      <c r="C694" s="27">
        <v>46174</v>
      </c>
      <c r="D694" s="28" t="s">
        <v>1612</v>
      </c>
      <c r="E694" s="29" t="str">
        <f>_xlfn.XLOOKUP(Table7[[#This Row],[Malın kodu]],Table4[Malın kodu],Table4[Malın adı],"Xəta",0)</f>
        <v>Adaptor / d 50 mm / polietilen / "Borfit" / Türkiyə istehsalı</v>
      </c>
      <c r="F694" s="26">
        <v>4</v>
      </c>
      <c r="G694" s="26"/>
      <c r="H694" s="26" t="s">
        <v>899</v>
      </c>
      <c r="I694" s="26" t="s">
        <v>1918</v>
      </c>
    </row>
    <row r="695" spans="2:9" x14ac:dyDescent="0.25">
      <c r="B695" s="26">
        <f t="shared" si="10"/>
        <v>692</v>
      </c>
      <c r="C695" s="27">
        <v>46174</v>
      </c>
      <c r="D695" s="28" t="s">
        <v>1613</v>
      </c>
      <c r="E695" s="29" t="str">
        <f>_xlfn.XLOOKUP(Table7[[#This Row],[Malın kodu]],Table4[Malın kodu],Table4[Malın adı],"Xəta",0)</f>
        <v>Adaptor / d 63 mm / polietilen / "Borfit" / Türkiyə istehsalı</v>
      </c>
      <c r="F695" s="26">
        <v>5</v>
      </c>
      <c r="G695" s="26"/>
      <c r="H695" s="26" t="s">
        <v>899</v>
      </c>
      <c r="I695" s="26" t="s">
        <v>1918</v>
      </c>
    </row>
    <row r="696" spans="2:9" x14ac:dyDescent="0.25">
      <c r="B696" s="26">
        <f t="shared" si="10"/>
        <v>693</v>
      </c>
      <c r="C696" s="27">
        <v>46174</v>
      </c>
      <c r="D696" s="28" t="s">
        <v>1614</v>
      </c>
      <c r="E696" s="29" t="str">
        <f>_xlfn.XLOOKUP(Table7[[#This Row],[Malın kodu]],Table4[Malın kodu],Table4[Malın adı],"Xəta",0)</f>
        <v>Dirsək / d 90 mm / polietilen / 90° / "Titz"</v>
      </c>
      <c r="F696" s="26">
        <v>2</v>
      </c>
      <c r="G696" s="26"/>
      <c r="H696" s="26" t="s">
        <v>899</v>
      </c>
      <c r="I696" s="26" t="s">
        <v>1918</v>
      </c>
    </row>
    <row r="697" spans="2:9" x14ac:dyDescent="0.25">
      <c r="B697" s="26">
        <f t="shared" si="10"/>
        <v>694</v>
      </c>
      <c r="C697" s="27">
        <v>46174</v>
      </c>
      <c r="D697" s="28" t="s">
        <v>1615</v>
      </c>
      <c r="E697" s="29" t="str">
        <f>_xlfn.XLOOKUP(Table7[[#This Row],[Malın kodu]],Table4[Malın kodu],Table4[Malın adı],"Xəta",0)</f>
        <v>Üçlük / d 63 x 110 mm / polietilen / "Borfit" / Türkiyə istehsalı</v>
      </c>
      <c r="F697" s="26">
        <v>1</v>
      </c>
      <c r="G697" s="26"/>
      <c r="H697" s="26" t="s">
        <v>899</v>
      </c>
      <c r="I697" s="26" t="s">
        <v>1918</v>
      </c>
    </row>
    <row r="698" spans="2:9" x14ac:dyDescent="0.25">
      <c r="B698" s="26">
        <f t="shared" si="10"/>
        <v>695</v>
      </c>
      <c r="C698" s="27">
        <v>46174</v>
      </c>
      <c r="D698" s="28" t="s">
        <v>1616</v>
      </c>
      <c r="E698" s="29" t="str">
        <f>_xlfn.XLOOKUP(Table7[[#This Row],[Malın kodu]],Table4[Malın kodu],Table4[Malın adı],"Xəta",0)</f>
        <v>Üçlük / d 75 x 110 mm / polietilen / "Borfit" / Türkiyə istehsalı</v>
      </c>
      <c r="F698" s="26">
        <v>1</v>
      </c>
      <c r="G698" s="26"/>
      <c r="H698" s="26" t="s">
        <v>899</v>
      </c>
      <c r="I698" s="26" t="s">
        <v>1918</v>
      </c>
    </row>
    <row r="699" spans="2:9" x14ac:dyDescent="0.25">
      <c r="B699" s="26">
        <f t="shared" si="10"/>
        <v>696</v>
      </c>
      <c r="C699" s="27">
        <v>46174</v>
      </c>
      <c r="D699" s="28" t="s">
        <v>1617</v>
      </c>
      <c r="E699" s="29" t="str">
        <f>_xlfn.XLOOKUP(Table7[[#This Row],[Malın kodu]],Table4[Malın kodu],Table4[Malın adı],"Xəta",0)</f>
        <v>Keçid / d 63 x 90 mm / polietilen / "Borfit" / Türkiyə istehsalı</v>
      </c>
      <c r="F699" s="26">
        <v>2</v>
      </c>
      <c r="G699" s="26"/>
      <c r="H699" s="26" t="s">
        <v>899</v>
      </c>
      <c r="I699" s="26" t="s">
        <v>1918</v>
      </c>
    </row>
    <row r="700" spans="2:9" x14ac:dyDescent="0.25">
      <c r="B700" s="26">
        <f t="shared" si="10"/>
        <v>697</v>
      </c>
      <c r="C700" s="27">
        <v>46174</v>
      </c>
      <c r="D700" s="28" t="s">
        <v>1618</v>
      </c>
      <c r="E700" s="29" t="str">
        <f>_xlfn.XLOOKUP(Table7[[#This Row],[Malın kodu]],Table4[Malın kodu],Table4[Malın adı],"Xəta",0)</f>
        <v>Keçid / d 50 x 90 mm / polietilen / "Borfit" / Türkiyə istehsalı</v>
      </c>
      <c r="F700" s="26">
        <v>1</v>
      </c>
      <c r="G700" s="26"/>
      <c r="H700" s="26" t="s">
        <v>899</v>
      </c>
      <c r="I700" s="26" t="s">
        <v>1918</v>
      </c>
    </row>
    <row r="701" spans="2:9" ht="30" x14ac:dyDescent="0.25">
      <c r="B701" s="26">
        <f t="shared" si="10"/>
        <v>698</v>
      </c>
      <c r="C701" s="27">
        <v>46174</v>
      </c>
      <c r="D701" s="28" t="s">
        <v>1619</v>
      </c>
      <c r="E701" s="29" t="str">
        <f>_xlfn.XLOOKUP(Table7[[#This Row],[Malın kodu]],Table4[Malın kodu],Table4[Malın adı],"Xəta",0)</f>
        <v>Dirsək / d 63 mm / 90° / polietilen / 6 əd / "Borfit" / Türkiyə istehsalı</v>
      </c>
      <c r="F701" s="26">
        <v>6</v>
      </c>
      <c r="G701" s="26"/>
      <c r="H701" s="26" t="s">
        <v>899</v>
      </c>
      <c r="I701" s="26" t="s">
        <v>1918</v>
      </c>
    </row>
    <row r="702" spans="2:9" x14ac:dyDescent="0.25">
      <c r="B702" s="26">
        <f t="shared" si="10"/>
        <v>699</v>
      </c>
      <c r="C702" s="27">
        <v>46174</v>
      </c>
      <c r="D702" s="28" t="s">
        <v>1620</v>
      </c>
      <c r="E702" s="29" t="str">
        <f>_xlfn.XLOOKUP(Table7[[#This Row],[Malın kodu]],Table4[Malın kodu],Table4[Malın adı],"Xəta",0)</f>
        <v>Dirsək / d 63 mm / 45° / polietilen / "Tega" / Türkiyə istehsalı</v>
      </c>
      <c r="F702" s="26">
        <v>2</v>
      </c>
      <c r="G702" s="26"/>
      <c r="H702" s="26" t="s">
        <v>899</v>
      </c>
      <c r="I702" s="26" t="s">
        <v>1918</v>
      </c>
    </row>
    <row r="703" spans="2:9" x14ac:dyDescent="0.25">
      <c r="B703" s="26">
        <f t="shared" si="10"/>
        <v>700</v>
      </c>
      <c r="C703" s="27">
        <v>46174</v>
      </c>
      <c r="D703" s="28" t="s">
        <v>1621</v>
      </c>
      <c r="E703" s="29" t="str">
        <f>_xlfn.XLOOKUP(Table7[[#This Row],[Malın kodu]],Table4[Malın kodu],Table4[Malın adı],"Xəta",0)</f>
        <v>Qapaq / d 110 mm / polietilen / "Borfit" / Türkiyə istehsalı</v>
      </c>
      <c r="F703" s="26">
        <v>6</v>
      </c>
      <c r="G703" s="26"/>
      <c r="H703" s="26" t="s">
        <v>899</v>
      </c>
      <c r="I703" s="26" t="s">
        <v>1918</v>
      </c>
    </row>
    <row r="704" spans="2:9" x14ac:dyDescent="0.25">
      <c r="B704" s="26">
        <f t="shared" si="10"/>
        <v>701</v>
      </c>
      <c r="C704" s="27">
        <v>46174</v>
      </c>
      <c r="D704" s="28" t="s">
        <v>1622</v>
      </c>
      <c r="E704" s="29" t="str">
        <f>_xlfn.XLOOKUP(Table7[[#This Row],[Malın kodu]],Table4[Malın kodu],Table4[Malın adı],"Xəta",0)</f>
        <v>Dirsək / d 50 mm / polietilen / 90° / "Borfit" / Türkiyə istehsalı</v>
      </c>
      <c r="F704" s="26">
        <v>2</v>
      </c>
      <c r="G704" s="26"/>
      <c r="H704" s="26" t="s">
        <v>899</v>
      </c>
      <c r="I704" s="26" t="s">
        <v>1918</v>
      </c>
    </row>
    <row r="705" spans="2:9" x14ac:dyDescent="0.25">
      <c r="B705" s="26">
        <f t="shared" si="10"/>
        <v>702</v>
      </c>
      <c r="C705" s="27">
        <v>46174</v>
      </c>
      <c r="D705" s="28" t="s">
        <v>1623</v>
      </c>
      <c r="E705" s="29" t="str">
        <f>_xlfn.XLOOKUP(Table7[[#This Row],[Malın kodu]],Table4[Malın kodu],Table4[Malın adı],"Xəta",0)</f>
        <v>Üçlük / d 50 mm / polietilen / "Borfit" / Türkiyə istehsalı</v>
      </c>
      <c r="F705" s="26">
        <v>1</v>
      </c>
      <c r="G705" s="26"/>
      <c r="H705" s="26" t="s">
        <v>899</v>
      </c>
      <c r="I705" s="26" t="s">
        <v>1918</v>
      </c>
    </row>
    <row r="706" spans="2:9" x14ac:dyDescent="0.25">
      <c r="B706" s="26">
        <f t="shared" si="10"/>
        <v>703</v>
      </c>
      <c r="C706" s="27">
        <v>46174</v>
      </c>
      <c r="D706" s="28" t="s">
        <v>1624</v>
      </c>
      <c r="E706" s="29" t="str">
        <f>_xlfn.XLOOKUP(Table7[[#This Row],[Malın kodu]],Table4[Malın kodu],Table4[Malın adı],"Xəta",0)</f>
        <v>Keçid / d 255 x 310 mm / polad</v>
      </c>
      <c r="F706" s="26">
        <v>1</v>
      </c>
      <c r="G706" s="26"/>
      <c r="H706" s="26" t="s">
        <v>899</v>
      </c>
      <c r="I706" s="26" t="s">
        <v>1918</v>
      </c>
    </row>
    <row r="707" spans="2:9" x14ac:dyDescent="0.25">
      <c r="B707" s="26">
        <f t="shared" si="10"/>
        <v>704</v>
      </c>
      <c r="C707" s="27">
        <v>46174</v>
      </c>
      <c r="D707" s="28" t="s">
        <v>1625</v>
      </c>
      <c r="E707" s="29" t="str">
        <f>_xlfn.XLOOKUP(Table7[[#This Row],[Malın kodu]],Table4[Malın kodu],Table4[Malın adı],"Xəta",0)</f>
        <v>Keçid / d 125 x 155 mm / polad</v>
      </c>
      <c r="F707" s="26">
        <v>1</v>
      </c>
      <c r="G707" s="26"/>
      <c r="H707" s="26" t="s">
        <v>899</v>
      </c>
      <c r="I707" s="26" t="s">
        <v>1918</v>
      </c>
    </row>
    <row r="708" spans="2:9" x14ac:dyDescent="0.25">
      <c r="B708" s="26">
        <f t="shared" ref="B708:B771" si="11">ROW()-3</f>
        <v>705</v>
      </c>
      <c r="C708" s="27">
        <v>46174</v>
      </c>
      <c r="D708" s="28" t="s">
        <v>1626</v>
      </c>
      <c r="E708" s="29" t="str">
        <f>_xlfn.XLOOKUP(Table7[[#This Row],[Malın kodu]],Table4[Malın kodu],Table4[Malın adı],"Xəta",0)</f>
        <v>Keçid / d 100 x 155 mm / polad</v>
      </c>
      <c r="F708" s="26">
        <v>1</v>
      </c>
      <c r="G708" s="26"/>
      <c r="H708" s="26" t="s">
        <v>899</v>
      </c>
      <c r="I708" s="26" t="s">
        <v>1918</v>
      </c>
    </row>
    <row r="709" spans="2:9" x14ac:dyDescent="0.25">
      <c r="B709" s="26">
        <f t="shared" si="11"/>
        <v>706</v>
      </c>
      <c r="C709" s="27">
        <v>46174</v>
      </c>
      <c r="D709" s="28" t="s">
        <v>1627</v>
      </c>
      <c r="E709" s="29" t="str">
        <f>_xlfn.XLOOKUP(Table7[[#This Row],[Malın kodu]],Table4[Malın kodu],Table4[Malın adı],"Xəta",0)</f>
        <v>Keçid / d 75 x 95 mm / polad</v>
      </c>
      <c r="F709" s="26">
        <v>1</v>
      </c>
      <c r="G709" s="26"/>
      <c r="H709" s="26" t="s">
        <v>899</v>
      </c>
      <c r="I709" s="26" t="s">
        <v>1918</v>
      </c>
    </row>
    <row r="710" spans="2:9" x14ac:dyDescent="0.25">
      <c r="B710" s="26">
        <f t="shared" si="11"/>
        <v>707</v>
      </c>
      <c r="C710" s="27">
        <v>46174</v>
      </c>
      <c r="D710" s="28" t="s">
        <v>1628</v>
      </c>
      <c r="E710" s="29" t="str">
        <f>_xlfn.XLOOKUP(Table7[[#This Row],[Malın kodu]],Table4[Malın kodu],Table4[Malın adı],"Xəta",0)</f>
        <v>Keçid / d 90 x 150 mm / polad</v>
      </c>
      <c r="F710" s="26">
        <v>1</v>
      </c>
      <c r="G710" s="26"/>
      <c r="H710" s="26" t="s">
        <v>899</v>
      </c>
      <c r="I710" s="26" t="s">
        <v>1918</v>
      </c>
    </row>
    <row r="711" spans="2:9" x14ac:dyDescent="0.25">
      <c r="B711" s="26">
        <f t="shared" si="11"/>
        <v>708</v>
      </c>
      <c r="C711" s="27">
        <v>46174</v>
      </c>
      <c r="D711" s="28" t="s">
        <v>1629</v>
      </c>
      <c r="E711" s="29" t="str">
        <f>_xlfn.XLOOKUP(Table7[[#This Row],[Malın kodu]],Table4[Malın kodu],Table4[Malın adı],"Xəta",0)</f>
        <v>Qapaq / d 150 mm / polad</v>
      </c>
      <c r="F711" s="26">
        <v>1</v>
      </c>
      <c r="G711" s="26"/>
      <c r="H711" s="26" t="s">
        <v>899</v>
      </c>
      <c r="I711" s="26" t="s">
        <v>1918</v>
      </c>
    </row>
    <row r="712" spans="2:9" x14ac:dyDescent="0.25">
      <c r="B712" s="26">
        <f t="shared" si="11"/>
        <v>709</v>
      </c>
      <c r="C712" s="27">
        <v>46174</v>
      </c>
      <c r="D712" s="28" t="s">
        <v>1630</v>
      </c>
      <c r="E712" s="29" t="str">
        <f>_xlfn.XLOOKUP(Table7[[#This Row],[Malın kodu]],Table4[Malın kodu],Table4[Malın adı],"Xəta",0)</f>
        <v>Dirsək / d 260 mm / polad</v>
      </c>
      <c r="F712" s="26">
        <v>1</v>
      </c>
      <c r="G712" s="26"/>
      <c r="H712" s="26" t="s">
        <v>899</v>
      </c>
      <c r="I712" s="26" t="s">
        <v>1918</v>
      </c>
    </row>
    <row r="713" spans="2:9" x14ac:dyDescent="0.25">
      <c r="B713" s="26">
        <f t="shared" si="11"/>
        <v>710</v>
      </c>
      <c r="C713" s="27">
        <v>46174</v>
      </c>
      <c r="D713" s="28" t="s">
        <v>1631</v>
      </c>
      <c r="E713" s="29" t="str">
        <f>_xlfn.XLOOKUP(Table7[[#This Row],[Malın kodu]],Table4[Malın kodu],Table4[Malın adı],"Xəta",0)</f>
        <v>Dirsək / d 65 mm / polad / 90°</v>
      </c>
      <c r="F713" s="26">
        <v>7</v>
      </c>
      <c r="G713" s="26"/>
      <c r="H713" s="26" t="s">
        <v>899</v>
      </c>
      <c r="I713" s="26" t="s">
        <v>1918</v>
      </c>
    </row>
    <row r="714" spans="2:9" x14ac:dyDescent="0.25">
      <c r="B714" s="26">
        <f t="shared" si="11"/>
        <v>711</v>
      </c>
      <c r="C714" s="27">
        <v>46174</v>
      </c>
      <c r="D714" s="28" t="s">
        <v>1632</v>
      </c>
      <c r="E714" s="29" t="str">
        <f>_xlfn.XLOOKUP(Table7[[#This Row],[Malın kodu]],Table4[Malın kodu],Table4[Malın adı],"Xəta",0)</f>
        <v>Dirsək / d 160 mm / polad / 45°</v>
      </c>
      <c r="F714" s="26">
        <v>1</v>
      </c>
      <c r="G714" s="26"/>
      <c r="H714" s="26" t="s">
        <v>899</v>
      </c>
      <c r="I714" s="26" t="s">
        <v>1918</v>
      </c>
    </row>
    <row r="715" spans="2:9" x14ac:dyDescent="0.25">
      <c r="B715" s="26">
        <f t="shared" si="11"/>
        <v>712</v>
      </c>
      <c r="C715" s="27">
        <v>46174</v>
      </c>
      <c r="D715" s="28" t="s">
        <v>1633</v>
      </c>
      <c r="E715" s="29" t="str">
        <f>_xlfn.XLOOKUP(Table7[[#This Row],[Malın kodu]],Table4[Malın kodu],Table4[Malın adı],"Xəta",0)</f>
        <v>Dirsək / d 100 mm / polad / 45°</v>
      </c>
      <c r="F715" s="26">
        <v>6</v>
      </c>
      <c r="G715" s="26"/>
      <c r="H715" s="26" t="s">
        <v>899</v>
      </c>
      <c r="I715" s="26" t="s">
        <v>1918</v>
      </c>
    </row>
    <row r="716" spans="2:9" x14ac:dyDescent="0.25">
      <c r="B716" s="26">
        <f t="shared" si="11"/>
        <v>713</v>
      </c>
      <c r="C716" s="27">
        <v>46174</v>
      </c>
      <c r="D716" s="28" t="s">
        <v>1634</v>
      </c>
      <c r="E716" s="29" t="str">
        <f>_xlfn.XLOOKUP(Table7[[#This Row],[Malın kodu]],Table4[Malın kodu],Table4[Malın adı],"Xəta",0)</f>
        <v>Dirsək / d 310 mm / polad / 45°</v>
      </c>
      <c r="F716" s="26">
        <v>1</v>
      </c>
      <c r="G716" s="26"/>
      <c r="H716" s="26" t="s">
        <v>899</v>
      </c>
      <c r="I716" s="26" t="s">
        <v>1918</v>
      </c>
    </row>
    <row r="717" spans="2:9" x14ac:dyDescent="0.25">
      <c r="B717" s="26">
        <f t="shared" si="11"/>
        <v>714</v>
      </c>
      <c r="C717" s="27">
        <v>46174</v>
      </c>
      <c r="D717" s="28" t="s">
        <v>1635</v>
      </c>
      <c r="E717" s="29" t="str">
        <f>_xlfn.XLOOKUP(Table7[[#This Row],[Malın kodu]],Table4[Malın kodu],Table4[Malın adı],"Xəta",0)</f>
        <v>Dirsək / d 200 mm / polad / 45°</v>
      </c>
      <c r="F717" s="26">
        <v>1</v>
      </c>
      <c r="G717" s="26"/>
      <c r="H717" s="26" t="s">
        <v>899</v>
      </c>
      <c r="I717" s="26" t="s">
        <v>1918</v>
      </c>
    </row>
    <row r="718" spans="2:9" x14ac:dyDescent="0.25">
      <c r="B718" s="26">
        <f t="shared" si="11"/>
        <v>715</v>
      </c>
      <c r="C718" s="27">
        <v>46174</v>
      </c>
      <c r="D718" s="28" t="s">
        <v>1636</v>
      </c>
      <c r="E718" s="29" t="str">
        <f>_xlfn.XLOOKUP(Table7[[#This Row],[Malın kodu]],Table4[Malın kodu],Table4[Malın adı],"Xəta",0)</f>
        <v>Üçlük / d 150 mm / polad</v>
      </c>
      <c r="F718" s="26">
        <v>1</v>
      </c>
      <c r="G718" s="26"/>
      <c r="H718" s="26" t="s">
        <v>899</v>
      </c>
      <c r="I718" s="26" t="s">
        <v>1918</v>
      </c>
    </row>
    <row r="719" spans="2:9" x14ac:dyDescent="0.25">
      <c r="B719" s="26">
        <f t="shared" si="11"/>
        <v>716</v>
      </c>
      <c r="C719" s="27">
        <v>46174</v>
      </c>
      <c r="D719" s="28" t="s">
        <v>1637</v>
      </c>
      <c r="E719" s="29" t="str">
        <f>_xlfn.XLOOKUP(Table7[[#This Row],[Malın kodu]],Table4[Malın kodu],Table4[Malın adı],"Xəta",0)</f>
        <v>Üçlük / d 150 x 95 mm / polad</v>
      </c>
      <c r="F719" s="26">
        <v>1</v>
      </c>
      <c r="G719" s="26"/>
      <c r="H719" s="26" t="s">
        <v>899</v>
      </c>
      <c r="I719" s="26" t="s">
        <v>1918</v>
      </c>
    </row>
    <row r="720" spans="2:9" x14ac:dyDescent="0.25">
      <c r="B720" s="26">
        <f t="shared" si="11"/>
        <v>717</v>
      </c>
      <c r="C720" s="27">
        <v>46174</v>
      </c>
      <c r="D720" s="28" t="s">
        <v>1638</v>
      </c>
      <c r="E720" s="29" t="str">
        <f>_xlfn.XLOOKUP(Table7[[#This Row],[Malın kodu]],Table4[Malın kodu],Table4[Malın adı],"Xəta",0)</f>
        <v>Dirsək / d 205 mm / 90° / polad</v>
      </c>
      <c r="F720" s="26">
        <v>1</v>
      </c>
      <c r="G720" s="26"/>
      <c r="H720" s="26" t="s">
        <v>899</v>
      </c>
      <c r="I720" s="26" t="s">
        <v>1918</v>
      </c>
    </row>
    <row r="721" spans="2:9" x14ac:dyDescent="0.25">
      <c r="B721" s="26">
        <f t="shared" si="11"/>
        <v>718</v>
      </c>
      <c r="C721" s="27">
        <v>46174</v>
      </c>
      <c r="D721" s="28" t="s">
        <v>1639</v>
      </c>
      <c r="E721" s="29" t="str">
        <f>_xlfn.XLOOKUP(Table7[[#This Row],[Malın kodu]],Table4[Malın kodu],Table4[Malın adı],"Xəta",0)</f>
        <v>Dirsək / d 93 mm / 90° / polad</v>
      </c>
      <c r="F721" s="26">
        <v>2</v>
      </c>
      <c r="G721" s="26"/>
      <c r="H721" s="26" t="s">
        <v>899</v>
      </c>
      <c r="I721" s="26" t="s">
        <v>1918</v>
      </c>
    </row>
    <row r="722" spans="2:9" x14ac:dyDescent="0.25">
      <c r="B722" s="26">
        <f t="shared" si="11"/>
        <v>719</v>
      </c>
      <c r="C722" s="27">
        <v>46174</v>
      </c>
      <c r="D722" s="28" t="s">
        <v>1640</v>
      </c>
      <c r="E722" s="29" t="str">
        <f>_xlfn.XLOOKUP(Table7[[#This Row],[Malın kodu]],Table4[Malın kodu],Table4[Malın adı],"Xəta",0)</f>
        <v>Flyans / d 65 mm / polad</v>
      </c>
      <c r="F722" s="26">
        <v>2</v>
      </c>
      <c r="G722" s="26"/>
      <c r="H722" s="26" t="s">
        <v>899</v>
      </c>
      <c r="I722" s="26" t="s">
        <v>1918</v>
      </c>
    </row>
    <row r="723" spans="2:9" x14ac:dyDescent="0.25">
      <c r="B723" s="26">
        <f t="shared" si="11"/>
        <v>720</v>
      </c>
      <c r="C723" s="27">
        <v>46174</v>
      </c>
      <c r="D723" s="28" t="s">
        <v>1641</v>
      </c>
      <c r="E723" s="29" t="str">
        <f>_xlfn.XLOOKUP(Table7[[#This Row],[Malın kodu]],Table4[Malın kodu],Table4[Malın adı],"Xəta",0)</f>
        <v>Dirsək / d 90 mm / polad / 90° / flyanslı</v>
      </c>
      <c r="F723" s="26">
        <v>1</v>
      </c>
      <c r="G723" s="26"/>
      <c r="H723" s="26" t="s">
        <v>899</v>
      </c>
      <c r="I723" s="26" t="s">
        <v>1918</v>
      </c>
    </row>
    <row r="724" spans="2:9" x14ac:dyDescent="0.25">
      <c r="B724" s="26">
        <f t="shared" si="11"/>
        <v>721</v>
      </c>
      <c r="C724" s="27">
        <v>46174</v>
      </c>
      <c r="D724" s="28" t="s">
        <v>1642</v>
      </c>
      <c r="E724" s="29" t="str">
        <f>_xlfn.XLOOKUP(Table7[[#This Row],[Malın kodu]],Table4[Malın kodu],Table4[Malın adı],"Xəta",0)</f>
        <v>Dirsək / d 60 mm / polad / 90° / flyanslı</v>
      </c>
      <c r="F724" s="26">
        <v>1</v>
      </c>
      <c r="G724" s="26"/>
      <c r="H724" s="26" t="s">
        <v>899</v>
      </c>
      <c r="I724" s="26" t="s">
        <v>1918</v>
      </c>
    </row>
    <row r="725" spans="2:9" x14ac:dyDescent="0.25">
      <c r="B725" s="26">
        <f t="shared" si="11"/>
        <v>722</v>
      </c>
      <c r="C725" s="27">
        <v>46174</v>
      </c>
      <c r="D725" s="28" t="s">
        <v>1643</v>
      </c>
      <c r="E725" s="29" t="str">
        <f>_xlfn.XLOOKUP(Table7[[#This Row],[Malın kodu]],Table4[Malın kodu],Table4[Malın adı],"Xəta",0)</f>
        <v>Karot ucu / d 102 mm / L 420 mm</v>
      </c>
      <c r="F725" s="26">
        <v>1</v>
      </c>
      <c r="G725" s="26"/>
      <c r="H725" s="26" t="s">
        <v>899</v>
      </c>
      <c r="I725" s="26" t="s">
        <v>1918</v>
      </c>
    </row>
    <row r="726" spans="2:9" x14ac:dyDescent="0.25">
      <c r="B726" s="26">
        <f t="shared" si="11"/>
        <v>723</v>
      </c>
      <c r="C726" s="27">
        <v>46174</v>
      </c>
      <c r="D726" s="28" t="s">
        <v>1644</v>
      </c>
      <c r="E726" s="29" t="str">
        <f>_xlfn.XLOOKUP(Table7[[#This Row],[Malın kodu]],Table4[Malın kodu],Table4[Malın adı],"Xəta",0)</f>
        <v>Karot ucu / d 40 mm / L 420 mm</v>
      </c>
      <c r="F726" s="26">
        <v>1</v>
      </c>
      <c r="G726" s="26"/>
      <c r="H726" s="26" t="s">
        <v>899</v>
      </c>
      <c r="I726" s="26" t="s">
        <v>1918</v>
      </c>
    </row>
    <row r="727" spans="2:9" x14ac:dyDescent="0.25">
      <c r="B727" s="26">
        <f t="shared" si="11"/>
        <v>724</v>
      </c>
      <c r="C727" s="27">
        <v>46174</v>
      </c>
      <c r="D727" s="28" t="s">
        <v>1645</v>
      </c>
      <c r="E727" s="29" t="str">
        <f>_xlfn.XLOOKUP(Table7[[#This Row],[Malın kodu]],Table4[Malın kodu],Table4[Malın adı],"Xəta",0)</f>
        <v>Karot ucu / d 165 mm / L 400 mm</v>
      </c>
      <c r="F727" s="26">
        <v>1</v>
      </c>
      <c r="G727" s="26"/>
      <c r="H727" s="26" t="s">
        <v>899</v>
      </c>
      <c r="I727" s="26" t="s">
        <v>1918</v>
      </c>
    </row>
    <row r="728" spans="2:9" x14ac:dyDescent="0.25">
      <c r="B728" s="26">
        <f t="shared" si="11"/>
        <v>725</v>
      </c>
      <c r="C728" s="27">
        <v>46174</v>
      </c>
      <c r="D728" s="28" t="s">
        <v>1646</v>
      </c>
      <c r="E728" s="29" t="str">
        <f>_xlfn.XLOOKUP(Table7[[#This Row],[Malın kodu]],Table4[Malın kodu],Table4[Malın adı],"Xəta",0)</f>
        <v>Karot ucu / d 220 mm / L 400 mm</v>
      </c>
      <c r="F728" s="26">
        <v>1</v>
      </c>
      <c r="G728" s="26"/>
      <c r="H728" s="26" t="s">
        <v>899</v>
      </c>
      <c r="I728" s="26" t="s">
        <v>1918</v>
      </c>
    </row>
    <row r="729" spans="2:9" x14ac:dyDescent="0.25">
      <c r="B729" s="26">
        <f t="shared" si="11"/>
        <v>726</v>
      </c>
      <c r="C729" s="27">
        <v>46174</v>
      </c>
      <c r="D729" s="28" t="s">
        <v>1647</v>
      </c>
      <c r="E729" s="29" t="str">
        <f>_xlfn.XLOOKUP(Table7[[#This Row],[Malın kodu]],Table4[Malın kodu],Table4[Malın adı],"Xəta",0)</f>
        <v>Giloz açarı</v>
      </c>
      <c r="F729" s="26">
        <v>1</v>
      </c>
      <c r="G729" s="26"/>
      <c r="H729" s="26" t="s">
        <v>899</v>
      </c>
      <c r="I729" s="26" t="s">
        <v>1918</v>
      </c>
    </row>
    <row r="730" spans="2:9" x14ac:dyDescent="0.25">
      <c r="B730" s="26">
        <f t="shared" si="11"/>
        <v>727</v>
      </c>
      <c r="C730" s="27">
        <v>46174</v>
      </c>
      <c r="D730" s="28" t="s">
        <v>1648</v>
      </c>
      <c r="E730" s="29" t="str">
        <f>_xlfn.XLOOKUP(Table7[[#This Row],[Malın kodu]],Table4[Malın kodu],Table4[Malın adı],"Xəta",0)</f>
        <v>Kəsici / d 100 mm / almaz / perforator üçün</v>
      </c>
      <c r="F730" s="26">
        <v>1</v>
      </c>
      <c r="G730" s="26"/>
      <c r="H730" s="26" t="s">
        <v>899</v>
      </c>
      <c r="I730" s="26" t="s">
        <v>1918</v>
      </c>
    </row>
    <row r="731" spans="2:9" x14ac:dyDescent="0.25">
      <c r="B731" s="26">
        <f t="shared" si="11"/>
        <v>728</v>
      </c>
      <c r="C731" s="27">
        <v>46174</v>
      </c>
      <c r="D731" s="28" t="s">
        <v>1649</v>
      </c>
      <c r="E731" s="29" t="str">
        <f>_xlfn.XLOOKUP(Table7[[#This Row],[Malın kodu]],Table4[Malın kodu],Table4[Malın adı],"Xəta",0)</f>
        <v>Kəsici / d 120 mm / almaz / perforator üçün</v>
      </c>
      <c r="F731" s="26">
        <v>1</v>
      </c>
      <c r="G731" s="26"/>
      <c r="H731" s="26" t="s">
        <v>899</v>
      </c>
      <c r="I731" s="26" t="s">
        <v>1918</v>
      </c>
    </row>
    <row r="732" spans="2:9" x14ac:dyDescent="0.25">
      <c r="B732" s="26">
        <f t="shared" si="11"/>
        <v>729</v>
      </c>
      <c r="C732" s="27">
        <v>46174</v>
      </c>
      <c r="D732" s="28" t="s">
        <v>1650</v>
      </c>
      <c r="E732" s="29" t="str">
        <f>_xlfn.XLOOKUP(Table7[[#This Row],[Malın kodu]],Table4[Malın kodu],Table4[Malın adı],"Xəta",0)</f>
        <v>Kəsici / d 50 mm / almaz / perforator üçün</v>
      </c>
      <c r="F732" s="26">
        <v>1</v>
      </c>
      <c r="G732" s="26"/>
      <c r="H732" s="26" t="s">
        <v>899</v>
      </c>
      <c r="I732" s="26" t="s">
        <v>1918</v>
      </c>
    </row>
    <row r="733" spans="2:9" x14ac:dyDescent="0.25">
      <c r="B733" s="26">
        <f t="shared" si="11"/>
        <v>730</v>
      </c>
      <c r="C733" s="27">
        <v>46174</v>
      </c>
      <c r="D733" s="28" t="s">
        <v>1651</v>
      </c>
      <c r="E733" s="29" t="str">
        <f>_xlfn.XLOOKUP(Table7[[#This Row],[Malın kodu]],Table4[Malın kodu],Table4[Malın adı],"Xəta",0)</f>
        <v>Burğu / taxta üçün / d 25 mm</v>
      </c>
      <c r="F733" s="26">
        <v>2</v>
      </c>
      <c r="G733" s="26"/>
      <c r="H733" s="26" t="s">
        <v>899</v>
      </c>
      <c r="I733" s="26" t="s">
        <v>1918</v>
      </c>
    </row>
    <row r="734" spans="2:9" x14ac:dyDescent="0.25">
      <c r="B734" s="26">
        <f t="shared" si="11"/>
        <v>731</v>
      </c>
      <c r="C734" s="27">
        <v>46174</v>
      </c>
      <c r="D734" s="28" t="s">
        <v>1652</v>
      </c>
      <c r="E734" s="29" t="str">
        <f>_xlfn.XLOOKUP(Table7[[#This Row],[Malın kodu]],Table4[Malın kodu],Table4[Malın adı],"Xəta",0)</f>
        <v>Qaz balonu / farsunka ilə</v>
      </c>
      <c r="F734" s="26">
        <v>1</v>
      </c>
      <c r="G734" s="26"/>
      <c r="H734" s="26" t="s">
        <v>899</v>
      </c>
      <c r="I734" s="26" t="s">
        <v>1918</v>
      </c>
    </row>
    <row r="735" spans="2:9" x14ac:dyDescent="0.25">
      <c r="B735" s="26">
        <f t="shared" si="11"/>
        <v>732</v>
      </c>
      <c r="C735" s="27">
        <v>46174</v>
      </c>
      <c r="D735" s="28" t="s">
        <v>1653</v>
      </c>
      <c r="E735" s="29" t="str">
        <f>_xlfn.XLOOKUP(Table7[[#This Row],[Malın kodu]],Table4[Malın kodu],Table4[Malın adı],"Xəta",0)</f>
        <v>Valik / 10-luq</v>
      </c>
      <c r="F735" s="26">
        <v>1</v>
      </c>
      <c r="G735" s="26"/>
      <c r="H735" s="26" t="s">
        <v>899</v>
      </c>
      <c r="I735" s="26" t="s">
        <v>1918</v>
      </c>
    </row>
    <row r="736" spans="2:9" x14ac:dyDescent="0.25">
      <c r="B736" s="26">
        <f t="shared" si="11"/>
        <v>733</v>
      </c>
      <c r="C736" s="27">
        <v>46174</v>
      </c>
      <c r="D736" s="28" t="s">
        <v>1654</v>
      </c>
      <c r="E736" s="29" t="str">
        <f>_xlfn.XLOOKUP(Table7[[#This Row],[Malın kodu]],Table4[Malın kodu],Table4[Malın adı],"Xəta",0)</f>
        <v>Mufta / d 32 mm / polietilen / elektrofizyon / B</v>
      </c>
      <c r="F736" s="26">
        <v>80</v>
      </c>
      <c r="G736" s="26"/>
      <c r="H736" s="26" t="s">
        <v>899</v>
      </c>
      <c r="I736" s="26" t="s">
        <v>1918</v>
      </c>
    </row>
    <row r="737" spans="2:9" x14ac:dyDescent="0.25">
      <c r="B737" s="26">
        <f t="shared" si="11"/>
        <v>734</v>
      </c>
      <c r="C737" s="27">
        <v>46174</v>
      </c>
      <c r="D737" s="28" t="s">
        <v>1655</v>
      </c>
      <c r="E737" s="29" t="str">
        <f>_xlfn.XLOOKUP(Table7[[#This Row],[Malın kodu]],Table4[Malın kodu],Table4[Malın adı],"Xəta",0)</f>
        <v>Yol nişanı "Hərəkət qadağandır"</v>
      </c>
      <c r="F737" s="26">
        <v>1</v>
      </c>
      <c r="G737" s="26"/>
      <c r="H737" s="26" t="s">
        <v>899</v>
      </c>
      <c r="I737" s="26" t="s">
        <v>1918</v>
      </c>
    </row>
    <row r="738" spans="2:9" x14ac:dyDescent="0.25">
      <c r="B738" s="26">
        <f t="shared" si="11"/>
        <v>735</v>
      </c>
      <c r="C738" s="27">
        <v>46174</v>
      </c>
      <c r="D738" s="28" t="s">
        <v>1656</v>
      </c>
      <c r="E738" s="29" t="str">
        <f>_xlfn.XLOOKUP(Table7[[#This Row],[Malın kodu]],Table4[Malın kodu],Table4[Malın adı],"Xəta",0)</f>
        <v>Yol nişanı "Yol ver"</v>
      </c>
      <c r="F738" s="26">
        <v>9</v>
      </c>
      <c r="G738" s="26"/>
      <c r="H738" s="26" t="s">
        <v>899</v>
      </c>
      <c r="I738" s="26" t="s">
        <v>1918</v>
      </c>
    </row>
    <row r="739" spans="2:9" x14ac:dyDescent="0.25">
      <c r="B739" s="26">
        <f t="shared" si="11"/>
        <v>736</v>
      </c>
      <c r="C739" s="27">
        <v>46174</v>
      </c>
      <c r="D739" s="28" t="s">
        <v>1657</v>
      </c>
      <c r="E739" s="29" t="str">
        <f>_xlfn.XLOOKUP(Table7[[#This Row],[Malın kodu]],Table4[Malın kodu],Table4[Malın adı],"Xəta",0)</f>
        <v>Yol nişanı "Sürət 40 km/s"</v>
      </c>
      <c r="F739" s="26">
        <v>1</v>
      </c>
      <c r="G739" s="26"/>
      <c r="H739" s="26" t="s">
        <v>899</v>
      </c>
      <c r="I739" s="26" t="s">
        <v>1918</v>
      </c>
    </row>
    <row r="740" spans="2:9" x14ac:dyDescent="0.25">
      <c r="B740" s="26">
        <f t="shared" si="11"/>
        <v>737</v>
      </c>
      <c r="C740" s="27">
        <v>46174</v>
      </c>
      <c r="D740" s="28" t="s">
        <v>1658</v>
      </c>
      <c r="E740" s="29" t="str">
        <f>_xlfn.XLOOKUP(Table7[[#This Row],[Malın kodu]],Table4[Malın kodu],Table4[Malın adı],"Xəta",0)</f>
        <v>Printer / A3 / color / "EPSON" / L15160  / İndoneziya istehsalı</v>
      </c>
      <c r="F740" s="26">
        <v>1</v>
      </c>
      <c r="G740" s="26"/>
      <c r="H740" s="26" t="s">
        <v>899</v>
      </c>
      <c r="I740" s="26" t="s">
        <v>1918</v>
      </c>
    </row>
    <row r="741" spans="2:9" x14ac:dyDescent="0.25">
      <c r="B741" s="26">
        <f t="shared" si="11"/>
        <v>738</v>
      </c>
      <c r="C741" s="27">
        <v>46174</v>
      </c>
      <c r="D741" s="28" t="s">
        <v>1659</v>
      </c>
      <c r="E741" s="29" t="str">
        <f>_xlfn.XLOOKUP(Table7[[#This Row],[Malın kodu]],Table4[Malın kodu],Table4[Malın adı],"Xəta",0)</f>
        <v>Xətkeş / nivelyator üçün / B</v>
      </c>
      <c r="F741" s="26">
        <v>12</v>
      </c>
      <c r="G741" s="26"/>
      <c r="H741" s="26" t="s">
        <v>899</v>
      </c>
      <c r="I741" s="26" t="s">
        <v>1918</v>
      </c>
    </row>
    <row r="742" spans="2:9" x14ac:dyDescent="0.25">
      <c r="B742" s="26">
        <f t="shared" si="11"/>
        <v>739</v>
      </c>
      <c r="C742" s="27">
        <v>46174</v>
      </c>
      <c r="D742" s="28" t="s">
        <v>1660</v>
      </c>
      <c r="E742" s="29" t="str">
        <f>_xlfn.XLOOKUP(Table7[[#This Row],[Malın kodu]],Table4[Malın kodu],Table4[Malın adı],"Xəta",0)</f>
        <v>İzolyasiya materialı / boru üçün / 28/5/100</v>
      </c>
      <c r="F742" s="26">
        <v>1</v>
      </c>
      <c r="G742" s="26"/>
      <c r="H742" s="26" t="s">
        <v>899</v>
      </c>
      <c r="I742" s="26" t="s">
        <v>1918</v>
      </c>
    </row>
    <row r="743" spans="2:9" x14ac:dyDescent="0.25">
      <c r="B743" s="26">
        <f t="shared" si="11"/>
        <v>740</v>
      </c>
      <c r="C743" s="27">
        <v>46174</v>
      </c>
      <c r="D743" s="28" t="s">
        <v>1661</v>
      </c>
      <c r="E743" s="29" t="str">
        <f>_xlfn.XLOOKUP(Table7[[#This Row],[Malın kodu]],Table4[Malın kodu],Table4[Malın adı],"Xəta",0)</f>
        <v>Kanistr / plastik / 20 litr</v>
      </c>
      <c r="F743" s="26">
        <v>7</v>
      </c>
      <c r="G743" s="26"/>
      <c r="H743" s="26" t="s">
        <v>899</v>
      </c>
      <c r="I743" s="26" t="s">
        <v>1918</v>
      </c>
    </row>
    <row r="744" spans="2:9" x14ac:dyDescent="0.25">
      <c r="B744" s="26">
        <f t="shared" si="11"/>
        <v>741</v>
      </c>
      <c r="C744" s="27">
        <v>46174</v>
      </c>
      <c r="D744" s="28" t="s">
        <v>1662</v>
      </c>
      <c r="E744" s="29" t="str">
        <f>_xlfn.XLOOKUP(Table7[[#This Row],[Malın kodu]],Table4[Malın kodu],Table4[Malın adı],"Xəta",0)</f>
        <v>Profil / "U" / 50mm x 4metr / alçıpan üçün</v>
      </c>
      <c r="F744" s="26">
        <v>17</v>
      </c>
      <c r="G744" s="26"/>
      <c r="H744" s="26" t="s">
        <v>899</v>
      </c>
      <c r="I744" s="26" t="s">
        <v>1918</v>
      </c>
    </row>
    <row r="745" spans="2:9" x14ac:dyDescent="0.25">
      <c r="B745" s="26">
        <f t="shared" si="11"/>
        <v>742</v>
      </c>
      <c r="C745" s="27">
        <v>46174</v>
      </c>
      <c r="D745" s="28" t="s">
        <v>1663</v>
      </c>
      <c r="E745" s="29" t="str">
        <f>_xlfn.XLOOKUP(Table7[[#This Row],[Malın kodu]],Table4[Malın kodu],Table4[Malın adı],"Xəta",0)</f>
        <v>Su dispenseri / "Beko"</v>
      </c>
      <c r="F745" s="26">
        <v>1</v>
      </c>
      <c r="G745" s="26"/>
      <c r="H745" s="26" t="s">
        <v>899</v>
      </c>
      <c r="I745" s="26" t="s">
        <v>1918</v>
      </c>
    </row>
    <row r="746" spans="2:9" x14ac:dyDescent="0.25">
      <c r="B746" s="26">
        <f t="shared" si="11"/>
        <v>743</v>
      </c>
      <c r="C746" s="27">
        <v>46174</v>
      </c>
      <c r="D746" s="28" t="s">
        <v>1664</v>
      </c>
      <c r="E746" s="29" t="str">
        <f>_xlfn.XLOOKUP(Table7[[#This Row],[Malın kodu]],Table4[Malın kodu],Table4[Malın adı],"Xəta",0)</f>
        <v>Su dispenseri / "Silver"</v>
      </c>
      <c r="F746" s="26">
        <v>1</v>
      </c>
      <c r="G746" s="26"/>
      <c r="H746" s="26" t="s">
        <v>899</v>
      </c>
      <c r="I746" s="26" t="s">
        <v>1918</v>
      </c>
    </row>
    <row r="747" spans="2:9" x14ac:dyDescent="0.25">
      <c r="B747" s="26">
        <f t="shared" si="11"/>
        <v>744</v>
      </c>
      <c r="C747" s="27">
        <v>46174</v>
      </c>
      <c r="D747" s="28" t="s">
        <v>1665</v>
      </c>
      <c r="E747" s="29" t="str">
        <f>_xlfn.XLOOKUP(Table7[[#This Row],[Malın kodu]],Table4[Malın kodu],Table4[Malın adı],"Xəta",0)</f>
        <v>Soyuducu / 2 kameralı / "STINOL"</v>
      </c>
      <c r="F747" s="26">
        <v>1</v>
      </c>
      <c r="G747" s="26"/>
      <c r="H747" s="26" t="s">
        <v>899</v>
      </c>
      <c r="I747" s="26" t="s">
        <v>1918</v>
      </c>
    </row>
    <row r="748" spans="2:9" x14ac:dyDescent="0.25">
      <c r="B748" s="26">
        <f t="shared" si="11"/>
        <v>745</v>
      </c>
      <c r="C748" s="27">
        <v>46174</v>
      </c>
      <c r="D748" s="28" t="s">
        <v>1666</v>
      </c>
      <c r="E748" s="29" t="str">
        <f>_xlfn.XLOOKUP(Table7[[#This Row],[Malın kodu]],Table4[Malın kodu],Table4[Malın adı],"Xəta",0)</f>
        <v>Kondisioner mühərriki / "AUX"</v>
      </c>
      <c r="F748" s="26">
        <v>2</v>
      </c>
      <c r="G748" s="26"/>
      <c r="H748" s="26" t="s">
        <v>899</v>
      </c>
      <c r="I748" s="26" t="s">
        <v>1918</v>
      </c>
    </row>
    <row r="749" spans="2:9" x14ac:dyDescent="0.25">
      <c r="B749" s="26">
        <f t="shared" si="11"/>
        <v>746</v>
      </c>
      <c r="C749" s="27">
        <v>46174</v>
      </c>
      <c r="D749" s="28" t="s">
        <v>1667</v>
      </c>
      <c r="E749" s="29" t="str">
        <f>_xlfn.XLOOKUP(Table7[[#This Row],[Malın kodu]],Table4[Malın kodu],Table4[Malın adı],"Xəta",0)</f>
        <v>Su qızdırıcı "SHIVAKI"</v>
      </c>
      <c r="F749" s="26">
        <v>1</v>
      </c>
      <c r="G749" s="26"/>
      <c r="H749" s="26" t="s">
        <v>899</v>
      </c>
      <c r="I749" s="26" t="s">
        <v>1918</v>
      </c>
    </row>
    <row r="750" spans="2:9" x14ac:dyDescent="0.25">
      <c r="B750" s="26">
        <f t="shared" si="11"/>
        <v>747</v>
      </c>
      <c r="C750" s="27">
        <v>46174</v>
      </c>
      <c r="D750" s="28" t="s">
        <v>1668</v>
      </c>
      <c r="E750" s="29" t="str">
        <f>_xlfn.XLOOKUP(Table7[[#This Row],[Malın kodu]],Table4[Malın kodu],Table4[Malın adı],"Xəta",0)</f>
        <v>Vedrə plastik</v>
      </c>
      <c r="F750" s="26">
        <v>1</v>
      </c>
      <c r="G750" s="26"/>
      <c r="H750" s="26" t="s">
        <v>899</v>
      </c>
      <c r="I750" s="26" t="s">
        <v>1918</v>
      </c>
    </row>
    <row r="751" spans="2:9" x14ac:dyDescent="0.25">
      <c r="B751" s="26">
        <f t="shared" si="11"/>
        <v>748</v>
      </c>
      <c r="C751" s="27">
        <v>46174</v>
      </c>
      <c r="D751" s="28" t="s">
        <v>1669</v>
      </c>
      <c r="E751" s="29" t="str">
        <f>_xlfn.XLOOKUP(Table7[[#This Row],[Malın kodu]],Table4[Malın kodu],Table4[Malın adı],"Xəta",0)</f>
        <v>Təkər / lesə üçün</v>
      </c>
      <c r="F751" s="26">
        <v>2</v>
      </c>
      <c r="G751" s="26"/>
      <c r="H751" s="26" t="s">
        <v>899</v>
      </c>
      <c r="I751" s="26" t="s">
        <v>1918</v>
      </c>
    </row>
    <row r="752" spans="2:9" x14ac:dyDescent="0.25">
      <c r="B752" s="26">
        <f t="shared" si="11"/>
        <v>749</v>
      </c>
      <c r="C752" s="27">
        <v>46174</v>
      </c>
      <c r="D752" s="28" t="s">
        <v>1670</v>
      </c>
      <c r="E752" s="29" t="str">
        <f>_xlfn.XLOOKUP(Table7[[#This Row],[Malın kodu]],Table4[Malın kodu],Table4[Malın adı],"Xəta",0)</f>
        <v>Sıxıcı plastik</v>
      </c>
      <c r="F752" s="26">
        <v>3</v>
      </c>
      <c r="G752" s="26"/>
      <c r="H752" s="26" t="s">
        <v>899</v>
      </c>
      <c r="I752" s="26" t="s">
        <v>1918</v>
      </c>
    </row>
    <row r="753" spans="2:9" x14ac:dyDescent="0.25">
      <c r="B753" s="26">
        <f t="shared" si="11"/>
        <v>750</v>
      </c>
      <c r="C753" s="27">
        <v>46174</v>
      </c>
      <c r="D753" s="28" t="s">
        <v>1671</v>
      </c>
      <c r="E753" s="29" t="str">
        <f>_xlfn.XLOOKUP(Table7[[#This Row],[Malın kodu]],Table4[Malın kodu],Table4[Malın adı],"Xəta",0)</f>
        <v>Xomut d 180 x 315 mm / elektrofiziyon servis birləşməsi üçün</v>
      </c>
      <c r="F753" s="26">
        <v>2</v>
      </c>
      <c r="G753" s="26"/>
      <c r="H753" s="26" t="s">
        <v>899</v>
      </c>
      <c r="I753" s="26" t="s">
        <v>1918</v>
      </c>
    </row>
    <row r="754" spans="2:9" x14ac:dyDescent="0.25">
      <c r="B754" s="26">
        <f t="shared" si="11"/>
        <v>751</v>
      </c>
      <c r="C754" s="27">
        <v>46174</v>
      </c>
      <c r="D754" s="28" t="s">
        <v>1672</v>
      </c>
      <c r="E754" s="29" t="str">
        <f>_xlfn.XLOOKUP(Table7[[#This Row],[Malın kodu]],Table4[Malın kodu],Table4[Malın adı],"Xəta",0)</f>
        <v>Sututucu bant / 20sm x 2.5 metr</v>
      </c>
      <c r="F754" s="26">
        <v>1</v>
      </c>
      <c r="G754" s="26"/>
      <c r="H754" s="26" t="s">
        <v>899</v>
      </c>
      <c r="I754" s="26" t="s">
        <v>1918</v>
      </c>
    </row>
    <row r="755" spans="2:9" x14ac:dyDescent="0.25">
      <c r="B755" s="26">
        <f t="shared" si="11"/>
        <v>752</v>
      </c>
      <c r="C755" s="27">
        <v>46174</v>
      </c>
      <c r="D755" s="28" t="s">
        <v>1673</v>
      </c>
      <c r="E755" s="29" t="str">
        <f>_xlfn.XLOOKUP(Table7[[#This Row],[Malın kodu]],Table4[Malın kodu],Table4[Malın adı],"Xəta",0)</f>
        <v>Sututucu bant / 17sm x 5 met</v>
      </c>
      <c r="F755" s="26">
        <v>1</v>
      </c>
      <c r="G755" s="26"/>
      <c r="H755" s="26" t="s">
        <v>899</v>
      </c>
      <c r="I755" s="26" t="s">
        <v>1918</v>
      </c>
    </row>
    <row r="756" spans="2:9" x14ac:dyDescent="0.25">
      <c r="B756" s="26">
        <f t="shared" si="11"/>
        <v>753</v>
      </c>
      <c r="C756" s="27">
        <v>46174</v>
      </c>
      <c r="D756" s="28" t="s">
        <v>1674</v>
      </c>
      <c r="E756" s="29" t="str">
        <f>_xlfn.XLOOKUP(Table7[[#This Row],[Malın kodu]],Table4[Malın kodu],Table4[Malın adı],"Xəta",0)</f>
        <v>Araqatı / d 200 mm / boru üçün / qara</v>
      </c>
      <c r="F756" s="26">
        <v>420</v>
      </c>
      <c r="G756" s="26"/>
      <c r="H756" s="26" t="s">
        <v>899</v>
      </c>
      <c r="I756" s="26" t="s">
        <v>1918</v>
      </c>
    </row>
    <row r="757" spans="2:9" x14ac:dyDescent="0.25">
      <c r="B757" s="26">
        <f t="shared" si="11"/>
        <v>754</v>
      </c>
      <c r="C757" s="27">
        <v>46174</v>
      </c>
      <c r="D757" s="28" t="s">
        <v>1675</v>
      </c>
      <c r="E757" s="29" t="str">
        <f>_xlfn.XLOOKUP(Table7[[#This Row],[Malın kodu]],Table4[Malın kodu],Table4[Malın adı],"Xəta",0)</f>
        <v>Araqatı / d 1500 mm / boru üçün / qara</v>
      </c>
      <c r="F757" s="26">
        <v>553</v>
      </c>
      <c r="G757" s="26"/>
      <c r="H757" s="26" t="s">
        <v>899</v>
      </c>
      <c r="I757" s="26" t="s">
        <v>1918</v>
      </c>
    </row>
    <row r="758" spans="2:9" x14ac:dyDescent="0.25">
      <c r="B758" s="26">
        <f t="shared" si="11"/>
        <v>755</v>
      </c>
      <c r="C758" s="27">
        <v>46174</v>
      </c>
      <c r="D758" s="28" t="s">
        <v>1676</v>
      </c>
      <c r="E758" s="29" t="str">
        <f>_xlfn.XLOOKUP(Table7[[#This Row],[Malın kodu]],Table4[Malın kodu],Table4[Malın adı],"Xəta",0)</f>
        <v>Araqatı / d 300 mm / boru üçün / qara</v>
      </c>
      <c r="F758" s="26">
        <v>127</v>
      </c>
      <c r="G758" s="26"/>
      <c r="H758" s="26" t="s">
        <v>899</v>
      </c>
      <c r="I758" s="26" t="s">
        <v>1918</v>
      </c>
    </row>
    <row r="759" spans="2:9" x14ac:dyDescent="0.25">
      <c r="B759" s="26">
        <f t="shared" si="11"/>
        <v>756</v>
      </c>
      <c r="C759" s="27">
        <v>46174</v>
      </c>
      <c r="D759" s="28" t="s">
        <v>1677</v>
      </c>
      <c r="E759" s="29" t="str">
        <f>_xlfn.XLOOKUP(Table7[[#This Row],[Malın kodu]],Table4[Malın kodu],Table4[Malın adı],"Xəta",0)</f>
        <v>Araqatı / d 400 mm / boru üçün / qara</v>
      </c>
      <c r="F759" s="26">
        <v>8</v>
      </c>
      <c r="G759" s="26"/>
      <c r="H759" s="26" t="s">
        <v>899</v>
      </c>
      <c r="I759" s="26" t="s">
        <v>1918</v>
      </c>
    </row>
    <row r="760" spans="2:9" x14ac:dyDescent="0.25">
      <c r="B760" s="26">
        <f t="shared" si="11"/>
        <v>757</v>
      </c>
      <c r="C760" s="27">
        <v>46174</v>
      </c>
      <c r="D760" s="28" t="s">
        <v>1678</v>
      </c>
      <c r="E760" s="29" t="str">
        <f>_xlfn.XLOOKUP(Table7[[#This Row],[Malın kodu]],Table4[Malın kodu],Table4[Malın adı],"Xəta",0)</f>
        <v>Araqatı / d 250 mm / boru üçün / qara</v>
      </c>
      <c r="F760" s="26">
        <v>45</v>
      </c>
      <c r="G760" s="26"/>
      <c r="H760" s="26" t="s">
        <v>899</v>
      </c>
      <c r="I760" s="26" t="s">
        <v>1918</v>
      </c>
    </row>
    <row r="761" spans="2:9" x14ac:dyDescent="0.25">
      <c r="B761" s="26">
        <f t="shared" si="11"/>
        <v>758</v>
      </c>
      <c r="C761" s="27">
        <v>46174</v>
      </c>
      <c r="D761" s="28" t="s">
        <v>1679</v>
      </c>
      <c r="E761" s="29" t="str">
        <f>_xlfn.XLOOKUP(Table7[[#This Row],[Malın kodu]],Table4[Malın kodu],Table4[Malın adı],"Xəta",0)</f>
        <v>Araqatı / d 200 mm / boru üçün / ağ</v>
      </c>
      <c r="F761" s="26">
        <v>464</v>
      </c>
      <c r="G761" s="26"/>
      <c r="H761" s="26" t="s">
        <v>899</v>
      </c>
      <c r="I761" s="26" t="s">
        <v>1918</v>
      </c>
    </row>
    <row r="762" spans="2:9" x14ac:dyDescent="0.25">
      <c r="B762" s="26">
        <f t="shared" si="11"/>
        <v>759</v>
      </c>
      <c r="C762" s="27">
        <v>46174</v>
      </c>
      <c r="D762" s="28" t="s">
        <v>1680</v>
      </c>
      <c r="E762" s="29" t="str">
        <f>_xlfn.XLOOKUP(Table7[[#This Row],[Malın kodu]],Table4[Malın kodu],Table4[Malın adı],"Xəta",0)</f>
        <v>Araqatı / d 150 mm / boru üçün / qara</v>
      </c>
      <c r="F762" s="26">
        <v>104</v>
      </c>
      <c r="G762" s="26"/>
      <c r="H762" s="26" t="s">
        <v>899</v>
      </c>
      <c r="I762" s="26" t="s">
        <v>1918</v>
      </c>
    </row>
    <row r="763" spans="2:9" x14ac:dyDescent="0.25">
      <c r="B763" s="26">
        <f t="shared" si="11"/>
        <v>760</v>
      </c>
      <c r="C763" s="27">
        <v>46174</v>
      </c>
      <c r="D763" s="28" t="s">
        <v>1681</v>
      </c>
      <c r="E763" s="29" t="str">
        <f>_xlfn.XLOOKUP(Table7[[#This Row],[Malın kodu]],Table4[Malın kodu],Table4[Malın adı],"Xəta",0)</f>
        <v>Podnos / paslanmayan metal / 5 seksiyalı / mətbəx üçün</v>
      </c>
      <c r="F763" s="26">
        <v>94</v>
      </c>
      <c r="G763" s="26"/>
      <c r="H763" s="26" t="s">
        <v>899</v>
      </c>
      <c r="I763" s="26" t="s">
        <v>1918</v>
      </c>
    </row>
    <row r="764" spans="2:9" x14ac:dyDescent="0.25">
      <c r="B764" s="26">
        <f t="shared" si="11"/>
        <v>761</v>
      </c>
      <c r="C764" s="27">
        <v>46174</v>
      </c>
      <c r="D764" s="28" t="s">
        <v>1682</v>
      </c>
      <c r="E764" s="29" t="str">
        <f>_xlfn.XLOOKUP(Table7[[#This Row],[Malın kodu]],Table4[Malın kodu],Table4[Malın adı],"Xəta",0)</f>
        <v>Vanna / paslanmayan metal / mətbəx üçün</v>
      </c>
      <c r="F764" s="26">
        <v>2</v>
      </c>
      <c r="G764" s="26"/>
      <c r="H764" s="26" t="s">
        <v>899</v>
      </c>
      <c r="I764" s="26" t="s">
        <v>1918</v>
      </c>
    </row>
    <row r="765" spans="2:9" x14ac:dyDescent="0.25">
      <c r="B765" s="26">
        <f t="shared" si="11"/>
        <v>762</v>
      </c>
      <c r="C765" s="27">
        <v>46174</v>
      </c>
      <c r="D765" s="28" t="s">
        <v>1683</v>
      </c>
      <c r="E765" s="29" t="str">
        <f>_xlfn.XLOOKUP(Table7[[#This Row],[Malın kodu]],Table4[Malın kodu],Table4[Malın adı],"Xəta",0)</f>
        <v>Kabel / alüminium / 4 damarlı / 44metr</v>
      </c>
      <c r="F765" s="26">
        <v>1</v>
      </c>
      <c r="G765" s="26"/>
      <c r="H765" s="26" t="s">
        <v>899</v>
      </c>
      <c r="I765" s="26" t="s">
        <v>1918</v>
      </c>
    </row>
    <row r="766" spans="2:9" x14ac:dyDescent="0.25">
      <c r="B766" s="26">
        <f t="shared" si="11"/>
        <v>763</v>
      </c>
      <c r="C766" s="27">
        <v>46174</v>
      </c>
      <c r="D766" s="28" t="s">
        <v>1684</v>
      </c>
      <c r="E766" s="29" t="str">
        <f>_xlfn.XLOOKUP(Table7[[#This Row],[Malın kodu]],Table4[Malın kodu],Table4[Malın adı],"Xəta",0)</f>
        <v>Kabel / alüminium / 4 damarlı / 50metr</v>
      </c>
      <c r="F766" s="26">
        <v>1</v>
      </c>
      <c r="G766" s="26"/>
      <c r="H766" s="26" t="s">
        <v>899</v>
      </c>
      <c r="I766" s="26" t="s">
        <v>1918</v>
      </c>
    </row>
    <row r="767" spans="2:9" x14ac:dyDescent="0.25">
      <c r="B767" s="26">
        <f t="shared" si="11"/>
        <v>764</v>
      </c>
      <c r="C767" s="27">
        <v>46174</v>
      </c>
      <c r="D767" s="28" t="s">
        <v>1685</v>
      </c>
      <c r="E767" s="29" t="str">
        <f>_xlfn.XLOOKUP(Table7[[#This Row],[Malın kodu]],Table4[Malın kodu],Table4[Malın adı],"Xəta",0)</f>
        <v>Kabel / alüminium / 4 damarlı / 30metr</v>
      </c>
      <c r="F767" s="26">
        <v>1</v>
      </c>
      <c r="G767" s="26"/>
      <c r="H767" s="26" t="s">
        <v>899</v>
      </c>
      <c r="I767" s="26" t="s">
        <v>1918</v>
      </c>
    </row>
    <row r="768" spans="2:9" x14ac:dyDescent="0.25">
      <c r="B768" s="26">
        <f t="shared" si="11"/>
        <v>765</v>
      </c>
      <c r="C768" s="27">
        <v>46174</v>
      </c>
      <c r="D768" s="28" t="s">
        <v>1686</v>
      </c>
      <c r="E768" s="29" t="str">
        <f>_xlfn.XLOOKUP(Table7[[#This Row],[Malın kodu]],Table4[Malın kodu],Table4[Malın adı],"Xəta",0)</f>
        <v>Kabel / alüminium / 4 damarlı / 77metr</v>
      </c>
      <c r="F768" s="26">
        <v>1</v>
      </c>
      <c r="G768" s="26"/>
      <c r="H768" s="26" t="s">
        <v>899</v>
      </c>
      <c r="I768" s="26" t="s">
        <v>1918</v>
      </c>
    </row>
    <row r="769" spans="2:9" x14ac:dyDescent="0.25">
      <c r="B769" s="26">
        <f t="shared" si="11"/>
        <v>766</v>
      </c>
      <c r="C769" s="27">
        <v>46174</v>
      </c>
      <c r="D769" s="28" t="s">
        <v>1687</v>
      </c>
      <c r="E769" s="29" t="str">
        <f>_xlfn.XLOOKUP(Table7[[#This Row],[Malın kodu]],Table4[Malın kodu],Table4[Malın adı],"Xəta",0)</f>
        <v>Kabel / alüminium / 4 damarlı / 72metr</v>
      </c>
      <c r="F769" s="26">
        <v>1</v>
      </c>
      <c r="G769" s="26"/>
      <c r="H769" s="26" t="s">
        <v>899</v>
      </c>
      <c r="I769" s="26" t="s">
        <v>1918</v>
      </c>
    </row>
    <row r="770" spans="2:9" x14ac:dyDescent="0.25">
      <c r="B770" s="26">
        <f t="shared" si="11"/>
        <v>767</v>
      </c>
      <c r="C770" s="27">
        <v>46174</v>
      </c>
      <c r="D770" s="28" t="s">
        <v>1688</v>
      </c>
      <c r="E770" s="29" t="str">
        <f>_xlfn.XLOOKUP(Table7[[#This Row],[Malın kodu]],Table4[Malın kodu],Table4[Malın adı],"Xəta",0)</f>
        <v>Kabel / alüminium / 4 damarlı / 24metr</v>
      </c>
      <c r="F770" s="26">
        <v>1</v>
      </c>
      <c r="G770" s="26"/>
      <c r="H770" s="26" t="s">
        <v>899</v>
      </c>
      <c r="I770" s="26" t="s">
        <v>1918</v>
      </c>
    </row>
    <row r="771" spans="2:9" x14ac:dyDescent="0.25">
      <c r="B771" s="26">
        <f t="shared" si="11"/>
        <v>768</v>
      </c>
      <c r="C771" s="27">
        <v>46174</v>
      </c>
      <c r="D771" s="28" t="s">
        <v>1689</v>
      </c>
      <c r="E771" s="29" t="str">
        <f>_xlfn.XLOOKUP(Table7[[#This Row],[Malın kodu]],Table4[Malın kodu],Table4[Malın adı],"Xəta",0)</f>
        <v>Boru / d 32 mm / polietilen / 47.5 metr</v>
      </c>
      <c r="F771" s="26">
        <v>1</v>
      </c>
      <c r="G771" s="26"/>
      <c r="H771" s="26" t="s">
        <v>899</v>
      </c>
      <c r="I771" s="26" t="s">
        <v>1918</v>
      </c>
    </row>
    <row r="772" spans="2:9" x14ac:dyDescent="0.25">
      <c r="B772" s="26">
        <f t="shared" ref="B772:B835" si="12">ROW()-3</f>
        <v>769</v>
      </c>
      <c r="C772" s="27">
        <v>46174</v>
      </c>
      <c r="D772" s="28" t="s">
        <v>1690</v>
      </c>
      <c r="E772" s="29" t="str">
        <f>_xlfn.XLOOKUP(Table7[[#This Row],[Malın kodu]],Table4[Malın kodu],Table4[Malın adı],"Xəta",0)</f>
        <v>Şlanq / beton vibratoru üçün / metal başlıqlı</v>
      </c>
      <c r="F772" s="26">
        <v>10</v>
      </c>
      <c r="G772" s="26"/>
      <c r="H772" s="26" t="s">
        <v>899</v>
      </c>
      <c r="I772" s="26" t="s">
        <v>1918</v>
      </c>
    </row>
    <row r="773" spans="2:9" x14ac:dyDescent="0.25">
      <c r="B773" s="26">
        <f t="shared" si="12"/>
        <v>770</v>
      </c>
      <c r="C773" s="27">
        <v>46174</v>
      </c>
      <c r="D773" s="28" t="s">
        <v>1691</v>
      </c>
      <c r="E773" s="29" t="str">
        <f>_xlfn.XLOOKUP(Table7[[#This Row],[Malın kodu]],Table4[Malın kodu],Table4[Malın adı],"Xəta",0)</f>
        <v>Xəta</v>
      </c>
      <c r="F773" s="26"/>
      <c r="G773" s="26"/>
      <c r="H773" s="26" t="s">
        <v>899</v>
      </c>
      <c r="I773" s="26" t="s">
        <v>1918</v>
      </c>
    </row>
    <row r="774" spans="2:9" x14ac:dyDescent="0.25">
      <c r="B774" s="26">
        <f t="shared" si="12"/>
        <v>771</v>
      </c>
      <c r="C774" s="27">
        <v>46174</v>
      </c>
      <c r="D774" s="28" t="s">
        <v>1692</v>
      </c>
      <c r="E774" s="29" t="str">
        <f>_xlfn.XLOOKUP(Table7[[#This Row],[Malın kodu]],Table4[Malın kodu],Table4[Malın adı],"Xəta",0)</f>
        <v>Təkər / 315/80/22.5 R / "Pirelli" / FR25</v>
      </c>
      <c r="F774" s="26">
        <v>1</v>
      </c>
      <c r="G774" s="26"/>
      <c r="H774" s="26" t="s">
        <v>899</v>
      </c>
      <c r="I774" s="26" t="s">
        <v>1918</v>
      </c>
    </row>
    <row r="775" spans="2:9" ht="30" x14ac:dyDescent="0.25">
      <c r="B775" s="26">
        <f t="shared" si="12"/>
        <v>772</v>
      </c>
      <c r="C775" s="27">
        <v>46174</v>
      </c>
      <c r="D775" s="28" t="s">
        <v>1693</v>
      </c>
      <c r="E775" s="29" t="str">
        <f>_xlfn.XLOOKUP(Table7[[#This Row],[Malın kodu]],Table4[Malın kodu],Table4[Malın adı],"Xəta",0)</f>
        <v>Kabel / 4x2.5 mm² / 300/500 / H05VV-F / "Astel" / Türkiyə istehsalı</v>
      </c>
      <c r="F775" s="26">
        <v>1</v>
      </c>
      <c r="G775" s="26"/>
      <c r="H775" s="26" t="s">
        <v>899</v>
      </c>
      <c r="I775" s="26" t="s">
        <v>1918</v>
      </c>
    </row>
    <row r="776" spans="2:9" x14ac:dyDescent="0.25">
      <c r="B776" s="26">
        <f t="shared" si="12"/>
        <v>773</v>
      </c>
      <c r="C776" s="27">
        <v>46174</v>
      </c>
      <c r="D776" s="28" t="s">
        <v>1694</v>
      </c>
      <c r="E776" s="29" t="str">
        <f>_xlfn.XLOOKUP(Table7[[#This Row],[Malın kodu]],Table4[Malın kodu],Table4[Malın adı],"Xəta",0)</f>
        <v>Elektrik mühərrik</v>
      </c>
      <c r="F776" s="26">
        <v>1</v>
      </c>
      <c r="G776" s="26"/>
      <c r="H776" s="26" t="s">
        <v>899</v>
      </c>
      <c r="I776" s="26" t="s">
        <v>1918</v>
      </c>
    </row>
    <row r="777" spans="2:9" x14ac:dyDescent="0.25">
      <c r="B777" s="26">
        <f t="shared" si="12"/>
        <v>774</v>
      </c>
      <c r="C777" s="27">
        <v>46174</v>
      </c>
      <c r="D777" s="28" t="s">
        <v>1695</v>
      </c>
      <c r="E777" s="29" t="str">
        <f>_xlfn.XLOOKUP(Table7[[#This Row],[Malın kodu]],Table4[Malın kodu],Table4[Malın adı],"Xəta",0)</f>
        <v>Qaynaq elektrodu / 4.0 x 350 mm / 5 kq / 578</v>
      </c>
      <c r="F777" s="26">
        <v>1</v>
      </c>
      <c r="G777" s="26"/>
      <c r="H777" s="26" t="s">
        <v>899</v>
      </c>
      <c r="I777" s="26" t="s">
        <v>1918</v>
      </c>
    </row>
    <row r="778" spans="2:9" x14ac:dyDescent="0.25">
      <c r="B778" s="26">
        <f t="shared" si="12"/>
        <v>775</v>
      </c>
      <c r="C778" s="27">
        <v>46174</v>
      </c>
      <c r="D778" s="28" t="s">
        <v>1696</v>
      </c>
      <c r="E778" s="29" t="str">
        <f>_xlfn.XLOOKUP(Table7[[#This Row],[Malın kodu]],Table4[Malın kodu],Table4[Malın adı],"Xəta",0)</f>
        <v>Perforator / "Bosch"</v>
      </c>
      <c r="F778" s="26">
        <v>1</v>
      </c>
      <c r="G778" s="26"/>
      <c r="H778" s="26" t="s">
        <v>899</v>
      </c>
      <c r="I778" s="26" t="s">
        <v>1918</v>
      </c>
    </row>
    <row r="779" spans="2:9" x14ac:dyDescent="0.25">
      <c r="B779" s="26">
        <f t="shared" si="12"/>
        <v>776</v>
      </c>
      <c r="C779" s="27">
        <v>46174</v>
      </c>
      <c r="D779" s="28" t="s">
        <v>1697</v>
      </c>
      <c r="E779" s="29" t="str">
        <f>_xlfn.XLOOKUP(Table7[[#This Row],[Malın kodu]],Table4[Malın kodu],Table4[Malın adı],"Xəta",0)</f>
        <v>Metal hissələr / ağır texnika üçün</v>
      </c>
      <c r="F779" s="26">
        <v>4</v>
      </c>
      <c r="G779" s="26"/>
      <c r="H779" s="26" t="s">
        <v>899</v>
      </c>
      <c r="I779" s="26" t="s">
        <v>1918</v>
      </c>
    </row>
    <row r="780" spans="2:9" x14ac:dyDescent="0.25">
      <c r="B780" s="26">
        <f t="shared" si="12"/>
        <v>777</v>
      </c>
      <c r="C780" s="27">
        <v>46174</v>
      </c>
      <c r="D780" s="28" t="s">
        <v>1698</v>
      </c>
      <c r="E780" s="29" t="str">
        <f>_xlfn.XLOOKUP(Table7[[#This Row],[Malın kodu]],Table4[Malın kodu],Table4[Malın adı],"Xəta",0)</f>
        <v>Boya / parlaq emal / 2.5 litr</v>
      </c>
      <c r="F780" s="26">
        <v>1</v>
      </c>
      <c r="G780" s="26"/>
      <c r="H780" s="26" t="s">
        <v>899</v>
      </c>
      <c r="I780" s="26" t="s">
        <v>1918</v>
      </c>
    </row>
    <row r="781" spans="2:9" x14ac:dyDescent="0.25">
      <c r="B781" s="26">
        <f t="shared" si="12"/>
        <v>778</v>
      </c>
      <c r="C781" s="27">
        <v>46174</v>
      </c>
      <c r="D781" s="28" t="s">
        <v>1699</v>
      </c>
      <c r="E781" s="29" t="str">
        <f>_xlfn.XLOOKUP(Table7[[#This Row],[Malın kodu]],Table4[Malın kodu],Table4[Malın adı],"Xəta",0)</f>
        <v>Kürək / saplı</v>
      </c>
      <c r="F781" s="26">
        <v>1</v>
      </c>
      <c r="G781" s="26"/>
      <c r="H781" s="26" t="s">
        <v>899</v>
      </c>
      <c r="I781" s="26" t="s">
        <v>1918</v>
      </c>
    </row>
    <row r="782" spans="2:9" x14ac:dyDescent="0.25">
      <c r="B782" s="26">
        <f t="shared" si="12"/>
        <v>779</v>
      </c>
      <c r="C782" s="27">
        <v>46174</v>
      </c>
      <c r="D782" s="28" t="s">
        <v>1700</v>
      </c>
      <c r="E782" s="29" t="str">
        <f>_xlfn.XLOOKUP(Table7[[#This Row],[Malın kodu]],Table4[Malın kodu],Table4[Malın adı],"Xəta",0)</f>
        <v>Ankerbolt / L şəkilli</v>
      </c>
      <c r="F782" s="26">
        <v>1</v>
      </c>
      <c r="G782" s="26"/>
      <c r="H782" s="26" t="s">
        <v>899</v>
      </c>
      <c r="I782" s="26" t="s">
        <v>1918</v>
      </c>
    </row>
    <row r="783" spans="2:9" x14ac:dyDescent="0.25">
      <c r="B783" s="26">
        <f t="shared" si="12"/>
        <v>780</v>
      </c>
      <c r="C783" s="27">
        <v>46174</v>
      </c>
      <c r="D783" s="28" t="s">
        <v>1701</v>
      </c>
      <c r="E783" s="29" t="str">
        <f>_xlfn.XLOOKUP(Table7[[#This Row],[Malın kodu]],Table4[Malın kodu],Table4[Malın adı],"Xəta",0)</f>
        <v>Tıxaç / şurup üçün / plastik</v>
      </c>
      <c r="F783" s="26">
        <v>1</v>
      </c>
      <c r="G783" s="26"/>
      <c r="H783" s="26" t="s">
        <v>899</v>
      </c>
      <c r="I783" s="26" t="s">
        <v>1918</v>
      </c>
    </row>
    <row r="784" spans="2:9" ht="30" x14ac:dyDescent="0.25">
      <c r="B784" s="26">
        <f t="shared" si="12"/>
        <v>781</v>
      </c>
      <c r="C784" s="27">
        <v>46174</v>
      </c>
      <c r="D784" s="28" t="s">
        <v>1702</v>
      </c>
      <c r="E784" s="29" t="str">
        <f>_xlfn.XLOOKUP(Table7[[#This Row],[Malın kodu]],Table4[Malın kodu],Table4[Malın adı],"Xəta",0)</f>
        <v>Mufta / elektrofuzion / d 90 mm / polietilen / "Borfit" / Türkiyə istehsalı</v>
      </c>
      <c r="F784" s="26">
        <v>10</v>
      </c>
      <c r="G784" s="26"/>
      <c r="H784" s="26" t="s">
        <v>899</v>
      </c>
      <c r="I784" s="26" t="s">
        <v>1918</v>
      </c>
    </row>
    <row r="785" spans="2:9" ht="30" x14ac:dyDescent="0.25">
      <c r="B785" s="26">
        <f t="shared" si="12"/>
        <v>782</v>
      </c>
      <c r="C785" s="27">
        <v>46174</v>
      </c>
      <c r="D785" s="28" t="s">
        <v>1703</v>
      </c>
      <c r="E785" s="29" t="str">
        <f>_xlfn.XLOOKUP(Table7[[#This Row],[Malın kodu]],Table4[Malın kodu],Table4[Malın adı],"Xəta",0)</f>
        <v>Mufta / elektrofuzion / d 40 mm / polietilen / "Borfit" / Türkiyə istehsalı</v>
      </c>
      <c r="F785" s="26">
        <v>94</v>
      </c>
      <c r="G785" s="26"/>
      <c r="H785" s="26" t="s">
        <v>899</v>
      </c>
      <c r="I785" s="26" t="s">
        <v>1918</v>
      </c>
    </row>
    <row r="786" spans="2:9" ht="30" x14ac:dyDescent="0.25">
      <c r="B786" s="26">
        <f t="shared" si="12"/>
        <v>783</v>
      </c>
      <c r="C786" s="27">
        <v>46174</v>
      </c>
      <c r="D786" s="28" t="s">
        <v>1704</v>
      </c>
      <c r="E786" s="29" t="str">
        <f>_xlfn.XLOOKUP(Table7[[#This Row],[Malın kodu]],Table4[Malın kodu],Table4[Malın adı],"Xəta",0)</f>
        <v>Mufta / elektrofuzion / d 32 mm / polietilen / "Borfit" / Türkiyə istehsalı</v>
      </c>
      <c r="F786" s="26">
        <v>50</v>
      </c>
      <c r="G786" s="26"/>
      <c r="H786" s="26" t="s">
        <v>899</v>
      </c>
      <c r="I786" s="26" t="s">
        <v>1918</v>
      </c>
    </row>
    <row r="787" spans="2:9" x14ac:dyDescent="0.25">
      <c r="B787" s="26">
        <f t="shared" si="12"/>
        <v>784</v>
      </c>
      <c r="C787" s="27">
        <v>46174</v>
      </c>
      <c r="D787" s="28" t="s">
        <v>1705</v>
      </c>
      <c r="E787" s="29" t="str">
        <f>_xlfn.XLOOKUP(Table7[[#This Row],[Malın kodu]],Table4[Malın kodu],Table4[Malın adı],"Xəta",0)</f>
        <v>Nərdivan / metal / 7 pilləli</v>
      </c>
      <c r="F787" s="26">
        <v>1</v>
      </c>
      <c r="G787" s="26"/>
      <c r="H787" s="26" t="s">
        <v>899</v>
      </c>
      <c r="I787" s="26" t="s">
        <v>1918</v>
      </c>
    </row>
    <row r="788" spans="2:9" x14ac:dyDescent="0.25">
      <c r="B788" s="26">
        <f t="shared" si="12"/>
        <v>785</v>
      </c>
      <c r="C788" s="27">
        <v>46174</v>
      </c>
      <c r="D788" s="28" t="s">
        <v>1706</v>
      </c>
      <c r="E788" s="29" t="str">
        <f>_xlfn.XLOOKUP(Table7[[#This Row],[Malın kodu]],Table4[Malın kodu],Table4[Malın adı],"Xəta",0)</f>
        <v>Akkumulyator / 12V / 100AH / Ca-Ca / "Energy" / Türkiyə istehsalı</v>
      </c>
      <c r="F788" s="26">
        <v>1</v>
      </c>
      <c r="G788" s="26"/>
      <c r="H788" s="26" t="s">
        <v>899</v>
      </c>
      <c r="I788" s="26" t="s">
        <v>1918</v>
      </c>
    </row>
    <row r="789" spans="2:9" x14ac:dyDescent="0.25">
      <c r="B789" s="26">
        <f t="shared" si="12"/>
        <v>786</v>
      </c>
      <c r="C789" s="27">
        <v>46174</v>
      </c>
      <c r="D789" s="28" t="s">
        <v>1707</v>
      </c>
      <c r="E789" s="29" t="str">
        <f>_xlfn.XLOOKUP(Table7[[#This Row],[Malın kodu]],Table4[Malın kodu],Table4[Malın adı],"Xəta",0)</f>
        <v>Ankerbolt / M10 / L 130 mm</v>
      </c>
      <c r="F789" s="26">
        <v>1</v>
      </c>
      <c r="G789" s="26"/>
      <c r="H789" s="26" t="s">
        <v>899</v>
      </c>
      <c r="I789" s="26" t="s">
        <v>1918</v>
      </c>
    </row>
    <row r="790" spans="2:9" x14ac:dyDescent="0.25">
      <c r="B790" s="26">
        <f t="shared" si="12"/>
        <v>787</v>
      </c>
      <c r="C790" s="27">
        <v>46174</v>
      </c>
      <c r="D790" s="28" t="s">
        <v>1708</v>
      </c>
      <c r="E790" s="29" t="str">
        <f>_xlfn.XLOOKUP(Table7[[#This Row],[Malın kodu]],Table4[Malın kodu],Table4[Malın adı],"Xəta",0)</f>
        <v>Ankerbolt / M12 / L 130 mm</v>
      </c>
      <c r="F790" s="26">
        <v>1</v>
      </c>
      <c r="G790" s="26"/>
      <c r="H790" s="26" t="s">
        <v>899</v>
      </c>
      <c r="I790" s="26" t="s">
        <v>1918</v>
      </c>
    </row>
    <row r="791" spans="2:9" x14ac:dyDescent="0.25">
      <c r="B791" s="26">
        <f t="shared" si="12"/>
        <v>788</v>
      </c>
      <c r="C791" s="27">
        <v>46174</v>
      </c>
      <c r="D791" s="28" t="s">
        <v>1709</v>
      </c>
      <c r="E791" s="29" t="str">
        <f>_xlfn.XLOOKUP(Table7[[#This Row],[Malın kodu]],Table4[Malın kodu],Table4[Malın adı],"Xəta",0)</f>
        <v>Qayka / M14</v>
      </c>
      <c r="F791" s="26">
        <v>12</v>
      </c>
      <c r="G791" s="26"/>
      <c r="H791" s="26" t="s">
        <v>899</v>
      </c>
      <c r="I791" s="26" t="s">
        <v>1918</v>
      </c>
    </row>
    <row r="792" spans="2:9" x14ac:dyDescent="0.25">
      <c r="B792" s="26">
        <f t="shared" si="12"/>
        <v>789</v>
      </c>
      <c r="C792" s="27">
        <v>46174</v>
      </c>
      <c r="D792" s="28" t="s">
        <v>1710</v>
      </c>
      <c r="E792" s="29" t="str">
        <f>_xlfn.XLOOKUP(Table7[[#This Row],[Malın kodu]],Table4[Malın kodu],Table4[Malın adı],"Xəta",0)</f>
        <v>Qayka / M18</v>
      </c>
      <c r="F792" s="26">
        <v>142</v>
      </c>
      <c r="G792" s="26"/>
      <c r="H792" s="26" t="s">
        <v>899</v>
      </c>
      <c r="I792" s="26" t="s">
        <v>1918</v>
      </c>
    </row>
    <row r="793" spans="2:9" x14ac:dyDescent="0.25">
      <c r="B793" s="26">
        <f t="shared" si="12"/>
        <v>790</v>
      </c>
      <c r="C793" s="27">
        <v>46174</v>
      </c>
      <c r="D793" s="28" t="s">
        <v>1711</v>
      </c>
      <c r="E793" s="29" t="str">
        <f>_xlfn.XLOOKUP(Table7[[#This Row],[Malın kodu]],Table4[Malın kodu],Table4[Malın adı],"Xəta",0)</f>
        <v>Beton vibratorun mühərriki</v>
      </c>
      <c r="F793" s="26">
        <v>4</v>
      </c>
      <c r="G793" s="26"/>
      <c r="H793" s="26" t="s">
        <v>899</v>
      </c>
      <c r="I793" s="26" t="s">
        <v>1918</v>
      </c>
    </row>
    <row r="794" spans="2:9" x14ac:dyDescent="0.25">
      <c r="B794" s="26">
        <f t="shared" si="12"/>
        <v>791</v>
      </c>
      <c r="C794" s="27">
        <v>46174</v>
      </c>
      <c r="D794" s="28" t="s">
        <v>1712</v>
      </c>
      <c r="E794" s="29" t="str">
        <f>_xlfn.XLOOKUP(Table7[[#This Row],[Malın kodu]],Table4[Malın kodu],Table4[Malın adı],"Xəta",0)</f>
        <v>Bolt / M38 / L 750 mm</v>
      </c>
      <c r="F794" s="26">
        <v>4</v>
      </c>
      <c r="G794" s="26"/>
      <c r="H794" s="26" t="s">
        <v>899</v>
      </c>
      <c r="I794" s="26" t="s">
        <v>1918</v>
      </c>
    </row>
    <row r="795" spans="2:9" x14ac:dyDescent="0.25">
      <c r="B795" s="26">
        <f t="shared" si="12"/>
        <v>792</v>
      </c>
      <c r="C795" s="27">
        <v>46174</v>
      </c>
      <c r="D795" s="28" t="s">
        <v>1713</v>
      </c>
      <c r="E795" s="29" t="str">
        <f>_xlfn.XLOOKUP(Table7[[#This Row],[Malın kodu]],Table4[Malın kodu],Table4[Malın adı],"Xəta",0)</f>
        <v>Beton vibratoru / portativ</v>
      </c>
      <c r="F795" s="26">
        <v>2</v>
      </c>
      <c r="G795" s="26"/>
      <c r="H795" s="26" t="s">
        <v>899</v>
      </c>
      <c r="I795" s="26" t="s">
        <v>1918</v>
      </c>
    </row>
    <row r="796" spans="2:9" x14ac:dyDescent="0.25">
      <c r="B796" s="26">
        <f t="shared" si="12"/>
        <v>793</v>
      </c>
      <c r="C796" s="27">
        <v>46174</v>
      </c>
      <c r="D796" s="28" t="s">
        <v>1714</v>
      </c>
      <c r="E796" s="29" t="str">
        <f>_xlfn.XLOOKUP(Table7[[#This Row],[Malın kodu]],Table4[Malın kodu],Table4[Malın adı],"Xəta",0)</f>
        <v>Sınaq pompası / hidravlik / "Ekeryil"</v>
      </c>
      <c r="F796" s="26">
        <v>1</v>
      </c>
      <c r="G796" s="26"/>
      <c r="H796" s="26" t="s">
        <v>899</v>
      </c>
      <c r="I796" s="26" t="s">
        <v>1918</v>
      </c>
    </row>
    <row r="797" spans="2:9" x14ac:dyDescent="0.25">
      <c r="B797" s="26">
        <f t="shared" si="12"/>
        <v>794</v>
      </c>
      <c r="C797" s="27">
        <v>46174</v>
      </c>
      <c r="D797" s="28" t="s">
        <v>1715</v>
      </c>
      <c r="E797" s="29" t="str">
        <f>_xlfn.XLOOKUP(Table7[[#This Row],[Malın kodu]],Table4[Malın kodu],Table4[Malın adı],"Xəta",0)</f>
        <v>Elektrik qızdırıcı / spirallı / kərpicli</v>
      </c>
      <c r="F797" s="26">
        <v>1</v>
      </c>
      <c r="G797" s="26"/>
      <c r="H797" s="26" t="s">
        <v>899</v>
      </c>
      <c r="I797" s="26" t="s">
        <v>1918</v>
      </c>
    </row>
    <row r="798" spans="2:9" x14ac:dyDescent="0.25">
      <c r="B798" s="26">
        <f t="shared" si="12"/>
        <v>795</v>
      </c>
      <c r="C798" s="27">
        <v>46174</v>
      </c>
      <c r="D798" s="28" t="s">
        <v>1716</v>
      </c>
      <c r="E798" s="29" t="str">
        <f>_xlfn.XLOOKUP(Table7[[#This Row],[Malın kodu]],Table4[Malın kodu],Table4[Malın adı],"Xəta",0)</f>
        <v>Su qızdırıcısı / qazla işləyən / 20 litr</v>
      </c>
      <c r="F798" s="26">
        <v>1</v>
      </c>
      <c r="G798" s="26"/>
      <c r="H798" s="26" t="s">
        <v>899</v>
      </c>
      <c r="I798" s="26" t="s">
        <v>1918</v>
      </c>
    </row>
    <row r="799" spans="2:9" x14ac:dyDescent="0.25">
      <c r="B799" s="26">
        <f t="shared" si="12"/>
        <v>796</v>
      </c>
      <c r="C799" s="27">
        <v>46174</v>
      </c>
      <c r="D799" s="28" t="s">
        <v>1717</v>
      </c>
      <c r="E799" s="29" t="str">
        <f>_xlfn.XLOOKUP(Table7[[#This Row],[Malın kodu]],Table4[Malın kodu],Table4[Malın adı],"Xəta",0)</f>
        <v>Əqrəb / metal / alçıpan profili üçün</v>
      </c>
      <c r="F799" s="26">
        <v>40</v>
      </c>
      <c r="G799" s="26"/>
      <c r="H799" s="26" t="s">
        <v>899</v>
      </c>
      <c r="I799" s="26" t="s">
        <v>1918</v>
      </c>
    </row>
    <row r="800" spans="2:9" x14ac:dyDescent="0.25">
      <c r="B800" s="26">
        <f t="shared" si="12"/>
        <v>797</v>
      </c>
      <c r="C800" s="27">
        <v>46174</v>
      </c>
      <c r="D800" s="28" t="s">
        <v>1718</v>
      </c>
      <c r="E800" s="29" t="str">
        <f>_xlfn.XLOOKUP(Table7[[#This Row],[Malın kodu]],Table4[Malın kodu],Table4[Malın adı],"Xəta",0)</f>
        <v>Şlanq / kapron / 12 mm</v>
      </c>
      <c r="F800" s="26">
        <v>6</v>
      </c>
      <c r="G800" s="26"/>
      <c r="H800" s="26" t="s">
        <v>899</v>
      </c>
      <c r="I800" s="26" t="s">
        <v>1918</v>
      </c>
    </row>
    <row r="801" spans="2:9" x14ac:dyDescent="0.25">
      <c r="B801" s="26">
        <f t="shared" si="12"/>
        <v>798</v>
      </c>
      <c r="C801" s="27">
        <v>46174</v>
      </c>
      <c r="D801" s="28" t="s">
        <v>1719</v>
      </c>
      <c r="E801" s="29" t="str">
        <f>_xlfn.XLOOKUP(Table7[[#This Row],[Malın kodu]],Table4[Malın kodu],Table4[Malın adı],"Xəta",0)</f>
        <v>Xomut / flyanslı / metal / d 250 mm</v>
      </c>
      <c r="F801" s="26">
        <v>1</v>
      </c>
      <c r="G801" s="26"/>
      <c r="H801" s="26" t="s">
        <v>899</v>
      </c>
      <c r="I801" s="26" t="s">
        <v>1918</v>
      </c>
    </row>
    <row r="802" spans="2:9" x14ac:dyDescent="0.25">
      <c r="B802" s="26">
        <f t="shared" si="12"/>
        <v>799</v>
      </c>
      <c r="C802" s="27">
        <v>46174</v>
      </c>
      <c r="D802" s="28" t="s">
        <v>1720</v>
      </c>
      <c r="E802" s="29" t="str">
        <f>_xlfn.XLOOKUP(Table7[[#This Row],[Malın kodu]],Table4[Malın kodu],Table4[Malın adı],"Xəta",0)</f>
        <v>Pika / pnevmatik çəkic üçün</v>
      </c>
      <c r="F802" s="26">
        <v>10</v>
      </c>
      <c r="G802" s="26"/>
      <c r="H802" s="26" t="s">
        <v>899</v>
      </c>
      <c r="I802" s="26" t="s">
        <v>1918</v>
      </c>
    </row>
    <row r="803" spans="2:9" x14ac:dyDescent="0.25">
      <c r="B803" s="26">
        <f t="shared" si="12"/>
        <v>800</v>
      </c>
      <c r="C803" s="27">
        <v>46174</v>
      </c>
      <c r="D803" s="28" t="s">
        <v>1721</v>
      </c>
      <c r="E803" s="29" t="str">
        <f>_xlfn.XLOOKUP(Table7[[#This Row],[Malın kodu]],Table4[Malın kodu],Table4[Malın adı],"Xəta",0)</f>
        <v>Pika / Perforator üçün</v>
      </c>
      <c r="F803" s="26">
        <v>8</v>
      </c>
      <c r="G803" s="26"/>
      <c r="H803" s="26" t="s">
        <v>899</v>
      </c>
      <c r="I803" s="26" t="s">
        <v>1918</v>
      </c>
    </row>
    <row r="804" spans="2:9" x14ac:dyDescent="0.25">
      <c r="B804" s="26">
        <f t="shared" si="12"/>
        <v>801</v>
      </c>
      <c r="C804" s="27">
        <v>46174</v>
      </c>
      <c r="D804" s="28" t="s">
        <v>1722</v>
      </c>
      <c r="E804" s="29" t="str">
        <f>_xlfn.XLOOKUP(Table7[[#This Row],[Malın kodu]],Table4[Malın kodu],Table4[Malın adı],"Xəta",0)</f>
        <v>Burğu / 14-lük</v>
      </c>
      <c r="F804" s="26">
        <v>2</v>
      </c>
      <c r="G804" s="26"/>
      <c r="H804" s="26" t="s">
        <v>899</v>
      </c>
      <c r="I804" s="26" t="s">
        <v>1918</v>
      </c>
    </row>
    <row r="805" spans="2:9" x14ac:dyDescent="0.25">
      <c r="B805" s="26">
        <f t="shared" si="12"/>
        <v>802</v>
      </c>
      <c r="C805" s="27">
        <v>46174</v>
      </c>
      <c r="D805" s="28" t="s">
        <v>1723</v>
      </c>
      <c r="E805" s="29" t="str">
        <f>_xlfn.XLOOKUP(Table7[[#This Row],[Malın kodu]],Table4[Malın kodu],Table4[Malın adı],"Xəta",0)</f>
        <v>Flyans / d 235 mm / polad</v>
      </c>
      <c r="F805" s="26">
        <v>6</v>
      </c>
      <c r="G805" s="26"/>
      <c r="H805" s="26" t="s">
        <v>899</v>
      </c>
      <c r="I805" s="26" t="s">
        <v>1918</v>
      </c>
    </row>
    <row r="806" spans="2:9" x14ac:dyDescent="0.25">
      <c r="B806" s="26">
        <f t="shared" si="12"/>
        <v>803</v>
      </c>
      <c r="C806" s="27">
        <v>46174</v>
      </c>
      <c r="D806" s="28" t="s">
        <v>1724</v>
      </c>
      <c r="E806" s="29" t="str">
        <f>_xlfn.XLOOKUP(Table7[[#This Row],[Malın kodu]],Table4[Malın kodu],Table4[Malın adı],"Xəta",0)</f>
        <v>Flyans / d 220 mm / polad</v>
      </c>
      <c r="F806" s="26">
        <v>3</v>
      </c>
      <c r="G806" s="26"/>
      <c r="H806" s="26" t="s">
        <v>899</v>
      </c>
      <c r="I806" s="26" t="s">
        <v>1918</v>
      </c>
    </row>
    <row r="807" spans="2:9" x14ac:dyDescent="0.25">
      <c r="B807" s="26">
        <f t="shared" si="12"/>
        <v>804</v>
      </c>
      <c r="C807" s="27">
        <v>46174</v>
      </c>
      <c r="D807" s="28" t="s">
        <v>1725</v>
      </c>
      <c r="E807" s="29" t="str">
        <f>_xlfn.XLOOKUP(Table7[[#This Row],[Malın kodu]],Table4[Malın kodu],Table4[Malın adı],"Xəta",0)</f>
        <v>Flyans / d 130 mm / polad</v>
      </c>
      <c r="F807" s="26">
        <v>3</v>
      </c>
      <c r="G807" s="26"/>
      <c r="H807" s="26" t="s">
        <v>899</v>
      </c>
      <c r="I807" s="26" t="s">
        <v>1918</v>
      </c>
    </row>
    <row r="808" spans="2:9" x14ac:dyDescent="0.25">
      <c r="B808" s="26">
        <f t="shared" si="12"/>
        <v>805</v>
      </c>
      <c r="C808" s="27">
        <v>46174</v>
      </c>
      <c r="D808" s="28" t="s">
        <v>1726</v>
      </c>
      <c r="E808" s="29" t="str">
        <f>_xlfn.XLOOKUP(Table7[[#This Row],[Malın kodu]],Table4[Malın kodu],Table4[Malın adı],"Xəta",0)</f>
        <v>Flyans / d 125 mm / polad</v>
      </c>
      <c r="F808" s="26">
        <v>1</v>
      </c>
      <c r="G808" s="26"/>
      <c r="H808" s="26" t="s">
        <v>899</v>
      </c>
      <c r="I808" s="26" t="s">
        <v>1918</v>
      </c>
    </row>
    <row r="809" spans="2:9" x14ac:dyDescent="0.25">
      <c r="B809" s="26">
        <f t="shared" si="12"/>
        <v>806</v>
      </c>
      <c r="C809" s="27">
        <v>46174</v>
      </c>
      <c r="D809" s="28" t="s">
        <v>1727</v>
      </c>
      <c r="E809" s="29" t="str">
        <f>_xlfn.XLOOKUP(Table7[[#This Row],[Malın kodu]],Table4[Malın kodu],Table4[Malın adı],"Xəta",0)</f>
        <v>Flyans / d 110 / polad</v>
      </c>
      <c r="F809" s="26">
        <v>1</v>
      </c>
      <c r="G809" s="26"/>
      <c r="H809" s="26" t="s">
        <v>899</v>
      </c>
      <c r="I809" s="26" t="s">
        <v>1918</v>
      </c>
    </row>
    <row r="810" spans="2:9" x14ac:dyDescent="0.25">
      <c r="B810" s="26">
        <f t="shared" si="12"/>
        <v>807</v>
      </c>
      <c r="C810" s="27">
        <v>46174</v>
      </c>
      <c r="D810" s="28" t="s">
        <v>1728</v>
      </c>
      <c r="E810" s="29" t="str">
        <f>_xlfn.XLOOKUP(Table7[[#This Row],[Malın kodu]],Table4[Malın kodu],Table4[Malın adı],"Xəta",0)</f>
        <v>Elektrik qızdırıcı / yağ radiatoru / 2400 vt / "Saachi"</v>
      </c>
      <c r="F810" s="26">
        <v>1</v>
      </c>
      <c r="G810" s="26"/>
      <c r="H810" s="26" t="s">
        <v>899</v>
      </c>
      <c r="I810" s="26" t="s">
        <v>1918</v>
      </c>
    </row>
    <row r="811" spans="2:9" x14ac:dyDescent="0.25">
      <c r="B811" s="26">
        <f t="shared" si="12"/>
        <v>808</v>
      </c>
      <c r="C811" s="27">
        <v>46174</v>
      </c>
      <c r="D811" s="28" t="s">
        <v>1729</v>
      </c>
      <c r="E811" s="29" t="str">
        <f>_xlfn.XLOOKUP(Table7[[#This Row],[Malın kodu]],Table4[Malın kodu],Table4[Malın adı],"Xəta",0)</f>
        <v>Qaz plitəsi / 1 gözlü</v>
      </c>
      <c r="F811" s="26">
        <v>1</v>
      </c>
      <c r="G811" s="26"/>
      <c r="H811" s="26" t="s">
        <v>899</v>
      </c>
      <c r="I811" s="26" t="s">
        <v>1918</v>
      </c>
    </row>
    <row r="812" spans="2:9" x14ac:dyDescent="0.25">
      <c r="B812" s="26">
        <f t="shared" si="12"/>
        <v>809</v>
      </c>
      <c r="C812" s="27">
        <v>46174</v>
      </c>
      <c r="D812" s="28" t="s">
        <v>1730</v>
      </c>
      <c r="E812" s="29" t="str">
        <f>_xlfn.XLOOKUP(Table7[[#This Row],[Malın kodu]],Table4[Malın kodu],Table4[Malın adı],"Xəta",0)</f>
        <v>Klapan / d 125 mm / kəpənək tipli / "Duyar" / Türkiyə istehsalı</v>
      </c>
      <c r="F812" s="26">
        <v>1</v>
      </c>
      <c r="G812" s="26"/>
      <c r="H812" s="26" t="s">
        <v>899</v>
      </c>
      <c r="I812" s="26" t="s">
        <v>1918</v>
      </c>
    </row>
    <row r="813" spans="2:9" x14ac:dyDescent="0.25">
      <c r="B813" s="26">
        <f t="shared" si="12"/>
        <v>810</v>
      </c>
      <c r="C813" s="27">
        <v>46174</v>
      </c>
      <c r="D813" s="28" t="s">
        <v>1731</v>
      </c>
      <c r="E813" s="29" t="str">
        <f>_xlfn.XLOOKUP(Table7[[#This Row],[Malın kodu]],Table4[Malın kodu],Table4[Malın adı],"Xəta",0)</f>
        <v>Otbiçən / elektrik / "Denzel"</v>
      </c>
      <c r="F813" s="26">
        <v>1</v>
      </c>
      <c r="G813" s="26"/>
      <c r="H813" s="26" t="s">
        <v>899</v>
      </c>
      <c r="I813" s="26" t="s">
        <v>1918</v>
      </c>
    </row>
    <row r="814" spans="2:9" x14ac:dyDescent="0.25">
      <c r="B814" s="26">
        <f t="shared" si="12"/>
        <v>811</v>
      </c>
      <c r="C814" s="27">
        <v>46174</v>
      </c>
      <c r="D814" s="28" t="s">
        <v>1732</v>
      </c>
      <c r="E814" s="29" t="str">
        <f>_xlfn.XLOOKUP(Table7[[#This Row],[Malın kodu]],Table4[Malın kodu],Table4[Malın adı],"Xəta",0)</f>
        <v>Rels / elektrik lövhəsi üçün / 1 metr</v>
      </c>
      <c r="F814" s="26">
        <v>3</v>
      </c>
      <c r="G814" s="26"/>
      <c r="H814" s="26" t="s">
        <v>899</v>
      </c>
      <c r="I814" s="26" t="s">
        <v>1918</v>
      </c>
    </row>
    <row r="815" spans="2:9" x14ac:dyDescent="0.25">
      <c r="B815" s="26">
        <f t="shared" si="12"/>
        <v>812</v>
      </c>
      <c r="C815" s="27">
        <v>46174</v>
      </c>
      <c r="D815" s="28" t="s">
        <v>1733</v>
      </c>
      <c r="E815" s="29" t="str">
        <f>_xlfn.XLOOKUP(Table7[[#This Row],[Malın kodu]],Table4[Malın kodu],Table4[Malın adı],"Xəta",0)</f>
        <v>Boru / polad / d 20 mm / 2 metr</v>
      </c>
      <c r="F815" s="26">
        <v>6</v>
      </c>
      <c r="G815" s="26"/>
      <c r="H815" s="26" t="s">
        <v>899</v>
      </c>
      <c r="I815" s="26" t="s">
        <v>1918</v>
      </c>
    </row>
    <row r="816" spans="2:9" x14ac:dyDescent="0.25">
      <c r="B816" s="26">
        <f t="shared" si="12"/>
        <v>813</v>
      </c>
      <c r="C816" s="27">
        <v>46174</v>
      </c>
      <c r="D816" s="28" t="s">
        <v>1734</v>
      </c>
      <c r="E816" s="29" t="str">
        <f>_xlfn.XLOOKUP(Table7[[#This Row],[Malın kodu]],Table4[Malın kodu],Table4[Malın adı],"Xəta",0)</f>
        <v>Su pompası / dalğıc / 0.75 kvt / 250 L/d / 10 metr / "SNçlIMGE"</v>
      </c>
      <c r="F816" s="26">
        <v>1</v>
      </c>
      <c r="G816" s="26"/>
      <c r="H816" s="26" t="s">
        <v>899</v>
      </c>
      <c r="I816" s="26" t="s">
        <v>1918</v>
      </c>
    </row>
    <row r="817" spans="2:9" x14ac:dyDescent="0.25">
      <c r="B817" s="26">
        <f t="shared" si="12"/>
        <v>814</v>
      </c>
      <c r="C817" s="27">
        <v>46174</v>
      </c>
      <c r="D817" s="28" t="s">
        <v>1735</v>
      </c>
      <c r="E817" s="29" t="str">
        <f>_xlfn.XLOOKUP(Table7[[#This Row],[Malın kodu]],Table4[Malın kodu],Table4[Malın adı],"Xəta",0)</f>
        <v>Su pompası / "Seakoo"</v>
      </c>
      <c r="F817" s="26">
        <v>1</v>
      </c>
      <c r="G817" s="26"/>
      <c r="H817" s="26" t="s">
        <v>899</v>
      </c>
      <c r="I817" s="26" t="s">
        <v>1918</v>
      </c>
    </row>
    <row r="818" spans="2:9" x14ac:dyDescent="0.25">
      <c r="B818" s="26">
        <f t="shared" si="12"/>
        <v>815</v>
      </c>
      <c r="C818" s="27">
        <v>46174</v>
      </c>
      <c r="D818" s="28" t="s">
        <v>1736</v>
      </c>
      <c r="E818" s="29" t="str">
        <f>_xlfn.XLOOKUP(Table7[[#This Row],[Malın kodu]],Table4[Malın kodu],Table4[Malın adı],"Xəta",0)</f>
        <v>Su pompası / dalğıc / 1100 vt / "Shimge"</v>
      </c>
      <c r="F818" s="26">
        <v>1</v>
      </c>
      <c r="G818" s="26"/>
      <c r="H818" s="26" t="s">
        <v>899</v>
      </c>
      <c r="I818" s="26" t="s">
        <v>1918</v>
      </c>
    </row>
    <row r="819" spans="2:9" x14ac:dyDescent="0.25">
      <c r="B819" s="26">
        <f t="shared" si="12"/>
        <v>816</v>
      </c>
      <c r="C819" s="27">
        <v>46174</v>
      </c>
      <c r="D819" s="28" t="s">
        <v>1737</v>
      </c>
      <c r="E819" s="29" t="str">
        <f>_xlfn.XLOOKUP(Table7[[#This Row],[Malın kodu]],Table4[Malın kodu],Table4[Malın adı],"Xəta",0)</f>
        <v>Bolt / M12 / L 80 mm</v>
      </c>
      <c r="F819" s="26">
        <v>44</v>
      </c>
      <c r="G819" s="26"/>
      <c r="H819" s="26" t="s">
        <v>899</v>
      </c>
      <c r="I819" s="26" t="s">
        <v>1918</v>
      </c>
    </row>
    <row r="820" spans="2:9" x14ac:dyDescent="0.25">
      <c r="B820" s="26">
        <f t="shared" si="12"/>
        <v>817</v>
      </c>
      <c r="C820" s="27">
        <v>46174</v>
      </c>
      <c r="D820" s="28" t="s">
        <v>1738</v>
      </c>
      <c r="E820" s="29" t="str">
        <f>_xlfn.XLOOKUP(Table7[[#This Row],[Malın kodu]],Table4[Malın kodu],Table4[Malın adı],"Xəta",0)</f>
        <v>Bolt / M16 / L 80 mm</v>
      </c>
      <c r="F820" s="26">
        <v>3</v>
      </c>
      <c r="G820" s="26"/>
      <c r="H820" s="26" t="s">
        <v>899</v>
      </c>
      <c r="I820" s="26" t="s">
        <v>1918</v>
      </c>
    </row>
    <row r="821" spans="2:9" x14ac:dyDescent="0.25">
      <c r="B821" s="26">
        <f t="shared" si="12"/>
        <v>818</v>
      </c>
      <c r="C821" s="27">
        <v>46174</v>
      </c>
      <c r="D821" s="28" t="s">
        <v>1739</v>
      </c>
      <c r="E821" s="29" t="str">
        <f>_xlfn.XLOOKUP(Table7[[#This Row],[Malın kodu]],Table4[Malın kodu],Table4[Malın adı],"Xəta",0)</f>
        <v>Bolt / M10 / L 100 mm</v>
      </c>
      <c r="F821" s="26">
        <v>54</v>
      </c>
      <c r="G821" s="26"/>
      <c r="H821" s="26" t="s">
        <v>899</v>
      </c>
      <c r="I821" s="26" t="s">
        <v>1918</v>
      </c>
    </row>
    <row r="822" spans="2:9" x14ac:dyDescent="0.25">
      <c r="B822" s="26">
        <f t="shared" si="12"/>
        <v>819</v>
      </c>
      <c r="C822" s="27">
        <v>46174</v>
      </c>
      <c r="D822" s="28" t="s">
        <v>1740</v>
      </c>
      <c r="E822" s="29" t="str">
        <f>_xlfn.XLOOKUP(Table7[[#This Row],[Malın kodu]],Table4[Malın kodu],Table4[Malın adı],"Xəta",0)</f>
        <v>Bolt / M20 / L 80 mm</v>
      </c>
      <c r="F822" s="26">
        <v>54</v>
      </c>
      <c r="G822" s="26"/>
      <c r="H822" s="26" t="s">
        <v>899</v>
      </c>
      <c r="I822" s="26" t="s">
        <v>1918</v>
      </c>
    </row>
    <row r="823" spans="2:9" x14ac:dyDescent="0.25">
      <c r="B823" s="26">
        <f t="shared" si="12"/>
        <v>820</v>
      </c>
      <c r="C823" s="27">
        <v>46174</v>
      </c>
      <c r="D823" s="28" t="s">
        <v>1741</v>
      </c>
      <c r="E823" s="29" t="str">
        <f>_xlfn.XLOOKUP(Table7[[#This Row],[Malın kodu]],Table4[Malın kodu],Table4[Malın adı],"Xəta",0)</f>
        <v>Ankerbolt / M16 / L 250 mm</v>
      </c>
      <c r="F823" s="26">
        <v>11</v>
      </c>
      <c r="G823" s="26"/>
      <c r="H823" s="26" t="s">
        <v>899</v>
      </c>
      <c r="I823" s="26" t="s">
        <v>1918</v>
      </c>
    </row>
    <row r="824" spans="2:9" x14ac:dyDescent="0.25">
      <c r="B824" s="26">
        <f t="shared" si="12"/>
        <v>821</v>
      </c>
      <c r="C824" s="27">
        <v>46174</v>
      </c>
      <c r="D824" s="28" t="s">
        <v>1742</v>
      </c>
      <c r="E824" s="29" t="str">
        <f>_xlfn.XLOOKUP(Table7[[#This Row],[Malın kodu]],Table4[Malın kodu],Table4[Malın adı],"Xəta",0)</f>
        <v>Ankerbolt / M16 / L 100 mm</v>
      </c>
      <c r="F824" s="26">
        <v>2</v>
      </c>
      <c r="G824" s="26"/>
      <c r="H824" s="26" t="s">
        <v>899</v>
      </c>
      <c r="I824" s="26" t="s">
        <v>1918</v>
      </c>
    </row>
    <row r="825" spans="2:9" x14ac:dyDescent="0.25">
      <c r="B825" s="26">
        <f t="shared" si="12"/>
        <v>822</v>
      </c>
      <c r="C825" s="27">
        <v>46174</v>
      </c>
      <c r="D825" s="28" t="s">
        <v>1743</v>
      </c>
      <c r="E825" s="29" t="str">
        <f>_xlfn.XLOOKUP(Table7[[#This Row],[Malın kodu]],Table4[Malın kodu],Table4[Malın adı],"Xəta",0)</f>
        <v>Ankerbolt / M16 / L 200 mm</v>
      </c>
      <c r="F825" s="26">
        <v>3</v>
      </c>
      <c r="G825" s="26"/>
      <c r="H825" s="26" t="s">
        <v>899</v>
      </c>
      <c r="I825" s="26" t="s">
        <v>1918</v>
      </c>
    </row>
    <row r="826" spans="2:9" x14ac:dyDescent="0.25">
      <c r="B826" s="26">
        <f t="shared" si="12"/>
        <v>823</v>
      </c>
      <c r="C826" s="27">
        <v>46174</v>
      </c>
      <c r="D826" s="28" t="s">
        <v>1744</v>
      </c>
      <c r="E826" s="29" t="str">
        <f>_xlfn.XLOOKUP(Table7[[#This Row],[Malın kodu]],Table4[Malın kodu],Table4[Malın adı],"Xəta",0)</f>
        <v>Mufta / d 32 mm / polietilen / elektrofizyon / C</v>
      </c>
      <c r="F826" s="26">
        <v>93</v>
      </c>
      <c r="G826" s="26"/>
      <c r="H826" s="26" t="s">
        <v>899</v>
      </c>
      <c r="I826" s="26" t="s">
        <v>1918</v>
      </c>
    </row>
    <row r="827" spans="2:9" x14ac:dyDescent="0.25">
      <c r="B827" s="26">
        <f t="shared" si="12"/>
        <v>824</v>
      </c>
      <c r="C827" s="27">
        <v>46174</v>
      </c>
      <c r="D827" s="28" t="s">
        <v>1745</v>
      </c>
      <c r="E827" s="29" t="str">
        <f>_xlfn.XLOOKUP(Table7[[#This Row],[Malın kodu]],Table4[Malın kodu],Table4[Malın adı],"Xəta",0)</f>
        <v>Mufta / elektrofizyon / d 40 mm / polietilen</v>
      </c>
      <c r="F827" s="26">
        <v>94</v>
      </c>
      <c r="G827" s="26"/>
      <c r="H827" s="26" t="s">
        <v>899</v>
      </c>
      <c r="I827" s="26" t="s">
        <v>1918</v>
      </c>
    </row>
    <row r="828" spans="2:9" x14ac:dyDescent="0.25">
      <c r="B828" s="26">
        <f t="shared" si="12"/>
        <v>825</v>
      </c>
      <c r="C828" s="27">
        <v>46174</v>
      </c>
      <c r="D828" s="28" t="s">
        <v>1746</v>
      </c>
      <c r="E828" s="29" t="str">
        <f>_xlfn.XLOOKUP(Table7[[#This Row],[Malın kodu]],Table4[Malın kodu],Table4[Malın adı],"Xəta",0)</f>
        <v>Mufta / elektrofizyon / d 90 mm / polietilen</v>
      </c>
      <c r="F828" s="26">
        <v>10</v>
      </c>
      <c r="G828" s="26"/>
      <c r="H828" s="26" t="s">
        <v>899</v>
      </c>
      <c r="I828" s="26" t="s">
        <v>1918</v>
      </c>
    </row>
    <row r="829" spans="2:9" x14ac:dyDescent="0.25">
      <c r="B829" s="26">
        <f t="shared" si="12"/>
        <v>826</v>
      </c>
      <c r="C829" s="27">
        <v>46174</v>
      </c>
      <c r="D829" s="28" t="s">
        <v>1747</v>
      </c>
      <c r="E829" s="29" t="str">
        <f>_xlfn.XLOOKUP(Table7[[#This Row],[Malın kodu]],Table4[Malın kodu],Table4[Malın adı],"Xəta",0)</f>
        <v>Mufta / PVC / d 110</v>
      </c>
      <c r="F829" s="26">
        <v>14</v>
      </c>
      <c r="G829" s="26"/>
      <c r="H829" s="26" t="s">
        <v>899</v>
      </c>
      <c r="I829" s="26" t="s">
        <v>1918</v>
      </c>
    </row>
    <row r="830" spans="2:9" x14ac:dyDescent="0.25">
      <c r="B830" s="26">
        <f t="shared" si="12"/>
        <v>827</v>
      </c>
      <c r="C830" s="27">
        <v>46174</v>
      </c>
      <c r="D830" s="28" t="s">
        <v>1748</v>
      </c>
      <c r="E830" s="29" t="str">
        <f>_xlfn.XLOOKUP(Table7[[#This Row],[Malın kodu]],Table4[Malın kodu],Table4[Malın adı],"Xəta",0)</f>
        <v>Dirsək / PVC / d 110 / 90°</v>
      </c>
      <c r="F830" s="26">
        <v>6</v>
      </c>
      <c r="G830" s="26"/>
      <c r="H830" s="26" t="s">
        <v>899</v>
      </c>
      <c r="I830" s="26" t="s">
        <v>1918</v>
      </c>
    </row>
    <row r="831" spans="2:9" x14ac:dyDescent="0.25">
      <c r="B831" s="26">
        <f t="shared" si="12"/>
        <v>828</v>
      </c>
      <c r="C831" s="27">
        <v>46174</v>
      </c>
      <c r="D831" s="28" t="s">
        <v>1749</v>
      </c>
      <c r="E831" s="29" t="str">
        <f>_xlfn.XLOOKUP(Table7[[#This Row],[Malın kodu]],Table4[Malın kodu],Table4[Malın adı],"Xəta",0)</f>
        <v>Keçid / PVC / d 50 x 75 mm</v>
      </c>
      <c r="F831" s="26">
        <v>2</v>
      </c>
      <c r="G831" s="26"/>
      <c r="H831" s="26" t="s">
        <v>899</v>
      </c>
      <c r="I831" s="26" t="s">
        <v>1918</v>
      </c>
    </row>
    <row r="832" spans="2:9" x14ac:dyDescent="0.25">
      <c r="B832" s="26">
        <f t="shared" si="12"/>
        <v>829</v>
      </c>
      <c r="C832" s="27">
        <v>46174</v>
      </c>
      <c r="D832" s="28" t="s">
        <v>1750</v>
      </c>
      <c r="E832" s="29" t="str">
        <f>_xlfn.XLOOKUP(Table7[[#This Row],[Malın kodu]],Table4[Malın kodu],Table4[Malın adı],"Xəta",0)</f>
        <v>Üçlük / PVC / d 50 mm</v>
      </c>
      <c r="F832" s="26">
        <v>3</v>
      </c>
      <c r="G832" s="26"/>
      <c r="H832" s="26" t="s">
        <v>899</v>
      </c>
      <c r="I832" s="26" t="s">
        <v>1918</v>
      </c>
    </row>
    <row r="833" spans="2:9" x14ac:dyDescent="0.25">
      <c r="B833" s="26">
        <f t="shared" si="12"/>
        <v>830</v>
      </c>
      <c r="C833" s="27">
        <v>46174</v>
      </c>
      <c r="D833" s="28" t="s">
        <v>1751</v>
      </c>
      <c r="E833" s="29" t="str">
        <f>_xlfn.XLOOKUP(Table7[[#This Row],[Malın kodu]],Table4[Malın kodu],Table4[Malın adı],"Xəta",0)</f>
        <v>Qapaq / PVC / d 110 mm</v>
      </c>
      <c r="F833" s="26">
        <v>1</v>
      </c>
      <c r="G833" s="26"/>
      <c r="H833" s="26" t="s">
        <v>899</v>
      </c>
      <c r="I833" s="26" t="s">
        <v>1918</v>
      </c>
    </row>
    <row r="834" spans="2:9" x14ac:dyDescent="0.25">
      <c r="B834" s="26">
        <f t="shared" si="12"/>
        <v>831</v>
      </c>
      <c r="C834" s="27">
        <v>46174</v>
      </c>
      <c r="D834" s="28" t="s">
        <v>1752</v>
      </c>
      <c r="E834" s="29" t="str">
        <f>_xlfn.XLOOKUP(Table7[[#This Row],[Malın kodu]],Table4[Malın kodu],Table4[Malın adı],"Xəta",0)</f>
        <v>Dirsək / PVC / d 50 mm</v>
      </c>
      <c r="F834" s="26">
        <v>2</v>
      </c>
      <c r="G834" s="26"/>
      <c r="H834" s="26" t="s">
        <v>899</v>
      </c>
      <c r="I834" s="26" t="s">
        <v>1918</v>
      </c>
    </row>
    <row r="835" spans="2:9" x14ac:dyDescent="0.25">
      <c r="B835" s="26">
        <f t="shared" si="12"/>
        <v>832</v>
      </c>
      <c r="C835" s="27">
        <v>46174</v>
      </c>
      <c r="D835" s="28" t="s">
        <v>1753</v>
      </c>
      <c r="E835" s="29" t="str">
        <f>_xlfn.XLOOKUP(Table7[[#This Row],[Malın kodu]],Table4[Malın kodu],Table4[Malın adı],"Xəta",0)</f>
        <v>Üçlük / PVC / d 50 x d 110 mm</v>
      </c>
      <c r="F835" s="26">
        <v>1</v>
      </c>
      <c r="G835" s="26"/>
      <c r="H835" s="26" t="s">
        <v>899</v>
      </c>
      <c r="I835" s="26" t="s">
        <v>1918</v>
      </c>
    </row>
    <row r="836" spans="2:9" x14ac:dyDescent="0.25">
      <c r="B836" s="26">
        <f t="shared" ref="B836:B899" si="13">ROW()-3</f>
        <v>833</v>
      </c>
      <c r="C836" s="27">
        <v>46174</v>
      </c>
      <c r="D836" s="28" t="s">
        <v>1754</v>
      </c>
      <c r="E836" s="29" t="str">
        <f>_xlfn.XLOOKUP(Table7[[#This Row],[Malın kodu]],Table4[Malın kodu],Table4[Malın adı],"Xəta",0)</f>
        <v>Üçlük / PVC / d 50 mm / 45°</v>
      </c>
      <c r="F836" s="26">
        <v>2</v>
      </c>
      <c r="G836" s="26"/>
      <c r="H836" s="26" t="s">
        <v>899</v>
      </c>
      <c r="I836" s="26" t="s">
        <v>1918</v>
      </c>
    </row>
    <row r="837" spans="2:9" x14ac:dyDescent="0.25">
      <c r="B837" s="26">
        <f t="shared" si="13"/>
        <v>834</v>
      </c>
      <c r="C837" s="27">
        <v>46174</v>
      </c>
      <c r="D837" s="28" t="s">
        <v>1755</v>
      </c>
      <c r="E837" s="29" t="str">
        <f>_xlfn.XLOOKUP(Table7[[#This Row],[Malın kodu]],Table4[Malın kodu],Table4[Malın adı],"Xəta",0)</f>
        <v>Dirsək / PVC / d 110 mm / 45° / unitaz üçün</v>
      </c>
      <c r="F837" s="26">
        <v>3</v>
      </c>
      <c r="G837" s="26"/>
      <c r="H837" s="26" t="s">
        <v>899</v>
      </c>
      <c r="I837" s="26" t="s">
        <v>1918</v>
      </c>
    </row>
    <row r="838" spans="2:9" x14ac:dyDescent="0.25">
      <c r="B838" s="26">
        <f t="shared" si="13"/>
        <v>835</v>
      </c>
      <c r="C838" s="27">
        <v>46174</v>
      </c>
      <c r="D838" s="28" t="s">
        <v>1756</v>
      </c>
      <c r="E838" s="29" t="str">
        <f>_xlfn.XLOOKUP(Table7[[#This Row],[Malın kodu]],Table4[Malın kodu],Table4[Malın adı],"Xəta",0)</f>
        <v>Üçlük / PVC / d 110 mm</v>
      </c>
      <c r="F838" s="26">
        <v>1</v>
      </c>
      <c r="G838" s="26"/>
      <c r="H838" s="26" t="s">
        <v>899</v>
      </c>
      <c r="I838" s="26" t="s">
        <v>1918</v>
      </c>
    </row>
    <row r="839" spans="2:9" x14ac:dyDescent="0.25">
      <c r="B839" s="26">
        <f t="shared" si="13"/>
        <v>836</v>
      </c>
      <c r="C839" s="27">
        <v>46174</v>
      </c>
      <c r="D839" s="28" t="s">
        <v>1757</v>
      </c>
      <c r="E839" s="29" t="str">
        <f>_xlfn.XLOOKUP(Table7[[#This Row],[Malın kodu]],Table4[Malın kodu],Table4[Malın adı],"Xəta",0)</f>
        <v>Xomut / metal / d 25 x 28 mm / 3/4 inch</v>
      </c>
      <c r="F839" s="26">
        <v>140</v>
      </c>
      <c r="G839" s="26"/>
      <c r="H839" s="26" t="s">
        <v>899</v>
      </c>
      <c r="I839" s="26" t="s">
        <v>1918</v>
      </c>
    </row>
    <row r="840" spans="2:9" x14ac:dyDescent="0.25">
      <c r="B840" s="26">
        <f t="shared" si="13"/>
        <v>837</v>
      </c>
      <c r="C840" s="27">
        <v>46174</v>
      </c>
      <c r="D840" s="28" t="s">
        <v>1758</v>
      </c>
      <c r="E840" s="29" t="str">
        <f>_xlfn.XLOOKUP(Table7[[#This Row],[Malın kodu]],Table4[Malın kodu],Table4[Malın adı],"Xəta",0)</f>
        <v>Hidrant açarı</v>
      </c>
      <c r="F840" s="26">
        <v>85</v>
      </c>
      <c r="G840" s="26"/>
      <c r="H840" s="26" t="s">
        <v>899</v>
      </c>
      <c r="I840" s="26" t="s">
        <v>1918</v>
      </c>
    </row>
    <row r="841" spans="2:9" x14ac:dyDescent="0.25">
      <c r="B841" s="26">
        <f t="shared" si="13"/>
        <v>838</v>
      </c>
      <c r="C841" s="27">
        <v>46174</v>
      </c>
      <c r="D841" s="28" t="s">
        <v>1759</v>
      </c>
      <c r="E841" s="29" t="str">
        <f>_xlfn.XLOOKUP(Table7[[#This Row],[Malın kodu]],Table4[Malın kodu],Table4[Malın adı],"Xəta",0)</f>
        <v>Flyans / d 175 mm / polad</v>
      </c>
      <c r="F841" s="26">
        <v>4</v>
      </c>
      <c r="G841" s="26"/>
      <c r="H841" s="26" t="s">
        <v>899</v>
      </c>
      <c r="I841" s="26" t="s">
        <v>1918</v>
      </c>
    </row>
    <row r="842" spans="2:9" x14ac:dyDescent="0.25">
      <c r="B842" s="26">
        <f t="shared" si="13"/>
        <v>839</v>
      </c>
      <c r="C842" s="27">
        <v>46174</v>
      </c>
      <c r="D842" s="28" t="s">
        <v>1760</v>
      </c>
      <c r="E842" s="29" t="str">
        <f>_xlfn.XLOOKUP(Table7[[#This Row],[Malın kodu]],Table4[Malın kodu],Table4[Malın adı],"Xəta",0)</f>
        <v>Flyans / d 100 mm / polad</v>
      </c>
      <c r="F842" s="26">
        <v>7</v>
      </c>
      <c r="G842" s="26"/>
      <c r="H842" s="26" t="s">
        <v>899</v>
      </c>
      <c r="I842" s="26" t="s">
        <v>1918</v>
      </c>
    </row>
    <row r="843" spans="2:9" x14ac:dyDescent="0.25">
      <c r="B843" s="26">
        <f t="shared" si="13"/>
        <v>840</v>
      </c>
      <c r="C843" s="27">
        <v>46174</v>
      </c>
      <c r="D843" s="28" t="s">
        <v>1761</v>
      </c>
      <c r="E843" s="29" t="str">
        <f>_xlfn.XLOOKUP(Table7[[#This Row],[Malın kodu]],Table4[Malın kodu],Table4[Malın adı],"Xəta",0)</f>
        <v>Flyans / d 160 mm / polad</v>
      </c>
      <c r="F843" s="26">
        <v>2</v>
      </c>
      <c r="G843" s="26"/>
      <c r="H843" s="26" t="s">
        <v>899</v>
      </c>
      <c r="I843" s="26" t="s">
        <v>1918</v>
      </c>
    </row>
    <row r="844" spans="2:9" x14ac:dyDescent="0.25">
      <c r="B844" s="26">
        <f t="shared" si="13"/>
        <v>841</v>
      </c>
      <c r="C844" s="27">
        <v>46174</v>
      </c>
      <c r="D844" s="28" t="s">
        <v>1762</v>
      </c>
      <c r="E844" s="29" t="str">
        <f>_xlfn.XLOOKUP(Table7[[#This Row],[Malın kodu]],Table4[Malın kodu],Table4[Malın adı],"Xəta",0)</f>
        <v>Su pompası / 250 Vt / 75 L/d / H 10m / "Shimge"</v>
      </c>
      <c r="F844" s="26">
        <v>1</v>
      </c>
      <c r="G844" s="26"/>
      <c r="H844" s="26" t="s">
        <v>899</v>
      </c>
      <c r="I844" s="26" t="s">
        <v>1918</v>
      </c>
    </row>
    <row r="845" spans="2:9" x14ac:dyDescent="0.25">
      <c r="B845" s="26">
        <f t="shared" si="13"/>
        <v>842</v>
      </c>
      <c r="C845" s="27">
        <v>46174</v>
      </c>
      <c r="D845" s="28" t="s">
        <v>1763</v>
      </c>
      <c r="E845" s="29" t="str">
        <f>_xlfn.XLOOKUP(Table7[[#This Row],[Malın kodu]],Table4[Malın kodu],Table4[Malın adı],"Xəta",0)</f>
        <v>Elektrik soket / 32A / İP 67 / "TP Elektric" / Türkiyə istehsalı"</v>
      </c>
      <c r="F845" s="26">
        <v>1</v>
      </c>
      <c r="G845" s="26"/>
      <c r="H845" s="26" t="s">
        <v>899</v>
      </c>
      <c r="I845" s="26" t="s">
        <v>1918</v>
      </c>
    </row>
    <row r="846" spans="2:9" x14ac:dyDescent="0.25">
      <c r="B846" s="26">
        <f t="shared" si="13"/>
        <v>843</v>
      </c>
      <c r="C846" s="27">
        <v>46174</v>
      </c>
      <c r="D846" s="28" t="s">
        <v>1764</v>
      </c>
      <c r="E846" s="29" t="str">
        <f>_xlfn.XLOOKUP(Table7[[#This Row],[Malın kodu]],Table4[Malın kodu],Table4[Malın adı],"Xəta",0)</f>
        <v>Elektrik soket / 63A / İP 44 / "Bemis" / Türkiyə istehsalı"</v>
      </c>
      <c r="F846" s="26">
        <v>1</v>
      </c>
      <c r="G846" s="26"/>
      <c r="H846" s="26" t="s">
        <v>899</v>
      </c>
      <c r="I846" s="26" t="s">
        <v>1918</v>
      </c>
    </row>
    <row r="847" spans="2:9" x14ac:dyDescent="0.25">
      <c r="B847" s="26">
        <f t="shared" si="13"/>
        <v>844</v>
      </c>
      <c r="C847" s="27">
        <v>46174</v>
      </c>
      <c r="D847" s="28" t="s">
        <v>1765</v>
      </c>
      <c r="E847" s="29" t="str">
        <f>_xlfn.XLOOKUP(Table7[[#This Row],[Malın kodu]],Table4[Malın kodu],Table4[Malın adı],"Xəta",0)</f>
        <v>Elektrik soket / 63A / İP 67 / "Bemis" / Türkiyə istehsalı"</v>
      </c>
      <c r="F847" s="26">
        <v>1</v>
      </c>
      <c r="G847" s="26"/>
      <c r="H847" s="26" t="s">
        <v>899</v>
      </c>
      <c r="I847" s="26" t="s">
        <v>1918</v>
      </c>
    </row>
    <row r="848" spans="2:9" x14ac:dyDescent="0.25">
      <c r="B848" s="26">
        <f t="shared" si="13"/>
        <v>845</v>
      </c>
      <c r="C848" s="27">
        <v>46174</v>
      </c>
      <c r="D848" s="28" t="s">
        <v>1766</v>
      </c>
      <c r="E848" s="29" t="str">
        <f>_xlfn.XLOOKUP(Table7[[#This Row],[Malın kodu]],Table4[Malın kodu],Table4[Malın adı],"Xəta",0)</f>
        <v>Elektrik soket / 32A / İP 44 / "Bemis" / Türkiyə istehsalı"</v>
      </c>
      <c r="F848" s="26">
        <v>1</v>
      </c>
      <c r="G848" s="26"/>
      <c r="H848" s="26" t="s">
        <v>899</v>
      </c>
      <c r="I848" s="26" t="s">
        <v>1918</v>
      </c>
    </row>
    <row r="849" spans="2:9" x14ac:dyDescent="0.25">
      <c r="B849" s="26">
        <f t="shared" si="13"/>
        <v>846</v>
      </c>
      <c r="C849" s="27">
        <v>46174</v>
      </c>
      <c r="D849" s="28" t="s">
        <v>1767</v>
      </c>
      <c r="E849" s="29" t="str">
        <f>_xlfn.XLOOKUP(Table7[[#This Row],[Malın kodu]],Table4[Malın kodu],Table4[Malın adı],"Xəta",0)</f>
        <v>Kəsici alət / elektrik / beton üçün / "Hoteche" / P805111</v>
      </c>
      <c r="F849" s="26">
        <v>2</v>
      </c>
      <c r="G849" s="26"/>
      <c r="H849" s="26" t="s">
        <v>899</v>
      </c>
      <c r="I849" s="26" t="s">
        <v>1918</v>
      </c>
    </row>
    <row r="850" spans="2:9" x14ac:dyDescent="0.25">
      <c r="B850" s="26">
        <f t="shared" si="13"/>
        <v>847</v>
      </c>
      <c r="C850" s="27">
        <v>46174</v>
      </c>
      <c r="D850" s="28" t="s">
        <v>1768</v>
      </c>
      <c r="E850" s="29" t="str">
        <f>_xlfn.XLOOKUP(Table7[[#This Row],[Malın kodu]],Table4[Malın kodu],Table4[Malın adı],"Xəta",0)</f>
        <v>Elektrik uzadıcı / 3 faza / 32A soket ilə</v>
      </c>
      <c r="F850" s="26">
        <v>1</v>
      </c>
      <c r="G850" s="26"/>
      <c r="H850" s="26" t="s">
        <v>899</v>
      </c>
      <c r="I850" s="26" t="s">
        <v>1918</v>
      </c>
    </row>
    <row r="851" spans="2:9" x14ac:dyDescent="0.25">
      <c r="B851" s="26">
        <f t="shared" si="13"/>
        <v>848</v>
      </c>
      <c r="C851" s="27">
        <v>46174</v>
      </c>
      <c r="D851" s="28" t="s">
        <v>1769</v>
      </c>
      <c r="E851" s="29" t="str">
        <f>_xlfn.XLOOKUP(Table7[[#This Row],[Malın kodu]],Table4[Malın kodu],Table4[Malın adı],"Xəta",0)</f>
        <v>Qayçı / armatur üçün / 42 inch</v>
      </c>
      <c r="F851" s="26">
        <v>2</v>
      </c>
      <c r="G851" s="26"/>
      <c r="H851" s="26" t="s">
        <v>899</v>
      </c>
      <c r="I851" s="26" t="s">
        <v>1918</v>
      </c>
    </row>
    <row r="852" spans="2:9" x14ac:dyDescent="0.25">
      <c r="B852" s="26">
        <f t="shared" si="13"/>
        <v>849</v>
      </c>
      <c r="C852" s="27">
        <v>46174</v>
      </c>
      <c r="D852" s="28" t="s">
        <v>1770</v>
      </c>
      <c r="E852" s="29" t="str">
        <f>_xlfn.XLOOKUP(Table7[[#This Row],[Malın kodu]],Table4[Malın kodu],Table4[Malın adı],"Xəta",0)</f>
        <v>Qayçı / armatur üçün</v>
      </c>
      <c r="F852" s="26">
        <v>1</v>
      </c>
      <c r="G852" s="26"/>
      <c r="H852" s="26" t="s">
        <v>899</v>
      </c>
      <c r="I852" s="26" t="s">
        <v>1918</v>
      </c>
    </row>
    <row r="853" spans="2:9" x14ac:dyDescent="0.25">
      <c r="B853" s="26">
        <f t="shared" si="13"/>
        <v>850</v>
      </c>
      <c r="C853" s="27">
        <v>46174</v>
      </c>
      <c r="D853" s="28" t="s">
        <v>1771</v>
      </c>
      <c r="E853" s="29" t="str">
        <f>_xlfn.XLOOKUP(Table7[[#This Row],[Malın kodu]],Table4[Malın kodu],Table4[Malın adı],"Xəta",0)</f>
        <v>Armatur əyən alət</v>
      </c>
      <c r="F853" s="26">
        <v>7</v>
      </c>
      <c r="G853" s="26"/>
      <c r="H853" s="26" t="s">
        <v>899</v>
      </c>
      <c r="I853" s="26" t="s">
        <v>1918</v>
      </c>
    </row>
    <row r="854" spans="2:9" x14ac:dyDescent="0.25">
      <c r="B854" s="26">
        <f t="shared" si="13"/>
        <v>851</v>
      </c>
      <c r="C854" s="27">
        <v>46174</v>
      </c>
      <c r="D854" s="28" t="s">
        <v>1772</v>
      </c>
      <c r="E854" s="29" t="str">
        <f>_xlfn.XLOOKUP(Table7[[#This Row],[Malın kodu]],Table4[Malın kodu],Table4[Malın adı],"Xəta",0)</f>
        <v>Dirsək / polietilen / d 63mm / 90°</v>
      </c>
      <c r="F854" s="26">
        <v>2</v>
      </c>
      <c r="G854" s="26"/>
      <c r="H854" s="26" t="s">
        <v>899</v>
      </c>
      <c r="I854" s="26" t="s">
        <v>1918</v>
      </c>
    </row>
    <row r="855" spans="2:9" x14ac:dyDescent="0.25">
      <c r="B855" s="26">
        <f t="shared" si="13"/>
        <v>852</v>
      </c>
      <c r="C855" s="27">
        <v>46174</v>
      </c>
      <c r="D855" s="28" t="s">
        <v>1773</v>
      </c>
      <c r="E855" s="29" t="str">
        <f>_xlfn.XLOOKUP(Table7[[#This Row],[Malın kodu]],Table4[Malın kodu],Table4[Malın adı],"Xəta",0)</f>
        <v>Bolt / M30 / L 150 mm</v>
      </c>
      <c r="F855" s="26">
        <v>44</v>
      </c>
      <c r="G855" s="26"/>
      <c r="H855" s="26" t="s">
        <v>899</v>
      </c>
      <c r="I855" s="26" t="s">
        <v>1918</v>
      </c>
    </row>
    <row r="856" spans="2:9" x14ac:dyDescent="0.25">
      <c r="B856" s="26">
        <f t="shared" si="13"/>
        <v>853</v>
      </c>
      <c r="C856" s="27">
        <v>46174</v>
      </c>
      <c r="D856" s="28" t="s">
        <v>1774</v>
      </c>
      <c r="E856" s="29" t="str">
        <f>_xlfn.XLOOKUP(Table7[[#This Row],[Malın kodu]],Table4[Malın kodu],Table4[Malın adı],"Xəta",0)</f>
        <v>Bolt / ikitərəfli qaykalı / M28 / L 150 mm</v>
      </c>
      <c r="F856" s="26">
        <v>18</v>
      </c>
      <c r="G856" s="26"/>
      <c r="H856" s="26" t="s">
        <v>899</v>
      </c>
      <c r="I856" s="26" t="s">
        <v>1918</v>
      </c>
    </row>
    <row r="857" spans="2:9" x14ac:dyDescent="0.25">
      <c r="B857" s="26">
        <f t="shared" si="13"/>
        <v>854</v>
      </c>
      <c r="C857" s="27">
        <v>46174</v>
      </c>
      <c r="D857" s="28" t="s">
        <v>1775</v>
      </c>
      <c r="E857" s="29" t="str">
        <f>_xlfn.XLOOKUP(Table7[[#This Row],[Malın kodu]],Table4[Malın kodu],Table4[Malın adı],"Xəta",0)</f>
        <v>Qayka / M30</v>
      </c>
      <c r="F857" s="26">
        <v>44</v>
      </c>
      <c r="G857" s="26"/>
      <c r="H857" s="26" t="s">
        <v>899</v>
      </c>
      <c r="I857" s="26" t="s">
        <v>1918</v>
      </c>
    </row>
    <row r="858" spans="2:9" x14ac:dyDescent="0.25">
      <c r="B858" s="26">
        <f t="shared" si="13"/>
        <v>855</v>
      </c>
      <c r="C858" s="27">
        <v>46174</v>
      </c>
      <c r="D858" s="28" t="s">
        <v>1776</v>
      </c>
      <c r="E858" s="29" t="str">
        <f>_xlfn.XLOOKUP(Table7[[#This Row],[Malın kodu]],Table4[Malın kodu],Table4[Malın adı],"Xəta",0)</f>
        <v>Bolt-qayka / M18 / L 70 mm</v>
      </c>
      <c r="F858" s="26">
        <v>12</v>
      </c>
      <c r="G858" s="26"/>
      <c r="H858" s="26" t="s">
        <v>899</v>
      </c>
      <c r="I858" s="26" t="s">
        <v>1918</v>
      </c>
    </row>
    <row r="859" spans="2:9" x14ac:dyDescent="0.25">
      <c r="B859" s="26">
        <f t="shared" si="13"/>
        <v>856</v>
      </c>
      <c r="C859" s="27">
        <v>46174</v>
      </c>
      <c r="D859" s="28" t="s">
        <v>1777</v>
      </c>
      <c r="E859" s="29" t="str">
        <f>_xlfn.XLOOKUP(Table7[[#This Row],[Malın kodu]],Table4[Malın kodu],Table4[Malın adı],"Xəta",0)</f>
        <v>Bolt-qayka / M18 / L 100 mm</v>
      </c>
      <c r="F859" s="26">
        <v>4</v>
      </c>
      <c r="G859" s="26"/>
      <c r="H859" s="26" t="s">
        <v>899</v>
      </c>
      <c r="I859" s="26" t="s">
        <v>1918</v>
      </c>
    </row>
    <row r="860" spans="2:9" x14ac:dyDescent="0.25">
      <c r="B860" s="26">
        <f t="shared" si="13"/>
        <v>857</v>
      </c>
      <c r="C860" s="27">
        <v>46174</v>
      </c>
      <c r="D860" s="28" t="s">
        <v>1778</v>
      </c>
      <c r="E860" s="29" t="str">
        <f>_xlfn.XLOOKUP(Table7[[#This Row],[Malın kodu]],Table4[Malın kodu],Table4[Malın adı],"Xəta",0)</f>
        <v>Bolt-qayka / M16 / L 100 mm</v>
      </c>
      <c r="F860" s="26">
        <v>9</v>
      </c>
      <c r="G860" s="26"/>
      <c r="H860" s="26" t="s">
        <v>899</v>
      </c>
      <c r="I860" s="26" t="s">
        <v>1918</v>
      </c>
    </row>
    <row r="861" spans="2:9" x14ac:dyDescent="0.25">
      <c r="B861" s="26">
        <f t="shared" si="13"/>
        <v>858</v>
      </c>
      <c r="C861" s="27">
        <v>46174</v>
      </c>
      <c r="D861" s="28" t="s">
        <v>1779</v>
      </c>
      <c r="E861" s="29" t="str">
        <f>_xlfn.XLOOKUP(Table7[[#This Row],[Malın kodu]],Table4[Malın kodu],Table4[Malın adı],"Xəta",0)</f>
        <v>Şayba / M16</v>
      </c>
      <c r="F861" s="26">
        <v>100</v>
      </c>
      <c r="G861" s="26"/>
      <c r="H861" s="26" t="s">
        <v>899</v>
      </c>
      <c r="I861" s="26" t="s">
        <v>1918</v>
      </c>
    </row>
    <row r="862" spans="2:9" x14ac:dyDescent="0.25">
      <c r="B862" s="26">
        <f t="shared" si="13"/>
        <v>859</v>
      </c>
      <c r="C862" s="27">
        <v>46174</v>
      </c>
      <c r="D862" s="28" t="s">
        <v>1780</v>
      </c>
      <c r="E862" s="29" t="str">
        <f>_xlfn.XLOOKUP(Table7[[#This Row],[Malın kodu]],Table4[Malın kodu],Table4[Malın adı],"Xəta",0)</f>
        <v>Bolt / M18 / L90 mm</v>
      </c>
      <c r="F862" s="26">
        <v>8</v>
      </c>
      <c r="G862" s="26"/>
      <c r="H862" s="26" t="s">
        <v>899</v>
      </c>
      <c r="I862" s="26" t="s">
        <v>1918</v>
      </c>
    </row>
    <row r="863" spans="2:9" x14ac:dyDescent="0.25">
      <c r="B863" s="26">
        <f t="shared" si="13"/>
        <v>860</v>
      </c>
      <c r="C863" s="27">
        <v>46174</v>
      </c>
      <c r="D863" s="28" t="s">
        <v>1781</v>
      </c>
      <c r="E863" s="29" t="str">
        <f>_xlfn.XLOOKUP(Table7[[#This Row],[Malın kodu]],Table4[Malın kodu],Table4[Malın adı],"Xəta",0)</f>
        <v>Bolt / M26 / L150 mm</v>
      </c>
      <c r="F863" s="26">
        <v>14</v>
      </c>
      <c r="G863" s="26"/>
      <c r="H863" s="26" t="s">
        <v>899</v>
      </c>
      <c r="I863" s="26" t="s">
        <v>1918</v>
      </c>
    </row>
    <row r="864" spans="2:9" x14ac:dyDescent="0.25">
      <c r="B864" s="26">
        <f t="shared" si="13"/>
        <v>861</v>
      </c>
      <c r="C864" s="27">
        <v>46174</v>
      </c>
      <c r="D864" s="28" t="s">
        <v>1782</v>
      </c>
      <c r="E864" s="29" t="str">
        <f>_xlfn.XLOOKUP(Table7[[#This Row],[Malın kodu]],Table4[Malın kodu],Table4[Malın adı],"Xəta",0)</f>
        <v>Qayış / 17x2000 La</v>
      </c>
      <c r="F864" s="26">
        <v>7</v>
      </c>
      <c r="G864" s="26"/>
      <c r="H864" s="26" t="s">
        <v>899</v>
      </c>
      <c r="I864" s="26" t="s">
        <v>1918</v>
      </c>
    </row>
    <row r="865" spans="2:9" x14ac:dyDescent="0.25">
      <c r="B865" s="26">
        <f t="shared" si="13"/>
        <v>862</v>
      </c>
      <c r="C865" s="27">
        <v>46174</v>
      </c>
      <c r="D865" s="28" t="s">
        <v>1783</v>
      </c>
      <c r="E865" s="29" t="str">
        <f>_xlfn.XLOOKUP(Table7[[#This Row],[Malın kodu]],Table4[Malın kodu],Table4[Malın adı],"Xəta",0)</f>
        <v>Rezin kant / qırmızı / İsveçrə istehsalı</v>
      </c>
      <c r="F865" s="26">
        <v>1</v>
      </c>
      <c r="G865" s="26"/>
      <c r="H865" s="26" t="s">
        <v>899</v>
      </c>
      <c r="I865" s="26" t="s">
        <v>1918</v>
      </c>
    </row>
    <row r="866" spans="2:9" x14ac:dyDescent="0.25">
      <c r="B866" s="26">
        <f t="shared" si="13"/>
        <v>863</v>
      </c>
      <c r="C866" s="27">
        <v>46174</v>
      </c>
      <c r="D866" s="28" t="s">
        <v>1784</v>
      </c>
      <c r="E866" s="29" t="str">
        <f>_xlfn.XLOOKUP(Table7[[#This Row],[Malın kodu]],Table4[Malın kodu],Table4[Malın adı],"Xəta",0)</f>
        <v>Transportyor lenti / eni 300 mm</v>
      </c>
      <c r="F866" s="26">
        <v>1</v>
      </c>
      <c r="G866" s="26"/>
      <c r="H866" s="26" t="s">
        <v>899</v>
      </c>
      <c r="I866" s="26" t="s">
        <v>1918</v>
      </c>
    </row>
    <row r="867" spans="2:9" x14ac:dyDescent="0.25">
      <c r="B867" s="26">
        <f t="shared" si="13"/>
        <v>864</v>
      </c>
      <c r="C867" s="27">
        <v>46174</v>
      </c>
      <c r="D867" s="28" t="s">
        <v>1785</v>
      </c>
      <c r="E867" s="29" t="str">
        <f>_xlfn.XLOOKUP(Table7[[#This Row],[Malın kodu]],Table4[Malın kodu],Table4[Malın adı],"Xəta",0)</f>
        <v>Ştuser / hava / d=10 mm</v>
      </c>
      <c r="F867" s="26">
        <v>9</v>
      </c>
      <c r="G867" s="26"/>
      <c r="H867" s="26" t="s">
        <v>899</v>
      </c>
      <c r="I867" s="26" t="s">
        <v>1918</v>
      </c>
    </row>
    <row r="868" spans="2:9" x14ac:dyDescent="0.25">
      <c r="B868" s="26">
        <f t="shared" si="13"/>
        <v>865</v>
      </c>
      <c r="C868" s="27">
        <v>46174</v>
      </c>
      <c r="D868" s="28" t="s">
        <v>1786</v>
      </c>
      <c r="E868" s="29" t="str">
        <f>_xlfn.XLOOKUP(Table7[[#This Row],[Malın kodu]],Table4[Malın kodu],Table4[Malın adı],"Xəta",0)</f>
        <v>Üçlük / d 32 mm / polietilen / B</v>
      </c>
      <c r="F868" s="26">
        <v>1</v>
      </c>
      <c r="G868" s="26"/>
      <c r="H868" s="26" t="s">
        <v>899</v>
      </c>
      <c r="I868" s="26" t="s">
        <v>1918</v>
      </c>
    </row>
    <row r="869" spans="2:9" x14ac:dyDescent="0.25">
      <c r="B869" s="26">
        <f t="shared" si="13"/>
        <v>866</v>
      </c>
      <c r="C869" s="27">
        <v>46174</v>
      </c>
      <c r="D869" s="28" t="s">
        <v>1787</v>
      </c>
      <c r="E869" s="29" t="str">
        <f>_xlfn.XLOOKUP(Table7[[#This Row],[Malın kodu]],Table4[Malın kodu],Table4[Malın adı],"Xəta",0)</f>
        <v>Fırça / metal / 4 inch / laqonda üçün</v>
      </c>
      <c r="F869" s="26">
        <v>1</v>
      </c>
      <c r="G869" s="26"/>
      <c r="H869" s="26" t="s">
        <v>899</v>
      </c>
      <c r="I869" s="26" t="s">
        <v>1918</v>
      </c>
    </row>
    <row r="870" spans="2:9" x14ac:dyDescent="0.25">
      <c r="B870" s="26">
        <f t="shared" si="13"/>
        <v>867</v>
      </c>
      <c r="C870" s="27">
        <v>46174</v>
      </c>
      <c r="D870" s="28" t="s">
        <v>1788</v>
      </c>
      <c r="E870" s="29" t="str">
        <f>_xlfn.XLOOKUP(Table7[[#This Row],[Malın kodu]],Table4[Malın kodu],Table4[Malın adı],"Xəta",0)</f>
        <v>Ventil / metal / 2 inch</v>
      </c>
      <c r="F870" s="26">
        <v>1</v>
      </c>
      <c r="G870" s="26"/>
      <c r="H870" s="26" t="s">
        <v>899</v>
      </c>
      <c r="I870" s="26" t="s">
        <v>1918</v>
      </c>
    </row>
    <row r="871" spans="2:9" x14ac:dyDescent="0.25">
      <c r="B871" s="26">
        <f t="shared" si="13"/>
        <v>868</v>
      </c>
      <c r="C871" s="27">
        <v>46174</v>
      </c>
      <c r="D871" s="28" t="s">
        <v>1789</v>
      </c>
      <c r="E871" s="29" t="str">
        <f>_xlfn.XLOOKUP(Table7[[#This Row],[Malın kodu]],Table4[Malın kodu],Table4[Malın adı],"Xəta",0)</f>
        <v>Tıxac / şurup üçün</v>
      </c>
      <c r="F871" s="26">
        <v>3</v>
      </c>
      <c r="G871" s="26"/>
      <c r="H871" s="26" t="s">
        <v>899</v>
      </c>
      <c r="I871" s="26" t="s">
        <v>1918</v>
      </c>
    </row>
    <row r="872" spans="2:9" x14ac:dyDescent="0.25">
      <c r="B872" s="26">
        <f t="shared" si="13"/>
        <v>869</v>
      </c>
      <c r="C872" s="27">
        <v>46174</v>
      </c>
      <c r="D872" s="28" t="s">
        <v>1790</v>
      </c>
      <c r="E872" s="29" t="str">
        <f>_xlfn.XLOOKUP(Table7[[#This Row],[Malın kodu]],Table4[Malın kodu],Table4[Malın adı],"Xəta",0)</f>
        <v>Üçlük / metal / ştuser tipli / d10mm / hava</v>
      </c>
      <c r="F872" s="26">
        <v>3</v>
      </c>
      <c r="G872" s="26"/>
      <c r="H872" s="26" t="s">
        <v>899</v>
      </c>
      <c r="I872" s="26" t="s">
        <v>1918</v>
      </c>
    </row>
    <row r="873" spans="2:9" x14ac:dyDescent="0.25">
      <c r="B873" s="26">
        <f t="shared" si="13"/>
        <v>870</v>
      </c>
      <c r="C873" s="27">
        <v>46174</v>
      </c>
      <c r="D873" s="28" t="s">
        <v>1791</v>
      </c>
      <c r="E873" s="29" t="str">
        <f>_xlfn.XLOOKUP(Table7[[#This Row],[Malın kodu]],Table4[Malın kodu],Table4[Malın adı],"Xəta",0)</f>
        <v>Mufta / d 20 mm / polipropilen / B</v>
      </c>
      <c r="F873" s="26">
        <v>59</v>
      </c>
      <c r="G873" s="26"/>
      <c r="H873" s="26" t="s">
        <v>899</v>
      </c>
      <c r="I873" s="26" t="s">
        <v>1918</v>
      </c>
    </row>
    <row r="874" spans="2:9" x14ac:dyDescent="0.25">
      <c r="B874" s="26">
        <f t="shared" si="13"/>
        <v>871</v>
      </c>
      <c r="C874" s="27">
        <v>46174</v>
      </c>
      <c r="D874" s="28" t="s">
        <v>1792</v>
      </c>
      <c r="E874" s="29" t="str">
        <f>_xlfn.XLOOKUP(Table7[[#This Row],[Malın kodu]],Table4[Malın kodu],Table4[Malın adı],"Xəta",0)</f>
        <v>Şayba / d 22mm</v>
      </c>
      <c r="F874" s="26">
        <v>40</v>
      </c>
      <c r="G874" s="26"/>
      <c r="H874" s="26" t="s">
        <v>899</v>
      </c>
      <c r="I874" s="26" t="s">
        <v>1918</v>
      </c>
    </row>
    <row r="875" spans="2:9" x14ac:dyDescent="0.25">
      <c r="B875" s="26">
        <f t="shared" si="13"/>
        <v>872</v>
      </c>
      <c r="C875" s="27">
        <v>46174</v>
      </c>
      <c r="D875" s="28" t="s">
        <v>1793</v>
      </c>
      <c r="E875" s="29" t="str">
        <f>_xlfn.XLOOKUP(Table7[[#This Row],[Malın kodu]],Table4[Malın kodu],Table4[Malın adı],"Xəta",0)</f>
        <v>Su pompası / 0.37 kW / 5-33 L/d / H35 m / hidroforla / "SKOM"</v>
      </c>
      <c r="F875" s="26">
        <v>1</v>
      </c>
      <c r="G875" s="26"/>
      <c r="H875" s="26" t="s">
        <v>899</v>
      </c>
      <c r="I875" s="26" t="s">
        <v>1918</v>
      </c>
    </row>
    <row r="876" spans="2:9" x14ac:dyDescent="0.25">
      <c r="B876" s="26">
        <f t="shared" si="13"/>
        <v>873</v>
      </c>
      <c r="C876" s="27">
        <v>46174</v>
      </c>
      <c r="D876" s="28" t="s">
        <v>1794</v>
      </c>
      <c r="E876" s="29" t="str">
        <f>_xlfn.XLOOKUP(Table7[[#This Row],[Malın kodu]],Table4[Malın kodu],Table4[Malın adı],"Xəta",0)</f>
        <v>Dirsək / d 20 mm / polipropilen / 90°</v>
      </c>
      <c r="F876" s="26">
        <v>7</v>
      </c>
      <c r="G876" s="26"/>
      <c r="H876" s="26" t="s">
        <v>899</v>
      </c>
      <c r="I876" s="26" t="s">
        <v>1918</v>
      </c>
    </row>
    <row r="877" spans="2:9" x14ac:dyDescent="0.25">
      <c r="B877" s="26">
        <f t="shared" si="13"/>
        <v>874</v>
      </c>
      <c r="C877" s="27">
        <v>46174</v>
      </c>
      <c r="D877" s="28" t="s">
        <v>1795</v>
      </c>
      <c r="E877" s="29" t="str">
        <f>_xlfn.XLOOKUP(Table7[[#This Row],[Malın kodu]],Table4[Malın kodu],Table4[Malın adı],"Xəta",0)</f>
        <v>Keçid / d 20mm x 1/2 inch / polipropilen / iç yiv</v>
      </c>
      <c r="F877" s="26">
        <v>2</v>
      </c>
      <c r="G877" s="26"/>
      <c r="H877" s="26" t="s">
        <v>899</v>
      </c>
      <c r="I877" s="26" t="s">
        <v>1918</v>
      </c>
    </row>
    <row r="878" spans="2:9" x14ac:dyDescent="0.25">
      <c r="B878" s="26">
        <f t="shared" si="13"/>
        <v>875</v>
      </c>
      <c r="C878" s="27">
        <v>46174</v>
      </c>
      <c r="D878" s="28" t="s">
        <v>1796</v>
      </c>
      <c r="E878" s="29" t="str">
        <f>_xlfn.XLOOKUP(Table7[[#This Row],[Malın kodu]],Table4[Malın kodu],Table4[Malın adı],"Xəta",0)</f>
        <v>Keçid / d 20 mm / polipropilen / çöl yiv</v>
      </c>
      <c r="F878" s="26">
        <v>2</v>
      </c>
      <c r="G878" s="26"/>
      <c r="H878" s="26" t="s">
        <v>899</v>
      </c>
      <c r="I878" s="26" t="s">
        <v>1918</v>
      </c>
    </row>
    <row r="879" spans="2:9" x14ac:dyDescent="0.25">
      <c r="B879" s="26">
        <f t="shared" si="13"/>
        <v>876</v>
      </c>
      <c r="C879" s="27">
        <v>46174</v>
      </c>
      <c r="D879" s="28" t="s">
        <v>1797</v>
      </c>
      <c r="E879" s="29" t="str">
        <f>_xlfn.XLOOKUP(Table7[[#This Row],[Malın kodu]],Table4[Malın kodu],Table4[Malın adı],"Xəta",0)</f>
        <v>Başlıq / cilalayıcı kağız üçün / d 180 mm</v>
      </c>
      <c r="F879" s="26">
        <v>2</v>
      </c>
      <c r="G879" s="26"/>
      <c r="H879" s="26" t="s">
        <v>899</v>
      </c>
      <c r="I879" s="26" t="s">
        <v>1918</v>
      </c>
    </row>
    <row r="880" spans="2:9" x14ac:dyDescent="0.25">
      <c r="B880" s="26">
        <f t="shared" si="13"/>
        <v>877</v>
      </c>
      <c r="C880" s="27">
        <v>46174</v>
      </c>
      <c r="D880" s="28" t="s">
        <v>1798</v>
      </c>
      <c r="E880" s="29" t="str">
        <f>_xlfn.XLOOKUP(Table7[[#This Row],[Malın kodu]],Table4[Malın kodu],Table4[Malın adı],"Xəta",0)</f>
        <v>Pər / mühərrikli / havalandırma sistemi üçün</v>
      </c>
      <c r="F880" s="26">
        <v>1</v>
      </c>
      <c r="G880" s="26"/>
      <c r="H880" s="26" t="s">
        <v>899</v>
      </c>
      <c r="I880" s="26" t="s">
        <v>1918</v>
      </c>
    </row>
    <row r="881" spans="2:9" x14ac:dyDescent="0.25">
      <c r="B881" s="26">
        <f t="shared" si="13"/>
        <v>878</v>
      </c>
      <c r="C881" s="27">
        <v>46174</v>
      </c>
      <c r="D881" s="28" t="s">
        <v>1799</v>
      </c>
      <c r="E881" s="29" t="str">
        <f>_xlfn.XLOOKUP(Table7[[#This Row],[Malın kodu]],Table4[Malın kodu],Table4[Malın adı],"Xəta",0)</f>
        <v>Pnevmatik çəkic</v>
      </c>
      <c r="F881" s="26">
        <v>1</v>
      </c>
      <c r="G881" s="26"/>
      <c r="H881" s="26" t="s">
        <v>899</v>
      </c>
      <c r="I881" s="26" t="s">
        <v>1918</v>
      </c>
    </row>
    <row r="882" spans="2:9" x14ac:dyDescent="0.25">
      <c r="B882" s="26">
        <f t="shared" si="13"/>
        <v>879</v>
      </c>
      <c r="C882" s="27">
        <v>46174</v>
      </c>
      <c r="D882" s="28" t="s">
        <v>1800</v>
      </c>
      <c r="E882" s="29" t="str">
        <f>_xlfn.XLOOKUP(Table7[[#This Row],[Malın kodu]],Table4[Malın kodu],Table4[Malın adı],"Xəta",0)</f>
        <v>Xomut / PVC / d 75 mm</v>
      </c>
      <c r="F882" s="26">
        <v>5</v>
      </c>
      <c r="G882" s="26"/>
      <c r="H882" s="26" t="s">
        <v>899</v>
      </c>
      <c r="I882" s="26" t="s">
        <v>1918</v>
      </c>
    </row>
    <row r="883" spans="2:9" x14ac:dyDescent="0.25">
      <c r="B883" s="26">
        <f t="shared" si="13"/>
        <v>880</v>
      </c>
      <c r="C883" s="27">
        <v>46174</v>
      </c>
      <c r="D883" s="28" t="s">
        <v>1801</v>
      </c>
      <c r="E883" s="29" t="str">
        <f>_xlfn.XLOOKUP(Table7[[#This Row],[Malın kodu]],Table4[Malın kodu],Table4[Malın adı],"Xəta",0)</f>
        <v>Xomut / PVC / d 100 mm</v>
      </c>
      <c r="F883" s="26">
        <v>10</v>
      </c>
      <c r="G883" s="26"/>
      <c r="H883" s="26" t="s">
        <v>899</v>
      </c>
      <c r="I883" s="26" t="s">
        <v>1918</v>
      </c>
    </row>
    <row r="884" spans="2:9" x14ac:dyDescent="0.25">
      <c r="B884" s="26">
        <f t="shared" si="13"/>
        <v>881</v>
      </c>
      <c r="C884" s="27">
        <v>46174</v>
      </c>
      <c r="D884" s="28" t="s">
        <v>1802</v>
      </c>
      <c r="E884" s="29" t="str">
        <f>_xlfn.XLOOKUP(Table7[[#This Row],[Malın kodu]],Table4[Malın kodu],Table4[Malın adı],"Xəta",0)</f>
        <v>Keçid / elektrik kabel üçün / PG29 / IP68</v>
      </c>
      <c r="F884" s="26">
        <v>3</v>
      </c>
      <c r="G884" s="26"/>
      <c r="H884" s="26" t="s">
        <v>899</v>
      </c>
      <c r="I884" s="26" t="s">
        <v>1918</v>
      </c>
    </row>
    <row r="885" spans="2:9" x14ac:dyDescent="0.25">
      <c r="B885" s="26">
        <f t="shared" si="13"/>
        <v>882</v>
      </c>
      <c r="C885" s="27">
        <v>46174</v>
      </c>
      <c r="D885" s="28" t="s">
        <v>1803</v>
      </c>
      <c r="E885" s="29" t="str">
        <f>_xlfn.XLOOKUP(Table7[[#This Row],[Malın kodu]],Table4[Malın kodu],Table4[Malın adı],"Xəta",0)</f>
        <v>Odla kəsici / qaz</v>
      </c>
      <c r="F885" s="26">
        <v>1</v>
      </c>
      <c r="G885" s="26"/>
      <c r="H885" s="26" t="s">
        <v>899</v>
      </c>
      <c r="I885" s="26" t="s">
        <v>1918</v>
      </c>
    </row>
    <row r="886" spans="2:9" x14ac:dyDescent="0.25">
      <c r="B886" s="26">
        <f t="shared" si="13"/>
        <v>883</v>
      </c>
      <c r="C886" s="27">
        <v>46174</v>
      </c>
      <c r="D886" s="28" t="s">
        <v>1804</v>
      </c>
      <c r="E886" s="29" t="str">
        <f>_xlfn.XLOOKUP(Table7[[#This Row],[Malın kodu]],Table4[Malın kodu],Table4[Malın adı],"Xəta",0)</f>
        <v>Dişli qayış / 9.5x1275 La (RPF) / “Bando”</v>
      </c>
      <c r="F886" s="26">
        <v>1</v>
      </c>
      <c r="G886" s="26"/>
      <c r="H886" s="26" t="s">
        <v>899</v>
      </c>
      <c r="I886" s="26" t="s">
        <v>1918</v>
      </c>
    </row>
    <row r="887" spans="2:9" x14ac:dyDescent="0.25">
      <c r="B887" s="26">
        <f t="shared" si="13"/>
        <v>884</v>
      </c>
      <c r="C887" s="27">
        <v>46174</v>
      </c>
      <c r="D887" s="28" t="s">
        <v>1805</v>
      </c>
      <c r="E887" s="29" t="str">
        <f>_xlfn.XLOOKUP(Table7[[#This Row],[Malın kodu]],Table4[Malın kodu],Table4[Malın adı],"Xəta",0)</f>
        <v>Dişli qayış / 9.5x1150 La (RPF) / “Bando”</v>
      </c>
      <c r="F887" s="26">
        <v>1</v>
      </c>
      <c r="G887" s="26"/>
      <c r="H887" s="26" t="s">
        <v>899</v>
      </c>
      <c r="I887" s="26" t="s">
        <v>1918</v>
      </c>
    </row>
    <row r="888" spans="2:9" x14ac:dyDescent="0.25">
      <c r="B888" s="26">
        <f t="shared" si="13"/>
        <v>885</v>
      </c>
      <c r="C888" s="27">
        <v>46174</v>
      </c>
      <c r="D888" s="28" t="s">
        <v>1806</v>
      </c>
      <c r="E888" s="29" t="str">
        <f>_xlfn.XLOOKUP(Table7[[#This Row],[Malın kodu]],Table4[Malın kodu],Table4[Malın adı],"Xəta",0)</f>
        <v>Xomut / metal / d 216 x 226 mm</v>
      </c>
      <c r="F888" s="26">
        <v>4</v>
      </c>
      <c r="G888" s="26"/>
      <c r="H888" s="26" t="s">
        <v>899</v>
      </c>
      <c r="I888" s="26" t="s">
        <v>1918</v>
      </c>
    </row>
    <row r="889" spans="2:9" x14ac:dyDescent="0.25">
      <c r="B889" s="26">
        <f t="shared" si="13"/>
        <v>886</v>
      </c>
      <c r="C889" s="27">
        <v>46174</v>
      </c>
      <c r="D889" s="28" t="s">
        <v>1807</v>
      </c>
      <c r="E889" s="29" t="str">
        <f>_xlfn.XLOOKUP(Table7[[#This Row],[Malın kodu]],Table4[Malın kodu],Table4[Malın adı],"Xəta",0)</f>
        <v>Siren / sənaye / 115 desibel / "Selay" Türkiyə istehsalı</v>
      </c>
      <c r="F889" s="26">
        <v>1</v>
      </c>
      <c r="G889" s="26"/>
      <c r="H889" s="26" t="s">
        <v>899</v>
      </c>
      <c r="I889" s="26" t="s">
        <v>1918</v>
      </c>
    </row>
    <row r="890" spans="2:9" x14ac:dyDescent="0.25">
      <c r="B890" s="26">
        <f t="shared" si="13"/>
        <v>887</v>
      </c>
      <c r="C890" s="27">
        <v>46174</v>
      </c>
      <c r="D890" s="28" t="s">
        <v>1808</v>
      </c>
      <c r="E890" s="29" t="str">
        <f>_xlfn.XLOOKUP(Table7[[#This Row],[Malın kodu]],Table4[Malın kodu],Table4[Malın adı],"Xəta",0)</f>
        <v>Filtr / hava / ДФВ 5806 / Rusiya istehsalı</v>
      </c>
      <c r="F890" s="26">
        <v>1</v>
      </c>
      <c r="G890" s="26"/>
      <c r="H890" s="26" t="s">
        <v>899</v>
      </c>
      <c r="I890" s="26" t="s">
        <v>1918</v>
      </c>
    </row>
    <row r="891" spans="2:9" x14ac:dyDescent="0.25">
      <c r="B891" s="26">
        <f t="shared" si="13"/>
        <v>888</v>
      </c>
      <c r="C891" s="27">
        <v>46174</v>
      </c>
      <c r="D891" s="28" t="s">
        <v>1809</v>
      </c>
      <c r="E891" s="29" t="str">
        <f>_xlfn.XLOOKUP(Table7[[#This Row],[Malın kodu]],Table4[Malın kodu],Table4[Malın adı],"Xəta",0)</f>
        <v>Su pompası / 2200 Vt / 1300 L/d / H 18.5 m / “Shimge”</v>
      </c>
      <c r="F891" s="26">
        <v>1</v>
      </c>
      <c r="G891" s="26"/>
      <c r="H891" s="26" t="s">
        <v>899</v>
      </c>
      <c r="I891" s="26" t="s">
        <v>1918</v>
      </c>
    </row>
    <row r="892" spans="2:9" x14ac:dyDescent="0.25">
      <c r="B892" s="26">
        <f t="shared" si="13"/>
        <v>889</v>
      </c>
      <c r="C892" s="27">
        <v>46174</v>
      </c>
      <c r="D892" s="28" t="s">
        <v>1810</v>
      </c>
      <c r="E892" s="29" t="str">
        <f>_xlfn.XLOOKUP(Table7[[#This Row],[Malın kodu]],Table4[Malın kodu],Table4[Malın adı],"Xəta",0)</f>
        <v>Su pompası / 5.5 kVt / 1400 L/d / “Grandfar”</v>
      </c>
      <c r="F892" s="26">
        <v>1</v>
      </c>
      <c r="G892" s="26"/>
      <c r="H892" s="26" t="s">
        <v>899</v>
      </c>
      <c r="I892" s="26" t="s">
        <v>1918</v>
      </c>
    </row>
    <row r="893" spans="2:9" x14ac:dyDescent="0.25">
      <c r="B893" s="26">
        <f t="shared" si="13"/>
        <v>890</v>
      </c>
      <c r="C893" s="27">
        <v>46174</v>
      </c>
      <c r="D893" s="28" t="s">
        <v>1811</v>
      </c>
      <c r="E893" s="29" t="str">
        <f>_xlfn.XLOOKUP(Table7[[#This Row],[Malın kodu]],Table4[Malın kodu],Table4[Malın adı],"Xəta",0)</f>
        <v>Dişli çarx / d 800 mm / flyanslı</v>
      </c>
      <c r="F893" s="26">
        <v>1</v>
      </c>
      <c r="G893" s="26"/>
      <c r="H893" s="26" t="s">
        <v>899</v>
      </c>
      <c r="I893" s="26" t="s">
        <v>1918</v>
      </c>
    </row>
    <row r="894" spans="2:9" x14ac:dyDescent="0.25">
      <c r="B894" s="26">
        <f t="shared" si="13"/>
        <v>891</v>
      </c>
      <c r="C894" s="27">
        <v>46174</v>
      </c>
      <c r="D894" s="28" t="s">
        <v>1812</v>
      </c>
      <c r="E894" s="29" t="str">
        <f>_xlfn.XLOOKUP(Table7[[#This Row],[Malın kodu]],Table4[Malın kodu],Table4[Malın adı],"Xəta",0)</f>
        <v>Kabel / başlıqlı</v>
      </c>
      <c r="F894" s="26">
        <v>5</v>
      </c>
      <c r="G894" s="26"/>
      <c r="H894" s="26" t="s">
        <v>899</v>
      </c>
      <c r="I894" s="26" t="s">
        <v>1918</v>
      </c>
    </row>
    <row r="895" spans="2:9" x14ac:dyDescent="0.25">
      <c r="B895" s="26">
        <f t="shared" si="13"/>
        <v>892</v>
      </c>
      <c r="C895" s="27">
        <v>46174</v>
      </c>
      <c r="D895" s="28" t="s">
        <v>1813</v>
      </c>
      <c r="E895" s="29" t="str">
        <f>_xlfn.XLOOKUP(Table7[[#This Row],[Malın kodu]],Table4[Malın kodu],Table4[Malın adı],"Xəta",0)</f>
        <v>Xomut / metal / d 158 x 170 mm / boru üçün</v>
      </c>
      <c r="F895" s="26">
        <v>9</v>
      </c>
      <c r="G895" s="26"/>
      <c r="H895" s="26" t="s">
        <v>899</v>
      </c>
      <c r="I895" s="26" t="s">
        <v>1918</v>
      </c>
    </row>
    <row r="896" spans="2:9" x14ac:dyDescent="0.25">
      <c r="B896" s="26">
        <f t="shared" si="13"/>
        <v>893</v>
      </c>
      <c r="C896" s="27">
        <v>46174</v>
      </c>
      <c r="D896" s="28" t="s">
        <v>1814</v>
      </c>
      <c r="E896" s="29" t="str">
        <f>_xlfn.XLOOKUP(Table7[[#This Row],[Malın kodu]],Table4[Malın kodu],Table4[Malın adı],"Xəta",0)</f>
        <v>Xomut / metal / d 109 x 119 mm / boru üçün</v>
      </c>
      <c r="F896" s="26">
        <v>6</v>
      </c>
      <c r="G896" s="26"/>
      <c r="H896" s="26" t="s">
        <v>899</v>
      </c>
      <c r="I896" s="26" t="s">
        <v>1918</v>
      </c>
    </row>
    <row r="897" spans="2:9" x14ac:dyDescent="0.25">
      <c r="B897" s="26">
        <f t="shared" si="13"/>
        <v>894</v>
      </c>
      <c r="C897" s="27">
        <v>46174</v>
      </c>
      <c r="D897" s="28" t="s">
        <v>1815</v>
      </c>
      <c r="E897" s="29" t="str">
        <f>_xlfn.XLOOKUP(Table7[[#This Row],[Malın kodu]],Table4[Malın kodu],Table4[Malın adı],"Xəta",0)</f>
        <v>Xomut / metal / d 60 x 66 mm / boru üçün</v>
      </c>
      <c r="F897" s="26">
        <v>6</v>
      </c>
      <c r="G897" s="26"/>
      <c r="H897" s="26" t="s">
        <v>899</v>
      </c>
      <c r="I897" s="26" t="s">
        <v>1918</v>
      </c>
    </row>
    <row r="898" spans="2:9" x14ac:dyDescent="0.25">
      <c r="B898" s="26">
        <f t="shared" si="13"/>
        <v>895</v>
      </c>
      <c r="C898" s="27">
        <v>46174</v>
      </c>
      <c r="D898" s="28" t="s">
        <v>1816</v>
      </c>
      <c r="E898" s="29" t="str">
        <f>_xlfn.XLOOKUP(Table7[[#This Row],[Malın kodu]],Table4[Malın kodu],Table4[Malın adı],"Xəta",0)</f>
        <v>Sırğa / 17 tonn</v>
      </c>
      <c r="F898" s="26">
        <v>1</v>
      </c>
      <c r="G898" s="26"/>
      <c r="H898" s="26" t="s">
        <v>899</v>
      </c>
      <c r="I898" s="26" t="s">
        <v>1918</v>
      </c>
    </row>
    <row r="899" spans="2:9" x14ac:dyDescent="0.25">
      <c r="B899" s="26">
        <f t="shared" si="13"/>
        <v>896</v>
      </c>
      <c r="C899" s="27">
        <v>46174</v>
      </c>
      <c r="D899" s="28" t="s">
        <v>1817</v>
      </c>
      <c r="E899" s="29" t="str">
        <f>_xlfn.XLOOKUP(Table7[[#This Row],[Malın kodu]],Table4[Malın kodu],Table4[Malın adı],"Xəta",0)</f>
        <v>Su pompası / MMF15AM</v>
      </c>
      <c r="F899" s="26">
        <v>1</v>
      </c>
      <c r="G899" s="26"/>
      <c r="H899" s="26" t="s">
        <v>899</v>
      </c>
      <c r="I899" s="26" t="s">
        <v>1918</v>
      </c>
    </row>
    <row r="900" spans="2:9" x14ac:dyDescent="0.25">
      <c r="B900" s="26">
        <f t="shared" ref="B900:B963" si="14">ROW()-3</f>
        <v>897</v>
      </c>
      <c r="C900" s="27">
        <v>46174</v>
      </c>
      <c r="D900" s="28" t="s">
        <v>1818</v>
      </c>
      <c r="E900" s="29" t="str">
        <f>_xlfn.XLOOKUP(Table7[[#This Row],[Malın kodu]],Table4[Malın kodu],Table4[Malın adı],"Xəta",0)</f>
        <v>Kabel / 24 x 1.5</v>
      </c>
      <c r="F900" s="26">
        <v>28</v>
      </c>
      <c r="G900" s="26"/>
      <c r="H900" s="26" t="s">
        <v>899</v>
      </c>
      <c r="I900" s="26" t="s">
        <v>1918</v>
      </c>
    </row>
    <row r="901" spans="2:9" x14ac:dyDescent="0.25">
      <c r="B901" s="26">
        <f t="shared" si="14"/>
        <v>898</v>
      </c>
      <c r="C901" s="27">
        <v>46174</v>
      </c>
      <c r="D901" s="28" t="s">
        <v>1819</v>
      </c>
      <c r="E901" s="29" t="str">
        <f>_xlfn.XLOOKUP(Table7[[#This Row],[Malın kodu]],Table4[Malın kodu],Table4[Malın adı],"Xəta",0)</f>
        <v>Disk / kəsici / almaz / d 350 mm</v>
      </c>
      <c r="F901" s="26">
        <v>2</v>
      </c>
      <c r="G901" s="26"/>
      <c r="H901" s="26" t="s">
        <v>899</v>
      </c>
      <c r="I901" s="26" t="s">
        <v>1918</v>
      </c>
    </row>
    <row r="902" spans="2:9" x14ac:dyDescent="0.25">
      <c r="B902" s="26">
        <f t="shared" si="14"/>
        <v>899</v>
      </c>
      <c r="C902" s="27">
        <v>46174</v>
      </c>
      <c r="D902" s="28" t="s">
        <v>1820</v>
      </c>
      <c r="E902" s="29" t="str">
        <f>_xlfn.XLOOKUP(Table7[[#This Row],[Malın kodu]],Table4[Malın kodu],Table4[Malın adı],"Xəta",0)</f>
        <v>Elektrik lövhəsi / 600 x 795 mm / avtomat və kontaktor ilə</v>
      </c>
      <c r="F902" s="26">
        <v>1</v>
      </c>
      <c r="G902" s="26"/>
      <c r="H902" s="26" t="s">
        <v>899</v>
      </c>
      <c r="I902" s="26" t="s">
        <v>1918</v>
      </c>
    </row>
    <row r="903" spans="2:9" x14ac:dyDescent="0.25">
      <c r="B903" s="26">
        <f t="shared" si="14"/>
        <v>900</v>
      </c>
      <c r="C903" s="27">
        <v>46174</v>
      </c>
      <c r="D903" s="28" t="s">
        <v>1821</v>
      </c>
      <c r="E903" s="29" t="str">
        <f>_xlfn.XLOOKUP(Table7[[#This Row],[Malın kodu]],Table4[Malın kodu],Table4[Malın adı],"Xəta",0)</f>
        <v>Xəta</v>
      </c>
      <c r="F903" s="26"/>
      <c r="G903" s="26"/>
      <c r="H903" s="26" t="s">
        <v>899</v>
      </c>
      <c r="I903" s="26" t="s">
        <v>1918</v>
      </c>
    </row>
    <row r="904" spans="2:9" x14ac:dyDescent="0.25">
      <c r="B904" s="26">
        <f t="shared" si="14"/>
        <v>901</v>
      </c>
      <c r="C904" s="27">
        <v>46174</v>
      </c>
      <c r="D904" s="28" t="s">
        <v>1822</v>
      </c>
      <c r="E904" s="29" t="str">
        <f>_xlfn.XLOOKUP(Table7[[#This Row],[Malın kodu]],Table4[Malın kodu],Table4[Malın adı],"Xəta",0)</f>
        <v>Masa / 695x119mm / ağ</v>
      </c>
      <c r="F904" s="26">
        <v>16</v>
      </c>
      <c r="G904" s="26"/>
      <c r="H904" s="26" t="s">
        <v>899</v>
      </c>
      <c r="I904" s="26" t="s">
        <v>1918</v>
      </c>
    </row>
    <row r="905" spans="2:9" x14ac:dyDescent="0.25">
      <c r="B905" s="26">
        <f t="shared" si="14"/>
        <v>902</v>
      </c>
      <c r="C905" s="27">
        <v>46174</v>
      </c>
      <c r="D905" s="28" t="s">
        <v>1823</v>
      </c>
      <c r="E905" s="29" t="str">
        <f>_xlfn.XLOOKUP(Table7[[#This Row],[Malın kodu]],Table4[Malın kodu],Table4[Malın adı],"Xəta",0)</f>
        <v>Oturacaq / ağ</v>
      </c>
      <c r="F905" s="26">
        <v>63</v>
      </c>
      <c r="G905" s="26"/>
      <c r="H905" s="26" t="s">
        <v>899</v>
      </c>
      <c r="I905" s="26" t="s">
        <v>1918</v>
      </c>
    </row>
    <row r="906" spans="2:9" x14ac:dyDescent="0.25">
      <c r="B906" s="26">
        <f t="shared" si="14"/>
        <v>903</v>
      </c>
      <c r="C906" s="27">
        <v>46174</v>
      </c>
      <c r="D906" s="28" t="s">
        <v>1824</v>
      </c>
      <c r="E906" s="29" t="str">
        <f>_xlfn.XLOOKUP(Table7[[#This Row],[Malın kodu]],Table4[Malın kodu],Table4[Malın adı],"Xəta",0)</f>
        <v>Mətbəx çanağı (moyka) / paslanmayan metl / ikili</v>
      </c>
      <c r="F906" s="26">
        <v>2</v>
      </c>
      <c r="G906" s="26"/>
      <c r="H906" s="26" t="s">
        <v>899</v>
      </c>
      <c r="I906" s="26" t="s">
        <v>1918</v>
      </c>
    </row>
    <row r="907" spans="2:9" x14ac:dyDescent="0.25">
      <c r="B907" s="26">
        <f t="shared" si="14"/>
        <v>904</v>
      </c>
      <c r="C907" s="27">
        <v>46174</v>
      </c>
      <c r="D907" s="28" t="s">
        <v>1825</v>
      </c>
      <c r="E907" s="29" t="str">
        <f>_xlfn.XLOOKUP(Table7[[#This Row],[Malın kodu]],Table4[Malın kodu],Table4[Malın adı],"Xəta",0)</f>
        <v>Ləğən (taz) / alüminium / 620mm / mətbəx üçün</v>
      </c>
      <c r="F907" s="26">
        <v>2</v>
      </c>
      <c r="G907" s="26"/>
      <c r="H907" s="26" t="s">
        <v>899</v>
      </c>
      <c r="I907" s="26" t="s">
        <v>1918</v>
      </c>
    </row>
    <row r="908" spans="2:9" x14ac:dyDescent="0.25">
      <c r="B908" s="26">
        <f t="shared" si="14"/>
        <v>905</v>
      </c>
      <c r="C908" s="27">
        <v>46174</v>
      </c>
      <c r="D908" s="28" t="s">
        <v>1826</v>
      </c>
      <c r="E908" s="29" t="str">
        <f>_xlfn.XLOOKUP(Table7[[#This Row],[Malın kodu]],Table4[Malın kodu],Table4[Malın adı],"Xəta",0)</f>
        <v>Ətçəkən / elektrik</v>
      </c>
      <c r="F908" s="26">
        <v>2</v>
      </c>
      <c r="G908" s="26"/>
      <c r="H908" s="26" t="s">
        <v>899</v>
      </c>
      <c r="I908" s="26" t="s">
        <v>1918</v>
      </c>
    </row>
    <row r="909" spans="2:9" x14ac:dyDescent="0.25">
      <c r="B909" s="26">
        <f t="shared" si="14"/>
        <v>906</v>
      </c>
      <c r="C909" s="27">
        <v>46174</v>
      </c>
      <c r="D909" s="28" t="s">
        <v>1827</v>
      </c>
      <c r="E909" s="29" t="str">
        <f>_xlfn.XLOOKUP(Table7[[#This Row],[Malın kodu]],Table4[Malın kodu],Table4[Malın adı],"Xəta",0)</f>
        <v>Ventilyator / dayaqlı</v>
      </c>
      <c r="F909" s="26">
        <v>1</v>
      </c>
      <c r="G909" s="26"/>
      <c r="H909" s="26" t="s">
        <v>899</v>
      </c>
      <c r="I909" s="26" t="s">
        <v>1918</v>
      </c>
    </row>
    <row r="910" spans="2:9" x14ac:dyDescent="0.25">
      <c r="B910" s="26">
        <f t="shared" si="14"/>
        <v>907</v>
      </c>
      <c r="C910" s="27">
        <v>46174</v>
      </c>
      <c r="D910" s="28" t="s">
        <v>1828</v>
      </c>
      <c r="E910" s="29" t="str">
        <f>_xlfn.XLOOKUP(Table7[[#This Row],[Malın kodu]],Table4[Malın kodu],Table4[Malın adı],"Xəta",0)</f>
        <v>Qazan / alüminium / 495mm</v>
      </c>
      <c r="F910" s="26">
        <v>2</v>
      </c>
      <c r="G910" s="26"/>
      <c r="H910" s="26" t="s">
        <v>899</v>
      </c>
      <c r="I910" s="26" t="s">
        <v>1918</v>
      </c>
    </row>
    <row r="911" spans="2:9" x14ac:dyDescent="0.25">
      <c r="B911" s="26">
        <f t="shared" si="14"/>
        <v>908</v>
      </c>
      <c r="C911" s="27">
        <v>46174</v>
      </c>
      <c r="D911" s="28" t="s">
        <v>1829</v>
      </c>
      <c r="E911" s="29" t="str">
        <f>_xlfn.XLOOKUP(Table7[[#This Row],[Malın kodu]],Table4[Malın kodu],Table4[Malın adı],"Xəta",0)</f>
        <v>Tava / 410mm / mətbəx üçün</v>
      </c>
      <c r="F911" s="26">
        <v>1</v>
      </c>
      <c r="G911" s="26"/>
      <c r="H911" s="26" t="s">
        <v>899</v>
      </c>
      <c r="I911" s="26" t="s">
        <v>1918</v>
      </c>
    </row>
    <row r="912" spans="2:9" x14ac:dyDescent="0.25">
      <c r="B912" s="26">
        <f t="shared" si="14"/>
        <v>909</v>
      </c>
      <c r="C912" s="27">
        <v>46174</v>
      </c>
      <c r="D912" s="28" t="s">
        <v>1830</v>
      </c>
      <c r="E912" s="29" t="str">
        <f>_xlfn.XLOOKUP(Table7[[#This Row],[Malın kodu]],Table4[Malın kodu],Table4[Malın adı],"Xəta",0)</f>
        <v>Qazan / alüminium / 730mm</v>
      </c>
      <c r="F912" s="26">
        <v>1</v>
      </c>
      <c r="G912" s="26"/>
      <c r="H912" s="26" t="s">
        <v>899</v>
      </c>
      <c r="I912" s="26" t="s">
        <v>1918</v>
      </c>
    </row>
    <row r="913" spans="2:9" x14ac:dyDescent="0.25">
      <c r="B913" s="26">
        <f t="shared" si="14"/>
        <v>910</v>
      </c>
      <c r="C913" s="27">
        <v>46174</v>
      </c>
      <c r="D913" s="28" t="s">
        <v>1831</v>
      </c>
      <c r="E913" s="29" t="str">
        <f>_xlfn.XLOOKUP(Table7[[#This Row],[Malın kodu]],Table4[Malın kodu],Table4[Malın adı],"Xəta",0)</f>
        <v>Ləğən (taz) / emallı / mətbəx üçün</v>
      </c>
      <c r="F913" s="26">
        <v>1</v>
      </c>
      <c r="G913" s="26"/>
      <c r="H913" s="26" t="s">
        <v>899</v>
      </c>
      <c r="I913" s="26" t="s">
        <v>1918</v>
      </c>
    </row>
    <row r="914" spans="2:9" x14ac:dyDescent="0.25">
      <c r="B914" s="26">
        <f t="shared" si="14"/>
        <v>911</v>
      </c>
      <c r="C914" s="27">
        <v>46174</v>
      </c>
      <c r="D914" s="28" t="s">
        <v>1832</v>
      </c>
      <c r="E914" s="29" t="str">
        <f>_xlfn.XLOOKUP(Table7[[#This Row],[Malın kodu]],Table4[Malın kodu],Table4[Malın adı],"Xəta",0)</f>
        <v>Samovar / elektrik / mətbəx üçün</v>
      </c>
      <c r="F914" s="26">
        <v>1</v>
      </c>
      <c r="G914" s="26"/>
      <c r="H914" s="26" t="s">
        <v>899</v>
      </c>
      <c r="I914" s="26" t="s">
        <v>1918</v>
      </c>
    </row>
    <row r="915" spans="2:9" x14ac:dyDescent="0.25">
      <c r="B915" s="26">
        <f t="shared" si="14"/>
        <v>912</v>
      </c>
      <c r="C915" s="27">
        <v>46174</v>
      </c>
      <c r="D915" s="28" t="s">
        <v>1833</v>
      </c>
      <c r="E915" s="29" t="str">
        <f>_xlfn.XLOOKUP(Table7[[#This Row],[Malın kodu]],Table4[Malın kodu],Table4[Malın adı],"Xəta",0)</f>
        <v>Soba / mikrodalğalı / "Quicks"</v>
      </c>
      <c r="F915" s="26">
        <v>1</v>
      </c>
      <c r="G915" s="26"/>
      <c r="H915" s="26" t="s">
        <v>899</v>
      </c>
      <c r="I915" s="26" t="s">
        <v>1918</v>
      </c>
    </row>
    <row r="916" spans="2:9" x14ac:dyDescent="0.25">
      <c r="B916" s="26">
        <f t="shared" si="14"/>
        <v>913</v>
      </c>
      <c r="C916" s="27">
        <v>46174</v>
      </c>
      <c r="D916" s="28" t="s">
        <v>1834</v>
      </c>
      <c r="E916" s="29" t="str">
        <f>_xlfn.XLOOKUP(Table7[[#This Row],[Malın kodu]],Table4[Malın kodu],Table4[Malın adı],"Xəta",0)</f>
        <v>Aspitaror / mətbəx üçün</v>
      </c>
      <c r="F916" s="26">
        <v>1</v>
      </c>
      <c r="G916" s="26"/>
      <c r="H916" s="26" t="s">
        <v>899</v>
      </c>
      <c r="I916" s="26" t="s">
        <v>1918</v>
      </c>
    </row>
    <row r="917" spans="2:9" x14ac:dyDescent="0.25">
      <c r="B917" s="26">
        <f t="shared" si="14"/>
        <v>914</v>
      </c>
      <c r="C917" s="27">
        <v>46174</v>
      </c>
      <c r="D917" s="28" t="s">
        <v>1835</v>
      </c>
      <c r="E917" s="29" t="str">
        <f>_xlfn.XLOOKUP(Table7[[#This Row],[Malın kodu]],Table4[Malın kodu],Table4[Malın adı],"Xəta",0)</f>
        <v>Qaz plitəsi / masaüstü / 1 gözlü</v>
      </c>
      <c r="F917" s="26">
        <v>1</v>
      </c>
      <c r="G917" s="26"/>
      <c r="H917" s="26" t="s">
        <v>899</v>
      </c>
      <c r="I917" s="26" t="s">
        <v>1918</v>
      </c>
    </row>
    <row r="918" spans="2:9" x14ac:dyDescent="0.25">
      <c r="B918" s="26">
        <f t="shared" si="14"/>
        <v>915</v>
      </c>
      <c r="C918" s="27">
        <v>46174</v>
      </c>
      <c r="D918" s="28" t="s">
        <v>1836</v>
      </c>
      <c r="E918" s="29" t="str">
        <f>_xlfn.XLOOKUP(Table7[[#This Row],[Malın kodu]],Table4[Malın kodu],Table4[Malın adı],"Xəta",0)</f>
        <v>Qaz plitəsi / masaüstü / 2 gözlü</v>
      </c>
      <c r="F918" s="26">
        <v>1</v>
      </c>
      <c r="G918" s="26"/>
      <c r="H918" s="26" t="s">
        <v>899</v>
      </c>
      <c r="I918" s="26" t="s">
        <v>1918</v>
      </c>
    </row>
    <row r="919" spans="2:9" x14ac:dyDescent="0.25">
      <c r="B919" s="26">
        <f t="shared" si="14"/>
        <v>916</v>
      </c>
      <c r="C919" s="27">
        <v>46174</v>
      </c>
      <c r="D919" s="28" t="s">
        <v>1837</v>
      </c>
      <c r="E919" s="29" t="str">
        <f>_xlfn.XLOOKUP(Table7[[#This Row],[Malın kodu]],Table4[Malın kodu],Table4[Malın adı],"Xəta",0)</f>
        <v>Qaz plitəsi / masaüstü / 4 gözlü</v>
      </c>
      <c r="F919" s="26">
        <v>1</v>
      </c>
      <c r="G919" s="26"/>
      <c r="H919" s="26" t="s">
        <v>899</v>
      </c>
      <c r="I919" s="26" t="s">
        <v>1918</v>
      </c>
    </row>
    <row r="920" spans="2:9" x14ac:dyDescent="0.25">
      <c r="B920" s="26">
        <f t="shared" si="14"/>
        <v>917</v>
      </c>
      <c r="C920" s="27">
        <v>46174</v>
      </c>
      <c r="D920" s="28" t="s">
        <v>1838</v>
      </c>
      <c r="E920" s="29" t="str">
        <f>_xlfn.XLOOKUP(Table7[[#This Row],[Malın kodu]],Table4[Malın kodu],Table4[Malın adı],"Xəta",0)</f>
        <v>Aşsüzən / 450mm / metal</v>
      </c>
      <c r="F920" s="26">
        <v>1</v>
      </c>
      <c r="G920" s="26"/>
      <c r="H920" s="26" t="s">
        <v>899</v>
      </c>
      <c r="I920" s="26" t="s">
        <v>1918</v>
      </c>
    </row>
    <row r="921" spans="2:9" x14ac:dyDescent="0.25">
      <c r="B921" s="26">
        <f t="shared" si="14"/>
        <v>918</v>
      </c>
      <c r="C921" s="27">
        <v>46174</v>
      </c>
      <c r="D921" s="28" t="s">
        <v>1839</v>
      </c>
      <c r="E921" s="29" t="str">
        <f>_xlfn.XLOOKUP(Table7[[#This Row],[Malın kodu]],Table4[Malın kodu],Table4[Malın adı],"Xəta",0)</f>
        <v>Qazan / alüminium / 400mm</v>
      </c>
      <c r="F921" s="26">
        <v>1</v>
      </c>
      <c r="G921" s="26"/>
      <c r="H921" s="26" t="s">
        <v>899</v>
      </c>
      <c r="I921" s="26" t="s">
        <v>1918</v>
      </c>
    </row>
    <row r="922" spans="2:9" x14ac:dyDescent="0.25">
      <c r="B922" s="26">
        <f t="shared" si="14"/>
        <v>919</v>
      </c>
      <c r="C922" s="27">
        <v>46174</v>
      </c>
      <c r="D922" s="28" t="s">
        <v>1840</v>
      </c>
      <c r="E922" s="29" t="str">
        <f>_xlfn.XLOOKUP(Table7[[#This Row],[Malın kodu]],Table4[Malın kodu],Table4[Malın adı],"Xəta",0)</f>
        <v>Qazan / alüminium / 440mm</v>
      </c>
      <c r="F922" s="26">
        <v>1</v>
      </c>
      <c r="G922" s="26"/>
      <c r="H922" s="26" t="s">
        <v>899</v>
      </c>
      <c r="I922" s="26" t="s">
        <v>1918</v>
      </c>
    </row>
    <row r="923" spans="2:9" x14ac:dyDescent="0.25">
      <c r="B923" s="26">
        <f t="shared" si="14"/>
        <v>920</v>
      </c>
      <c r="C923" s="27">
        <v>46174</v>
      </c>
      <c r="D923" s="28" t="s">
        <v>1841</v>
      </c>
      <c r="E923" s="29" t="str">
        <f>_xlfn.XLOOKUP(Table7[[#This Row],[Malın kodu]],Table4[Malın kodu],Table4[Malın adı],"Xəta",0)</f>
        <v>Çaydan / alüminium / 4-5 litr</v>
      </c>
      <c r="F923" s="26">
        <v>2</v>
      </c>
      <c r="G923" s="26"/>
      <c r="H923" s="26" t="s">
        <v>899</v>
      </c>
      <c r="I923" s="26" t="s">
        <v>1918</v>
      </c>
    </row>
    <row r="924" spans="2:9" x14ac:dyDescent="0.25">
      <c r="B924" s="26">
        <f t="shared" si="14"/>
        <v>921</v>
      </c>
      <c r="C924" s="27">
        <v>46174</v>
      </c>
      <c r="D924" s="28" t="s">
        <v>1842</v>
      </c>
      <c r="E924" s="29" t="str">
        <f>_xlfn.XLOOKUP(Table7[[#This Row],[Malın kodu]],Table4[Malın kodu],Table4[Malın adı],"Xəta",0)</f>
        <v>Xəta</v>
      </c>
      <c r="F924" s="26"/>
      <c r="G924" s="26"/>
      <c r="H924" s="26" t="s">
        <v>899</v>
      </c>
      <c r="I924" s="26" t="s">
        <v>1918</v>
      </c>
    </row>
    <row r="925" spans="2:9" x14ac:dyDescent="0.25">
      <c r="B925" s="26">
        <f t="shared" si="14"/>
        <v>922</v>
      </c>
      <c r="C925" s="27">
        <v>46174</v>
      </c>
      <c r="D925" s="28" t="s">
        <v>1843</v>
      </c>
      <c r="E925" s="29" t="str">
        <f>_xlfn.XLOOKUP(Table7[[#This Row],[Malın kodu]],Table4[Malın kodu],Table4[Malın adı],"Xəta",0)</f>
        <v>Döşək</v>
      </c>
      <c r="F925" s="26">
        <v>3</v>
      </c>
      <c r="G925" s="26"/>
      <c r="H925" s="26" t="s">
        <v>899</v>
      </c>
      <c r="I925" s="26" t="s">
        <v>1918</v>
      </c>
    </row>
    <row r="926" spans="2:9" x14ac:dyDescent="0.25">
      <c r="B926" s="26">
        <f t="shared" si="14"/>
        <v>923</v>
      </c>
      <c r="C926" s="27">
        <v>46174</v>
      </c>
      <c r="D926" s="28" t="s">
        <v>1844</v>
      </c>
      <c r="E926" s="29" t="str">
        <f>_xlfn.XLOOKUP(Table7[[#This Row],[Malın kodu]],Table4[Malın kodu],Table4[Malın adı],"Xəta",0)</f>
        <v>Yataq / açilıb bağlanan /</v>
      </c>
      <c r="F926" s="26">
        <v>5</v>
      </c>
      <c r="G926" s="26"/>
      <c r="H926" s="26" t="s">
        <v>899</v>
      </c>
      <c r="I926" s="26" t="s">
        <v>1918</v>
      </c>
    </row>
    <row r="927" spans="2:9" x14ac:dyDescent="0.25">
      <c r="B927" s="26">
        <f t="shared" si="14"/>
        <v>924</v>
      </c>
      <c r="C927" s="27">
        <v>46174</v>
      </c>
      <c r="D927" s="28" t="s">
        <v>1845</v>
      </c>
      <c r="E927" s="29" t="str">
        <f>_xlfn.XLOOKUP(Table7[[#This Row],[Malın kodu]],Table4[Malın kodu],Table4[Malın adı],"Xəta",0)</f>
        <v>Kreslo / parça</v>
      </c>
      <c r="F927" s="26">
        <v>1</v>
      </c>
      <c r="G927" s="26"/>
      <c r="H927" s="26" t="s">
        <v>899</v>
      </c>
      <c r="I927" s="26" t="s">
        <v>1918</v>
      </c>
    </row>
    <row r="928" spans="2:9" x14ac:dyDescent="0.25">
      <c r="B928" s="26">
        <f t="shared" si="14"/>
        <v>925</v>
      </c>
      <c r="C928" s="27">
        <v>46174</v>
      </c>
      <c r="D928" s="28" t="s">
        <v>1846</v>
      </c>
      <c r="E928" s="29" t="str">
        <f>_xlfn.XLOOKUP(Table7[[#This Row],[Malın kodu]],Table4[Malın kodu],Table4[Malın adı],"Xəta",0)</f>
        <v>Paltaryuyan maşın / "Midea"</v>
      </c>
      <c r="F928" s="26">
        <v>1</v>
      </c>
      <c r="G928" s="26"/>
      <c r="H928" s="26" t="s">
        <v>899</v>
      </c>
      <c r="I928" s="26" t="s">
        <v>1918</v>
      </c>
    </row>
    <row r="929" spans="2:9" x14ac:dyDescent="0.25">
      <c r="B929" s="26">
        <f t="shared" si="14"/>
        <v>926</v>
      </c>
      <c r="C929" s="27">
        <v>46174</v>
      </c>
      <c r="D929" s="28" t="s">
        <v>1847</v>
      </c>
      <c r="E929" s="29" t="str">
        <f>_xlfn.XLOOKUP(Table7[[#This Row],[Malın kodu]],Table4[Malın kodu],Table4[Malın adı],"Xəta",0)</f>
        <v>Yataq / metal karkas</v>
      </c>
      <c r="F929" s="26">
        <v>6</v>
      </c>
      <c r="G929" s="26"/>
      <c r="H929" s="26" t="s">
        <v>899</v>
      </c>
      <c r="I929" s="26" t="s">
        <v>1918</v>
      </c>
    </row>
    <row r="930" spans="2:9" x14ac:dyDescent="0.25">
      <c r="B930" s="26">
        <f t="shared" si="14"/>
        <v>927</v>
      </c>
      <c r="C930" s="27">
        <v>46174</v>
      </c>
      <c r="D930" s="28" t="s">
        <v>1848</v>
      </c>
      <c r="E930" s="29" t="str">
        <f>_xlfn.XLOOKUP(Table7[[#This Row],[Malın kodu]],Table4[Malın kodu],Table4[Malın adı],"Xəta",0)</f>
        <v>Masa / 700x1400mm</v>
      </c>
      <c r="F930" s="26">
        <v>2</v>
      </c>
      <c r="G930" s="26"/>
      <c r="H930" s="26" t="s">
        <v>899</v>
      </c>
      <c r="I930" s="26" t="s">
        <v>1918</v>
      </c>
    </row>
    <row r="931" spans="2:9" x14ac:dyDescent="0.25">
      <c r="B931" s="26">
        <f t="shared" si="14"/>
        <v>928</v>
      </c>
      <c r="C931" s="27">
        <v>46174</v>
      </c>
      <c r="D931" s="28" t="s">
        <v>1849</v>
      </c>
      <c r="E931" s="29" t="str">
        <f>_xlfn.XLOOKUP(Table7[[#This Row],[Malın kodu]],Table4[Malın kodu],Table4[Malın adı],"Xəta",0)</f>
        <v>Elektrik lövhəsi / 300x400mm</v>
      </c>
      <c r="F931" s="26">
        <v>1</v>
      </c>
      <c r="G931" s="26"/>
      <c r="H931" s="26" t="s">
        <v>899</v>
      </c>
      <c r="I931" s="26" t="s">
        <v>1918</v>
      </c>
    </row>
    <row r="932" spans="2:9" x14ac:dyDescent="0.25">
      <c r="B932" s="26">
        <f t="shared" si="14"/>
        <v>929</v>
      </c>
      <c r="C932" s="27">
        <v>46174</v>
      </c>
      <c r="D932" s="28" t="s">
        <v>1850</v>
      </c>
      <c r="E932" s="29" t="str">
        <f>_xlfn.XLOOKUP(Table7[[#This Row],[Malın kodu]],Table4[Malın kodu],Table4[Malın adı],"Xəta",0)</f>
        <v>Masa / 700x1700mm / 3 siyirtməli</v>
      </c>
      <c r="F932" s="26">
        <v>1</v>
      </c>
      <c r="G932" s="26"/>
      <c r="H932" s="26" t="s">
        <v>899</v>
      </c>
      <c r="I932" s="26" t="s">
        <v>1918</v>
      </c>
    </row>
    <row r="933" spans="2:9" x14ac:dyDescent="0.25">
      <c r="B933" s="26">
        <f t="shared" si="14"/>
        <v>930</v>
      </c>
      <c r="C933" s="27">
        <v>46174</v>
      </c>
      <c r="D933" s="28" t="s">
        <v>1851</v>
      </c>
      <c r="E933" s="29" t="str">
        <f>_xlfn.XLOOKUP(Table7[[#This Row],[Malın kodu]],Table4[Malın kodu],Table4[Malın adı],"Xəta",0)</f>
        <v>Oturacaq</v>
      </c>
      <c r="F933" s="26">
        <v>1</v>
      </c>
      <c r="G933" s="26"/>
      <c r="H933" s="26" t="s">
        <v>899</v>
      </c>
      <c r="I933" s="26" t="s">
        <v>1918</v>
      </c>
    </row>
    <row r="934" spans="2:9" x14ac:dyDescent="0.25">
      <c r="B934" s="26">
        <f t="shared" si="14"/>
        <v>931</v>
      </c>
      <c r="C934" s="27">
        <v>46174</v>
      </c>
      <c r="D934" s="28" t="s">
        <v>1852</v>
      </c>
      <c r="E934" s="29" t="str">
        <f>_xlfn.XLOOKUP(Table7[[#This Row],[Malın kodu]],Table4[Malın kodu],Table4[Malın adı],"Xəta",0)</f>
        <v>Masa / 500x950 mm</v>
      </c>
      <c r="F934" s="26">
        <v>1</v>
      </c>
      <c r="G934" s="26"/>
      <c r="H934" s="26" t="s">
        <v>899</v>
      </c>
      <c r="I934" s="26" t="s">
        <v>1918</v>
      </c>
    </row>
    <row r="935" spans="2:9" x14ac:dyDescent="0.25">
      <c r="B935" s="26">
        <f t="shared" si="14"/>
        <v>932</v>
      </c>
      <c r="C935" s="27">
        <v>46174</v>
      </c>
      <c r="D935" s="28" t="s">
        <v>1853</v>
      </c>
      <c r="E935" s="29" t="str">
        <f>_xlfn.XLOOKUP(Table7[[#This Row],[Malın kodu]],Table4[Malın kodu],Table4[Malın adı],"Xəta",0)</f>
        <v>Masa / 500x700 mm</v>
      </c>
      <c r="F935" s="26">
        <v>1</v>
      </c>
      <c r="G935" s="26"/>
      <c r="H935" s="26" t="s">
        <v>899</v>
      </c>
      <c r="I935" s="26" t="s">
        <v>1918</v>
      </c>
    </row>
    <row r="936" spans="2:9" x14ac:dyDescent="0.25">
      <c r="B936" s="26">
        <f t="shared" si="14"/>
        <v>933</v>
      </c>
      <c r="C936" s="27">
        <v>46174</v>
      </c>
      <c r="D936" s="28" t="s">
        <v>1854</v>
      </c>
      <c r="E936" s="29" t="str">
        <f>_xlfn.XLOOKUP(Table7[[#This Row],[Malın kodu]],Table4[Malın kodu],Table4[Malın adı],"Xəta",0)</f>
        <v>Sənəd dolabı / 700x1320mm</v>
      </c>
      <c r="F936" s="26">
        <v>1</v>
      </c>
      <c r="G936" s="26"/>
      <c r="H936" s="26" t="s">
        <v>899</v>
      </c>
      <c r="I936" s="26" t="s">
        <v>1918</v>
      </c>
    </row>
    <row r="937" spans="2:9" x14ac:dyDescent="0.25">
      <c r="B937" s="26">
        <f t="shared" si="14"/>
        <v>934</v>
      </c>
      <c r="C937" s="27">
        <v>46174</v>
      </c>
      <c r="D937" s="28" t="s">
        <v>1855</v>
      </c>
      <c r="E937" s="29" t="str">
        <f>_xlfn.XLOOKUP(Table7[[#This Row],[Malın kodu]],Table4[Malın kodu],Table4[Malın adı],"Xəta",0)</f>
        <v>Su qızdırıcı / elektrik / 80litr</v>
      </c>
      <c r="F937" s="26">
        <v>1</v>
      </c>
      <c r="G937" s="26"/>
      <c r="H937" s="26" t="s">
        <v>899</v>
      </c>
      <c r="I937" s="26" t="s">
        <v>1918</v>
      </c>
    </row>
    <row r="938" spans="2:9" x14ac:dyDescent="0.25">
      <c r="B938" s="26">
        <f t="shared" si="14"/>
        <v>935</v>
      </c>
      <c r="C938" s="27">
        <v>46174</v>
      </c>
      <c r="D938" s="28" t="s">
        <v>1856</v>
      </c>
      <c r="E938" s="29" t="str">
        <f>_xlfn.XLOOKUP(Table7[[#This Row],[Malın kodu]],Table4[Malın kodu],Table4[Malın adı],"Xəta",0)</f>
        <v>Nivelyator dayağı / üçayaq</v>
      </c>
      <c r="F938" s="26">
        <v>2</v>
      </c>
      <c r="G938" s="26"/>
      <c r="H938" s="26" t="s">
        <v>899</v>
      </c>
      <c r="I938" s="26" t="s">
        <v>1918</v>
      </c>
    </row>
    <row r="939" spans="2:9" x14ac:dyDescent="0.25">
      <c r="B939" s="26">
        <f t="shared" si="14"/>
        <v>936</v>
      </c>
      <c r="C939" s="27">
        <v>46174</v>
      </c>
      <c r="D939" s="28" t="s">
        <v>1857</v>
      </c>
      <c r="E939" s="29" t="str">
        <f>_xlfn.XLOOKUP(Table7[[#This Row],[Malın kodu]],Table4[Malın kodu],Table4[Malın adı],"Xəta",0)</f>
        <v>Nivelyator oxu</v>
      </c>
      <c r="F939" s="26">
        <v>1</v>
      </c>
      <c r="G939" s="26"/>
      <c r="H939" s="26" t="s">
        <v>899</v>
      </c>
      <c r="I939" s="26" t="s">
        <v>1918</v>
      </c>
    </row>
    <row r="940" spans="2:9" x14ac:dyDescent="0.25">
      <c r="B940" s="26">
        <f t="shared" si="14"/>
        <v>937</v>
      </c>
      <c r="C940" s="27">
        <v>46174</v>
      </c>
      <c r="D940" s="28" t="s">
        <v>1858</v>
      </c>
      <c r="E940" s="29" t="str">
        <f>_xlfn.XLOOKUP(Table7[[#This Row],[Malın kodu]],Table4[Malın kodu],Table4[Malın adı],"Xəta",0)</f>
        <v>Qaynaq aparatı (ütü) / plastik boru üçün</v>
      </c>
      <c r="F940" s="26">
        <v>1</v>
      </c>
      <c r="G940" s="26"/>
      <c r="H940" s="26" t="s">
        <v>899</v>
      </c>
      <c r="I940" s="26" t="s">
        <v>1918</v>
      </c>
    </row>
    <row r="941" spans="2:9" x14ac:dyDescent="0.25">
      <c r="B941" s="26">
        <f t="shared" si="14"/>
        <v>938</v>
      </c>
      <c r="C941" s="27">
        <v>46174</v>
      </c>
      <c r="D941" s="28" t="s">
        <v>1859</v>
      </c>
      <c r="E941" s="29" t="str">
        <f>_xlfn.XLOOKUP(Table7[[#This Row],[Malın kodu]],Table4[Malın kodu],Table4[Malın adı],"Xəta",0)</f>
        <v>Reduktor / oksiqen balonu üçün</v>
      </c>
      <c r="F941" s="26">
        <v>3</v>
      </c>
      <c r="G941" s="26"/>
      <c r="H941" s="26" t="s">
        <v>899</v>
      </c>
      <c r="I941" s="26" t="s">
        <v>1918</v>
      </c>
    </row>
    <row r="942" spans="2:9" x14ac:dyDescent="0.25">
      <c r="B942" s="26">
        <f t="shared" si="14"/>
        <v>939</v>
      </c>
      <c r="C942" s="27">
        <v>46174</v>
      </c>
      <c r="D942" s="28" t="s">
        <v>1860</v>
      </c>
      <c r="E942" s="29" t="str">
        <f>_xlfn.XLOOKUP(Table7[[#This Row],[Malın kodu]],Table4[Malın kodu],Table4[Malın adı],"Xəta",0)</f>
        <v>Kabel / 50x0.5</v>
      </c>
      <c r="F942" s="26">
        <v>167</v>
      </c>
      <c r="G942" s="26"/>
      <c r="H942" s="26" t="s">
        <v>899</v>
      </c>
      <c r="I942" s="26" t="s">
        <v>1918</v>
      </c>
    </row>
    <row r="943" spans="2:9" x14ac:dyDescent="0.25">
      <c r="B943" s="26">
        <f t="shared" si="14"/>
        <v>940</v>
      </c>
      <c r="C943" s="27">
        <v>46174</v>
      </c>
      <c r="D943" s="28" t="s">
        <v>1861</v>
      </c>
      <c r="E943" s="29" t="str">
        <f>_xlfn.XLOOKUP(Table7[[#This Row],[Malın kodu]],Table4[Malın kodu],Table4[Malın adı],"Xəta",0)</f>
        <v>Xəta</v>
      </c>
      <c r="F943" s="26"/>
      <c r="G943" s="26"/>
      <c r="H943" s="26" t="s">
        <v>899</v>
      </c>
      <c r="I943" s="26" t="s">
        <v>1918</v>
      </c>
    </row>
    <row r="944" spans="2:9" x14ac:dyDescent="0.25">
      <c r="B944" s="26">
        <f t="shared" si="14"/>
        <v>941</v>
      </c>
      <c r="C944" s="27">
        <v>46174</v>
      </c>
      <c r="D944" s="28" t="s">
        <v>1862</v>
      </c>
      <c r="E944" s="29" t="str">
        <f>_xlfn.XLOOKUP(Table7[[#This Row],[Malın kodu]],Table4[Malın kodu],Table4[Malın adı],"Xəta",0)</f>
        <v>Ətçəkən / elektrik / "Hausberg"</v>
      </c>
      <c r="F944" s="26">
        <v>1</v>
      </c>
      <c r="G944" s="26"/>
      <c r="H944" s="26" t="s">
        <v>899</v>
      </c>
      <c r="I944" s="26" t="s">
        <v>1918</v>
      </c>
    </row>
    <row r="945" spans="2:9" x14ac:dyDescent="0.25">
      <c r="B945" s="26">
        <f t="shared" si="14"/>
        <v>942</v>
      </c>
      <c r="C945" s="27">
        <v>46174</v>
      </c>
      <c r="D945" s="28" t="s">
        <v>1863</v>
      </c>
      <c r="E945" s="29" t="str">
        <f>_xlfn.XLOOKUP(Table7[[#This Row],[Malın kodu]],Table4[Malın kodu],Table4[Malın adı],"Xəta",0)</f>
        <v>Soyuducu / 800x480mm / vertikal / 1 kameralı / "Arçelik"</v>
      </c>
      <c r="F945" s="26">
        <v>1</v>
      </c>
      <c r="G945" s="26"/>
      <c r="H945" s="26" t="s">
        <v>899</v>
      </c>
      <c r="I945" s="26" t="s">
        <v>1918</v>
      </c>
    </row>
    <row r="946" spans="2:9" x14ac:dyDescent="0.25">
      <c r="B946" s="26">
        <f t="shared" si="14"/>
        <v>943</v>
      </c>
      <c r="C946" s="27">
        <v>46174</v>
      </c>
      <c r="D946" s="28" t="s">
        <v>1864</v>
      </c>
      <c r="E946" s="29" t="str">
        <f>_xlfn.XLOOKUP(Table7[[#This Row],[Malın kodu]],Table4[Malın kodu],Table4[Malın adı],"Xəta",0)</f>
        <v>Masa / metal / 3050x760mm</v>
      </c>
      <c r="F946" s="26">
        <v>2</v>
      </c>
      <c r="G946" s="26"/>
      <c r="H946" s="26" t="s">
        <v>899</v>
      </c>
      <c r="I946" s="26" t="s">
        <v>1918</v>
      </c>
    </row>
    <row r="947" spans="2:9" x14ac:dyDescent="0.25">
      <c r="B947" s="26">
        <f t="shared" si="14"/>
        <v>944</v>
      </c>
      <c r="C947" s="27">
        <v>46174</v>
      </c>
      <c r="D947" s="28" t="s">
        <v>1865</v>
      </c>
      <c r="E947" s="29" t="str">
        <f>_xlfn.XLOOKUP(Table7[[#This Row],[Malın kodu]],Table4[Malın kodu],Table4[Malın adı],"Xəta",0)</f>
        <v>Masa / ofis / 1420x700mm</v>
      </c>
      <c r="F947" s="26">
        <v>1</v>
      </c>
      <c r="G947" s="26"/>
      <c r="H947" s="26" t="s">
        <v>899</v>
      </c>
      <c r="I947" s="26" t="s">
        <v>1918</v>
      </c>
    </row>
    <row r="948" spans="2:9" x14ac:dyDescent="0.25">
      <c r="B948" s="26">
        <f t="shared" si="14"/>
        <v>945</v>
      </c>
      <c r="C948" s="27">
        <v>46174</v>
      </c>
      <c r="D948" s="28" t="s">
        <v>1866</v>
      </c>
      <c r="E948" s="29" t="str">
        <f>_xlfn.XLOOKUP(Table7[[#This Row],[Malın kodu]],Table4[Malın kodu],Table4[Malın adı],"Xəta",0)</f>
        <v>Dolab / sənəd / 500x910mm</v>
      </c>
      <c r="F948" s="26">
        <v>1</v>
      </c>
      <c r="G948" s="26"/>
      <c r="H948" s="26" t="s">
        <v>899</v>
      </c>
      <c r="I948" s="26" t="s">
        <v>1918</v>
      </c>
    </row>
    <row r="949" spans="2:9" x14ac:dyDescent="0.25">
      <c r="B949" s="26">
        <f t="shared" si="14"/>
        <v>946</v>
      </c>
      <c r="C949" s="27">
        <v>46174</v>
      </c>
      <c r="D949" s="28" t="s">
        <v>1867</v>
      </c>
      <c r="E949" s="29" t="str">
        <f>_xlfn.XLOOKUP(Table7[[#This Row],[Malın kodu]],Table4[Malın kodu],Table4[Malın adı],"Xəta",0)</f>
        <v>Dispenser / su / "Orvica"</v>
      </c>
      <c r="F949" s="26">
        <v>1</v>
      </c>
      <c r="G949" s="26"/>
      <c r="H949" s="26" t="s">
        <v>899</v>
      </c>
      <c r="I949" s="26" t="s">
        <v>1918</v>
      </c>
    </row>
    <row r="950" spans="2:9" x14ac:dyDescent="0.25">
      <c r="B950" s="26">
        <f t="shared" si="14"/>
        <v>947</v>
      </c>
      <c r="C950" s="27">
        <v>46174</v>
      </c>
      <c r="D950" s="28" t="s">
        <v>1868</v>
      </c>
      <c r="E950" s="29" t="str">
        <f>_xlfn.XLOOKUP(Table7[[#This Row],[Malın kodu]],Table4[Malın kodu],Table4[Malın adı],"Xəta",0)</f>
        <v>Soyuducu / horizontal / 630x1000mm</v>
      </c>
      <c r="F950" s="26">
        <v>1</v>
      </c>
      <c r="G950" s="26"/>
      <c r="H950" s="26" t="s">
        <v>899</v>
      </c>
      <c r="I950" s="26" t="s">
        <v>1918</v>
      </c>
    </row>
    <row r="951" spans="2:9" x14ac:dyDescent="0.25">
      <c r="B951" s="26">
        <f t="shared" si="14"/>
        <v>948</v>
      </c>
      <c r="C951" s="27">
        <v>46174</v>
      </c>
      <c r="D951" s="28" t="s">
        <v>1869</v>
      </c>
      <c r="E951" s="29" t="str">
        <f>_xlfn.XLOOKUP(Table7[[#This Row],[Malın kodu]],Table4[Malın kodu],Table4[Malın adı],"Xəta",0)</f>
        <v>Masa / plastik / 790x1290mm</v>
      </c>
      <c r="F951" s="26">
        <v>1</v>
      </c>
      <c r="G951" s="26"/>
      <c r="H951" s="26" t="s">
        <v>899</v>
      </c>
      <c r="I951" s="26" t="s">
        <v>1918</v>
      </c>
    </row>
    <row r="952" spans="2:9" x14ac:dyDescent="0.25">
      <c r="B952" s="26">
        <f t="shared" si="14"/>
        <v>949</v>
      </c>
      <c r="C952" s="27">
        <v>46174</v>
      </c>
      <c r="D952" s="28" t="s">
        <v>1870</v>
      </c>
      <c r="E952" s="29" t="str">
        <f>_xlfn.XLOOKUP(Table7[[#This Row],[Malın kodu]],Table4[Malın kodu],Table4[Malın adı],"Xəta",0)</f>
        <v>Yazı lövhəsi / 1000x1400mm</v>
      </c>
      <c r="F952" s="26">
        <v>1</v>
      </c>
      <c r="G952" s="26"/>
      <c r="H952" s="26" t="s">
        <v>899</v>
      </c>
      <c r="I952" s="26" t="s">
        <v>1918</v>
      </c>
    </row>
    <row r="953" spans="2:9" x14ac:dyDescent="0.25">
      <c r="B953" s="26">
        <f t="shared" si="14"/>
        <v>950</v>
      </c>
      <c r="C953" s="27">
        <v>46174</v>
      </c>
      <c r="D953" s="28" t="s">
        <v>1871</v>
      </c>
      <c r="E953" s="29" t="str">
        <f>_xlfn.XLOOKUP(Table7[[#This Row],[Malın kodu]],Table4[Malın kodu],Table4[Malın adı],"Xəta",0)</f>
        <v>Oturacaq / plastik</v>
      </c>
      <c r="F953" s="26">
        <v>6</v>
      </c>
      <c r="G953" s="26"/>
      <c r="H953" s="26" t="s">
        <v>899</v>
      </c>
      <c r="I953" s="26" t="s">
        <v>1918</v>
      </c>
    </row>
    <row r="954" spans="2:9" x14ac:dyDescent="0.25">
      <c r="B954" s="26">
        <f t="shared" si="14"/>
        <v>951</v>
      </c>
      <c r="C954" s="27">
        <v>46174</v>
      </c>
      <c r="D954" s="28" t="s">
        <v>1872</v>
      </c>
      <c r="E954" s="29" t="str">
        <f>_xlfn.XLOOKUP(Table7[[#This Row],[Malın kodu]],Table4[Malın kodu],Table4[Malın adı],"Xəta",0)</f>
        <v>Oturacaq / parça</v>
      </c>
      <c r="F954" s="26">
        <v>2</v>
      </c>
      <c r="G954" s="26"/>
      <c r="H954" s="26" t="s">
        <v>899</v>
      </c>
      <c r="I954" s="26" t="s">
        <v>1918</v>
      </c>
    </row>
    <row r="955" spans="2:9" x14ac:dyDescent="0.25">
      <c r="B955" s="26">
        <f t="shared" si="14"/>
        <v>952</v>
      </c>
      <c r="C955" s="27">
        <v>46174</v>
      </c>
      <c r="D955" s="28" t="s">
        <v>1873</v>
      </c>
      <c r="E955" s="29" t="str">
        <f>_xlfn.XLOOKUP(Table7[[#This Row],[Malın kodu]],Table4[Malın kodu],Table4[Malın adı],"Xəta",0)</f>
        <v>Termos</v>
      </c>
      <c r="F955" s="26">
        <v>1</v>
      </c>
      <c r="G955" s="26"/>
      <c r="H955" s="26" t="s">
        <v>899</v>
      </c>
      <c r="I955" s="26" t="s">
        <v>1918</v>
      </c>
    </row>
    <row r="956" spans="2:9" x14ac:dyDescent="0.25">
      <c r="B956" s="26">
        <f t="shared" si="14"/>
        <v>953</v>
      </c>
      <c r="C956" s="27">
        <v>46174</v>
      </c>
      <c r="D956" s="28" t="s">
        <v>1874</v>
      </c>
      <c r="E956" s="29" t="str">
        <f>_xlfn.XLOOKUP(Table7[[#This Row],[Malın kodu]],Table4[Malın kodu],Table4[Malın adı],"Xəta",0)</f>
        <v>Soyuducu / 157x600mm / vertikal / 2 kameralı</v>
      </c>
      <c r="F956" s="26">
        <v>1</v>
      </c>
      <c r="G956" s="26"/>
      <c r="H956" s="26" t="s">
        <v>899</v>
      </c>
      <c r="I956" s="26" t="s">
        <v>1918</v>
      </c>
    </row>
    <row r="957" spans="2:9" x14ac:dyDescent="0.25">
      <c r="B957" s="26">
        <f t="shared" si="14"/>
        <v>954</v>
      </c>
      <c r="C957" s="27">
        <v>46174</v>
      </c>
      <c r="D957" s="28" t="s">
        <v>1875</v>
      </c>
      <c r="E957" s="29" t="str">
        <f>_xlfn.XLOOKUP(Table7[[#This Row],[Malın kodu]],Table4[Malın kodu],Table4[Malın adı],"Xəta",0)</f>
        <v>Su qızdırıcı / elektrik / 250 litr</v>
      </c>
      <c r="F957" s="26">
        <v>1</v>
      </c>
      <c r="G957" s="26"/>
      <c r="H957" s="26" t="s">
        <v>899</v>
      </c>
      <c r="I957" s="26" t="s">
        <v>1918</v>
      </c>
    </row>
    <row r="958" spans="2:9" x14ac:dyDescent="0.25">
      <c r="B958" s="26">
        <f t="shared" si="14"/>
        <v>955</v>
      </c>
      <c r="C958" s="27">
        <v>46174</v>
      </c>
      <c r="D958" s="28" t="s">
        <v>1876</v>
      </c>
      <c r="E958" s="29" t="str">
        <f>_xlfn.XLOOKUP(Table7[[#This Row],[Malın kodu]],Table4[Malın kodu],Table4[Malın adı],"Xəta",0)</f>
        <v>Soyuducu / vertikal / 2 kameralı / "İndesit"</v>
      </c>
      <c r="F958" s="26">
        <v>1</v>
      </c>
      <c r="G958" s="26"/>
      <c r="H958" s="26" t="s">
        <v>899</v>
      </c>
      <c r="I958" s="26" t="s">
        <v>1918</v>
      </c>
    </row>
    <row r="959" spans="2:9" x14ac:dyDescent="0.25">
      <c r="B959" s="26">
        <f t="shared" si="14"/>
        <v>956</v>
      </c>
      <c r="C959" s="27">
        <v>46174</v>
      </c>
      <c r="D959" s="28" t="s">
        <v>1877</v>
      </c>
      <c r="E959" s="29" t="str">
        <f>_xlfn.XLOOKUP(Table7[[#This Row],[Malın kodu]],Table4[Malın kodu],Table4[Malın adı],"Xəta",0)</f>
        <v>Soba dolabı / qaz / 3 plitəli</v>
      </c>
      <c r="F959" s="26">
        <v>1</v>
      </c>
      <c r="G959" s="26"/>
      <c r="H959" s="26" t="s">
        <v>899</v>
      </c>
      <c r="I959" s="26" t="s">
        <v>1918</v>
      </c>
    </row>
    <row r="960" spans="2:9" x14ac:dyDescent="0.25">
      <c r="B960" s="26">
        <f t="shared" si="14"/>
        <v>957</v>
      </c>
      <c r="C960" s="27">
        <v>46174</v>
      </c>
      <c r="D960" s="28" t="s">
        <v>1878</v>
      </c>
      <c r="E960" s="29" t="str">
        <f>_xlfn.XLOOKUP(Table7[[#This Row],[Malın kodu]],Table4[Malın kodu],Table4[Malın adı],"Xəta",0)</f>
        <v>Soyuducu / vertikal / "Dixell"</v>
      </c>
      <c r="F960" s="26">
        <v>1</v>
      </c>
      <c r="G960" s="26"/>
      <c r="H960" s="26" t="s">
        <v>899</v>
      </c>
      <c r="I960" s="26" t="s">
        <v>1918</v>
      </c>
    </row>
    <row r="961" spans="2:9" x14ac:dyDescent="0.25">
      <c r="B961" s="26">
        <f t="shared" si="14"/>
        <v>958</v>
      </c>
      <c r="C961" s="27">
        <v>46174</v>
      </c>
      <c r="D961" s="28" t="s">
        <v>1879</v>
      </c>
      <c r="E961" s="29" t="str">
        <f>_xlfn.XLOOKUP(Table7[[#This Row],[Malın kodu]],Table4[Malın kodu],Table4[Malın adı],"Xəta",0)</f>
        <v>Masa / 700x2700mm</v>
      </c>
      <c r="F961" s="26">
        <v>1</v>
      </c>
      <c r="G961" s="26"/>
      <c r="H961" s="26" t="s">
        <v>899</v>
      </c>
      <c r="I961" s="26" t="s">
        <v>1918</v>
      </c>
    </row>
    <row r="962" spans="2:9" x14ac:dyDescent="0.25">
      <c r="B962" s="26">
        <f t="shared" si="14"/>
        <v>959</v>
      </c>
      <c r="C962" s="27">
        <v>46174</v>
      </c>
      <c r="D962" s="28" t="s">
        <v>1880</v>
      </c>
      <c r="E962" s="29" t="str">
        <f>_xlfn.XLOOKUP(Table7[[#This Row],[Malın kodu]],Table4[Malın kodu],Table4[Malın adı],"Xəta",0)</f>
        <v>Qazan / d 400mm / alüminium</v>
      </c>
      <c r="F962" s="26">
        <v>1</v>
      </c>
      <c r="G962" s="26"/>
      <c r="H962" s="26" t="s">
        <v>899</v>
      </c>
      <c r="I962" s="26" t="s">
        <v>1918</v>
      </c>
    </row>
    <row r="963" spans="2:9" x14ac:dyDescent="0.25">
      <c r="B963" s="26">
        <f t="shared" si="14"/>
        <v>960</v>
      </c>
      <c r="C963" s="27">
        <v>46174</v>
      </c>
      <c r="D963" s="28" t="s">
        <v>1881</v>
      </c>
      <c r="E963" s="29" t="str">
        <f>_xlfn.XLOOKUP(Table7[[#This Row],[Malın kodu]],Table4[Malın kodu],Table4[Malın adı],"Xəta",0)</f>
        <v>Qazan / d 340mm / alüminium</v>
      </c>
      <c r="F963" s="26">
        <v>1</v>
      </c>
      <c r="G963" s="26"/>
      <c r="H963" s="26" t="s">
        <v>899</v>
      </c>
      <c r="I963" s="26" t="s">
        <v>1918</v>
      </c>
    </row>
    <row r="964" spans="2:9" x14ac:dyDescent="0.25">
      <c r="B964" s="26">
        <f t="shared" ref="B964:B1027" si="15">ROW()-3</f>
        <v>961</v>
      </c>
      <c r="C964" s="27">
        <v>46174</v>
      </c>
      <c r="D964" s="28" t="s">
        <v>1882</v>
      </c>
      <c r="E964" s="29" t="str">
        <f>_xlfn.XLOOKUP(Table7[[#This Row],[Malın kodu]],Table4[Malın kodu],Table4[Malın adı],"Xəta",0)</f>
        <v>Ləğən (taz) / d 500mm / alüminium</v>
      </c>
      <c r="F964" s="26">
        <v>1</v>
      </c>
      <c r="G964" s="26"/>
      <c r="H964" s="26" t="s">
        <v>899</v>
      </c>
      <c r="I964" s="26" t="s">
        <v>1918</v>
      </c>
    </row>
    <row r="965" spans="2:9" x14ac:dyDescent="0.25">
      <c r="B965" s="26">
        <f t="shared" si="15"/>
        <v>962</v>
      </c>
      <c r="C965" s="27">
        <v>46174</v>
      </c>
      <c r="D965" s="28" t="s">
        <v>1883</v>
      </c>
      <c r="E965" s="29" t="str">
        <f>_xlfn.XLOOKUP(Table7[[#This Row],[Malın kodu]],Table4[Malın kodu],Table4[Malın adı],"Xəta",0)</f>
        <v>Ləğən (taz) / d 520mm / alüminium</v>
      </c>
      <c r="F965" s="26">
        <v>1</v>
      </c>
      <c r="G965" s="26"/>
      <c r="H965" s="26" t="s">
        <v>899</v>
      </c>
      <c r="I965" s="26" t="s">
        <v>1918</v>
      </c>
    </row>
    <row r="966" spans="2:9" x14ac:dyDescent="0.25">
      <c r="B966" s="26">
        <f t="shared" si="15"/>
        <v>963</v>
      </c>
      <c r="C966" s="27">
        <v>46174</v>
      </c>
      <c r="D966" s="28" t="s">
        <v>1884</v>
      </c>
      <c r="E966" s="29" t="str">
        <f>_xlfn.XLOOKUP(Table7[[#This Row],[Malın kodu]],Table4[Malın kodu],Table4[Malın adı],"Xəta",0)</f>
        <v>Doğrayıcı / qida / mexaniki</v>
      </c>
      <c r="F966" s="26">
        <v>1</v>
      </c>
      <c r="G966" s="26"/>
      <c r="H966" s="26" t="s">
        <v>899</v>
      </c>
      <c r="I966" s="26" t="s">
        <v>1918</v>
      </c>
    </row>
    <row r="967" spans="2:9" x14ac:dyDescent="0.25">
      <c r="B967" s="26">
        <f t="shared" si="15"/>
        <v>964</v>
      </c>
      <c r="C967" s="27">
        <v>46174</v>
      </c>
      <c r="D967" s="28" t="s">
        <v>1885</v>
      </c>
      <c r="E967" s="29" t="str">
        <f>_xlfn.XLOOKUP(Table7[[#This Row],[Malın kodu]],Table4[Malın kodu],Table4[Malın adı],"Xəta",0)</f>
        <v>Dolab / 2 qapılı/ 690x680mm</v>
      </c>
      <c r="F967" s="26">
        <v>1</v>
      </c>
      <c r="G967" s="26"/>
      <c r="H967" s="26" t="s">
        <v>899</v>
      </c>
      <c r="I967" s="26" t="s">
        <v>1918</v>
      </c>
    </row>
    <row r="968" spans="2:9" x14ac:dyDescent="0.25">
      <c r="B968" s="26">
        <f t="shared" si="15"/>
        <v>965</v>
      </c>
      <c r="C968" s="27">
        <v>46174</v>
      </c>
      <c r="D968" s="28" t="s">
        <v>1886</v>
      </c>
      <c r="E968" s="29" t="str">
        <f>_xlfn.XLOOKUP(Table7[[#This Row],[Malın kodu]],Table4[Malın kodu],Table4[Malın adı],"Xəta",0)</f>
        <v>Masa / metal / 165x59mm</v>
      </c>
      <c r="F968" s="26">
        <v>1</v>
      </c>
      <c r="G968" s="26"/>
      <c r="H968" s="26" t="s">
        <v>899</v>
      </c>
      <c r="I968" s="26" t="s">
        <v>1918</v>
      </c>
    </row>
    <row r="969" spans="2:9" x14ac:dyDescent="0.25">
      <c r="B969" s="26">
        <f t="shared" si="15"/>
        <v>966</v>
      </c>
      <c r="C969" s="27">
        <v>46174</v>
      </c>
      <c r="D969" s="28" t="s">
        <v>1887</v>
      </c>
      <c r="E969" s="29" t="str">
        <f>_xlfn.XLOOKUP(Table7[[#This Row],[Malın kodu]],Table4[Malın kodu],Table4[Malın adı],"Xəta",0)</f>
        <v>Masa / metal / 740x980mm</v>
      </c>
      <c r="F969" s="26">
        <v>1</v>
      </c>
      <c r="G969" s="26"/>
      <c r="H969" s="26" t="s">
        <v>899</v>
      </c>
      <c r="I969" s="26" t="s">
        <v>1918</v>
      </c>
    </row>
    <row r="970" spans="2:9" x14ac:dyDescent="0.25">
      <c r="B970" s="26">
        <f t="shared" si="15"/>
        <v>967</v>
      </c>
      <c r="C970" s="27">
        <v>46174</v>
      </c>
      <c r="D970" s="28" t="s">
        <v>1888</v>
      </c>
      <c r="E970" s="29" t="str">
        <f>_xlfn.XLOOKUP(Table7[[#This Row],[Malın kodu]],Table4[Malın kodu],Table4[Malın adı],"Xəta",0)</f>
        <v>Mətbəx çanağı (moyka) / emallı / 800x800mm</v>
      </c>
      <c r="F970" s="26">
        <v>1</v>
      </c>
      <c r="G970" s="26"/>
      <c r="H970" s="26" t="s">
        <v>899</v>
      </c>
      <c r="I970" s="26" t="s">
        <v>1918</v>
      </c>
    </row>
    <row r="971" spans="2:9" x14ac:dyDescent="0.25">
      <c r="B971" s="26">
        <f t="shared" si="15"/>
        <v>968</v>
      </c>
      <c r="C971" s="27">
        <v>46174</v>
      </c>
      <c r="D971" s="28" t="s">
        <v>1889</v>
      </c>
      <c r="E971" s="29" t="str">
        <f>_xlfn.XLOOKUP(Table7[[#This Row],[Malın kodu]],Table4[Malın kodu],Table4[Malın adı],"Xəta",0)</f>
        <v>Rəf / 940x430mm / 3 pilləli</v>
      </c>
      <c r="F971" s="26">
        <v>1</v>
      </c>
      <c r="G971" s="26"/>
      <c r="H971" s="26" t="s">
        <v>899</v>
      </c>
      <c r="I971" s="26" t="s">
        <v>1918</v>
      </c>
    </row>
    <row r="972" spans="2:9" x14ac:dyDescent="0.25">
      <c r="B972" s="26">
        <f t="shared" si="15"/>
        <v>969</v>
      </c>
      <c r="C972" s="27">
        <v>46174</v>
      </c>
      <c r="D972" s="28" t="s">
        <v>1890</v>
      </c>
      <c r="E972" s="29" t="str">
        <f>_xlfn.XLOOKUP(Table7[[#This Row],[Malın kodu]],Table4[Malın kodu],Table4[Malın adı],"Xəta",0)</f>
        <v>Masa / ofis / 690x1330mm</v>
      </c>
      <c r="F972" s="26">
        <v>1</v>
      </c>
      <c r="G972" s="26"/>
      <c r="H972" s="26" t="s">
        <v>899</v>
      </c>
      <c r="I972" s="26" t="s">
        <v>1918</v>
      </c>
    </row>
    <row r="973" spans="2:9" x14ac:dyDescent="0.25">
      <c r="B973" s="26">
        <f t="shared" si="15"/>
        <v>970</v>
      </c>
      <c r="C973" s="27">
        <v>46174</v>
      </c>
      <c r="D973" s="28" t="s">
        <v>1891</v>
      </c>
      <c r="E973" s="29" t="str">
        <f>_xlfn.XLOOKUP(Table7[[#This Row],[Malın kodu]],Table4[Malın kodu],Table4[Malın adı],"Xəta",0)</f>
        <v>Samovar / mətbəx üçün</v>
      </c>
      <c r="F973" s="26">
        <v>1</v>
      </c>
      <c r="G973" s="26"/>
      <c r="H973" s="26" t="s">
        <v>899</v>
      </c>
      <c r="I973" s="26" t="s">
        <v>1918</v>
      </c>
    </row>
    <row r="974" spans="2:9" x14ac:dyDescent="0.25">
      <c r="B974" s="26">
        <f t="shared" si="15"/>
        <v>971</v>
      </c>
      <c r="C974" s="27">
        <v>46174</v>
      </c>
      <c r="D974" s="28" t="s">
        <v>1892</v>
      </c>
      <c r="E974" s="29" t="str">
        <f>_xlfn.XLOOKUP(Table7[[#This Row],[Malın kodu]],Table4[Malın kodu],Table4[Malın adı],"Xəta",0)</f>
        <v>Dolab / sənəd / 800x1800mm</v>
      </c>
      <c r="F974" s="26">
        <v>2</v>
      </c>
      <c r="G974" s="26"/>
      <c r="H974" s="26" t="s">
        <v>899</v>
      </c>
      <c r="I974" s="26" t="s">
        <v>1918</v>
      </c>
    </row>
    <row r="975" spans="2:9" x14ac:dyDescent="0.25">
      <c r="B975" s="26">
        <f t="shared" si="15"/>
        <v>972</v>
      </c>
      <c r="C975" s="27">
        <v>46174</v>
      </c>
      <c r="D975" s="28" t="s">
        <v>2087</v>
      </c>
      <c r="E975" s="29" t="str">
        <f>_xlfn.XLOOKUP(Table7[[#This Row],[Malın kodu]],Table4[Malın kodu],Table4[Malın adı],"Xəta",0)</f>
        <v>Taxeometr / geodeziya cihazı</v>
      </c>
      <c r="F975" s="26">
        <v>2</v>
      </c>
      <c r="G975" s="26"/>
      <c r="H975" s="26" t="s">
        <v>899</v>
      </c>
      <c r="I975" s="26" t="s">
        <v>1918</v>
      </c>
    </row>
    <row r="976" spans="2:9" x14ac:dyDescent="0.25">
      <c r="B976" s="26">
        <f t="shared" si="15"/>
        <v>973</v>
      </c>
      <c r="C976" s="27">
        <v>46174</v>
      </c>
      <c r="D976" s="28" t="s">
        <v>2143</v>
      </c>
      <c r="E976" s="29" t="str">
        <f>_xlfn.XLOOKUP(Table7[[#This Row],[Malın kodu]],Table4[Malın kodu],Table4[Malın adı],"Xəta",0)</f>
        <v>Planşet / taxeometr üçün</v>
      </c>
      <c r="F976" s="26">
        <v>1</v>
      </c>
      <c r="G976" s="26"/>
      <c r="H976" s="26" t="s">
        <v>899</v>
      </c>
      <c r="I976" s="26" t="s">
        <v>1918</v>
      </c>
    </row>
    <row r="977" spans="2:9" x14ac:dyDescent="0.25">
      <c r="B977" s="26">
        <f t="shared" si="15"/>
        <v>974</v>
      </c>
      <c r="C977" s="27">
        <v>46181</v>
      </c>
      <c r="D977" s="28" t="s">
        <v>1270</v>
      </c>
      <c r="E977" s="29" t="str">
        <f>_xlfn.XLOOKUP(Table7[[#This Row],[Malın kodu]],Table4[Malın kodu],Table4[Malın adı],"Xəta",0)</f>
        <v>Akkumulyator / 12V / 77AH / 640A / "Tungstone"</v>
      </c>
      <c r="F977" s="26"/>
      <c r="G977" s="26">
        <v>1</v>
      </c>
      <c r="H977" s="26" t="s">
        <v>1901</v>
      </c>
      <c r="I977" s="26" t="s">
        <v>904</v>
      </c>
    </row>
    <row r="978" spans="2:9" x14ac:dyDescent="0.25">
      <c r="B978" s="26">
        <f t="shared" si="15"/>
        <v>975</v>
      </c>
      <c r="C978" s="27">
        <v>46183</v>
      </c>
      <c r="D978" s="28" t="s">
        <v>1912</v>
      </c>
      <c r="E978" s="29" t="str">
        <f>_xlfn.XLOOKUP(Table7[[#This Row],[Malın kodu]],Table4[Malın kodu],Table4[Malın adı],"Xəta",0)</f>
        <v>Sayğac / Elektrik / 3*100A LUN23 /LUNA</v>
      </c>
      <c r="F978" s="26">
        <v>1</v>
      </c>
      <c r="G978" s="26"/>
      <c r="H978" s="26" t="s">
        <v>1909</v>
      </c>
      <c r="I978" s="26" t="s">
        <v>1897</v>
      </c>
    </row>
    <row r="979" spans="2:9" x14ac:dyDescent="0.25">
      <c r="B979" s="26">
        <f t="shared" si="15"/>
        <v>976</v>
      </c>
      <c r="C979" s="27">
        <v>46186</v>
      </c>
      <c r="D979" s="28" t="s">
        <v>1580</v>
      </c>
      <c r="E979" s="29" t="str">
        <f>_xlfn.XLOOKUP(Table7[[#This Row],[Malın kodu]],Table4[Malın kodu],Table4[Malın adı],"Xəta",0)</f>
        <v>Vaqonet (badya) /</v>
      </c>
      <c r="F979" s="26"/>
      <c r="G979" s="26">
        <v>1</v>
      </c>
      <c r="H979" s="26" t="s">
        <v>1901</v>
      </c>
      <c r="I979" s="26" t="s">
        <v>904</v>
      </c>
    </row>
    <row r="980" spans="2:9" x14ac:dyDescent="0.25">
      <c r="B980" s="26">
        <f t="shared" si="15"/>
        <v>977</v>
      </c>
      <c r="C980" s="27">
        <v>46188</v>
      </c>
      <c r="D980" s="28" t="s">
        <v>1843</v>
      </c>
      <c r="E980" s="29" t="str">
        <f>_xlfn.XLOOKUP(Table7[[#This Row],[Malın kodu]],Table4[Malın kodu],Table4[Malın adı],"Xəta",0)</f>
        <v>Döşək</v>
      </c>
      <c r="F980" s="26">
        <v>4</v>
      </c>
      <c r="G980" s="26"/>
      <c r="H980" s="26" t="s">
        <v>1909</v>
      </c>
      <c r="I980" s="26" t="s">
        <v>1897</v>
      </c>
    </row>
    <row r="981" spans="2:9" x14ac:dyDescent="0.25">
      <c r="B981" s="26">
        <f t="shared" si="15"/>
        <v>978</v>
      </c>
      <c r="C981" s="27">
        <v>46188</v>
      </c>
      <c r="D981" s="28" t="s">
        <v>2090</v>
      </c>
      <c r="E981" s="29" t="str">
        <f>_xlfn.XLOOKUP(Table7[[#This Row],[Malın kodu]],Table4[Malın kodu],Table4[Malın adı],"Xəta",0)</f>
        <v>Bolt-qayka / M 20 / L 70 mm</v>
      </c>
      <c r="F981" s="26">
        <v>3.5</v>
      </c>
      <c r="G981" s="26"/>
      <c r="H981" s="26" t="s">
        <v>1909</v>
      </c>
      <c r="I981" s="26" t="s">
        <v>1897</v>
      </c>
    </row>
    <row r="982" spans="2:9" x14ac:dyDescent="0.25">
      <c r="B982" s="26">
        <f t="shared" si="15"/>
        <v>979</v>
      </c>
      <c r="C982" s="27">
        <v>46188</v>
      </c>
      <c r="D982" s="28" t="s">
        <v>2091</v>
      </c>
      <c r="E982" s="29" t="str">
        <f>_xlfn.XLOOKUP(Table7[[#This Row],[Malın kodu]],Table4[Malın kodu],Table4[Malın adı],"Xəta",0)</f>
        <v>Bolt / M 10 /L 25 / altıkünc</v>
      </c>
      <c r="F982" s="26">
        <v>1</v>
      </c>
      <c r="G982" s="26"/>
      <c r="H982" s="26" t="s">
        <v>1909</v>
      </c>
      <c r="I982" s="26" t="s">
        <v>1897</v>
      </c>
    </row>
    <row r="983" spans="2:9" x14ac:dyDescent="0.25">
      <c r="B983" s="26">
        <f t="shared" si="15"/>
        <v>980</v>
      </c>
      <c r="C983" s="27">
        <v>46188</v>
      </c>
      <c r="D983" s="28" t="s">
        <v>2093</v>
      </c>
      <c r="E983" s="29" t="str">
        <f>_xlfn.XLOOKUP(Table7[[#This Row],[Malın kodu]],Table4[Malın kodu],Table4[Malın adı],"Xəta",0)</f>
        <v>Pauk / diyircəkli yastıq üçün</v>
      </c>
      <c r="F983" s="26">
        <v>4</v>
      </c>
      <c r="G983" s="26"/>
      <c r="H983" s="26" t="s">
        <v>1909</v>
      </c>
      <c r="I983" s="26" t="s">
        <v>1897</v>
      </c>
    </row>
    <row r="984" spans="2:9" x14ac:dyDescent="0.25">
      <c r="B984" s="26">
        <f t="shared" si="15"/>
        <v>981</v>
      </c>
      <c r="C984" s="27">
        <v>46189</v>
      </c>
      <c r="D984" s="28" t="s">
        <v>1260</v>
      </c>
      <c r="E984" s="29" t="str">
        <f>_xlfn.XLOOKUP(Table7[[#This Row],[Malın kodu]],Table4[Malın kodu],Table4[Malın adı],"Xəta",0)</f>
        <v>Perforator / "Bosch" / GBH 8-45 D</v>
      </c>
      <c r="F984" s="26"/>
      <c r="G984" s="26">
        <v>1</v>
      </c>
      <c r="H984" s="26" t="s">
        <v>1901</v>
      </c>
      <c r="I984" s="26" t="s">
        <v>904</v>
      </c>
    </row>
    <row r="985" spans="2:9" x14ac:dyDescent="0.25">
      <c r="B985" s="26">
        <f t="shared" si="15"/>
        <v>982</v>
      </c>
      <c r="C985" s="27">
        <v>46189</v>
      </c>
      <c r="D985" s="28" t="s">
        <v>1292</v>
      </c>
      <c r="E985" s="29" t="str">
        <f>_xlfn.XLOOKUP(Table7[[#This Row],[Malın kodu]],Table4[Malın kodu],Table4[Malın adı],"Xəta",0)</f>
        <v>Nivelyator dayağı / üçayaq / metal</v>
      </c>
      <c r="F985" s="26"/>
      <c r="G985" s="26">
        <v>1</v>
      </c>
      <c r="H985" s="26" t="s">
        <v>1901</v>
      </c>
      <c r="I985" s="26" t="s">
        <v>904</v>
      </c>
    </row>
    <row r="986" spans="2:9" x14ac:dyDescent="0.25">
      <c r="B986" s="26">
        <f t="shared" si="15"/>
        <v>983</v>
      </c>
      <c r="C986" s="27">
        <v>46189</v>
      </c>
      <c r="D986" s="28" t="s">
        <v>1771</v>
      </c>
      <c r="E986" s="29" t="str">
        <f>_xlfn.XLOOKUP(Table7[[#This Row],[Malın kodu]],Table4[Malın kodu],Table4[Malın adı],"Xəta",0)</f>
        <v>Armatur əyən alət</v>
      </c>
      <c r="F986" s="26"/>
      <c r="G986" s="26">
        <v>2</v>
      </c>
      <c r="H986" s="26" t="s">
        <v>1901</v>
      </c>
      <c r="I986" s="26" t="s">
        <v>904</v>
      </c>
    </row>
    <row r="987" spans="2:9" x14ac:dyDescent="0.25">
      <c r="B987" s="26">
        <f t="shared" si="15"/>
        <v>984</v>
      </c>
      <c r="C987" s="27">
        <v>46191</v>
      </c>
      <c r="D987" s="28" t="s">
        <v>1061</v>
      </c>
      <c r="E987" s="29" t="str">
        <f>_xlfn.XLOOKUP(Table7[[#This Row],[Malın kodu]],Table4[Malın kodu],Table4[Malın adı],"Xəta",0)</f>
        <v>Printer / "HP" / MFP M181FW / Vyetnam istehsalı</v>
      </c>
      <c r="F987" s="26"/>
      <c r="G987" s="26">
        <v>1</v>
      </c>
      <c r="H987" s="26" t="s">
        <v>1901</v>
      </c>
      <c r="I987" s="26" t="s">
        <v>904</v>
      </c>
    </row>
    <row r="988" spans="2:9" x14ac:dyDescent="0.25">
      <c r="B988" s="26">
        <f t="shared" si="15"/>
        <v>985</v>
      </c>
      <c r="C988" s="27">
        <v>46191</v>
      </c>
      <c r="D988" s="28" t="s">
        <v>1062</v>
      </c>
      <c r="E988" s="29" t="str">
        <f>_xlfn.XLOOKUP(Table7[[#This Row],[Malın kodu]],Table4[Malın kodu],Table4[Malın adı],"Xəta",0)</f>
        <v>Elektrik mişar / 2350 Wt / d 235 mm / "Viktor" /  Çin istehsalı</v>
      </c>
      <c r="F988" s="26"/>
      <c r="G988" s="26">
        <v>1</v>
      </c>
      <c r="H988" s="26" t="s">
        <v>1901</v>
      </c>
      <c r="I988" s="26" t="s">
        <v>904</v>
      </c>
    </row>
    <row r="989" spans="2:9" x14ac:dyDescent="0.25">
      <c r="B989" s="26">
        <f t="shared" si="15"/>
        <v>986</v>
      </c>
      <c r="C989" s="27">
        <v>46191</v>
      </c>
      <c r="D989" s="28" t="s">
        <v>1064</v>
      </c>
      <c r="E989" s="29" t="str">
        <f>_xlfn.XLOOKUP(Table7[[#This Row],[Malın kodu]],Table4[Malın kodu],Table4[Malın adı],"Xəta",0)</f>
        <v>Pika / 25 x 400 mm / pnevmatik çəkic üçün / Çin istehsalı</v>
      </c>
      <c r="F989" s="26"/>
      <c r="G989" s="26">
        <v>4</v>
      </c>
      <c r="H989" s="26" t="s">
        <v>1901</v>
      </c>
      <c r="I989" s="26" t="s">
        <v>904</v>
      </c>
    </row>
    <row r="990" spans="2:9" ht="30" x14ac:dyDescent="0.25">
      <c r="B990" s="26">
        <f t="shared" si="15"/>
        <v>987</v>
      </c>
      <c r="C990" s="27">
        <v>46191</v>
      </c>
      <c r="D990" s="28" t="s">
        <v>1080</v>
      </c>
      <c r="E990" s="29" t="str">
        <f>_xlfn.XLOOKUP(Table7[[#This Row],[Malın kodu]],Table4[Malın kodu],Table4[Malın adı],"Xəta",0)</f>
        <v>Su pompası / IP 44 / 0,37 kVt / Q=5-30 Litr / H=32metr / "M5" / Çin istehsalı</v>
      </c>
      <c r="F990" s="26"/>
      <c r="G990" s="26">
        <v>1</v>
      </c>
      <c r="H990" s="26" t="s">
        <v>1923</v>
      </c>
      <c r="I990" s="26" t="s">
        <v>911</v>
      </c>
    </row>
    <row r="991" spans="2:9" x14ac:dyDescent="0.25">
      <c r="B991" s="26">
        <f t="shared" si="15"/>
        <v>988</v>
      </c>
      <c r="C991" s="27">
        <v>46191</v>
      </c>
      <c r="D991" s="28" t="s">
        <v>1084</v>
      </c>
      <c r="E991" s="29" t="str">
        <f>_xlfn.XLOOKUP(Table7[[#This Row],[Malın kodu]],Table4[Malın kodu],Table4[Malın adı],"Xəta",0)</f>
        <v>Burğu / d 14 mm / perforator üçün</v>
      </c>
      <c r="F991" s="26"/>
      <c r="G991" s="26">
        <v>2</v>
      </c>
      <c r="H991" s="26" t="s">
        <v>1901</v>
      </c>
      <c r="I991" s="26" t="s">
        <v>905</v>
      </c>
    </row>
    <row r="992" spans="2:9" x14ac:dyDescent="0.25">
      <c r="B992" s="26">
        <f t="shared" si="15"/>
        <v>989</v>
      </c>
      <c r="C992" s="27">
        <v>46191</v>
      </c>
      <c r="D992" s="28" t="s">
        <v>1085</v>
      </c>
      <c r="E992" s="29" t="str">
        <f>_xlfn.XLOOKUP(Table7[[#This Row],[Malın kodu]],Table4[Malın kodu],Table4[Malın adı],"Xəta",0)</f>
        <v>Burğu / d 18 mm / perforator üçün</v>
      </c>
      <c r="F992" s="26"/>
      <c r="G992" s="26">
        <v>1</v>
      </c>
      <c r="H992" s="26" t="s">
        <v>1901</v>
      </c>
      <c r="I992" s="26" t="s">
        <v>905</v>
      </c>
    </row>
    <row r="993" spans="2:9" x14ac:dyDescent="0.25">
      <c r="B993" s="26">
        <f t="shared" si="15"/>
        <v>990</v>
      </c>
      <c r="C993" s="27">
        <v>46191</v>
      </c>
      <c r="D993" s="28" t="s">
        <v>1086</v>
      </c>
      <c r="E993" s="29" t="str">
        <f>_xlfn.XLOOKUP(Table7[[#This Row],[Malın kodu]],Table4[Malın kodu],Table4[Malın adı],"Xəta",0)</f>
        <v>Kəsər sapı / taxta</v>
      </c>
      <c r="F993" s="26"/>
      <c r="G993" s="26">
        <v>5</v>
      </c>
      <c r="H993" s="26" t="s">
        <v>1901</v>
      </c>
      <c r="I993" s="26" t="s">
        <v>905</v>
      </c>
    </row>
    <row r="994" spans="2:9" ht="30" x14ac:dyDescent="0.25">
      <c r="B994" s="26">
        <f t="shared" si="15"/>
        <v>991</v>
      </c>
      <c r="C994" s="27">
        <v>46191</v>
      </c>
      <c r="D994" s="28" t="s">
        <v>1096</v>
      </c>
      <c r="E994" s="29" t="str">
        <f>_xlfn.XLOOKUP(Table7[[#This Row],[Malın kodu]],Table4[Malın kodu],Table4[Malın adı],"Xəta",0)</f>
        <v>Qaynaq aparatı / 20-315 mm / plastik muftalar üçün / "Hürner" / HST 300 Easy D / Almaniya istehsalı</v>
      </c>
      <c r="F994" s="26"/>
      <c r="G994" s="26">
        <v>1</v>
      </c>
      <c r="H994" s="26" t="s">
        <v>1901</v>
      </c>
      <c r="I994" s="26" t="s">
        <v>904</v>
      </c>
    </row>
    <row r="995" spans="2:9" x14ac:dyDescent="0.25">
      <c r="B995" s="26">
        <f t="shared" si="15"/>
        <v>992</v>
      </c>
      <c r="C995" s="27">
        <v>46191</v>
      </c>
      <c r="D995" s="28" t="s">
        <v>1148</v>
      </c>
      <c r="E995" s="29" t="str">
        <f>_xlfn.XLOOKUP(Table7[[#This Row],[Malın kodu]],Table4[Malın kodu],Table4[Malın adı],"Xəta",0)</f>
        <v>Burğu / 8 x 120 mm</v>
      </c>
      <c r="F995" s="26"/>
      <c r="G995" s="26">
        <v>2</v>
      </c>
      <c r="H995" s="26" t="s">
        <v>1901</v>
      </c>
      <c r="I995" s="26" t="s">
        <v>904</v>
      </c>
    </row>
    <row r="996" spans="2:9" x14ac:dyDescent="0.25">
      <c r="B996" s="26">
        <f t="shared" si="15"/>
        <v>993</v>
      </c>
      <c r="C996" s="27">
        <v>46191</v>
      </c>
      <c r="D996" s="28" t="s">
        <v>1206</v>
      </c>
      <c r="E996" s="29" t="str">
        <f>_xlfn.XLOOKUP(Table7[[#This Row],[Malın kodu]],Table4[Malın kodu],Table4[Malın adı],"Xəta",0)</f>
        <v>Çəkic / 3 LB</v>
      </c>
      <c r="F996" s="26"/>
      <c r="G996" s="26">
        <v>1</v>
      </c>
      <c r="H996" s="26" t="s">
        <v>1901</v>
      </c>
      <c r="I996" s="26" t="s">
        <v>904</v>
      </c>
    </row>
    <row r="997" spans="2:9" x14ac:dyDescent="0.25">
      <c r="B997" s="26">
        <f t="shared" si="15"/>
        <v>994</v>
      </c>
      <c r="C997" s="27">
        <v>46191</v>
      </c>
      <c r="D997" s="28" t="s">
        <v>1222</v>
      </c>
      <c r="E997" s="29" t="str">
        <f>_xlfn.XLOOKUP(Table7[[#This Row],[Malın kodu]],Table4[Malın kodu],Table4[Malın adı],"Xəta",0)</f>
        <v>Bel / metal</v>
      </c>
      <c r="F997" s="26"/>
      <c r="G997" s="26">
        <v>2</v>
      </c>
      <c r="H997" s="26" t="s">
        <v>1901</v>
      </c>
      <c r="I997" s="26" t="s">
        <v>904</v>
      </c>
    </row>
    <row r="998" spans="2:9" x14ac:dyDescent="0.25">
      <c r="B998" s="26">
        <f t="shared" si="15"/>
        <v>995</v>
      </c>
      <c r="C998" s="27">
        <v>46191</v>
      </c>
      <c r="D998" s="28" t="s">
        <v>1224</v>
      </c>
      <c r="E998" s="29" t="str">
        <f>_xlfn.XLOOKUP(Table7[[#This Row],[Malın kodu]],Table4[Malın kodu],Table4[Malın adı],"Xəta",0)</f>
        <v>Dabilgə / plastik / sarı</v>
      </c>
      <c r="F998" s="26"/>
      <c r="G998" s="26">
        <v>6</v>
      </c>
      <c r="H998" s="26" t="s">
        <v>1901</v>
      </c>
      <c r="I998" s="26" t="s">
        <v>904</v>
      </c>
    </row>
    <row r="999" spans="2:9" x14ac:dyDescent="0.25">
      <c r="B999" s="26">
        <f t="shared" si="15"/>
        <v>996</v>
      </c>
      <c r="C999" s="27">
        <v>46191</v>
      </c>
      <c r="D999" s="28" t="s">
        <v>1227</v>
      </c>
      <c r="E999" s="29" t="str">
        <f>_xlfn.XLOOKUP(Table7[[#This Row],[Malın kodu]],Table4[Malın kodu],Table4[Malın adı],"Xəta",0)</f>
        <v>Dabilgə / plastik / göy</v>
      </c>
      <c r="F999" s="26"/>
      <c r="G999" s="26">
        <v>4</v>
      </c>
      <c r="H999" s="26" t="s">
        <v>1901</v>
      </c>
      <c r="I999" s="26" t="s">
        <v>904</v>
      </c>
    </row>
    <row r="1000" spans="2:9" x14ac:dyDescent="0.25">
      <c r="B1000" s="26">
        <f t="shared" si="15"/>
        <v>997</v>
      </c>
      <c r="C1000" s="27">
        <v>46191</v>
      </c>
      <c r="D1000" s="28" t="s">
        <v>1240</v>
      </c>
      <c r="E1000" s="29" t="str">
        <f>_xlfn.XLOOKUP(Table7[[#This Row],[Malın kodu]],Table4[Malın kodu],Table4[Malın adı],"Xəta",0)</f>
        <v>Ventilyator / yerüstü</v>
      </c>
      <c r="F1000" s="26"/>
      <c r="G1000" s="26">
        <v>1</v>
      </c>
      <c r="H1000" s="26" t="s">
        <v>1901</v>
      </c>
      <c r="I1000" s="26" t="s">
        <v>904</v>
      </c>
    </row>
    <row r="1001" spans="2:9" x14ac:dyDescent="0.25">
      <c r="B1001" s="26">
        <f t="shared" si="15"/>
        <v>998</v>
      </c>
      <c r="C1001" s="27">
        <v>46191</v>
      </c>
      <c r="D1001" s="28" t="s">
        <v>1260</v>
      </c>
      <c r="E1001" s="29" t="str">
        <f>_xlfn.XLOOKUP(Table7[[#This Row],[Malın kodu]],Table4[Malın kodu],Table4[Malın adı],"Xəta",0)</f>
        <v>Perforator / "Bosch" / GBH 8-45 D</v>
      </c>
      <c r="F1001" s="26"/>
      <c r="G1001" s="26">
        <v>1</v>
      </c>
      <c r="H1001" s="26" t="s">
        <v>1901</v>
      </c>
      <c r="I1001" s="26" t="s">
        <v>904</v>
      </c>
    </row>
    <row r="1002" spans="2:9" x14ac:dyDescent="0.25">
      <c r="B1002" s="26">
        <f t="shared" si="15"/>
        <v>999</v>
      </c>
      <c r="C1002" s="27">
        <v>46191</v>
      </c>
      <c r="D1002" s="28" t="s">
        <v>1262</v>
      </c>
      <c r="E1002" s="29" t="str">
        <f>_xlfn.XLOOKUP(Table7[[#This Row],[Malın kodu]],Table4[Malın kodu],Table4[Malın adı],"Xəta",0)</f>
        <v>Su pompası / dalğıc</v>
      </c>
      <c r="F1002" s="26"/>
      <c r="G1002" s="26">
        <v>1</v>
      </c>
      <c r="H1002" s="26" t="s">
        <v>1901</v>
      </c>
      <c r="I1002" s="26" t="s">
        <v>905</v>
      </c>
    </row>
    <row r="1003" spans="2:9" x14ac:dyDescent="0.25">
      <c r="B1003" s="26">
        <f t="shared" si="15"/>
        <v>1000</v>
      </c>
      <c r="C1003" s="27">
        <v>46191</v>
      </c>
      <c r="D1003" s="28" t="s">
        <v>1262</v>
      </c>
      <c r="E1003" s="29" t="str">
        <f>_xlfn.XLOOKUP(Table7[[#This Row],[Malın kodu]],Table4[Malın kodu],Table4[Malın adı],"Xəta",0)</f>
        <v>Su pompası / dalğıc</v>
      </c>
      <c r="F1003" s="26"/>
      <c r="G1003" s="26">
        <v>2</v>
      </c>
      <c r="H1003" s="26" t="s">
        <v>1901</v>
      </c>
      <c r="I1003" s="26" t="s">
        <v>904</v>
      </c>
    </row>
    <row r="1004" spans="2:9" x14ac:dyDescent="0.25">
      <c r="B1004" s="26">
        <f t="shared" si="15"/>
        <v>1001</v>
      </c>
      <c r="C1004" s="27">
        <v>46191</v>
      </c>
      <c r="D1004" s="28" t="s">
        <v>1262</v>
      </c>
      <c r="E1004" s="29" t="str">
        <f>_xlfn.XLOOKUP(Table7[[#This Row],[Malın kodu]],Table4[Malın kodu],Table4[Malın adı],"Xəta",0)</f>
        <v>Su pompası / dalğıc</v>
      </c>
      <c r="F1004" s="26"/>
      <c r="G1004" s="26">
        <v>1</v>
      </c>
      <c r="H1004" s="26" t="s">
        <v>1923</v>
      </c>
      <c r="I1004" s="26" t="s">
        <v>911</v>
      </c>
    </row>
    <row r="1005" spans="2:9" x14ac:dyDescent="0.25">
      <c r="B1005" s="26">
        <f t="shared" si="15"/>
        <v>1002</v>
      </c>
      <c r="C1005" s="27">
        <v>46191</v>
      </c>
      <c r="D1005" s="28" t="s">
        <v>1273</v>
      </c>
      <c r="E1005" s="29" t="str">
        <f>_xlfn.XLOOKUP(Table7[[#This Row],[Malın kodu]],Table4[Malın kodu],Table4[Malın adı],"Xəta",0)</f>
        <v>Su tərəzisi</v>
      </c>
      <c r="F1005" s="26"/>
      <c r="G1005" s="26">
        <v>1</v>
      </c>
      <c r="H1005" s="26" t="s">
        <v>1901</v>
      </c>
      <c r="I1005" s="26" t="s">
        <v>905</v>
      </c>
    </row>
    <row r="1006" spans="2:9" x14ac:dyDescent="0.25">
      <c r="B1006" s="26">
        <f t="shared" si="15"/>
        <v>1003</v>
      </c>
      <c r="C1006" s="27">
        <v>46191</v>
      </c>
      <c r="D1006" s="28" t="s">
        <v>1276</v>
      </c>
      <c r="E1006" s="29" t="str">
        <f>_xlfn.XLOOKUP(Table7[[#This Row],[Malın kodu]],Table4[Malın kodu],Table4[Malın adı],"Xəta",0)</f>
        <v>Lagonda / 2000 vt / 6500 d/d / "Dingqi" / JB02401 / Çin istehsalı</v>
      </c>
      <c r="F1006" s="26"/>
      <c r="G1006" s="26">
        <v>1</v>
      </c>
      <c r="H1006" s="26" t="s">
        <v>1901</v>
      </c>
      <c r="I1006" s="26" t="s">
        <v>905</v>
      </c>
    </row>
    <row r="1007" spans="2:9" x14ac:dyDescent="0.25">
      <c r="B1007" s="26">
        <f t="shared" si="15"/>
        <v>1004</v>
      </c>
      <c r="C1007" s="27">
        <v>46191</v>
      </c>
      <c r="D1007" s="28" t="s">
        <v>1277</v>
      </c>
      <c r="E1007" s="29" t="str">
        <f>_xlfn.XLOOKUP(Table7[[#This Row],[Malın kodu]],Table4[Malın kodu],Table4[Malın adı],"Xəta",0)</f>
        <v>Lagonda / 2300 vt / 6500 d/d / "Dingqi" / Çin istehsalı</v>
      </c>
      <c r="F1007" s="26"/>
      <c r="G1007" s="26">
        <v>1</v>
      </c>
      <c r="H1007" s="26" t="s">
        <v>1901</v>
      </c>
      <c r="I1007" s="26" t="s">
        <v>904</v>
      </c>
    </row>
    <row r="1008" spans="2:9" x14ac:dyDescent="0.25">
      <c r="B1008" s="26">
        <f t="shared" si="15"/>
        <v>1005</v>
      </c>
      <c r="C1008" s="27">
        <v>46191</v>
      </c>
      <c r="D1008" s="28" t="s">
        <v>1278</v>
      </c>
      <c r="E1008" s="29" t="str">
        <f>_xlfn.XLOOKUP(Table7[[#This Row],[Malın kodu]],Table4[Malın kodu],Table4[Malın adı],"Xəta",0)</f>
        <v>Lagonda / "Bosch" / GWS 21</v>
      </c>
      <c r="F1008" s="26"/>
      <c r="G1008" s="26">
        <v>1</v>
      </c>
      <c r="H1008" s="26" t="s">
        <v>1901</v>
      </c>
      <c r="I1008" s="26" t="s">
        <v>904</v>
      </c>
    </row>
    <row r="1009" spans="2:9" ht="30" x14ac:dyDescent="0.25">
      <c r="B1009" s="26">
        <f t="shared" si="15"/>
        <v>1006</v>
      </c>
      <c r="C1009" s="27">
        <v>46191</v>
      </c>
      <c r="D1009" s="28" t="s">
        <v>1282</v>
      </c>
      <c r="E1009" s="29" t="str">
        <f>_xlfn.XLOOKUP(Table7[[#This Row],[Malın kodu]],Table4[Malın kodu],Table4[Malın adı],"Xəta",0)</f>
        <v>Su pompası / hidrofor ilə / 0.37 kVt / H 32 metr / 2900 d/d / "M5"  / Çin istehsalı</v>
      </c>
      <c r="F1009" s="26"/>
      <c r="G1009" s="26">
        <v>1</v>
      </c>
      <c r="H1009" s="26" t="s">
        <v>1923</v>
      </c>
      <c r="I1009" s="26" t="s">
        <v>911</v>
      </c>
    </row>
    <row r="1010" spans="2:9" x14ac:dyDescent="0.25">
      <c r="B1010" s="26">
        <f t="shared" si="15"/>
        <v>1007</v>
      </c>
      <c r="C1010" s="27">
        <v>46191</v>
      </c>
      <c r="D1010" s="28" t="s">
        <v>1286</v>
      </c>
      <c r="E1010" s="29" t="str">
        <f>_xlfn.XLOOKUP(Table7[[#This Row],[Malın kodu]],Table4[Malın kodu],Table4[Malın adı],"Xəta",0)</f>
        <v>Dizlik</v>
      </c>
      <c r="F1010" s="26"/>
      <c r="G1010" s="26">
        <v>10</v>
      </c>
      <c r="H1010" s="26" t="s">
        <v>1901</v>
      </c>
      <c r="I1010" s="26" t="s">
        <v>905</v>
      </c>
    </row>
    <row r="1011" spans="2:9" ht="30" x14ac:dyDescent="0.25">
      <c r="B1011" s="26">
        <f t="shared" si="15"/>
        <v>1008</v>
      </c>
      <c r="C1011" s="27">
        <v>46191</v>
      </c>
      <c r="D1011" s="28" t="s">
        <v>1299</v>
      </c>
      <c r="E1011" s="29" t="str">
        <f>_xlfn.XLOOKUP(Table7[[#This Row],[Malın kodu]],Table4[Malın kodu],Table4[Malın adı],"Xəta",0)</f>
        <v>Su pompası / dalğıc / 750 Vt / 2860 d/d / 47 metr / "Dingi" Çin istehsalı</v>
      </c>
      <c r="F1011" s="26"/>
      <c r="G1011" s="26">
        <v>1</v>
      </c>
      <c r="H1011" s="26" t="s">
        <v>1923</v>
      </c>
      <c r="I1011" s="26" t="s">
        <v>911</v>
      </c>
    </row>
    <row r="1012" spans="2:9" ht="30" x14ac:dyDescent="0.25">
      <c r="B1012" s="26">
        <f t="shared" si="15"/>
        <v>1009</v>
      </c>
      <c r="C1012" s="27">
        <v>46191</v>
      </c>
      <c r="D1012" s="28" t="s">
        <v>1300</v>
      </c>
      <c r="E1012" s="29" t="str">
        <f>_xlfn.XLOOKUP(Table7[[#This Row],[Malın kodu]],Table4[Malın kodu],Table4[Malın adı],"Xəta",0)</f>
        <v>Su pompası / dalğıc / 1500 Vt / 2860 d/d / 46 metr / "Dingi" Çin istehsalı</v>
      </c>
      <c r="F1012" s="26"/>
      <c r="G1012" s="26">
        <v>1</v>
      </c>
      <c r="H1012" s="26" t="s">
        <v>1923</v>
      </c>
      <c r="I1012" s="26" t="s">
        <v>911</v>
      </c>
    </row>
    <row r="1013" spans="2:9" ht="30" x14ac:dyDescent="0.25">
      <c r="B1013" s="26">
        <f t="shared" si="15"/>
        <v>1010</v>
      </c>
      <c r="C1013" s="27">
        <v>46191</v>
      </c>
      <c r="D1013" s="28" t="s">
        <v>1359</v>
      </c>
      <c r="E1013" s="29" t="str">
        <f>_xlfn.XLOOKUP(Table7[[#This Row],[Malın kodu]],Table4[Malın kodu],Table4[Malın adı],"Xəta",0)</f>
        <v>Yağ / transmissiya / 80 W 90 / API GL-5 / 20Litr / "ALPINE" Almaniya istehsalı</v>
      </c>
      <c r="F1013" s="26"/>
      <c r="G1013" s="26">
        <v>1</v>
      </c>
      <c r="H1013" s="26" t="s">
        <v>1901</v>
      </c>
      <c r="I1013" s="26" t="s">
        <v>905</v>
      </c>
    </row>
    <row r="1014" spans="2:9" x14ac:dyDescent="0.25">
      <c r="B1014" s="26">
        <f t="shared" si="15"/>
        <v>1011</v>
      </c>
      <c r="C1014" s="27">
        <v>46191</v>
      </c>
      <c r="D1014" s="28" t="s">
        <v>1371</v>
      </c>
      <c r="E1014" s="29" t="str">
        <f>_xlfn.XLOOKUP(Table7[[#This Row],[Malın kodu]],Table4[Malın kodu],Table4[Malın adı],"Xəta",0)</f>
        <v>Qaynaqçı dəbilgəsi</v>
      </c>
      <c r="F1014" s="26"/>
      <c r="G1014" s="26">
        <v>2</v>
      </c>
      <c r="H1014" s="26" t="s">
        <v>1901</v>
      </c>
      <c r="I1014" s="26" t="s">
        <v>904</v>
      </c>
    </row>
    <row r="1015" spans="2:9" x14ac:dyDescent="0.25">
      <c r="B1015" s="26">
        <f t="shared" si="15"/>
        <v>1012</v>
      </c>
      <c r="C1015" s="27">
        <v>46191</v>
      </c>
      <c r="D1015" s="28" t="s">
        <v>1373</v>
      </c>
      <c r="E1015" s="29" t="str">
        <f>_xlfn.XLOOKUP(Table7[[#This Row],[Malın kodu]],Table4[Malın kodu],Table4[Malın adı],"Xəta",0)</f>
        <v>Su pompası / dalğıc / "SHIMGE" / 417 L/d</v>
      </c>
      <c r="F1015" s="26"/>
      <c r="G1015" s="26">
        <v>1</v>
      </c>
      <c r="H1015" s="26" t="s">
        <v>1923</v>
      </c>
      <c r="I1015" s="26" t="s">
        <v>911</v>
      </c>
    </row>
    <row r="1016" spans="2:9" ht="30" x14ac:dyDescent="0.25">
      <c r="B1016" s="26">
        <f t="shared" si="15"/>
        <v>1013</v>
      </c>
      <c r="C1016" s="27">
        <v>46191</v>
      </c>
      <c r="D1016" s="28" t="s">
        <v>1447</v>
      </c>
      <c r="E1016" s="29" t="str">
        <f>_xlfn.XLOOKUP(Table7[[#This Row],[Malın kodu]],Table4[Malın kodu],Table4[Malın adı],"Xəta",0)</f>
        <v>Elektrik mişar / 1380 Vt / d 185 mm / 5300 dövr/dəq / “Makute” Çin istehsalı</v>
      </c>
      <c r="F1016" s="26"/>
      <c r="G1016" s="26">
        <v>1</v>
      </c>
      <c r="H1016" s="26" t="s">
        <v>1901</v>
      </c>
      <c r="I1016" s="26" t="s">
        <v>904</v>
      </c>
    </row>
    <row r="1017" spans="2:9" x14ac:dyDescent="0.25">
      <c r="B1017" s="26">
        <f t="shared" si="15"/>
        <v>1014</v>
      </c>
      <c r="C1017" s="27">
        <v>46191</v>
      </c>
      <c r="D1017" s="28" t="s">
        <v>1496</v>
      </c>
      <c r="E1017" s="29" t="str">
        <f>_xlfn.XLOOKUP(Table7[[#This Row],[Malın kodu]],Table4[Malın kodu],Table4[Malın adı],"Xəta",0)</f>
        <v>Konteyner / 6 metr</v>
      </c>
      <c r="F1017" s="26"/>
      <c r="G1017" s="26">
        <v>1</v>
      </c>
      <c r="H1017" s="26" t="s">
        <v>1901</v>
      </c>
      <c r="I1017" s="26" t="s">
        <v>904</v>
      </c>
    </row>
    <row r="1018" spans="2:9" x14ac:dyDescent="0.25">
      <c r="B1018" s="26">
        <f t="shared" si="15"/>
        <v>1015</v>
      </c>
      <c r="C1018" s="27">
        <v>46191</v>
      </c>
      <c r="D1018" s="28" t="s">
        <v>1497</v>
      </c>
      <c r="E1018" s="29" t="str">
        <f>_xlfn.XLOOKUP(Table7[[#This Row],[Malın kodu]],Table4[Malın kodu],Table4[Malın adı],"Xəta",0)</f>
        <v>Konteyner / 12 metr</v>
      </c>
      <c r="F1018" s="26"/>
      <c r="G1018" s="26">
        <v>1</v>
      </c>
      <c r="H1018" s="26" t="s">
        <v>1901</v>
      </c>
      <c r="I1018" s="26" t="s">
        <v>904</v>
      </c>
    </row>
    <row r="1019" spans="2:9" x14ac:dyDescent="0.25">
      <c r="B1019" s="26">
        <f t="shared" si="15"/>
        <v>1016</v>
      </c>
      <c r="C1019" s="27">
        <v>46191</v>
      </c>
      <c r="D1019" s="28" t="s">
        <v>1524</v>
      </c>
      <c r="E1019" s="29" t="str">
        <f>_xlfn.XLOOKUP(Table7[[#This Row],[Malın kodu]],Table4[Malın kodu],Table4[Malın adı],"Xəta",0)</f>
        <v>Generator / 7.5 kVA / dizel / "Power Tech"</v>
      </c>
      <c r="F1019" s="26"/>
      <c r="G1019" s="26">
        <v>1</v>
      </c>
      <c r="H1019" s="26" t="s">
        <v>1901</v>
      </c>
      <c r="I1019" s="26" t="s">
        <v>905</v>
      </c>
    </row>
    <row r="1020" spans="2:9" ht="30" x14ac:dyDescent="0.25">
      <c r="B1020" s="26">
        <f t="shared" si="15"/>
        <v>1017</v>
      </c>
      <c r="C1020" s="27">
        <v>46191</v>
      </c>
      <c r="D1020" s="28" t="s">
        <v>1525</v>
      </c>
      <c r="E1020" s="29" t="str">
        <f>_xlfn.XLOOKUP(Table7[[#This Row],[Malın kodu]],Table4[Malın kodu],Table4[Malın adı],"Xəta",0)</f>
        <v>Armatur kəsən / hidravlik / d 36 mm / 4 kvt / 1500 d/d / "AFACAN" / Türkiyə istehsalı</v>
      </c>
      <c r="F1020" s="26"/>
      <c r="G1020" s="26">
        <v>2</v>
      </c>
      <c r="H1020" s="26" t="s">
        <v>1901</v>
      </c>
      <c r="I1020" s="26" t="s">
        <v>904</v>
      </c>
    </row>
    <row r="1021" spans="2:9" ht="30" x14ac:dyDescent="0.25">
      <c r="B1021" s="26">
        <f t="shared" si="15"/>
        <v>1018</v>
      </c>
      <c r="C1021" s="27">
        <v>46191</v>
      </c>
      <c r="D1021" s="28" t="s">
        <v>1532</v>
      </c>
      <c r="E1021" s="29" t="str">
        <f>_xlfn.XLOOKUP(Table7[[#This Row],[Malın kodu]],Table4[Malın kodu],Table4[Malın adı],"Xəta",0)</f>
        <v>Generator / dizel / 4.5 kvt / 220V / 50 Hz / IP23 / "FIRMAN" / SDG5500CLE / Çin istehsalı / 1 əd</v>
      </c>
      <c r="F1021" s="26"/>
      <c r="G1021" s="26">
        <v>1</v>
      </c>
      <c r="H1021" s="26" t="s">
        <v>1901</v>
      </c>
      <c r="I1021" s="26" t="s">
        <v>904</v>
      </c>
    </row>
    <row r="1022" spans="2:9" x14ac:dyDescent="0.25">
      <c r="B1022" s="26">
        <f t="shared" si="15"/>
        <v>1019</v>
      </c>
      <c r="C1022" s="27">
        <v>46191</v>
      </c>
      <c r="D1022" s="28" t="s">
        <v>1533</v>
      </c>
      <c r="E1022" s="29" t="str">
        <f>_xlfn.XLOOKUP(Table7[[#This Row],[Malın kodu]],Table4[Malın kodu],Table4[Malın adı],"Xəta",0)</f>
        <v>Generator / "ITC POWER" / Çin istehsalı</v>
      </c>
      <c r="F1022" s="26"/>
      <c r="G1022" s="26">
        <v>1</v>
      </c>
      <c r="H1022" s="26" t="s">
        <v>1901</v>
      </c>
      <c r="I1022" s="26" t="s">
        <v>905</v>
      </c>
    </row>
    <row r="1023" spans="2:9" x14ac:dyDescent="0.25">
      <c r="B1023" s="26">
        <f t="shared" si="15"/>
        <v>1020</v>
      </c>
      <c r="C1023" s="27">
        <v>46191</v>
      </c>
      <c r="D1023" s="28" t="s">
        <v>1539</v>
      </c>
      <c r="E1023" s="29" t="str">
        <f>_xlfn.XLOOKUP(Table7[[#This Row],[Malın kodu]],Table4[Malın kodu],Table4[Malın adı],"Xəta",0)</f>
        <v>Generator / 7.5 kvt / benzin / 220-230V / "KEMAN" / Çin istehsalı</v>
      </c>
      <c r="F1023" s="26"/>
      <c r="G1023" s="26">
        <v>1</v>
      </c>
      <c r="H1023" s="26" t="s">
        <v>1901</v>
      </c>
      <c r="I1023" s="26" t="s">
        <v>905</v>
      </c>
    </row>
    <row r="1024" spans="2:9" ht="30" x14ac:dyDescent="0.25">
      <c r="B1024" s="26">
        <f t="shared" si="15"/>
        <v>1021</v>
      </c>
      <c r="C1024" s="27">
        <v>46191</v>
      </c>
      <c r="D1024" s="28" t="s">
        <v>1540</v>
      </c>
      <c r="E1024" s="29" t="str">
        <f>_xlfn.XLOOKUP(Table7[[#This Row],[Malın kodu]],Table4[Malın kodu],Table4[Malın adı],"Xəta",0)</f>
        <v>Armatur əyən / 3 kvt / 11 d/d / 380V / 3 faza / "AFACAN" / B36 / Türkiyə istehsalı</v>
      </c>
      <c r="F1024" s="26"/>
      <c r="G1024" s="26">
        <v>1</v>
      </c>
      <c r="H1024" s="26" t="s">
        <v>1901</v>
      </c>
      <c r="I1024" s="26" t="s">
        <v>904</v>
      </c>
    </row>
    <row r="1025" spans="2:9" ht="30" x14ac:dyDescent="0.25">
      <c r="B1025" s="26">
        <f t="shared" si="15"/>
        <v>1022</v>
      </c>
      <c r="C1025" s="27">
        <v>46191</v>
      </c>
      <c r="D1025" s="28" t="s">
        <v>1540</v>
      </c>
      <c r="E1025" s="29" t="str">
        <f>_xlfn.XLOOKUP(Table7[[#This Row],[Malın kodu]],Table4[Malın kodu],Table4[Malın adı],"Xəta",0)</f>
        <v>Armatur əyən / 3 kvt / 11 d/d / 380V / 3 faza / "AFACAN" / B36 / Türkiyə istehsalı</v>
      </c>
      <c r="F1025" s="26"/>
      <c r="G1025" s="26">
        <v>1</v>
      </c>
      <c r="H1025" s="26" t="s">
        <v>1901</v>
      </c>
      <c r="I1025" s="26" t="s">
        <v>905</v>
      </c>
    </row>
    <row r="1026" spans="2:9" ht="30" x14ac:dyDescent="0.25">
      <c r="B1026" s="26">
        <f t="shared" si="15"/>
        <v>1023</v>
      </c>
      <c r="C1026" s="27">
        <v>46191</v>
      </c>
      <c r="D1026" s="28" t="s">
        <v>1542</v>
      </c>
      <c r="E1026" s="29" t="str">
        <f>_xlfn.XLOOKUP(Table7[[#This Row],[Malın kodu]],Table4[Malın kodu],Table4[Malın adı],"Xəta",0)</f>
        <v>Kompressor / 2.4 Atm / "IR Ingersoll Rand" / 7/3IE / İngiltərə istehsalı</v>
      </c>
      <c r="F1026" s="26"/>
      <c r="G1026" s="26">
        <v>1</v>
      </c>
      <c r="H1026" s="26" t="s">
        <v>1901</v>
      </c>
      <c r="I1026" s="26" t="s">
        <v>905</v>
      </c>
    </row>
    <row r="1027" spans="2:9" x14ac:dyDescent="0.25">
      <c r="B1027" s="26">
        <f t="shared" si="15"/>
        <v>1024</v>
      </c>
      <c r="C1027" s="27">
        <v>46191</v>
      </c>
      <c r="D1027" s="28" t="s">
        <v>1556</v>
      </c>
      <c r="E1027" s="29" t="str">
        <f>_xlfn.XLOOKUP(Table7[[#This Row],[Malın kodu]],Table4[Malın kodu],Table4[Malın adı],"Xəta",0)</f>
        <v>Tunel qəlibi / giriş-çıxış quyuları üçün</v>
      </c>
      <c r="F1027" s="26"/>
      <c r="G1027" s="26">
        <v>20</v>
      </c>
      <c r="H1027" s="26" t="s">
        <v>1901</v>
      </c>
      <c r="I1027" s="26" t="s">
        <v>904</v>
      </c>
    </row>
    <row r="1028" spans="2:9" x14ac:dyDescent="0.25">
      <c r="B1028" s="26">
        <f t="shared" ref="B1028:B1091" si="16">ROW()-3</f>
        <v>1025</v>
      </c>
      <c r="C1028" s="27">
        <v>46191</v>
      </c>
      <c r="D1028" s="28" t="s">
        <v>1586</v>
      </c>
      <c r="E1028" s="29" t="str">
        <f>_xlfn.XLOOKUP(Table7[[#This Row],[Malın kodu]],Table4[Malın kodu],Table4[Malın adı],"Xəta",0)</f>
        <v>Su pompası / mühərriksiz / "AK Misan"</v>
      </c>
      <c r="F1028" s="26"/>
      <c r="G1028" s="26">
        <v>1</v>
      </c>
      <c r="H1028" s="26" t="s">
        <v>1923</v>
      </c>
      <c r="I1028" s="26" t="s">
        <v>911</v>
      </c>
    </row>
    <row r="1029" spans="2:9" x14ac:dyDescent="0.25">
      <c r="B1029" s="26">
        <f t="shared" si="16"/>
        <v>1026</v>
      </c>
      <c r="C1029" s="27">
        <v>46191</v>
      </c>
      <c r="D1029" s="28" t="s">
        <v>1666</v>
      </c>
      <c r="E1029" s="29" t="str">
        <f>_xlfn.XLOOKUP(Table7[[#This Row],[Malın kodu]],Table4[Malın kodu],Table4[Malın adı],"Xəta",0)</f>
        <v>Kondisioner mühərriki / "AUX"</v>
      </c>
      <c r="F1029" s="26"/>
      <c r="G1029" s="26">
        <v>2</v>
      </c>
      <c r="H1029" s="26" t="s">
        <v>1901</v>
      </c>
      <c r="I1029" s="26" t="s">
        <v>904</v>
      </c>
    </row>
    <row r="1030" spans="2:9" x14ac:dyDescent="0.25">
      <c r="B1030" s="26">
        <f t="shared" si="16"/>
        <v>1027</v>
      </c>
      <c r="C1030" s="27">
        <v>46191</v>
      </c>
      <c r="D1030" s="28" t="s">
        <v>1706</v>
      </c>
      <c r="E1030" s="29" t="str">
        <f>_xlfn.XLOOKUP(Table7[[#This Row],[Malın kodu]],Table4[Malın kodu],Table4[Malın adı],"Xəta",0)</f>
        <v>Akkumulyator / 12V / 100AH / Ca-Ca / "Energy" / Türkiyə istehsalı</v>
      </c>
      <c r="F1030" s="26"/>
      <c r="G1030" s="26">
        <v>1</v>
      </c>
      <c r="H1030" s="26" t="s">
        <v>1901</v>
      </c>
      <c r="I1030" s="26" t="s">
        <v>905</v>
      </c>
    </row>
    <row r="1031" spans="2:9" x14ac:dyDescent="0.25">
      <c r="B1031" s="26">
        <f t="shared" si="16"/>
        <v>1028</v>
      </c>
      <c r="C1031" s="27">
        <v>46191</v>
      </c>
      <c r="D1031" s="28" t="s">
        <v>1711</v>
      </c>
      <c r="E1031" s="29" t="str">
        <f>_xlfn.XLOOKUP(Table7[[#This Row],[Malın kodu]],Table4[Malın kodu],Table4[Malın adı],"Xəta",0)</f>
        <v>Beton vibratorun mühərriki</v>
      </c>
      <c r="F1031" s="26"/>
      <c r="G1031" s="26">
        <v>2</v>
      </c>
      <c r="H1031" s="26" t="s">
        <v>1901</v>
      </c>
      <c r="I1031" s="26" t="s">
        <v>904</v>
      </c>
    </row>
    <row r="1032" spans="2:9" x14ac:dyDescent="0.25">
      <c r="B1032" s="26">
        <f t="shared" si="16"/>
        <v>1029</v>
      </c>
      <c r="C1032" s="27">
        <v>46191</v>
      </c>
      <c r="D1032" s="28" t="s">
        <v>1734</v>
      </c>
      <c r="E1032" s="29" t="str">
        <f>_xlfn.XLOOKUP(Table7[[#This Row],[Malın kodu]],Table4[Malın kodu],Table4[Malın adı],"Xəta",0)</f>
        <v>Su pompası / dalğıc / 0.75 kvt / 250 L/d / 10 metr / "SNçlIMGE"</v>
      </c>
      <c r="F1032" s="26"/>
      <c r="G1032" s="26">
        <v>1</v>
      </c>
      <c r="H1032" s="26" t="s">
        <v>1923</v>
      </c>
      <c r="I1032" s="26" t="s">
        <v>911</v>
      </c>
    </row>
    <row r="1033" spans="2:9" x14ac:dyDescent="0.25">
      <c r="B1033" s="26">
        <f t="shared" si="16"/>
        <v>1030</v>
      </c>
      <c r="C1033" s="27">
        <v>46191</v>
      </c>
      <c r="D1033" s="28" t="s">
        <v>1735</v>
      </c>
      <c r="E1033" s="29" t="str">
        <f>_xlfn.XLOOKUP(Table7[[#This Row],[Malın kodu]],Table4[Malın kodu],Table4[Malın adı],"Xəta",0)</f>
        <v>Su pompası / "Seakoo"</v>
      </c>
      <c r="F1033" s="26"/>
      <c r="G1033" s="26">
        <v>1</v>
      </c>
      <c r="H1033" s="26" t="s">
        <v>1923</v>
      </c>
      <c r="I1033" s="26" t="s">
        <v>911</v>
      </c>
    </row>
    <row r="1034" spans="2:9" x14ac:dyDescent="0.25">
      <c r="B1034" s="26">
        <f t="shared" si="16"/>
        <v>1031</v>
      </c>
      <c r="C1034" s="27">
        <v>46191</v>
      </c>
      <c r="D1034" s="28" t="s">
        <v>1736</v>
      </c>
      <c r="E1034" s="29" t="str">
        <f>_xlfn.XLOOKUP(Table7[[#This Row],[Malın kodu]],Table4[Malın kodu],Table4[Malın adı],"Xəta",0)</f>
        <v>Su pompası / dalğıc / 1100 vt / "Shimge"</v>
      </c>
      <c r="F1034" s="26"/>
      <c r="G1034" s="26">
        <v>1</v>
      </c>
      <c r="H1034" s="26" t="s">
        <v>1923</v>
      </c>
      <c r="I1034" s="26" t="s">
        <v>911</v>
      </c>
    </row>
    <row r="1035" spans="2:9" x14ac:dyDescent="0.25">
      <c r="B1035" s="26">
        <f t="shared" si="16"/>
        <v>1032</v>
      </c>
      <c r="C1035" s="27">
        <v>46191</v>
      </c>
      <c r="D1035" s="28" t="s">
        <v>1762</v>
      </c>
      <c r="E1035" s="29" t="str">
        <f>_xlfn.XLOOKUP(Table7[[#This Row],[Malın kodu]],Table4[Malın kodu],Table4[Malın adı],"Xəta",0)</f>
        <v>Su pompası / 250 Vt / 75 L/d / H 10m / "Shimge"</v>
      </c>
      <c r="F1035" s="26"/>
      <c r="G1035" s="26">
        <v>1</v>
      </c>
      <c r="H1035" s="26" t="s">
        <v>1923</v>
      </c>
      <c r="I1035" s="26" t="s">
        <v>911</v>
      </c>
    </row>
    <row r="1036" spans="2:9" x14ac:dyDescent="0.25">
      <c r="B1036" s="26">
        <f t="shared" si="16"/>
        <v>1033</v>
      </c>
      <c r="C1036" s="27">
        <v>46191</v>
      </c>
      <c r="D1036" s="28" t="s">
        <v>1771</v>
      </c>
      <c r="E1036" s="29" t="str">
        <f>_xlfn.XLOOKUP(Table7[[#This Row],[Malın kodu]],Table4[Malın kodu],Table4[Malın adı],"Xəta",0)</f>
        <v>Armatur əyən alət</v>
      </c>
      <c r="F1036" s="26"/>
      <c r="G1036" s="26">
        <v>3</v>
      </c>
      <c r="H1036" s="26" t="s">
        <v>1901</v>
      </c>
      <c r="I1036" s="26" t="s">
        <v>904</v>
      </c>
    </row>
    <row r="1037" spans="2:9" x14ac:dyDescent="0.25">
      <c r="B1037" s="26">
        <f t="shared" si="16"/>
        <v>1034</v>
      </c>
      <c r="C1037" s="27">
        <v>46191</v>
      </c>
      <c r="D1037" s="28" t="s">
        <v>1771</v>
      </c>
      <c r="E1037" s="29" t="str">
        <f>_xlfn.XLOOKUP(Table7[[#This Row],[Malın kodu]],Table4[Malın kodu],Table4[Malın adı],"Xəta",0)</f>
        <v>Armatur əyən alət</v>
      </c>
      <c r="F1037" s="26"/>
      <c r="G1037" s="26">
        <v>2</v>
      </c>
      <c r="H1037" s="26" t="s">
        <v>1901</v>
      </c>
      <c r="I1037" s="26" t="s">
        <v>904</v>
      </c>
    </row>
    <row r="1038" spans="2:9" x14ac:dyDescent="0.25">
      <c r="B1038" s="26">
        <f t="shared" si="16"/>
        <v>1035</v>
      </c>
      <c r="C1038" s="27">
        <v>46191</v>
      </c>
      <c r="D1038" s="28" t="s">
        <v>1793</v>
      </c>
      <c r="E1038" s="29" t="str">
        <f>_xlfn.XLOOKUP(Table7[[#This Row],[Malın kodu]],Table4[Malın kodu],Table4[Malın adı],"Xəta",0)</f>
        <v>Su pompası / 0.37 kW / 5-33 L/d / H35 m / hidroforla / "SKOM"</v>
      </c>
      <c r="F1038" s="26"/>
      <c r="G1038" s="26">
        <v>1</v>
      </c>
      <c r="H1038" s="26" t="s">
        <v>1923</v>
      </c>
      <c r="I1038" s="26" t="s">
        <v>911</v>
      </c>
    </row>
    <row r="1039" spans="2:9" x14ac:dyDescent="0.25">
      <c r="B1039" s="26">
        <f t="shared" si="16"/>
        <v>1036</v>
      </c>
      <c r="C1039" s="27">
        <v>46191</v>
      </c>
      <c r="D1039" s="28" t="s">
        <v>1809</v>
      </c>
      <c r="E1039" s="29" t="str">
        <f>_xlfn.XLOOKUP(Table7[[#This Row],[Malın kodu]],Table4[Malın kodu],Table4[Malın adı],"Xəta",0)</f>
        <v>Su pompası / 2200 Vt / 1300 L/d / H 18.5 m / “Shimge”</v>
      </c>
      <c r="F1039" s="26"/>
      <c r="G1039" s="26">
        <v>1</v>
      </c>
      <c r="H1039" s="26" t="s">
        <v>1901</v>
      </c>
      <c r="I1039" s="26" t="s">
        <v>904</v>
      </c>
    </row>
    <row r="1040" spans="2:9" x14ac:dyDescent="0.25">
      <c r="B1040" s="26">
        <f t="shared" si="16"/>
        <v>1037</v>
      </c>
      <c r="C1040" s="27">
        <v>46191</v>
      </c>
      <c r="D1040" s="28" t="s">
        <v>1810</v>
      </c>
      <c r="E1040" s="29" t="str">
        <f>_xlfn.XLOOKUP(Table7[[#This Row],[Malın kodu]],Table4[Malın kodu],Table4[Malın adı],"Xəta",0)</f>
        <v>Su pompası / 5.5 kVt / 1400 L/d / “Grandfar”</v>
      </c>
      <c r="F1040" s="26"/>
      <c r="G1040" s="26">
        <v>1</v>
      </c>
      <c r="H1040" s="26" t="s">
        <v>1923</v>
      </c>
      <c r="I1040" s="26" t="s">
        <v>911</v>
      </c>
    </row>
    <row r="1041" spans="2:9" x14ac:dyDescent="0.25">
      <c r="B1041" s="26">
        <f t="shared" si="16"/>
        <v>1038</v>
      </c>
      <c r="C1041" s="27">
        <v>46191</v>
      </c>
      <c r="D1041" s="28" t="s">
        <v>1817</v>
      </c>
      <c r="E1041" s="29" t="str">
        <f>_xlfn.XLOOKUP(Table7[[#This Row],[Malın kodu]],Table4[Malın kodu],Table4[Malın adı],"Xəta",0)</f>
        <v>Su pompası / MMF15AM</v>
      </c>
      <c r="F1041" s="26"/>
      <c r="G1041" s="26">
        <v>1</v>
      </c>
      <c r="H1041" s="26" t="s">
        <v>1923</v>
      </c>
      <c r="I1041" s="26" t="s">
        <v>911</v>
      </c>
    </row>
    <row r="1042" spans="2:9" x14ac:dyDescent="0.25">
      <c r="B1042" s="26">
        <f t="shared" si="16"/>
        <v>1039</v>
      </c>
      <c r="C1042" s="27">
        <v>46191</v>
      </c>
      <c r="D1042" s="28" t="s">
        <v>1844</v>
      </c>
      <c r="E1042" s="29" t="str">
        <f>_xlfn.XLOOKUP(Table7[[#This Row],[Malın kodu]],Table4[Malın kodu],Table4[Malın adı],"Xəta",0)</f>
        <v>Yataq / açilıb bağlanan /</v>
      </c>
      <c r="F1042" s="26"/>
      <c r="G1042" s="26">
        <v>3</v>
      </c>
      <c r="H1042" s="26" t="s">
        <v>1901</v>
      </c>
      <c r="I1042" s="26" t="s">
        <v>904</v>
      </c>
    </row>
    <row r="1043" spans="2:9" x14ac:dyDescent="0.25">
      <c r="B1043" s="26">
        <f t="shared" si="16"/>
        <v>1040</v>
      </c>
      <c r="C1043" s="27">
        <v>46191</v>
      </c>
      <c r="D1043" s="28" t="s">
        <v>1849</v>
      </c>
      <c r="E1043" s="29" t="str">
        <f>_xlfn.XLOOKUP(Table7[[#This Row],[Malın kodu]],Table4[Malın kodu],Table4[Malın adı],"Xəta",0)</f>
        <v>Elektrik lövhəsi / 300x400mm</v>
      </c>
      <c r="F1043" s="26"/>
      <c r="G1043" s="26">
        <v>1</v>
      </c>
      <c r="H1043" s="26" t="s">
        <v>1901</v>
      </c>
      <c r="I1043" s="26" t="s">
        <v>904</v>
      </c>
    </row>
    <row r="1044" spans="2:9" x14ac:dyDescent="0.25">
      <c r="B1044" s="26">
        <f t="shared" si="16"/>
        <v>1041</v>
      </c>
      <c r="C1044" s="27">
        <v>46191</v>
      </c>
      <c r="D1044" s="28" t="s">
        <v>1852</v>
      </c>
      <c r="E1044" s="29" t="str">
        <f>_xlfn.XLOOKUP(Table7[[#This Row],[Malın kodu]],Table4[Malın kodu],Table4[Malın adı],"Xəta",0)</f>
        <v>Masa / 500x950 mm</v>
      </c>
      <c r="F1044" s="26"/>
      <c r="G1044" s="26">
        <v>1</v>
      </c>
      <c r="H1044" s="26" t="s">
        <v>1901</v>
      </c>
      <c r="I1044" s="26" t="s">
        <v>904</v>
      </c>
    </row>
    <row r="1045" spans="2:9" x14ac:dyDescent="0.25">
      <c r="B1045" s="26">
        <f t="shared" si="16"/>
        <v>1042</v>
      </c>
      <c r="C1045" s="27">
        <v>46191</v>
      </c>
      <c r="D1045" s="28" t="s">
        <v>1854</v>
      </c>
      <c r="E1045" s="29" t="str">
        <f>_xlfn.XLOOKUP(Table7[[#This Row],[Malın kodu]],Table4[Malın kodu],Table4[Malın adı],"Xəta",0)</f>
        <v>Sənəd dolabı / 700x1320mm</v>
      </c>
      <c r="F1045" s="26"/>
      <c r="G1045" s="26">
        <v>1</v>
      </c>
      <c r="H1045" s="26" t="s">
        <v>1901</v>
      </c>
      <c r="I1045" s="26" t="s">
        <v>904</v>
      </c>
    </row>
    <row r="1046" spans="2:9" x14ac:dyDescent="0.25">
      <c r="B1046" s="26">
        <f t="shared" si="16"/>
        <v>1043</v>
      </c>
      <c r="C1046" s="27">
        <v>46191</v>
      </c>
      <c r="D1046" s="28" t="s">
        <v>1872</v>
      </c>
      <c r="E1046" s="29" t="str">
        <f>_xlfn.XLOOKUP(Table7[[#This Row],[Malın kodu]],Table4[Malın kodu],Table4[Malın adı],"Xəta",0)</f>
        <v>Oturacaq / parça</v>
      </c>
      <c r="F1046" s="26"/>
      <c r="G1046" s="26">
        <v>2</v>
      </c>
      <c r="H1046" s="26" t="s">
        <v>1901</v>
      </c>
      <c r="I1046" s="26" t="s">
        <v>905</v>
      </c>
    </row>
    <row r="1047" spans="2:9" x14ac:dyDescent="0.25">
      <c r="B1047" s="26">
        <f t="shared" si="16"/>
        <v>1044</v>
      </c>
      <c r="C1047" s="27">
        <v>46191</v>
      </c>
      <c r="D1047" s="28" t="s">
        <v>1892</v>
      </c>
      <c r="E1047" s="29" t="str">
        <f>_xlfn.XLOOKUP(Table7[[#This Row],[Malın kodu]],Table4[Malın kodu],Table4[Malın adı],"Xəta",0)</f>
        <v>Dolab / sənəd / 800x1800mm</v>
      </c>
      <c r="F1047" s="26"/>
      <c r="G1047" s="26">
        <v>1</v>
      </c>
      <c r="H1047" s="26" t="s">
        <v>1901</v>
      </c>
      <c r="I1047" s="26" t="s">
        <v>904</v>
      </c>
    </row>
    <row r="1048" spans="2:9" x14ac:dyDescent="0.25">
      <c r="B1048" s="26">
        <f t="shared" si="16"/>
        <v>1045</v>
      </c>
      <c r="C1048" s="27">
        <v>46191</v>
      </c>
      <c r="D1048" s="28" t="s">
        <v>1949</v>
      </c>
      <c r="E1048" s="29" t="str">
        <f>_xlfn.XLOOKUP(Table7[[#This Row],[Malın kodu]],Table4[Malın kodu],Table4[Malın adı],"Xəta",0)</f>
        <v>Jilet / sarı/ sadə</v>
      </c>
      <c r="F1048" s="26">
        <v>20</v>
      </c>
      <c r="G1048" s="26"/>
      <c r="H1048" s="26" t="s">
        <v>1909</v>
      </c>
      <c r="I1048" s="26" t="s">
        <v>1897</v>
      </c>
    </row>
    <row r="1049" spans="2:9" x14ac:dyDescent="0.25">
      <c r="B1049" s="26">
        <f t="shared" si="16"/>
        <v>1046</v>
      </c>
      <c r="C1049" s="27">
        <v>46191</v>
      </c>
      <c r="D1049" s="28" t="s">
        <v>1951</v>
      </c>
      <c r="E1049" s="29" t="str">
        <f>_xlfn.XLOOKUP(Table7[[#This Row],[Malın kodu]],Table4[Malın kodu],Table4[Malın adı],"Xəta",0)</f>
        <v>Çəkmə / qısa boğaz / 44 / "YDS"</v>
      </c>
      <c r="F1049" s="26">
        <v>3</v>
      </c>
      <c r="G1049" s="26"/>
      <c r="H1049" s="26" t="s">
        <v>1909</v>
      </c>
      <c r="I1049" s="26" t="s">
        <v>1897</v>
      </c>
    </row>
    <row r="1050" spans="2:9" x14ac:dyDescent="0.25">
      <c r="B1050" s="26">
        <f t="shared" si="16"/>
        <v>1047</v>
      </c>
      <c r="C1050" s="27">
        <v>46191</v>
      </c>
      <c r="D1050" s="28" t="s">
        <v>1952</v>
      </c>
      <c r="E1050" s="29" t="str">
        <f>_xlfn.XLOOKUP(Table7[[#This Row],[Malın kodu]],Table4[Malın kodu],Table4[Malın adı],"Xəta",0)</f>
        <v>Çəkmə / qısa boğaz / 42 / "YDS"</v>
      </c>
      <c r="F1050" s="26">
        <v>6</v>
      </c>
      <c r="G1050" s="26"/>
      <c r="H1050" s="26" t="s">
        <v>1909</v>
      </c>
      <c r="I1050" s="26" t="s">
        <v>1897</v>
      </c>
    </row>
    <row r="1051" spans="2:9" x14ac:dyDescent="0.25">
      <c r="B1051" s="26">
        <f t="shared" si="16"/>
        <v>1048</v>
      </c>
      <c r="C1051" s="27">
        <v>46191</v>
      </c>
      <c r="D1051" s="28" t="s">
        <v>1955</v>
      </c>
      <c r="E1051" s="29" t="str">
        <f>_xlfn.XLOOKUP(Table7[[#This Row],[Malın kodu]],Table4[Malın kodu],Table4[Malın adı],"Xəta",0)</f>
        <v>Ayaqqabı / qısa boğaz / 42 / "Dingoi" 90050142</v>
      </c>
      <c r="F1051" s="26">
        <v>1</v>
      </c>
      <c r="G1051" s="26"/>
      <c r="H1051" s="26" t="s">
        <v>1909</v>
      </c>
      <c r="I1051" s="26" t="s">
        <v>1897</v>
      </c>
    </row>
    <row r="1052" spans="2:9" x14ac:dyDescent="0.25">
      <c r="B1052" s="26">
        <f t="shared" si="16"/>
        <v>1049</v>
      </c>
      <c r="C1052" s="27">
        <v>46191</v>
      </c>
      <c r="D1052" s="28" t="s">
        <v>1957</v>
      </c>
      <c r="E1052" s="29" t="str">
        <f>_xlfn.XLOOKUP(Table7[[#This Row],[Malın kodu]],Table4[Malın kodu],Table4[Malın adı],"Xəta",0)</f>
        <v>Eynək / qara / 3M358</v>
      </c>
      <c r="F1052" s="26">
        <v>12</v>
      </c>
      <c r="G1052" s="26"/>
      <c r="H1052" s="26" t="s">
        <v>1909</v>
      </c>
      <c r="I1052" s="26" t="s">
        <v>1897</v>
      </c>
    </row>
    <row r="1053" spans="2:9" x14ac:dyDescent="0.25">
      <c r="B1053" s="26">
        <f t="shared" si="16"/>
        <v>1050</v>
      </c>
      <c r="C1053" s="27">
        <v>46191</v>
      </c>
      <c r="D1053" s="28" t="s">
        <v>1959</v>
      </c>
      <c r="E1053" s="29" t="str">
        <f>_xlfn.XLOOKUP(Table7[[#This Row],[Malın kodu]],Table4[Malın kodu],Table4[Malın adı],"Xəta",0)</f>
        <v>Jilet / sarı-narıncı / briqadir üçün</v>
      </c>
      <c r="F1053" s="26">
        <v>1</v>
      </c>
      <c r="G1053" s="26"/>
      <c r="H1053" s="26" t="s">
        <v>1909</v>
      </c>
      <c r="I1053" s="26" t="s">
        <v>1897</v>
      </c>
    </row>
    <row r="1054" spans="2:9" x14ac:dyDescent="0.25">
      <c r="B1054" s="26">
        <f t="shared" si="16"/>
        <v>1051</v>
      </c>
      <c r="C1054" s="27">
        <v>46191</v>
      </c>
      <c r="D1054" s="28" t="s">
        <v>1978</v>
      </c>
      <c r="E1054" s="29" t="str">
        <f>_xlfn.XLOOKUP(Table7[[#This Row],[Malın kodu]],Table4[Malın kodu],Table4[Malın adı],"Xəta",0)</f>
        <v>Valik / 25-lik "YAP"</v>
      </c>
      <c r="F1054" s="26">
        <v>10</v>
      </c>
      <c r="G1054" s="26"/>
      <c r="H1054" s="26" t="s">
        <v>1909</v>
      </c>
      <c r="I1054" s="26" t="s">
        <v>1897</v>
      </c>
    </row>
    <row r="1055" spans="2:9" x14ac:dyDescent="0.25">
      <c r="B1055" s="26">
        <f t="shared" si="16"/>
        <v>1052</v>
      </c>
      <c r="C1055" s="27">
        <v>46191</v>
      </c>
      <c r="D1055" s="28" t="s">
        <v>1979</v>
      </c>
      <c r="E1055" s="29" t="str">
        <f>_xlfn.XLOOKUP(Table7[[#This Row],[Malın kodu]],Table4[Malın kodu],Table4[Malın adı],"Xəta",0)</f>
        <v>Valik / 20-lik "Defne"</v>
      </c>
      <c r="F1055" s="26">
        <v>10</v>
      </c>
      <c r="G1055" s="26"/>
      <c r="H1055" s="26" t="s">
        <v>1909</v>
      </c>
      <c r="I1055" s="26" t="s">
        <v>1897</v>
      </c>
    </row>
    <row r="1056" spans="2:9" x14ac:dyDescent="0.25">
      <c r="B1056" s="26">
        <f t="shared" si="16"/>
        <v>1053</v>
      </c>
      <c r="C1056" s="27">
        <v>46191</v>
      </c>
      <c r="D1056" s="28" t="s">
        <v>1980</v>
      </c>
      <c r="E1056" s="29" t="str">
        <f>_xlfn.XLOOKUP(Table7[[#This Row],[Malın kodu]],Table4[Malın kodu],Table4[Malın adı],"Xəta",0)</f>
        <v>Skoç / kağız / 31</v>
      </c>
      <c r="F1056" s="26">
        <v>2</v>
      </c>
      <c r="G1056" s="26"/>
      <c r="H1056" s="26" t="s">
        <v>1909</v>
      </c>
      <c r="I1056" s="26" t="s">
        <v>1897</v>
      </c>
    </row>
    <row r="1057" spans="2:9" x14ac:dyDescent="0.25">
      <c r="B1057" s="26">
        <f t="shared" si="16"/>
        <v>1054</v>
      </c>
      <c r="C1057" s="27">
        <v>46191</v>
      </c>
      <c r="D1057" s="28" t="s">
        <v>1981</v>
      </c>
      <c r="E1057" s="29" t="str">
        <f>_xlfn.XLOOKUP(Table7[[#This Row],[Malın kodu]],Table4[Malın kodu],Table4[Malın adı],"Xəta",0)</f>
        <v>Qaynaq çubuğu (elektrod) / 3 / "Azkaynak"</v>
      </c>
      <c r="F1057" s="26">
        <v>2</v>
      </c>
      <c r="G1057" s="26"/>
      <c r="H1057" s="26" t="s">
        <v>1909</v>
      </c>
      <c r="I1057" s="26" t="s">
        <v>1897</v>
      </c>
    </row>
    <row r="1058" spans="2:9" x14ac:dyDescent="0.25">
      <c r="B1058" s="26">
        <f t="shared" si="16"/>
        <v>1055</v>
      </c>
      <c r="C1058" s="27">
        <v>46191</v>
      </c>
      <c r="D1058" s="28" t="s">
        <v>1982</v>
      </c>
      <c r="E1058" s="29" t="str">
        <f>_xlfn.XLOOKUP(Table7[[#This Row],[Malın kodu]],Table4[Malın kodu],Table4[Malın adı],"Xəta",0)</f>
        <v>Əlcək / sarı</v>
      </c>
      <c r="F1058" s="26">
        <v>20</v>
      </c>
      <c r="G1058" s="26"/>
      <c r="H1058" s="26" t="s">
        <v>1909</v>
      </c>
      <c r="I1058" s="26" t="s">
        <v>1897</v>
      </c>
    </row>
    <row r="1059" spans="2:9" x14ac:dyDescent="0.25">
      <c r="B1059" s="26">
        <f t="shared" si="16"/>
        <v>1056</v>
      </c>
      <c r="C1059" s="27">
        <v>46191</v>
      </c>
      <c r="D1059" s="28" t="s">
        <v>1983</v>
      </c>
      <c r="E1059" s="29" t="str">
        <f>_xlfn.XLOOKUP(Table7[[#This Row],[Malın kodu]],Table4[Malın kodu],Table4[Malın adı],"Xəta",0)</f>
        <v>Fırça / N143 (şotka pas qara)</v>
      </c>
      <c r="F1059" s="26">
        <v>5</v>
      </c>
      <c r="G1059" s="26"/>
      <c r="H1059" s="26" t="s">
        <v>1909</v>
      </c>
      <c r="I1059" s="26" t="s">
        <v>1897</v>
      </c>
    </row>
    <row r="1060" spans="2:9" x14ac:dyDescent="0.25">
      <c r="B1060" s="26">
        <f t="shared" si="16"/>
        <v>1057</v>
      </c>
      <c r="C1060" s="27">
        <v>46191</v>
      </c>
      <c r="D1060" s="28" t="s">
        <v>1984</v>
      </c>
      <c r="E1060" s="29" t="str">
        <f>_xlfn.XLOOKUP(Table7[[#This Row],[Malın kodu]],Table4[Malın kodu],Table4[Malın adı],"Xəta",0)</f>
        <v>Yiyə / üçkünc / böyük</v>
      </c>
      <c r="F1060" s="26">
        <v>4</v>
      </c>
      <c r="G1060" s="26"/>
      <c r="H1060" s="26" t="s">
        <v>1909</v>
      </c>
      <c r="I1060" s="26" t="s">
        <v>1897</v>
      </c>
    </row>
    <row r="1061" spans="2:9" x14ac:dyDescent="0.25">
      <c r="B1061" s="26">
        <f t="shared" si="16"/>
        <v>1058</v>
      </c>
      <c r="C1061" s="27">
        <v>46191</v>
      </c>
      <c r="D1061" s="28" t="s">
        <v>1985</v>
      </c>
      <c r="E1061" s="29" t="str">
        <f>_xlfn.XLOOKUP(Table7[[#This Row],[Malın kodu]],Table4[Malın kodu],Table4[Malın adı],"Xəta",0)</f>
        <v>Yiyə / yastı / böyük</v>
      </c>
      <c r="F1061" s="26">
        <v>2</v>
      </c>
      <c r="G1061" s="26"/>
      <c r="H1061" s="26" t="s">
        <v>1909</v>
      </c>
      <c r="I1061" s="26" t="s">
        <v>1897</v>
      </c>
    </row>
    <row r="1062" spans="2:9" x14ac:dyDescent="0.25">
      <c r="B1062" s="26">
        <f t="shared" si="16"/>
        <v>1059</v>
      </c>
      <c r="C1062" s="27">
        <v>46191</v>
      </c>
      <c r="D1062" s="28" t="s">
        <v>1986</v>
      </c>
      <c r="E1062" s="29" t="str">
        <f>_xlfn.XLOOKUP(Table7[[#This Row],[Malın kodu]],Table4[Malın kodu],Table4[Malın adı],"Xəta",0)</f>
        <v>Fırça / 2-lik / (kist)</v>
      </c>
      <c r="F1062" s="26">
        <v>3</v>
      </c>
      <c r="G1062" s="26"/>
      <c r="H1062" s="26" t="s">
        <v>1909</v>
      </c>
      <c r="I1062" s="26" t="s">
        <v>1897</v>
      </c>
    </row>
    <row r="1063" spans="2:9" x14ac:dyDescent="0.25">
      <c r="B1063" s="26">
        <f t="shared" si="16"/>
        <v>1060</v>
      </c>
      <c r="C1063" s="27">
        <v>46191</v>
      </c>
      <c r="D1063" s="28" t="s">
        <v>1987</v>
      </c>
      <c r="E1063" s="29" t="str">
        <f>_xlfn.XLOOKUP(Table7[[#This Row],[Malın kodu]],Table4[Malın kodu],Table4[Malın adı],"Xəta",0)</f>
        <v>Fırça / 4-lik / (kist)</v>
      </c>
      <c r="F1063" s="26">
        <v>3</v>
      </c>
      <c r="G1063" s="26"/>
      <c r="H1063" s="26" t="s">
        <v>1909</v>
      </c>
      <c r="I1063" s="26" t="s">
        <v>1897</v>
      </c>
    </row>
    <row r="1064" spans="2:9" x14ac:dyDescent="0.25">
      <c r="B1064" s="26">
        <f t="shared" si="16"/>
        <v>1061</v>
      </c>
      <c r="C1064" s="27">
        <v>46191</v>
      </c>
      <c r="D1064" s="28" t="s">
        <v>2001</v>
      </c>
      <c r="E1064" s="29" t="str">
        <f>_xlfn.XLOOKUP(Table7[[#This Row],[Malın kodu]],Table4[Malın kodu],Table4[Malın adı],"Xəta",0)</f>
        <v>Boya / sintetik / parlaq / boz / 2.5 kq / "FAB"</v>
      </c>
      <c r="F1064" s="26">
        <v>2</v>
      </c>
      <c r="G1064" s="26"/>
      <c r="H1064" s="26" t="s">
        <v>1909</v>
      </c>
      <c r="I1064" s="26" t="s">
        <v>1897</v>
      </c>
    </row>
    <row r="1065" spans="2:9" x14ac:dyDescent="0.25">
      <c r="B1065" s="26">
        <f t="shared" si="16"/>
        <v>1062</v>
      </c>
      <c r="C1065" s="27">
        <v>46191</v>
      </c>
      <c r="D1065" s="28" t="s">
        <v>2002</v>
      </c>
      <c r="E1065" s="29" t="str">
        <f>_xlfn.XLOOKUP(Table7[[#This Row],[Malın kodu]],Table4[Malın kodu],Table4[Malın adı],"Xəta",0)</f>
        <v>Boya / sintetik / parlaq / qırmızı / 2.5 kq / "FAB"</v>
      </c>
      <c r="F1065" s="26">
        <v>1</v>
      </c>
      <c r="G1065" s="26"/>
      <c r="H1065" s="26" t="s">
        <v>1909</v>
      </c>
      <c r="I1065" s="26" t="s">
        <v>1897</v>
      </c>
    </row>
    <row r="1066" spans="2:9" x14ac:dyDescent="0.25">
      <c r="B1066" s="26">
        <f t="shared" si="16"/>
        <v>1063</v>
      </c>
      <c r="C1066" s="27">
        <v>46191</v>
      </c>
      <c r="D1066" s="28" t="s">
        <v>2003</v>
      </c>
      <c r="E1066" s="29" t="str">
        <f>_xlfn.XLOOKUP(Table7[[#This Row],[Malın kodu]],Table4[Malın kodu],Table4[Malın adı],"Xəta",0)</f>
        <v>Boya / sintetik / antipas / boz / 23.5 kq / "FAB"</v>
      </c>
      <c r="F1066" s="26">
        <v>2</v>
      </c>
      <c r="G1066" s="26"/>
      <c r="H1066" s="26" t="s">
        <v>1909</v>
      </c>
      <c r="I1066" s="26" t="s">
        <v>1897</v>
      </c>
    </row>
    <row r="1067" spans="2:9" x14ac:dyDescent="0.25">
      <c r="B1067" s="26">
        <f t="shared" si="16"/>
        <v>1064</v>
      </c>
      <c r="C1067" s="27">
        <v>46191</v>
      </c>
      <c r="D1067" s="28" t="s">
        <v>2004</v>
      </c>
      <c r="E1067" s="29" t="str">
        <f>_xlfn.XLOOKUP(Table7[[#This Row],[Malın kodu]],Table4[Malın kodu],Table4[Malın adı],"Xəta",0)</f>
        <v>Boya / sintetik / parlaq / ağ / 2.5 kq / "FAB"</v>
      </c>
      <c r="F1067" s="26">
        <v>2</v>
      </c>
      <c r="G1067" s="26"/>
      <c r="H1067" s="26" t="s">
        <v>1909</v>
      </c>
      <c r="I1067" s="26" t="s">
        <v>1897</v>
      </c>
    </row>
    <row r="1068" spans="2:9" x14ac:dyDescent="0.25">
      <c r="B1068" s="26">
        <f t="shared" si="16"/>
        <v>1065</v>
      </c>
      <c r="C1068" s="27">
        <v>46191</v>
      </c>
      <c r="D1068" s="28" t="s">
        <v>2006</v>
      </c>
      <c r="E1068" s="29" t="str">
        <f>_xlfn.XLOOKUP(Table7[[#This Row],[Malın kodu]],Table4[Malın kodu],Table4[Malın adı],"Xəta",0)</f>
        <v>Strec / 300 P/6</v>
      </c>
      <c r="F1068" s="26">
        <v>2</v>
      </c>
      <c r="G1068" s="26"/>
      <c r="H1068" s="26" t="s">
        <v>1909</v>
      </c>
      <c r="I1068" s="26" t="s">
        <v>1897</v>
      </c>
    </row>
    <row r="1069" spans="2:9" x14ac:dyDescent="0.25">
      <c r="B1069" s="26">
        <f t="shared" si="16"/>
        <v>1066</v>
      </c>
      <c r="C1069" s="27">
        <v>46191</v>
      </c>
      <c r="D1069" s="28" t="s">
        <v>2007</v>
      </c>
      <c r="E1069" s="29" t="str">
        <f>_xlfn.XLOOKUP(Table7[[#This Row],[Malın kodu]],Table4[Malın kodu],Table4[Malın adı],"Xəta",0)</f>
        <v>Tiner / 2.5 L / "FAB"</v>
      </c>
      <c r="F1069" s="26">
        <v>6</v>
      </c>
      <c r="G1069" s="26"/>
      <c r="H1069" s="26" t="s">
        <v>1909</v>
      </c>
      <c r="I1069" s="26" t="s">
        <v>1897</v>
      </c>
    </row>
    <row r="1070" spans="2:9" x14ac:dyDescent="0.25">
      <c r="B1070" s="26">
        <f t="shared" si="16"/>
        <v>1067</v>
      </c>
      <c r="C1070" s="27">
        <v>46191</v>
      </c>
      <c r="D1070" s="28" t="s">
        <v>2008</v>
      </c>
      <c r="E1070" s="29" t="str">
        <f>_xlfn.XLOOKUP(Table7[[#This Row],[Malın kodu]],Table4[Malın kodu],Table4[Malın adı],"Xəta",0)</f>
        <v>Boya / sintetik / parlaq / sarı / 17 kq / "FAB"</v>
      </c>
      <c r="F1070" s="26">
        <v>1</v>
      </c>
      <c r="G1070" s="26"/>
      <c r="H1070" s="26" t="s">
        <v>1909</v>
      </c>
      <c r="I1070" s="26" t="s">
        <v>1897</v>
      </c>
    </row>
    <row r="1071" spans="2:9" x14ac:dyDescent="0.25">
      <c r="B1071" s="26">
        <f t="shared" si="16"/>
        <v>1068</v>
      </c>
      <c r="C1071" s="27">
        <v>46191</v>
      </c>
      <c r="D1071" s="28" t="s">
        <v>2014</v>
      </c>
      <c r="E1071" s="29" t="str">
        <f>_xlfn.XLOOKUP(Table7[[#This Row],[Malın kodu]],Table4[Malın kodu],Table4[Malın adı],"Xəta",0)</f>
        <v>Metçik açarı / 10</v>
      </c>
      <c r="F1071" s="26">
        <v>1</v>
      </c>
      <c r="G1071" s="26"/>
      <c r="H1071" s="26" t="s">
        <v>1909</v>
      </c>
      <c r="I1071" s="26" t="s">
        <v>1897</v>
      </c>
    </row>
    <row r="1072" spans="2:9" x14ac:dyDescent="0.25">
      <c r="B1072" s="26">
        <f t="shared" si="16"/>
        <v>1069</v>
      </c>
      <c r="C1072" s="27">
        <v>46191</v>
      </c>
      <c r="D1072" s="28" t="s">
        <v>2015</v>
      </c>
      <c r="E1072" s="29" t="str">
        <f>_xlfn.XLOOKUP(Table7[[#This Row],[Malın kodu]],Table4[Malın kodu],Table4[Malın adı],"Xəta",0)</f>
        <v>Metçik açarı / 14</v>
      </c>
      <c r="F1072" s="26">
        <v>1</v>
      </c>
      <c r="G1072" s="26"/>
      <c r="H1072" s="26" t="s">
        <v>1909</v>
      </c>
      <c r="I1072" s="26" t="s">
        <v>1897</v>
      </c>
    </row>
    <row r="1073" spans="2:9" x14ac:dyDescent="0.25">
      <c r="B1073" s="26">
        <f t="shared" si="16"/>
        <v>1070</v>
      </c>
      <c r="C1073" s="27">
        <v>46191</v>
      </c>
      <c r="D1073" s="28" t="s">
        <v>2016</v>
      </c>
      <c r="E1073" s="29" t="str">
        <f>_xlfn.XLOOKUP(Table7[[#This Row],[Malın kodu]],Table4[Malın kodu],Table4[Malın adı],"Xəta",0)</f>
        <v>Metçik açarı / 12</v>
      </c>
      <c r="F1073" s="26">
        <v>1</v>
      </c>
      <c r="G1073" s="26"/>
      <c r="H1073" s="26" t="s">
        <v>1909</v>
      </c>
      <c r="I1073" s="26" t="s">
        <v>1897</v>
      </c>
    </row>
    <row r="1074" spans="2:9" x14ac:dyDescent="0.25">
      <c r="B1074" s="26">
        <f t="shared" si="16"/>
        <v>1071</v>
      </c>
      <c r="C1074" s="27">
        <v>46191</v>
      </c>
      <c r="D1074" s="28" t="s">
        <v>2017</v>
      </c>
      <c r="E1074" s="29" t="str">
        <f>_xlfn.XLOOKUP(Table7[[#This Row],[Malın kodu]],Table4[Malın kodu],Table4[Malın adı],"Xəta",0)</f>
        <v>Metçik açarı</v>
      </c>
      <c r="F1074" s="26">
        <v>1</v>
      </c>
      <c r="G1074" s="26"/>
      <c r="H1074" s="26" t="s">
        <v>1909</v>
      </c>
      <c r="I1074" s="26" t="s">
        <v>1897</v>
      </c>
    </row>
    <row r="1075" spans="2:9" x14ac:dyDescent="0.25">
      <c r="B1075" s="26">
        <f t="shared" si="16"/>
        <v>1072</v>
      </c>
      <c r="C1075" s="27">
        <v>46191</v>
      </c>
      <c r="D1075" s="28" t="s">
        <v>2205</v>
      </c>
      <c r="E1075" s="29" t="str">
        <f>_xlfn.XLOOKUP(Table7[[#This Row],[Malın kodu]],Table4[Malın kodu],Table4[Malın adı],"Xəta",0)</f>
        <v>Bolt / altıkünc / qara / kiçik</v>
      </c>
      <c r="F1075" s="26">
        <v>1</v>
      </c>
      <c r="G1075" s="26"/>
      <c r="H1075" s="26" t="s">
        <v>1909</v>
      </c>
      <c r="I1075" s="26" t="s">
        <v>1897</v>
      </c>
    </row>
    <row r="1076" spans="2:9" x14ac:dyDescent="0.25">
      <c r="B1076" s="26">
        <f t="shared" si="16"/>
        <v>1073</v>
      </c>
      <c r="C1076" s="27">
        <v>46191</v>
      </c>
      <c r="D1076" s="28" t="s">
        <v>2209</v>
      </c>
      <c r="E1076" s="29" t="str">
        <f>_xlfn.XLOOKUP(Table7[[#This Row],[Malın kodu]],Table4[Malın kodu],Table4[Malın adı],"Xəta",0)</f>
        <v>Məməcik / yağlama</v>
      </c>
      <c r="F1076" s="26">
        <v>50</v>
      </c>
      <c r="G1076" s="26"/>
      <c r="H1076" s="26" t="s">
        <v>1909</v>
      </c>
      <c r="I1076" s="26" t="s">
        <v>1897</v>
      </c>
    </row>
    <row r="1077" spans="2:9" x14ac:dyDescent="0.25">
      <c r="B1077" s="26">
        <f t="shared" si="16"/>
        <v>1074</v>
      </c>
      <c r="C1077" s="27">
        <v>46195</v>
      </c>
      <c r="D1077" s="28" t="s">
        <v>2038</v>
      </c>
      <c r="E1077" s="29" t="str">
        <f>_xlfn.XLOOKUP(Table7[[#This Row],[Malın kodu]],Table4[Malın kodu],Table4[Malın adı],"Xəta",0)</f>
        <v>Profil / 4x4 / metal</v>
      </c>
      <c r="F1077" s="26">
        <v>12</v>
      </c>
      <c r="G1077" s="26"/>
      <c r="H1077" s="26" t="s">
        <v>1909</v>
      </c>
      <c r="I1077" s="26" t="s">
        <v>910</v>
      </c>
    </row>
    <row r="1078" spans="2:9" x14ac:dyDescent="0.25">
      <c r="B1078" s="26">
        <f t="shared" si="16"/>
        <v>1075</v>
      </c>
      <c r="C1078" s="27">
        <v>46195</v>
      </c>
      <c r="D1078" s="28" t="s">
        <v>2039</v>
      </c>
      <c r="E1078" s="29" t="str">
        <f>_xlfn.XLOOKUP(Table7[[#This Row],[Malın kodu]],Table4[Malın kodu],Table4[Malın adı],"Xəta",0)</f>
        <v>Profil / 2x4 / metal</v>
      </c>
      <c r="F1078" s="26">
        <v>24</v>
      </c>
      <c r="G1078" s="26"/>
      <c r="H1078" s="26" t="s">
        <v>1909</v>
      </c>
      <c r="I1078" s="26" t="s">
        <v>910</v>
      </c>
    </row>
    <row r="1079" spans="2:9" x14ac:dyDescent="0.25">
      <c r="B1079" s="26">
        <f t="shared" si="16"/>
        <v>1076</v>
      </c>
      <c r="C1079" s="27">
        <v>46195</v>
      </c>
      <c r="D1079" s="28" t="s">
        <v>2040</v>
      </c>
      <c r="E1079" s="29" t="str">
        <f>_xlfn.XLOOKUP(Table7[[#This Row],[Malın kodu]],Table4[Malın kodu],Table4[Malın adı],"Xəta",0)</f>
        <v>Profil / 2x2 / metal</v>
      </c>
      <c r="F1079" s="26">
        <v>12</v>
      </c>
      <c r="G1079" s="26"/>
      <c r="H1079" s="26" t="s">
        <v>1909</v>
      </c>
      <c r="I1079" s="26" t="s">
        <v>910</v>
      </c>
    </row>
    <row r="1080" spans="2:9" x14ac:dyDescent="0.25">
      <c r="B1080" s="26">
        <f t="shared" si="16"/>
        <v>1077</v>
      </c>
      <c r="C1080" s="27">
        <v>46195</v>
      </c>
      <c r="D1080" s="28" t="s">
        <v>2041</v>
      </c>
      <c r="E1080" s="29" t="str">
        <f>_xlfn.XLOOKUP(Table7[[#This Row],[Malın kodu]],Table4[Malın kodu],Table4[Malın adı],"Xəta",0)</f>
        <v>Valik başlığı</v>
      </c>
      <c r="F1080" s="26">
        <v>25</v>
      </c>
      <c r="G1080" s="26"/>
      <c r="H1080" s="26" t="s">
        <v>1909</v>
      </c>
      <c r="I1080" s="26" t="s">
        <v>910</v>
      </c>
    </row>
    <row r="1081" spans="2:9" x14ac:dyDescent="0.25">
      <c r="B1081" s="26">
        <f t="shared" si="16"/>
        <v>1078</v>
      </c>
      <c r="C1081" s="27">
        <v>46195</v>
      </c>
      <c r="D1081" s="28" t="s">
        <v>2042</v>
      </c>
      <c r="E1081" s="29" t="str">
        <f>_xlfn.XLOOKUP(Table7[[#This Row],[Malın kodu]],Table4[Malın kodu],Table4[Malın adı],"Xəta",0)</f>
        <v>Valik / 10sm</v>
      </c>
      <c r="F1081" s="26">
        <v>8</v>
      </c>
      <c r="G1081" s="26"/>
      <c r="H1081" s="26" t="s">
        <v>1909</v>
      </c>
      <c r="I1081" s="26" t="s">
        <v>910</v>
      </c>
    </row>
    <row r="1082" spans="2:9" x14ac:dyDescent="0.25">
      <c r="B1082" s="26">
        <f t="shared" si="16"/>
        <v>1079</v>
      </c>
      <c r="C1082" s="27">
        <v>46195</v>
      </c>
      <c r="D1082" s="28" t="s">
        <v>2043</v>
      </c>
      <c r="E1082" s="29" t="str">
        <f>_xlfn.XLOOKUP(Table7[[#This Row],[Malın kodu]],Table4[Malın kodu],Table4[Malın adı],"Xəta",0)</f>
        <v>Cəftə / metal / qapı üçün</v>
      </c>
      <c r="F1082" s="26">
        <v>2</v>
      </c>
      <c r="G1082" s="26"/>
      <c r="H1082" s="26" t="s">
        <v>1909</v>
      </c>
      <c r="I1082" s="26" t="s">
        <v>910</v>
      </c>
    </row>
    <row r="1083" spans="2:9" x14ac:dyDescent="0.25">
      <c r="B1083" s="26">
        <f t="shared" si="16"/>
        <v>1080</v>
      </c>
      <c r="C1083" s="27">
        <v>46195</v>
      </c>
      <c r="D1083" s="28" t="s">
        <v>2044</v>
      </c>
      <c r="E1083" s="29" t="str">
        <f>_xlfn.XLOOKUP(Table7[[#This Row],[Malın kodu]],Table4[Malın kodu],Table4[Malın adı],"Xəta",0)</f>
        <v>Qapı qulpu / metal</v>
      </c>
      <c r="F1083" s="26">
        <v>2</v>
      </c>
      <c r="G1083" s="26"/>
      <c r="H1083" s="26" t="s">
        <v>1909</v>
      </c>
      <c r="I1083" s="26" t="s">
        <v>910</v>
      </c>
    </row>
    <row r="1084" spans="2:9" x14ac:dyDescent="0.25">
      <c r="B1084" s="26">
        <f t="shared" si="16"/>
        <v>1081</v>
      </c>
      <c r="C1084" s="27">
        <v>46195</v>
      </c>
      <c r="D1084" s="28" t="s">
        <v>2045</v>
      </c>
      <c r="E1084" s="29" t="str">
        <f>_xlfn.XLOOKUP(Table7[[#This Row],[Malın kodu]],Table4[Malın kodu],Table4[Malın adı],"Xəta",0)</f>
        <v>Qapı üzlüyü / iç</v>
      </c>
      <c r="F1084" s="26">
        <v>1</v>
      </c>
      <c r="G1084" s="26"/>
      <c r="H1084" s="26" t="s">
        <v>1909</v>
      </c>
      <c r="I1084" s="26" t="s">
        <v>910</v>
      </c>
    </row>
    <row r="1085" spans="2:9" x14ac:dyDescent="0.25">
      <c r="B1085" s="26">
        <f t="shared" si="16"/>
        <v>1082</v>
      </c>
      <c r="C1085" s="27">
        <v>46195</v>
      </c>
      <c r="D1085" s="28" t="s">
        <v>2046</v>
      </c>
      <c r="E1085" s="29" t="str">
        <f>_xlfn.XLOOKUP(Table7[[#This Row],[Malın kodu]],Table4[Malın kodu],Table4[Malın adı],"Xəta",0)</f>
        <v>Şurup / samorez</v>
      </c>
      <c r="F1085" s="26">
        <v>1</v>
      </c>
      <c r="G1085" s="26"/>
      <c r="H1085" s="26" t="s">
        <v>1909</v>
      </c>
      <c r="I1085" s="26" t="s">
        <v>910</v>
      </c>
    </row>
    <row r="1086" spans="2:9" x14ac:dyDescent="0.25">
      <c r="B1086" s="26">
        <f t="shared" si="16"/>
        <v>1083</v>
      </c>
      <c r="C1086" s="27">
        <v>46195</v>
      </c>
      <c r="D1086" s="28" t="s">
        <v>2047</v>
      </c>
      <c r="E1086" s="29" t="str">
        <f>_xlfn.XLOOKUP(Table7[[#This Row],[Malın kodu]],Table4[Malın kodu],Table4[Malın adı],"Xəta",0)</f>
        <v>Boya / antipas / 17kq</v>
      </c>
      <c r="F1086" s="26">
        <v>5</v>
      </c>
      <c r="G1086" s="26"/>
      <c r="H1086" s="26" t="s">
        <v>1909</v>
      </c>
      <c r="I1086" s="26" t="s">
        <v>910</v>
      </c>
    </row>
    <row r="1087" spans="2:9" x14ac:dyDescent="0.25">
      <c r="B1087" s="26">
        <f t="shared" si="16"/>
        <v>1084</v>
      </c>
      <c r="C1087" s="27">
        <v>46195</v>
      </c>
      <c r="D1087" s="28" t="s">
        <v>2048</v>
      </c>
      <c r="E1087" s="29" t="str">
        <f>_xlfn.XLOOKUP(Table7[[#This Row],[Malın kodu]],Table4[Malın kodu],Table4[Malın adı],"Xəta",0)</f>
        <v>Tiner / 2.5 kq</v>
      </c>
      <c r="F1087" s="26"/>
      <c r="G1087" s="26">
        <v>1</v>
      </c>
      <c r="H1087" s="26" t="s">
        <v>1923</v>
      </c>
      <c r="I1087" s="26" t="s">
        <v>911</v>
      </c>
    </row>
    <row r="1088" spans="2:9" x14ac:dyDescent="0.25">
      <c r="B1088" s="26">
        <f t="shared" si="16"/>
        <v>1085</v>
      </c>
      <c r="C1088" s="27">
        <v>46195</v>
      </c>
      <c r="D1088" s="28" t="s">
        <v>2048</v>
      </c>
      <c r="E1088" s="29" t="str">
        <f>_xlfn.XLOOKUP(Table7[[#This Row],[Malın kodu]],Table4[Malın kodu],Table4[Malın adı],"Xəta",0)</f>
        <v>Tiner / 2.5 kq</v>
      </c>
      <c r="F1088" s="26">
        <v>22</v>
      </c>
      <c r="G1088" s="26"/>
      <c r="H1088" s="26" t="s">
        <v>1909</v>
      </c>
      <c r="I1088" s="26" t="s">
        <v>910</v>
      </c>
    </row>
    <row r="1089" spans="2:9" x14ac:dyDescent="0.25">
      <c r="B1089" s="26">
        <f t="shared" si="16"/>
        <v>1086</v>
      </c>
      <c r="C1089" s="27">
        <v>46195</v>
      </c>
      <c r="D1089" s="28" t="s">
        <v>2049</v>
      </c>
      <c r="E1089" s="29" t="str">
        <f>_xlfn.XLOOKUP(Table7[[#This Row],[Malın kodu]],Table4[Malın kodu],Table4[Malın adı],"Xəta",0)</f>
        <v>Tutqaç / elektrod üçün</v>
      </c>
      <c r="F1089" s="26">
        <v>1</v>
      </c>
      <c r="G1089" s="26"/>
      <c r="H1089" s="26" t="s">
        <v>1909</v>
      </c>
      <c r="I1089" s="26" t="s">
        <v>910</v>
      </c>
    </row>
    <row r="1090" spans="2:9" x14ac:dyDescent="0.25">
      <c r="B1090" s="26">
        <f t="shared" si="16"/>
        <v>1087</v>
      </c>
      <c r="C1090" s="27">
        <v>46195</v>
      </c>
      <c r="D1090" s="28" t="s">
        <v>2050</v>
      </c>
      <c r="E1090" s="29" t="str">
        <f>_xlfn.XLOOKUP(Table7[[#This Row],[Malın kodu]],Table4[Malın kodu],Table4[Malın adı],"Xəta",0)</f>
        <v>Fırça / 2 / boya</v>
      </c>
      <c r="F1090" s="26">
        <v>4</v>
      </c>
      <c r="G1090" s="26"/>
      <c r="H1090" s="26" t="s">
        <v>1909</v>
      </c>
      <c r="I1090" s="26" t="s">
        <v>910</v>
      </c>
    </row>
    <row r="1091" spans="2:9" x14ac:dyDescent="0.25">
      <c r="B1091" s="26">
        <f t="shared" si="16"/>
        <v>1088</v>
      </c>
      <c r="C1091" s="27">
        <v>46195</v>
      </c>
      <c r="D1091" s="28" t="s">
        <v>2051</v>
      </c>
      <c r="E1091" s="29" t="str">
        <f>_xlfn.XLOOKUP(Table7[[#This Row],[Malın kodu]],Table4[Malın kodu],Table4[Malın adı],"Xəta",0)</f>
        <v>Fırça / 3 / boya</v>
      </c>
      <c r="F1091" s="26">
        <v>2</v>
      </c>
      <c r="G1091" s="26"/>
      <c r="H1091" s="26" t="s">
        <v>1909</v>
      </c>
      <c r="I1091" s="26" t="s">
        <v>910</v>
      </c>
    </row>
    <row r="1092" spans="2:9" x14ac:dyDescent="0.25">
      <c r="B1092" s="26">
        <f t="shared" ref="B1092:B1155" si="17">ROW()-3</f>
        <v>1089</v>
      </c>
      <c r="C1092" s="27">
        <v>46195</v>
      </c>
      <c r="D1092" s="28" t="s">
        <v>2052</v>
      </c>
      <c r="E1092" s="29" t="str">
        <f>_xlfn.XLOOKUP(Table7[[#This Row],[Malın kodu]],Table4[Malın kodu],Table4[Malın adı],"Xəta",0)</f>
        <v>Skoç / kağız</v>
      </c>
      <c r="F1092" s="26">
        <v>3</v>
      </c>
      <c r="G1092" s="26"/>
      <c r="H1092" s="26" t="s">
        <v>1909</v>
      </c>
      <c r="I1092" s="26" t="s">
        <v>910</v>
      </c>
    </row>
    <row r="1093" spans="2:9" x14ac:dyDescent="0.25">
      <c r="B1093" s="26">
        <f t="shared" si="17"/>
        <v>1090</v>
      </c>
      <c r="C1093" s="27">
        <v>46195</v>
      </c>
      <c r="D1093" s="28" t="s">
        <v>2053</v>
      </c>
      <c r="E1093" s="29" t="str">
        <f>_xlfn.XLOOKUP(Table7[[#This Row],[Malın kodu]],Table4[Malın kodu],Table4[Malın adı],"Xəta",0)</f>
        <v>Laqonda / d 115 mm</v>
      </c>
      <c r="F1093" s="26">
        <v>1</v>
      </c>
      <c r="G1093" s="26"/>
      <c r="H1093" s="26" t="s">
        <v>1909</v>
      </c>
      <c r="I1093" s="26" t="s">
        <v>910</v>
      </c>
    </row>
    <row r="1094" spans="2:9" x14ac:dyDescent="0.25">
      <c r="B1094" s="26">
        <f t="shared" si="17"/>
        <v>1091</v>
      </c>
      <c r="C1094" s="27">
        <v>46195</v>
      </c>
      <c r="D1094" s="28" t="s">
        <v>2054</v>
      </c>
      <c r="E1094" s="29" t="str">
        <f>_xlfn.XLOOKUP(Table7[[#This Row],[Malın kodu]],Table4[Malın kodu],Table4[Malın adı],"Xəta",0)</f>
        <v>Metrə / 5m</v>
      </c>
      <c r="F1094" s="26">
        <v>1</v>
      </c>
      <c r="G1094" s="26"/>
      <c r="H1094" s="26" t="s">
        <v>1909</v>
      </c>
      <c r="I1094" s="26" t="s">
        <v>910</v>
      </c>
    </row>
    <row r="1095" spans="2:9" x14ac:dyDescent="0.25">
      <c r="B1095" s="26">
        <f t="shared" si="17"/>
        <v>1092</v>
      </c>
      <c r="C1095" s="27">
        <v>46195</v>
      </c>
      <c r="D1095" s="28" t="s">
        <v>2055</v>
      </c>
      <c r="E1095" s="29" t="str">
        <f>_xlfn.XLOOKUP(Table7[[#This Row],[Malın kodu]],Table4[Malın kodu],Table4[Malın adı],"Xəta",0)</f>
        <v>Boya / antipas / boz / 2.5 kq</v>
      </c>
      <c r="F1095" s="26">
        <v>2</v>
      </c>
      <c r="G1095" s="26"/>
      <c r="H1095" s="26" t="s">
        <v>1909</v>
      </c>
      <c r="I1095" s="26" t="s">
        <v>910</v>
      </c>
    </row>
    <row r="1096" spans="2:9" x14ac:dyDescent="0.25">
      <c r="B1096" s="26">
        <f t="shared" si="17"/>
        <v>1093</v>
      </c>
      <c r="C1096" s="27">
        <v>46195</v>
      </c>
      <c r="D1096" s="28" t="s">
        <v>2056</v>
      </c>
      <c r="E1096" s="29" t="str">
        <f>_xlfn.XLOOKUP(Table7[[#This Row],[Malın kodu]],Table4[Malın kodu],Table4[Malın adı],"Xəta",0)</f>
        <v>Valik / 20sm</v>
      </c>
      <c r="F1096" s="26">
        <v>2</v>
      </c>
      <c r="G1096" s="26"/>
      <c r="H1096" s="26" t="s">
        <v>1909</v>
      </c>
      <c r="I1096" s="26" t="s">
        <v>910</v>
      </c>
    </row>
    <row r="1097" spans="2:9" x14ac:dyDescent="0.25">
      <c r="B1097" s="26">
        <f t="shared" si="17"/>
        <v>1094</v>
      </c>
      <c r="C1097" s="27">
        <v>46195</v>
      </c>
      <c r="D1097" s="28" t="s">
        <v>2058</v>
      </c>
      <c r="E1097" s="29" t="str">
        <f>_xlfn.XLOOKUP(Table7[[#This Row],[Malın kodu]],Table4[Malın kodu],Table4[Malın adı],"Xəta",0)</f>
        <v>Bide başlığı</v>
      </c>
      <c r="F1097" s="26">
        <v>1</v>
      </c>
      <c r="G1097" s="26"/>
      <c r="H1097" s="26" t="s">
        <v>1909</v>
      </c>
      <c r="I1097" s="26" t="s">
        <v>910</v>
      </c>
    </row>
    <row r="1098" spans="2:9" x14ac:dyDescent="0.25">
      <c r="B1098" s="26">
        <f t="shared" si="17"/>
        <v>1095</v>
      </c>
      <c r="C1098" s="27">
        <v>46195</v>
      </c>
      <c r="D1098" s="28" t="s">
        <v>2059</v>
      </c>
      <c r="E1098" s="29" t="str">
        <f>_xlfn.XLOOKUP(Table7[[#This Row],[Malın kodu]],Table4[Malın kodu],Table4[Malın adı],"Xəta",0)</f>
        <v>Fırça / 1 / boya</v>
      </c>
      <c r="F1098" s="26">
        <v>2</v>
      </c>
      <c r="G1098" s="26"/>
      <c r="H1098" s="26" t="s">
        <v>1909</v>
      </c>
      <c r="I1098" s="26" t="s">
        <v>910</v>
      </c>
    </row>
    <row r="1099" spans="2:9" x14ac:dyDescent="0.25">
      <c r="B1099" s="26">
        <f t="shared" si="17"/>
        <v>1096</v>
      </c>
      <c r="C1099" s="27">
        <v>46195</v>
      </c>
      <c r="D1099" s="28" t="s">
        <v>2152</v>
      </c>
      <c r="E1099" s="29" t="str">
        <f>_xlfn.XLOOKUP(Table7[[#This Row],[Malın kodu]],Table4[Malın kodu],Table4[Malın adı],"Xəta",0)</f>
        <v>Boya / qara</v>
      </c>
      <c r="F1099" s="26">
        <v>1</v>
      </c>
      <c r="G1099" s="26"/>
      <c r="H1099" s="26" t="s">
        <v>1909</v>
      </c>
      <c r="I1099" s="26" t="s">
        <v>910</v>
      </c>
    </row>
    <row r="1100" spans="2:9" x14ac:dyDescent="0.25">
      <c r="B1100" s="26">
        <f t="shared" si="17"/>
        <v>1097</v>
      </c>
      <c r="C1100" s="27">
        <v>46195</v>
      </c>
      <c r="D1100" s="28" t="s">
        <v>2153</v>
      </c>
      <c r="E1100" s="29" t="str">
        <f>_xlfn.XLOOKUP(Table7[[#This Row],[Malın kodu]],Table4[Malın kodu],Table4[Malın adı],"Xəta",0)</f>
        <v>Boya / 1 L</v>
      </c>
      <c r="F1100" s="26">
        <v>2</v>
      </c>
      <c r="G1100" s="26"/>
      <c r="H1100" s="26" t="s">
        <v>1909</v>
      </c>
      <c r="I1100" s="26" t="s">
        <v>910</v>
      </c>
    </row>
    <row r="1101" spans="2:9" x14ac:dyDescent="0.25">
      <c r="B1101" s="26">
        <f t="shared" si="17"/>
        <v>1098</v>
      </c>
      <c r="C1101" s="27">
        <v>46196</v>
      </c>
      <c r="D1101" s="28" t="s">
        <v>2087</v>
      </c>
      <c r="E1101" s="29" t="str">
        <f>_xlfn.XLOOKUP(Table7[[#This Row],[Malın kodu]],Table4[Malın kodu],Table4[Malın adı],"Xəta",0)</f>
        <v>Taxeometr / geodeziya cihazı</v>
      </c>
      <c r="F1101" s="26"/>
      <c r="G1101" s="26">
        <v>2</v>
      </c>
      <c r="H1101" s="26" t="s">
        <v>1901</v>
      </c>
      <c r="I1101" s="26" t="s">
        <v>904</v>
      </c>
    </row>
    <row r="1102" spans="2:9" x14ac:dyDescent="0.25">
      <c r="B1102" s="26">
        <f t="shared" si="17"/>
        <v>1099</v>
      </c>
      <c r="C1102" s="27">
        <v>46196</v>
      </c>
      <c r="D1102" s="28" t="s">
        <v>2154</v>
      </c>
      <c r="E1102" s="29" t="str">
        <f>_xlfn.XLOOKUP(Table7[[#This Row],[Malın kodu]],Table4[Malın kodu],Table4[Malın adı],"Xəta",0)</f>
        <v>Disc / kəsici / d 230mm</v>
      </c>
      <c r="F1102" s="26">
        <v>11</v>
      </c>
      <c r="G1102" s="26"/>
      <c r="H1102" s="26" t="s">
        <v>1909</v>
      </c>
      <c r="I1102" s="26" t="s">
        <v>910</v>
      </c>
    </row>
    <row r="1103" spans="2:9" x14ac:dyDescent="0.25">
      <c r="B1103" s="26">
        <f t="shared" si="17"/>
        <v>1100</v>
      </c>
      <c r="C1103" s="27">
        <v>46196</v>
      </c>
      <c r="D1103" s="28" t="s">
        <v>2157</v>
      </c>
      <c r="E1103" s="29" t="str">
        <f>_xlfn.XLOOKUP(Table7[[#This Row],[Malın kodu]],Table4[Malın kodu],Table4[Malın adı],"Xəta",0)</f>
        <v>Disc / kəsici / d 115mm</v>
      </c>
      <c r="F1103" s="26">
        <v>5</v>
      </c>
      <c r="G1103" s="26"/>
      <c r="H1103" s="26" t="s">
        <v>1909</v>
      </c>
      <c r="I1103" s="26" t="s">
        <v>910</v>
      </c>
    </row>
    <row r="1104" spans="2:9" x14ac:dyDescent="0.25">
      <c r="B1104" s="26">
        <f t="shared" si="17"/>
        <v>1101</v>
      </c>
      <c r="C1104" s="27">
        <v>46196</v>
      </c>
      <c r="D1104" s="28" t="s">
        <v>2161</v>
      </c>
      <c r="E1104" s="29" t="str">
        <f>_xlfn.XLOOKUP(Table7[[#This Row],[Malın kodu]],Table4[Malın kodu],Table4[Malın adı],"Xəta",0)</f>
        <v>Elektrik plitəsi / 2 gözlü</v>
      </c>
      <c r="F1104" s="26">
        <v>1</v>
      </c>
      <c r="G1104" s="26"/>
      <c r="H1104" s="26" t="s">
        <v>1909</v>
      </c>
      <c r="I1104" s="26" t="s">
        <v>910</v>
      </c>
    </row>
    <row r="1105" spans="2:9" x14ac:dyDescent="0.25">
      <c r="B1105" s="26">
        <f t="shared" si="17"/>
        <v>1102</v>
      </c>
      <c r="C1105" s="27">
        <v>46196</v>
      </c>
      <c r="D1105" s="28" t="s">
        <v>2162</v>
      </c>
      <c r="E1105" s="29" t="str">
        <f>_xlfn.XLOOKUP(Table7[[#This Row],[Malın kodu]],Table4[Malın kodu],Table4[Malın adı],"Xəta",0)</f>
        <v>Başlıq (nasadka) / cilalayıcı kağız üçün</v>
      </c>
      <c r="F1105" s="26">
        <v>1</v>
      </c>
      <c r="G1105" s="26"/>
      <c r="H1105" s="26" t="s">
        <v>1909</v>
      </c>
      <c r="I1105" s="26" t="s">
        <v>910</v>
      </c>
    </row>
    <row r="1106" spans="2:9" x14ac:dyDescent="0.25">
      <c r="B1106" s="26">
        <f t="shared" si="17"/>
        <v>1103</v>
      </c>
      <c r="C1106" s="27">
        <v>46196</v>
      </c>
      <c r="D1106" s="28" t="s">
        <v>2163</v>
      </c>
      <c r="E1106" s="29" t="str">
        <f>_xlfn.XLOOKUP(Table7[[#This Row],[Malın kodu]],Table4[Malın kodu],Table4[Malın adı],"Xəta",0)</f>
        <v>WD 40</v>
      </c>
      <c r="F1106" s="26">
        <v>2</v>
      </c>
      <c r="G1106" s="26"/>
      <c r="H1106" s="26" t="s">
        <v>1909</v>
      </c>
      <c r="I1106" s="26" t="s">
        <v>910</v>
      </c>
    </row>
    <row r="1107" spans="2:9" x14ac:dyDescent="0.25">
      <c r="B1107" s="26">
        <f t="shared" si="17"/>
        <v>1104</v>
      </c>
      <c r="C1107" s="27">
        <v>46197</v>
      </c>
      <c r="D1107" s="28" t="s">
        <v>1288</v>
      </c>
      <c r="E1107" s="29" t="str">
        <f>_xlfn.XLOOKUP(Table7[[#This Row],[Malın kodu]],Table4[Malın kodu],Table4[Malın adı],"Xəta",0)</f>
        <v>Fırça / lagonda üçün / 5 inch</v>
      </c>
      <c r="F1107" s="26">
        <v>4</v>
      </c>
      <c r="G1107" s="26"/>
      <c r="H1107" s="26" t="s">
        <v>1909</v>
      </c>
      <c r="I1107" s="26" t="s">
        <v>910</v>
      </c>
    </row>
    <row r="1108" spans="2:9" x14ac:dyDescent="0.25">
      <c r="B1108" s="26">
        <f t="shared" si="17"/>
        <v>1105</v>
      </c>
      <c r="C1108" s="27">
        <v>46197</v>
      </c>
      <c r="D1108" s="28" t="s">
        <v>1344</v>
      </c>
      <c r="E1108" s="29" t="str">
        <f>_xlfn.XLOOKUP(Table7[[#This Row],[Malın kodu]],Table4[Malın kodu],Table4[Malın adı],"Xəta",0)</f>
        <v>Fırça / laqononda üçün / 3 İnch</v>
      </c>
      <c r="F1108" s="26">
        <v>5</v>
      </c>
      <c r="G1108" s="26"/>
      <c r="H1108" s="26" t="s">
        <v>1909</v>
      </c>
      <c r="I1108" s="26" t="s">
        <v>910</v>
      </c>
    </row>
    <row r="1109" spans="2:9" x14ac:dyDescent="0.25">
      <c r="B1109" s="26">
        <f t="shared" si="17"/>
        <v>1106</v>
      </c>
      <c r="C1109" s="27">
        <v>46198</v>
      </c>
      <c r="D1109" s="28" t="s">
        <v>1233</v>
      </c>
      <c r="E1109" s="29" t="str">
        <f>_xlfn.XLOOKUP(Table7[[#This Row],[Malın kodu]],Table4[Malın kodu],Table4[Malın adı],"Xəta",0)</f>
        <v>Ox / geodezik ştativ üçün</v>
      </c>
      <c r="F1109" s="26"/>
      <c r="G1109" s="26">
        <v>2</v>
      </c>
      <c r="H1109" s="26" t="s">
        <v>1901</v>
      </c>
      <c r="I1109" s="26" t="s">
        <v>904</v>
      </c>
    </row>
    <row r="1110" spans="2:9" x14ac:dyDescent="0.25">
      <c r="B1110" s="26">
        <f t="shared" si="17"/>
        <v>1107</v>
      </c>
      <c r="C1110" s="27">
        <v>46198</v>
      </c>
      <c r="D1110" s="28" t="s">
        <v>1353</v>
      </c>
      <c r="E1110" s="29" t="str">
        <f>_xlfn.XLOOKUP(Table7[[#This Row],[Malın kodu]],Table4[Malın kodu],Table4[Malın adı],"Xəta",0)</f>
        <v>Geodezik prizma / d 62 mm / "Leica"</v>
      </c>
      <c r="F1110" s="26"/>
      <c r="G1110" s="26">
        <v>2</v>
      </c>
      <c r="H1110" s="26" t="s">
        <v>1901</v>
      </c>
      <c r="I1110" s="26" t="s">
        <v>904</v>
      </c>
    </row>
    <row r="1111" spans="2:9" x14ac:dyDescent="0.25">
      <c r="B1111" s="26">
        <f t="shared" si="17"/>
        <v>1108</v>
      </c>
      <c r="C1111" s="27">
        <v>46198</v>
      </c>
      <c r="D1111" s="28" t="s">
        <v>1377</v>
      </c>
      <c r="E1111" s="29" t="str">
        <f>_xlfn.XLOOKUP(Table7[[#This Row],[Malın kodu]],Table4[Malın kodu],Table4[Malın adı],"Xəta",0)</f>
        <v>Pəstah / rezin</v>
      </c>
      <c r="F1111" s="26"/>
      <c r="G1111" s="26">
        <v>6</v>
      </c>
      <c r="H1111" s="26" t="s">
        <v>1901</v>
      </c>
      <c r="I1111" s="26" t="s">
        <v>904</v>
      </c>
    </row>
    <row r="1112" spans="2:9" x14ac:dyDescent="0.25">
      <c r="B1112" s="26">
        <f t="shared" si="17"/>
        <v>1109</v>
      </c>
      <c r="C1112" s="27">
        <v>46198</v>
      </c>
      <c r="D1112" s="28" t="s">
        <v>1778</v>
      </c>
      <c r="E1112" s="29" t="str">
        <f>_xlfn.XLOOKUP(Table7[[#This Row],[Malın kodu]],Table4[Malın kodu],Table4[Malın adı],"Xəta",0)</f>
        <v>Bolt-qayka / M16 / L 100 mm</v>
      </c>
      <c r="F1112" s="26"/>
      <c r="G1112" s="26">
        <v>5</v>
      </c>
      <c r="H1112" s="26" t="s">
        <v>1901</v>
      </c>
      <c r="I1112" s="26" t="s">
        <v>904</v>
      </c>
    </row>
    <row r="1113" spans="2:9" x14ac:dyDescent="0.25">
      <c r="B1113" s="26">
        <f t="shared" si="17"/>
        <v>1110</v>
      </c>
      <c r="C1113" s="27">
        <v>46198</v>
      </c>
      <c r="D1113" s="28" t="s">
        <v>2143</v>
      </c>
      <c r="E1113" s="29" t="str">
        <f>_xlfn.XLOOKUP(Table7[[#This Row],[Malın kodu]],Table4[Malın kodu],Table4[Malın adı],"Xəta",0)</f>
        <v>Planşet / taxeometr üçün</v>
      </c>
      <c r="F1113" s="26"/>
      <c r="G1113" s="26">
        <v>1</v>
      </c>
      <c r="H1113" s="26" t="s">
        <v>1901</v>
      </c>
      <c r="I1113" s="26" t="s">
        <v>904</v>
      </c>
    </row>
    <row r="1114" spans="2:9" x14ac:dyDescent="0.25">
      <c r="B1114" s="26">
        <f t="shared" si="17"/>
        <v>1111</v>
      </c>
      <c r="C1114" s="27">
        <v>46200</v>
      </c>
      <c r="D1114" s="28" t="s">
        <v>1394</v>
      </c>
      <c r="E1114" s="29" t="str">
        <f>_xlfn.XLOOKUP(Table7[[#This Row],[Malın kodu]],Table4[Malın kodu],Table4[Malın adı],"Xəta",0)</f>
        <v>Tiner</v>
      </c>
      <c r="F1114" s="26">
        <v>2</v>
      </c>
      <c r="G1114" s="26"/>
      <c r="H1114" s="26" t="s">
        <v>1909</v>
      </c>
      <c r="I1114" s="26" t="s">
        <v>910</v>
      </c>
    </row>
    <row r="1115" spans="2:9" x14ac:dyDescent="0.25">
      <c r="B1115" s="26">
        <f t="shared" si="17"/>
        <v>1112</v>
      </c>
      <c r="C1115" s="27">
        <v>46200</v>
      </c>
      <c r="D1115" s="28" t="s">
        <v>2041</v>
      </c>
      <c r="E1115" s="29" t="str">
        <f>_xlfn.XLOOKUP(Table7[[#This Row],[Malın kodu]],Table4[Malın kodu],Table4[Malın adı],"Xəta",0)</f>
        <v>Valik başlığı</v>
      </c>
      <c r="F1115" s="26">
        <v>10</v>
      </c>
      <c r="G1115" s="26"/>
      <c r="H1115" s="26" t="s">
        <v>1909</v>
      </c>
      <c r="I1115" s="26" t="s">
        <v>910</v>
      </c>
    </row>
    <row r="1116" spans="2:9" x14ac:dyDescent="0.25">
      <c r="B1116" s="26">
        <f t="shared" si="17"/>
        <v>1113</v>
      </c>
      <c r="C1116" s="27">
        <v>46200</v>
      </c>
      <c r="D1116" s="28" t="s">
        <v>2042</v>
      </c>
      <c r="E1116" s="29" t="str">
        <f>_xlfn.XLOOKUP(Table7[[#This Row],[Malın kodu]],Table4[Malın kodu],Table4[Malın adı],"Xəta",0)</f>
        <v>Valik / 10sm</v>
      </c>
      <c r="F1116" s="26">
        <v>4</v>
      </c>
      <c r="G1116" s="26"/>
      <c r="H1116" s="26" t="s">
        <v>1909</v>
      </c>
      <c r="I1116" s="26" t="s">
        <v>910</v>
      </c>
    </row>
    <row r="1117" spans="2:9" x14ac:dyDescent="0.25">
      <c r="B1117" s="26">
        <f t="shared" si="17"/>
        <v>1114</v>
      </c>
      <c r="C1117" s="27">
        <v>46200</v>
      </c>
      <c r="D1117" s="28" t="s">
        <v>2047</v>
      </c>
      <c r="E1117" s="29" t="str">
        <f>_xlfn.XLOOKUP(Table7[[#This Row],[Malın kodu]],Table4[Malın kodu],Table4[Malın adı],"Xəta",0)</f>
        <v>Boya / antipas / 17kq</v>
      </c>
      <c r="F1117" s="26">
        <v>1</v>
      </c>
      <c r="G1117" s="26"/>
      <c r="H1117" s="26" t="s">
        <v>1909</v>
      </c>
      <c r="I1117" s="26" t="s">
        <v>910</v>
      </c>
    </row>
    <row r="1118" spans="2:9" x14ac:dyDescent="0.25">
      <c r="B1118" s="26">
        <f t="shared" si="17"/>
        <v>1115</v>
      </c>
      <c r="C1118" s="27">
        <v>46200</v>
      </c>
      <c r="D1118" s="28" t="s">
        <v>2052</v>
      </c>
      <c r="E1118" s="29" t="str">
        <f>_xlfn.XLOOKUP(Table7[[#This Row],[Malın kodu]],Table4[Malın kodu],Table4[Malın adı],"Xəta",0)</f>
        <v>Skoç / kağız</v>
      </c>
      <c r="F1118" s="26">
        <v>1</v>
      </c>
      <c r="G1118" s="26"/>
      <c r="H1118" s="26" t="s">
        <v>1909</v>
      </c>
      <c r="I1118" s="26" t="s">
        <v>910</v>
      </c>
    </row>
    <row r="1119" spans="2:9" x14ac:dyDescent="0.25">
      <c r="B1119" s="26">
        <f t="shared" si="17"/>
        <v>1116</v>
      </c>
      <c r="C1119" s="27">
        <v>46200</v>
      </c>
      <c r="D1119" s="28" t="s">
        <v>2153</v>
      </c>
      <c r="E1119" s="29" t="str">
        <f>_xlfn.XLOOKUP(Table7[[#This Row],[Malın kodu]],Table4[Malın kodu],Table4[Malın adı],"Xəta",0)</f>
        <v>Boya / 1 L</v>
      </c>
      <c r="F1119" s="26">
        <v>2</v>
      </c>
      <c r="G1119" s="26"/>
      <c r="H1119" s="26" t="s">
        <v>1909</v>
      </c>
      <c r="I1119" s="26" t="s">
        <v>910</v>
      </c>
    </row>
    <row r="1120" spans="2:9" x14ac:dyDescent="0.25">
      <c r="B1120" s="26">
        <f t="shared" si="17"/>
        <v>1117</v>
      </c>
      <c r="C1120" s="27">
        <v>46200</v>
      </c>
      <c r="D1120" s="28" t="s">
        <v>2178</v>
      </c>
      <c r="E1120" s="29" t="str">
        <f>_xlfn.XLOOKUP(Table7[[#This Row],[Malın kodu]],Table4[Malın kodu],Table4[Malın adı],"Xəta",0)</f>
        <v>Metrə / 3m</v>
      </c>
      <c r="F1120" s="26">
        <v>1</v>
      </c>
      <c r="G1120" s="26"/>
      <c r="H1120" s="26" t="s">
        <v>1909</v>
      </c>
      <c r="I1120" s="26" t="s">
        <v>910</v>
      </c>
    </row>
    <row r="1121" spans="2:9" x14ac:dyDescent="0.25">
      <c r="B1121" s="26">
        <f t="shared" si="17"/>
        <v>1118</v>
      </c>
      <c r="C1121" s="27">
        <v>46200</v>
      </c>
      <c r="D1121" s="28" t="s">
        <v>2227</v>
      </c>
      <c r="E1121" s="29" t="str">
        <f>_xlfn.XLOOKUP(Table7[[#This Row],[Malın kodu]],Table4[Malın kodu],Table4[Malın adı],"Xəta",0)</f>
        <v>Qayka açar dəsti</v>
      </c>
      <c r="F1121" s="26">
        <v>1</v>
      </c>
      <c r="G1121" s="26"/>
      <c r="H1121" s="26" t="s">
        <v>1909</v>
      </c>
      <c r="I1121" s="26" t="s">
        <v>910</v>
      </c>
    </row>
    <row r="1122" spans="2:9" x14ac:dyDescent="0.25">
      <c r="B1122" s="26">
        <f t="shared" si="17"/>
        <v>1119</v>
      </c>
      <c r="C1122" s="27">
        <v>46200</v>
      </c>
      <c r="D1122" s="28" t="s">
        <v>2230</v>
      </c>
      <c r="E1122" s="29" t="str">
        <f>_xlfn.XLOOKUP(Table7[[#This Row],[Malın kodu]],Table4[Malın kodu],Table4[Malın adı],"Xəta",0)</f>
        <v>Qayka açarı / 10</v>
      </c>
      <c r="F1122" s="26">
        <v>1</v>
      </c>
      <c r="G1122" s="26"/>
      <c r="H1122" s="26" t="s">
        <v>1909</v>
      </c>
      <c r="I1122" s="26" t="s">
        <v>910</v>
      </c>
    </row>
    <row r="1123" spans="2:9" x14ac:dyDescent="0.25">
      <c r="B1123" s="26">
        <f t="shared" si="17"/>
        <v>1120</v>
      </c>
      <c r="C1123" s="27">
        <v>46200</v>
      </c>
      <c r="D1123" s="28" t="s">
        <v>2231</v>
      </c>
      <c r="E1123" s="29" t="str">
        <f>_xlfn.XLOOKUP(Table7[[#This Row],[Malın kodu]],Table4[Malın kodu],Table4[Malın adı],"Xəta",0)</f>
        <v>Qayka açarı / 13</v>
      </c>
      <c r="F1123" s="26">
        <v>1</v>
      </c>
      <c r="G1123" s="26"/>
      <c r="H1123" s="26" t="s">
        <v>1909</v>
      </c>
      <c r="I1123" s="26" t="s">
        <v>910</v>
      </c>
    </row>
    <row r="1124" spans="2:9" x14ac:dyDescent="0.25">
      <c r="B1124" s="26">
        <f t="shared" si="17"/>
        <v>1121</v>
      </c>
      <c r="C1124" s="27">
        <v>46200</v>
      </c>
      <c r="D1124" s="28" t="s">
        <v>2239</v>
      </c>
      <c r="E1124" s="29" t="str">
        <f>_xlfn.XLOOKUP(Table7[[#This Row],[Malın kodu]],Table4[Malın kodu],Table4[Malın adı],"Xəta",0)</f>
        <v>Kəlpətin / kəsən</v>
      </c>
      <c r="F1124" s="26">
        <v>1</v>
      </c>
      <c r="G1124" s="26"/>
      <c r="H1124" s="26" t="s">
        <v>1909</v>
      </c>
      <c r="I1124" s="26" t="s">
        <v>910</v>
      </c>
    </row>
    <row r="1125" spans="2:9" x14ac:dyDescent="0.25">
      <c r="B1125" s="26">
        <f t="shared" si="17"/>
        <v>1122</v>
      </c>
      <c r="C1125" s="27">
        <v>46201</v>
      </c>
      <c r="D1125" s="28" t="s">
        <v>2047</v>
      </c>
      <c r="E1125" s="29" t="str">
        <f>_xlfn.XLOOKUP(Table7[[#This Row],[Malın kodu]],Table4[Malın kodu],Table4[Malın adı],"Xəta",0)</f>
        <v>Boya / antipas / 17kq</v>
      </c>
      <c r="F1125" s="26">
        <v>1</v>
      </c>
      <c r="G1125" s="26"/>
      <c r="H1125" s="26" t="s">
        <v>1909</v>
      </c>
      <c r="I1125" s="26" t="s">
        <v>910</v>
      </c>
    </row>
    <row r="1126" spans="2:9" x14ac:dyDescent="0.25">
      <c r="B1126" s="26">
        <f t="shared" si="17"/>
        <v>1123</v>
      </c>
      <c r="C1126" s="27">
        <v>46201</v>
      </c>
      <c r="D1126" s="28" t="s">
        <v>2234</v>
      </c>
      <c r="E1126" s="29" t="str">
        <f>_xlfn.XLOOKUP(Table7[[#This Row],[Malın kodu]],Table4[Malın kodu],Table4[Malın adı],"Xəta",0)</f>
        <v>Qapı petlyası</v>
      </c>
      <c r="F1126" s="26">
        <v>3</v>
      </c>
      <c r="G1126" s="26"/>
      <c r="H1126" s="26" t="s">
        <v>1909</v>
      </c>
      <c r="I1126" s="26" t="s">
        <v>910</v>
      </c>
    </row>
    <row r="1127" spans="2:9" x14ac:dyDescent="0.25">
      <c r="B1127" s="26">
        <f t="shared" si="17"/>
        <v>1124</v>
      </c>
      <c r="C1127" s="27">
        <v>46201</v>
      </c>
      <c r="D1127" s="28" t="s">
        <v>2235</v>
      </c>
      <c r="E1127" s="29" t="str">
        <f>_xlfn.XLOOKUP(Table7[[#This Row],[Malın kodu]],Table4[Malın kodu],Table4[Malın adı],"Xəta",0)</f>
        <v>Cəftə</v>
      </c>
      <c r="F1127" s="26">
        <v>2</v>
      </c>
      <c r="G1127" s="26"/>
      <c r="H1127" s="26" t="s">
        <v>1909</v>
      </c>
      <c r="I1127" s="26" t="s">
        <v>910</v>
      </c>
    </row>
    <row r="1128" spans="2:9" x14ac:dyDescent="0.25">
      <c r="B1128" s="26">
        <f t="shared" si="17"/>
        <v>1125</v>
      </c>
      <c r="C1128" s="27">
        <v>46201</v>
      </c>
      <c r="D1128" s="28" t="s">
        <v>2237</v>
      </c>
      <c r="E1128" s="29" t="str">
        <f>_xlfn.XLOOKUP(Table7[[#This Row],[Malın kodu]],Table4[Malın kodu],Table4[Malın adı],"Xəta",0)</f>
        <v>Bolt</v>
      </c>
      <c r="F1128" s="26">
        <v>2</v>
      </c>
      <c r="G1128" s="26"/>
      <c r="H1128" s="26" t="s">
        <v>1909</v>
      </c>
      <c r="I1128" s="26" t="s">
        <v>910</v>
      </c>
    </row>
    <row r="1129" spans="2:9" x14ac:dyDescent="0.25">
      <c r="B1129" s="26">
        <f t="shared" si="17"/>
        <v>1126</v>
      </c>
      <c r="C1129" s="27">
        <v>46209</v>
      </c>
      <c r="D1129" s="28" t="s">
        <v>2047</v>
      </c>
      <c r="E1129" s="29" t="str">
        <f>_xlfn.XLOOKUP(Table7[[#This Row],[Malın kodu]],Table4[Malın kodu],Table4[Malın adı],"Xəta",0)</f>
        <v>Boya / antipas / 17kq</v>
      </c>
      <c r="F1129" s="26">
        <v>1</v>
      </c>
      <c r="G1129" s="26"/>
      <c r="H1129" s="26" t="s">
        <v>1909</v>
      </c>
      <c r="I1129" s="26" t="s">
        <v>910</v>
      </c>
    </row>
    <row r="1130" spans="2:9" x14ac:dyDescent="0.25">
      <c r="B1130" s="26">
        <f t="shared" si="17"/>
        <v>1127</v>
      </c>
      <c r="C1130" s="27">
        <v>46209</v>
      </c>
      <c r="D1130" s="28" t="s">
        <v>2048</v>
      </c>
      <c r="E1130" s="29" t="str">
        <f>_xlfn.XLOOKUP(Table7[[#This Row],[Malın kodu]],Table4[Malın kodu],Table4[Malın adı],"Xəta",0)</f>
        <v>Tiner / 2.5 kq</v>
      </c>
      <c r="F1130" s="26">
        <v>3</v>
      </c>
      <c r="G1130" s="26"/>
      <c r="H1130" s="26" t="s">
        <v>1909</v>
      </c>
      <c r="I1130" s="26" t="s">
        <v>910</v>
      </c>
    </row>
    <row r="1131" spans="2:9" x14ac:dyDescent="0.25">
      <c r="B1131" s="26">
        <f t="shared" si="17"/>
        <v>1128</v>
      </c>
      <c r="C1131" s="27">
        <v>46209</v>
      </c>
      <c r="D1131" s="28" t="s">
        <v>2241</v>
      </c>
      <c r="E1131" s="29" t="str">
        <f>_xlfn.XLOOKUP(Table7[[#This Row],[Malın kodu]],Table4[Malın kodu],Table4[Malın adı],"Xəta",0)</f>
        <v>Boya</v>
      </c>
      <c r="F1131" s="26">
        <v>1</v>
      </c>
      <c r="G1131" s="26"/>
      <c r="H1131" s="26" t="s">
        <v>1909</v>
      </c>
      <c r="I1131" s="26" t="s">
        <v>910</v>
      </c>
    </row>
    <row r="1132" spans="2:9" x14ac:dyDescent="0.25">
      <c r="B1132" s="26">
        <f t="shared" si="17"/>
        <v>1129</v>
      </c>
      <c r="C1132" s="27">
        <v>46209</v>
      </c>
      <c r="D1132" s="28" t="s">
        <v>2243</v>
      </c>
      <c r="E1132" s="29" t="str">
        <f>_xlfn.XLOOKUP(Table7[[#This Row],[Malın kodu]],Table4[Malın kodu],Table4[Malın adı],"Xəta",0)</f>
        <v>Elektrik üçlük (kalot)</v>
      </c>
      <c r="F1132" s="26">
        <v>1</v>
      </c>
      <c r="G1132" s="26"/>
      <c r="H1132" s="26" t="s">
        <v>1909</v>
      </c>
      <c r="I1132" s="26" t="s">
        <v>910</v>
      </c>
    </row>
    <row r="1133" spans="2:9" x14ac:dyDescent="0.25">
      <c r="B1133" s="26">
        <f t="shared" si="17"/>
        <v>1130</v>
      </c>
      <c r="C1133" s="27">
        <v>46210</v>
      </c>
      <c r="D1133" s="28" t="s">
        <v>2041</v>
      </c>
      <c r="E1133" s="29" t="str">
        <f>_xlfn.XLOOKUP(Table7[[#This Row],[Malın kodu]],Table4[Malın kodu],Table4[Malın adı],"Xəta",0)</f>
        <v>Valik başlığı</v>
      </c>
      <c r="F1133" s="26">
        <v>2</v>
      </c>
      <c r="G1133" s="26"/>
      <c r="H1133" s="26" t="s">
        <v>1909</v>
      </c>
      <c r="I1133" s="26" t="s">
        <v>910</v>
      </c>
    </row>
    <row r="1134" spans="2:9" x14ac:dyDescent="0.25">
      <c r="B1134" s="26">
        <f t="shared" si="17"/>
        <v>1131</v>
      </c>
      <c r="C1134" s="27">
        <v>46210</v>
      </c>
      <c r="D1134" s="28" t="s">
        <v>2042</v>
      </c>
      <c r="E1134" s="29" t="str">
        <f>_xlfn.XLOOKUP(Table7[[#This Row],[Malın kodu]],Table4[Malın kodu],Table4[Malın adı],"Xəta",0)</f>
        <v>Valik / 10sm</v>
      </c>
      <c r="F1134" s="26">
        <v>1</v>
      </c>
      <c r="G1134" s="26"/>
      <c r="H1134" s="26" t="s">
        <v>1909</v>
      </c>
      <c r="I1134" s="26" t="s">
        <v>910</v>
      </c>
    </row>
    <row r="1135" spans="2:9" x14ac:dyDescent="0.25">
      <c r="B1135" s="26">
        <f t="shared" si="17"/>
        <v>1132</v>
      </c>
      <c r="C1135" s="27">
        <v>46210</v>
      </c>
      <c r="D1135" s="28" t="s">
        <v>2048</v>
      </c>
      <c r="E1135" s="29" t="str">
        <f>_xlfn.XLOOKUP(Table7[[#This Row],[Malın kodu]],Table4[Malın kodu],Table4[Malın adı],"Xəta",0)</f>
        <v>Tiner / 2.5 kq</v>
      </c>
      <c r="F1135" s="26">
        <v>1</v>
      </c>
      <c r="G1135" s="26"/>
      <c r="H1135" s="26" t="s">
        <v>1909</v>
      </c>
      <c r="I1135" s="26" t="s">
        <v>910</v>
      </c>
    </row>
    <row r="1136" spans="2:9" x14ac:dyDescent="0.25">
      <c r="B1136" s="26">
        <f t="shared" si="17"/>
        <v>1133</v>
      </c>
      <c r="C1136" s="27">
        <v>46210</v>
      </c>
      <c r="D1136" s="28" t="s">
        <v>2275</v>
      </c>
      <c r="E1136" s="29" t="str">
        <f>_xlfn.XLOOKUP(Table7[[#This Row],[Malın kodu]],Table4[Malın kodu],Table4[Malın adı],"Xəta",0)</f>
        <v>Solidol</v>
      </c>
      <c r="F1136" s="26">
        <v>1</v>
      </c>
      <c r="G1136" s="26"/>
      <c r="H1136" s="26" t="s">
        <v>1909</v>
      </c>
      <c r="I1136" s="26" t="s">
        <v>1897</v>
      </c>
    </row>
    <row r="1137" spans="2:9" x14ac:dyDescent="0.25">
      <c r="B1137" s="26">
        <f t="shared" si="17"/>
        <v>1134</v>
      </c>
      <c r="C1137" s="27">
        <v>46211</v>
      </c>
      <c r="D1137" s="28" t="s">
        <v>1981</v>
      </c>
      <c r="E1137" s="29" t="str">
        <f>_xlfn.XLOOKUP(Table7[[#This Row],[Malın kodu]],Table4[Malın kodu],Table4[Malın adı],"Xəta",0)</f>
        <v>Qaynaq çubuğu (elektrod) / 3 / "Azkaynak"</v>
      </c>
      <c r="F1137" s="26">
        <v>8</v>
      </c>
      <c r="G1137" s="26"/>
      <c r="H1137" s="26" t="s">
        <v>1909</v>
      </c>
      <c r="I1137" s="26" t="s">
        <v>910</v>
      </c>
    </row>
    <row r="1138" spans="2:9" x14ac:dyDescent="0.25">
      <c r="B1138" s="26">
        <f t="shared" si="17"/>
        <v>1135</v>
      </c>
      <c r="C1138" s="27">
        <v>46211</v>
      </c>
      <c r="D1138" s="28" t="s">
        <v>2249</v>
      </c>
      <c r="E1138" s="29" t="str">
        <f>_xlfn.XLOOKUP(Table7[[#This Row],[Malın kodu]],Table4[Malın kodu],Table4[Malın adı],"Xəta",0)</f>
        <v>Qaynaq çubuğu (elektrod) / 3 / sabit / "Azkaynak"</v>
      </c>
      <c r="F1138" s="26">
        <v>6</v>
      </c>
      <c r="G1138" s="26"/>
      <c r="H1138" s="26" t="s">
        <v>1909</v>
      </c>
      <c r="I1138" s="26" t="s">
        <v>910</v>
      </c>
    </row>
    <row r="1139" spans="2:9" x14ac:dyDescent="0.25">
      <c r="B1139" s="26">
        <f t="shared" si="17"/>
        <v>1136</v>
      </c>
      <c r="C1139" s="27">
        <v>46212</v>
      </c>
      <c r="D1139" s="28" t="s">
        <v>1988</v>
      </c>
      <c r="E1139" s="29" t="str">
        <f>_xlfn.XLOOKUP(Table7[[#This Row],[Malın kodu]],Table4[Malın kodu],Table4[Malın adı],"Xəta",0)</f>
        <v>Əlcək / qaynaqçı</v>
      </c>
      <c r="F1139" s="26">
        <v>1</v>
      </c>
      <c r="G1139" s="26"/>
      <c r="H1139" s="26" t="s">
        <v>1909</v>
      </c>
      <c r="I1139" s="26" t="s">
        <v>910</v>
      </c>
    </row>
    <row r="1140" spans="2:9" x14ac:dyDescent="0.25">
      <c r="B1140" s="26">
        <f t="shared" si="17"/>
        <v>1137</v>
      </c>
      <c r="C1140" s="27">
        <v>46212</v>
      </c>
      <c r="D1140" s="28" t="s">
        <v>2293</v>
      </c>
      <c r="E1140" s="29" t="str">
        <f>_xlfn.XLOOKUP(Table7[[#This Row],[Malın kodu]],Table4[Malın kodu],Table4[Malın adı],"Xəta",0)</f>
        <v>Disk / kəsən / d 230mm</v>
      </c>
      <c r="F1140" s="26">
        <v>10</v>
      </c>
      <c r="G1140" s="26"/>
      <c r="H1140" s="26" t="s">
        <v>1909</v>
      </c>
      <c r="I1140" s="26" t="s">
        <v>910</v>
      </c>
    </row>
    <row r="1141" spans="2:9" x14ac:dyDescent="0.25">
      <c r="B1141" s="26">
        <f t="shared" si="17"/>
        <v>1138</v>
      </c>
      <c r="C1141" s="27">
        <v>46212</v>
      </c>
      <c r="D1141" s="28" t="s">
        <v>2294</v>
      </c>
      <c r="E1141" s="29" t="str">
        <f>_xlfn.XLOOKUP(Table7[[#This Row],[Malın kodu]],Table4[Malın kodu],Table4[Malın adı],"Xəta",0)</f>
        <v>Disk / cilalayıcı / d 230mm</v>
      </c>
      <c r="F1141" s="26">
        <v>2</v>
      </c>
      <c r="G1141" s="26"/>
      <c r="H1141" s="26" t="s">
        <v>1909</v>
      </c>
      <c r="I1141" s="26" t="s">
        <v>910</v>
      </c>
    </row>
    <row r="1142" spans="2:9" x14ac:dyDescent="0.25">
      <c r="B1142" s="26">
        <f t="shared" si="17"/>
        <v>1139</v>
      </c>
      <c r="C1142" s="27">
        <v>46212</v>
      </c>
      <c r="D1142" s="28" t="s">
        <v>2296</v>
      </c>
      <c r="E1142" s="29" t="str">
        <f>_xlfn.XLOOKUP(Table7[[#This Row],[Malın kodu]],Table4[Malın kodu],Table4[Malın adı],"Xəta",0)</f>
        <v>Çəkic / 2 kq</v>
      </c>
      <c r="F1142" s="26">
        <v>1</v>
      </c>
      <c r="G1142" s="26"/>
      <c r="H1142" s="26" t="s">
        <v>1909</v>
      </c>
      <c r="I1142" s="26" t="s">
        <v>910</v>
      </c>
    </row>
    <row r="1143" spans="2:9" x14ac:dyDescent="0.25">
      <c r="B1143" s="26">
        <f t="shared" si="17"/>
        <v>1140</v>
      </c>
      <c r="C1143" s="27">
        <v>46212</v>
      </c>
      <c r="D1143" s="28" t="s">
        <v>2327</v>
      </c>
      <c r="E1143" s="29" t="str">
        <f>_xlfn.XLOOKUP(Table7[[#This Row],[Malın kodu]],Table4[Malın kodu],Table4[Malın adı],"Xəta",0)</f>
        <v>Qaynaq çubuğu (elektrod) / 4</v>
      </c>
      <c r="F1143" s="26">
        <v>6</v>
      </c>
      <c r="G1143" s="26"/>
      <c r="H1143" s="26" t="s">
        <v>1909</v>
      </c>
      <c r="I1143" s="26" t="s">
        <v>1897</v>
      </c>
    </row>
    <row r="1144" spans="2:9" x14ac:dyDescent="0.25">
      <c r="B1144" s="26">
        <f t="shared" si="17"/>
        <v>1141</v>
      </c>
      <c r="C1144" s="27">
        <v>46215</v>
      </c>
      <c r="D1144" s="28" t="s">
        <v>2295</v>
      </c>
      <c r="E1144" s="29" t="str">
        <f>_xlfn.XLOOKUP(Table7[[#This Row],[Malın kodu]],Table4[Malın kodu],Table4[Malın adı],"Xəta",0)</f>
        <v>Kaska / qaynaqçı</v>
      </c>
      <c r="F1144" s="26">
        <v>1</v>
      </c>
      <c r="G1144" s="26"/>
      <c r="H1144" s="26" t="s">
        <v>1909</v>
      </c>
      <c r="I1144" s="26" t="s">
        <v>910</v>
      </c>
    </row>
    <row r="1145" spans="2:9" x14ac:dyDescent="0.25">
      <c r="B1145" s="26">
        <f t="shared" si="17"/>
        <v>1142</v>
      </c>
      <c r="C1145" s="27">
        <v>46215</v>
      </c>
      <c r="D1145" s="28" t="s">
        <v>2297</v>
      </c>
      <c r="E1145" s="29" t="str">
        <f>_xlfn.XLOOKUP(Table7[[#This Row],[Malın kodu]],Table4[Malın kodu],Table4[Malın adı],"Xəta",0)</f>
        <v>Qoruyucu şüşə / qaynaqçi kaskası üçün</v>
      </c>
      <c r="F1145" s="26">
        <v>2</v>
      </c>
      <c r="G1145" s="26"/>
      <c r="H1145" s="26" t="s">
        <v>1909</v>
      </c>
      <c r="I1145" s="26" t="s">
        <v>910</v>
      </c>
    </row>
    <row r="1146" spans="2:9" x14ac:dyDescent="0.25">
      <c r="B1146" s="26">
        <f t="shared" si="17"/>
        <v>1143</v>
      </c>
      <c r="C1146" s="27">
        <v>46216</v>
      </c>
      <c r="D1146" s="28" t="s">
        <v>1083</v>
      </c>
      <c r="E1146" s="29" t="str">
        <f>_xlfn.XLOOKUP(Table7[[#This Row],[Malın kodu]],Table4[Malın kodu],Table4[Malın adı],"Xəta",0)</f>
        <v>Lazer nivelyatoru / "AGL" / Almaniya istehsalı</v>
      </c>
      <c r="F1146" s="26"/>
      <c r="G1146" s="26">
        <v>1</v>
      </c>
      <c r="H1146" s="26" t="s">
        <v>1901</v>
      </c>
      <c r="I1146" s="26" t="s">
        <v>904</v>
      </c>
    </row>
    <row r="1147" spans="2:9" x14ac:dyDescent="0.25">
      <c r="B1147" s="26">
        <f t="shared" si="17"/>
        <v>1144</v>
      </c>
      <c r="C1147" s="27">
        <v>46216</v>
      </c>
      <c r="D1147" s="28" t="s">
        <v>1089</v>
      </c>
      <c r="E1147" s="29" t="str">
        <f>_xlfn.XLOOKUP(Table7[[#This Row],[Malın kodu]],Table4[Malın kodu],Table4[Malın adı],"Xəta",0)</f>
        <v>Printer / ağ-qara / skaner ilə / "Epson" / L3251 / Filippin istehsalı</v>
      </c>
      <c r="F1147" s="26"/>
      <c r="G1147" s="26">
        <v>1</v>
      </c>
      <c r="H1147" s="26" t="s">
        <v>1901</v>
      </c>
      <c r="I1147" s="26" t="s">
        <v>905</v>
      </c>
    </row>
    <row r="1148" spans="2:9" x14ac:dyDescent="0.25">
      <c r="B1148" s="26">
        <f t="shared" si="17"/>
        <v>1145</v>
      </c>
      <c r="C1148" s="27">
        <v>46216</v>
      </c>
      <c r="D1148" s="28" t="s">
        <v>1159</v>
      </c>
      <c r="E1148" s="29" t="str">
        <f>_xlfn.XLOOKUP(Table7[[#This Row],[Malın kodu]],Table4[Malın kodu],Table4[Malın adı],"Xəta",0)</f>
        <v>Mişar / lobzik üçün / T244D</v>
      </c>
      <c r="F1148" s="26"/>
      <c r="G1148" s="26">
        <v>4</v>
      </c>
      <c r="H1148" s="26" t="s">
        <v>1901</v>
      </c>
      <c r="I1148" s="26" t="s">
        <v>904</v>
      </c>
    </row>
    <row r="1149" spans="2:9" x14ac:dyDescent="0.25">
      <c r="B1149" s="26">
        <f t="shared" si="17"/>
        <v>1146</v>
      </c>
      <c r="C1149" s="27">
        <v>46216</v>
      </c>
      <c r="D1149" s="28" t="s">
        <v>1260</v>
      </c>
      <c r="E1149" s="29" t="str">
        <f>_xlfn.XLOOKUP(Table7[[#This Row],[Malın kodu]],Table4[Malın kodu],Table4[Malın adı],"Xəta",0)</f>
        <v>Perforator / "Bosch" / GBH 8-45 D</v>
      </c>
      <c r="F1149" s="26"/>
      <c r="G1149" s="26">
        <v>1</v>
      </c>
      <c r="H1149" s="26" t="s">
        <v>1901</v>
      </c>
      <c r="I1149" s="26" t="s">
        <v>904</v>
      </c>
    </row>
    <row r="1150" spans="2:9" x14ac:dyDescent="0.25">
      <c r="B1150" s="26">
        <f t="shared" si="17"/>
        <v>1147</v>
      </c>
      <c r="C1150" s="27">
        <v>46216</v>
      </c>
      <c r="D1150" s="28" t="s">
        <v>1261</v>
      </c>
      <c r="E1150" s="29" t="str">
        <f>_xlfn.XLOOKUP(Table7[[#This Row],[Malın kodu]],Table4[Malın kodu],Table4[Malın adı],"Xəta",0)</f>
        <v>Perforator / "Bosch" / GBH 5-40 D</v>
      </c>
      <c r="F1150" s="26"/>
      <c r="G1150" s="26">
        <v>1</v>
      </c>
      <c r="H1150" s="26" t="s">
        <v>1901</v>
      </c>
      <c r="I1150" s="26" t="s">
        <v>904</v>
      </c>
    </row>
    <row r="1151" spans="2:9" x14ac:dyDescent="0.25">
      <c r="B1151" s="26">
        <f t="shared" si="17"/>
        <v>1148</v>
      </c>
      <c r="C1151" s="27">
        <v>46216</v>
      </c>
      <c r="D1151" s="28" t="s">
        <v>1266</v>
      </c>
      <c r="E1151" s="29" t="str">
        <f>_xlfn.XLOOKUP(Table7[[#This Row],[Malın kodu]],Table4[Malın kodu],Table4[Malın adı],"Xəta",0)</f>
        <v>Perforator / "SKOM" / SK-HD1600</v>
      </c>
      <c r="F1151" s="26"/>
      <c r="G1151" s="26">
        <v>1</v>
      </c>
      <c r="H1151" s="26" t="s">
        <v>1901</v>
      </c>
      <c r="I1151" s="26" t="s">
        <v>904</v>
      </c>
    </row>
    <row r="1152" spans="2:9" x14ac:dyDescent="0.25">
      <c r="B1152" s="26">
        <f t="shared" si="17"/>
        <v>1149</v>
      </c>
      <c r="C1152" s="27">
        <v>46216</v>
      </c>
      <c r="D1152" s="28" t="s">
        <v>1267</v>
      </c>
      <c r="E1152" s="29" t="str">
        <f>_xlfn.XLOOKUP(Table7[[#This Row],[Malın kodu]],Table4[Malın kodu],Table4[Malın adı],"Xəta",0)</f>
        <v>Nivelyator / "Leica" / NA 332</v>
      </c>
      <c r="F1152" s="26"/>
      <c r="G1152" s="26">
        <v>1</v>
      </c>
      <c r="H1152" s="26" t="s">
        <v>1901</v>
      </c>
      <c r="I1152" s="26" t="s">
        <v>905</v>
      </c>
    </row>
    <row r="1153" spans="2:9" x14ac:dyDescent="0.25">
      <c r="B1153" s="26">
        <f t="shared" si="17"/>
        <v>1150</v>
      </c>
      <c r="C1153" s="27">
        <v>46216</v>
      </c>
      <c r="D1153" s="28" t="s">
        <v>1280</v>
      </c>
      <c r="E1153" s="29" t="str">
        <f>_xlfn.XLOOKUP(Table7[[#This Row],[Malın kodu]],Table4[Malın kodu],Table4[Malın adı],"Xəta",0)</f>
        <v>Lobzik / "Hidroterm"</v>
      </c>
      <c r="F1153" s="26"/>
      <c r="G1153" s="26">
        <v>1</v>
      </c>
      <c r="H1153" s="26" t="s">
        <v>1901</v>
      </c>
      <c r="I1153" s="26" t="s">
        <v>904</v>
      </c>
    </row>
    <row r="1154" spans="2:9" x14ac:dyDescent="0.25">
      <c r="B1154" s="26">
        <f t="shared" si="17"/>
        <v>1151</v>
      </c>
      <c r="C1154" s="27">
        <v>46216</v>
      </c>
      <c r="D1154" s="28" t="s">
        <v>1352</v>
      </c>
      <c r="E1154" s="29" t="str">
        <f>_xlfn.XLOOKUP(Table7[[#This Row],[Malın kodu]],Table4[Malın kodu],Table4[Malın adı],"Xəta",0)</f>
        <v>Xətkeş / nivelyator üçün / A</v>
      </c>
      <c r="F1154" s="26"/>
      <c r="G1154" s="26">
        <v>1</v>
      </c>
      <c r="H1154" s="26" t="s">
        <v>1901</v>
      </c>
      <c r="I1154" s="26" t="s">
        <v>905</v>
      </c>
    </row>
    <row r="1155" spans="2:9" x14ac:dyDescent="0.25">
      <c r="B1155" s="26">
        <f t="shared" si="17"/>
        <v>1152</v>
      </c>
      <c r="C1155" s="27">
        <v>46216</v>
      </c>
      <c r="D1155" s="28" t="s">
        <v>1652</v>
      </c>
      <c r="E1155" s="29" t="str">
        <f>_xlfn.XLOOKUP(Table7[[#This Row],[Malın kodu]],Table4[Malın kodu],Table4[Malın adı],"Xəta",0)</f>
        <v>Qaz balonu / farsunka ilə</v>
      </c>
      <c r="F1155" s="26"/>
      <c r="G1155" s="26">
        <v>1</v>
      </c>
      <c r="H1155" s="26" t="s">
        <v>1901</v>
      </c>
      <c r="I1155" s="26" t="s">
        <v>904</v>
      </c>
    </row>
    <row r="1156" spans="2:9" x14ac:dyDescent="0.25">
      <c r="B1156" s="26">
        <f t="shared" ref="B1156:B1180" si="18">ROW()-3</f>
        <v>1153</v>
      </c>
      <c r="C1156" s="27">
        <v>46216</v>
      </c>
      <c r="D1156" s="28" t="s">
        <v>1822</v>
      </c>
      <c r="E1156" s="29" t="str">
        <f>_xlfn.XLOOKUP(Table7[[#This Row],[Malın kodu]],Table4[Malın kodu],Table4[Malın adı],"Xəta",0)</f>
        <v>Masa / 695x119mm / ağ</v>
      </c>
      <c r="F1156" s="26"/>
      <c r="G1156" s="26">
        <v>2</v>
      </c>
      <c r="H1156" s="26" t="s">
        <v>1901</v>
      </c>
      <c r="I1156" s="26" t="s">
        <v>904</v>
      </c>
    </row>
    <row r="1157" spans="2:9" x14ac:dyDescent="0.25">
      <c r="B1157" s="26">
        <f t="shared" si="18"/>
        <v>1154</v>
      </c>
      <c r="C1157" s="27">
        <v>46216</v>
      </c>
      <c r="D1157" s="28" t="s">
        <v>1823</v>
      </c>
      <c r="E1157" s="29" t="str">
        <f>_xlfn.XLOOKUP(Table7[[#This Row],[Malın kodu]],Table4[Malın kodu],Table4[Malın adı],"Xəta",0)</f>
        <v>Oturacaq / ağ</v>
      </c>
      <c r="F1157" s="26"/>
      <c r="G1157" s="26">
        <v>10</v>
      </c>
      <c r="H1157" s="26" t="s">
        <v>1901</v>
      </c>
      <c r="I1157" s="26" t="s">
        <v>904</v>
      </c>
    </row>
    <row r="1158" spans="2:9" x14ac:dyDescent="0.25">
      <c r="B1158" s="26">
        <f t="shared" si="18"/>
        <v>1155</v>
      </c>
      <c r="C1158" s="27">
        <v>46216</v>
      </c>
      <c r="D1158" s="28" t="s">
        <v>1856</v>
      </c>
      <c r="E1158" s="29" t="str">
        <f>_xlfn.XLOOKUP(Table7[[#This Row],[Malın kodu]],Table4[Malın kodu],Table4[Malın adı],"Xəta",0)</f>
        <v>Nivelyator dayağı / üçayaq</v>
      </c>
      <c r="F1158" s="26"/>
      <c r="G1158" s="26">
        <v>1</v>
      </c>
      <c r="H1158" s="26" t="s">
        <v>1901</v>
      </c>
      <c r="I1158" s="26" t="s">
        <v>905</v>
      </c>
    </row>
    <row r="1159" spans="2:9" x14ac:dyDescent="0.25">
      <c r="B1159" s="26">
        <f t="shared" si="18"/>
        <v>1156</v>
      </c>
      <c r="C1159" s="27">
        <v>46216</v>
      </c>
      <c r="D1159" s="28" t="s">
        <v>1912</v>
      </c>
      <c r="E1159" s="29" t="str">
        <f>_xlfn.XLOOKUP(Table7[[#This Row],[Malın kodu]],Table4[Malın kodu],Table4[Malın adı],"Xəta",0)</f>
        <v>Sayğac / Elektrik / 3*100A LUN23 /LUNA</v>
      </c>
      <c r="F1159" s="26"/>
      <c r="G1159" s="26">
        <v>1</v>
      </c>
      <c r="H1159" s="26" t="s">
        <v>2329</v>
      </c>
      <c r="I1159" s="26" t="s">
        <v>903</v>
      </c>
    </row>
    <row r="1160" spans="2:9" x14ac:dyDescent="0.25">
      <c r="B1160" s="26">
        <f t="shared" si="18"/>
        <v>1157</v>
      </c>
      <c r="C1160" s="27">
        <v>46216</v>
      </c>
      <c r="D1160" s="28" t="s">
        <v>1949</v>
      </c>
      <c r="E1160" s="29" t="str">
        <f>_xlfn.XLOOKUP(Table7[[#This Row],[Malın kodu]],Table4[Malın kodu],Table4[Malın adı],"Xəta",0)</f>
        <v>Jilet / sarı/ sadə</v>
      </c>
      <c r="F1160" s="26"/>
      <c r="G1160" s="26">
        <v>20</v>
      </c>
      <c r="H1160" s="26" t="s">
        <v>1901</v>
      </c>
      <c r="I1160" s="26" t="s">
        <v>905</v>
      </c>
    </row>
    <row r="1161" spans="2:9" x14ac:dyDescent="0.25">
      <c r="B1161" s="26">
        <f t="shared" si="18"/>
        <v>1158</v>
      </c>
      <c r="C1161" s="27">
        <v>46216</v>
      </c>
      <c r="D1161" s="28" t="s">
        <v>1951</v>
      </c>
      <c r="E1161" s="29" t="str">
        <f>_xlfn.XLOOKUP(Table7[[#This Row],[Malın kodu]],Table4[Malın kodu],Table4[Malın adı],"Xəta",0)</f>
        <v>Çəkmə / qısa boğaz / 44 / "YDS"</v>
      </c>
      <c r="F1161" s="26"/>
      <c r="G1161" s="26">
        <v>3</v>
      </c>
      <c r="H1161" s="26" t="s">
        <v>1901</v>
      </c>
      <c r="I1161" s="26" t="s">
        <v>905</v>
      </c>
    </row>
    <row r="1162" spans="2:9" x14ac:dyDescent="0.25">
      <c r="B1162" s="26">
        <f t="shared" si="18"/>
        <v>1159</v>
      </c>
      <c r="C1162" s="27">
        <v>46216</v>
      </c>
      <c r="D1162" s="28" t="s">
        <v>1952</v>
      </c>
      <c r="E1162" s="29" t="str">
        <f>_xlfn.XLOOKUP(Table7[[#This Row],[Malın kodu]],Table4[Malın kodu],Table4[Malın adı],"Xəta",0)</f>
        <v>Çəkmə / qısa boğaz / 42 / "YDS"</v>
      </c>
      <c r="F1162" s="26"/>
      <c r="G1162" s="26">
        <v>6</v>
      </c>
      <c r="H1162" s="26" t="s">
        <v>1901</v>
      </c>
      <c r="I1162" s="26" t="s">
        <v>905</v>
      </c>
    </row>
    <row r="1163" spans="2:9" x14ac:dyDescent="0.25">
      <c r="B1163" s="26">
        <f t="shared" si="18"/>
        <v>1160</v>
      </c>
      <c r="C1163" s="27">
        <v>46216</v>
      </c>
      <c r="D1163" s="28" t="s">
        <v>1955</v>
      </c>
      <c r="E1163" s="29" t="str">
        <f>_xlfn.XLOOKUP(Table7[[#This Row],[Malın kodu]],Table4[Malın kodu],Table4[Malın adı],"Xəta",0)</f>
        <v>Ayaqqabı / qısa boğaz / 42 / "Dingoi" 90050142</v>
      </c>
      <c r="F1163" s="26"/>
      <c r="G1163" s="26">
        <v>1</v>
      </c>
      <c r="H1163" s="26" t="s">
        <v>1901</v>
      </c>
      <c r="I1163" s="26" t="s">
        <v>905</v>
      </c>
    </row>
    <row r="1164" spans="2:9" x14ac:dyDescent="0.25">
      <c r="B1164" s="26">
        <f t="shared" si="18"/>
        <v>1161</v>
      </c>
      <c r="C1164" s="27">
        <v>46216</v>
      </c>
      <c r="D1164" s="28" t="s">
        <v>1957</v>
      </c>
      <c r="E1164" s="29" t="str">
        <f>_xlfn.XLOOKUP(Table7[[#This Row],[Malın kodu]],Table4[Malın kodu],Table4[Malın adı],"Xəta",0)</f>
        <v>Eynək / qara / 3M358</v>
      </c>
      <c r="F1164" s="26"/>
      <c r="G1164" s="26">
        <v>12</v>
      </c>
      <c r="H1164" s="26" t="s">
        <v>1923</v>
      </c>
      <c r="I1164" s="26" t="s">
        <v>911</v>
      </c>
    </row>
    <row r="1165" spans="2:9" x14ac:dyDescent="0.25">
      <c r="B1165" s="26">
        <f t="shared" si="18"/>
        <v>1162</v>
      </c>
      <c r="C1165" s="27">
        <v>46216</v>
      </c>
      <c r="D1165" s="28" t="s">
        <v>1959</v>
      </c>
      <c r="E1165" s="29" t="str">
        <f>_xlfn.XLOOKUP(Table7[[#This Row],[Malın kodu]],Table4[Malın kodu],Table4[Malın adı],"Xəta",0)</f>
        <v>Jilet / sarı-narıncı / briqadir üçün</v>
      </c>
      <c r="F1165" s="26"/>
      <c r="G1165" s="26">
        <v>1</v>
      </c>
      <c r="H1165" s="26" t="s">
        <v>1901</v>
      </c>
      <c r="I1165" s="26" t="s">
        <v>905</v>
      </c>
    </row>
    <row r="1166" spans="2:9" x14ac:dyDescent="0.25">
      <c r="B1166" s="26">
        <f t="shared" si="18"/>
        <v>1163</v>
      </c>
      <c r="C1166" s="27">
        <v>46216</v>
      </c>
      <c r="D1166" s="28" t="s">
        <v>1978</v>
      </c>
      <c r="E1166" s="29" t="str">
        <f>_xlfn.XLOOKUP(Table7[[#This Row],[Malın kodu]],Table4[Malın kodu],Table4[Malın adı],"Xəta",0)</f>
        <v>Valik / 25-lik "YAP"</v>
      </c>
      <c r="F1166" s="26"/>
      <c r="G1166" s="26">
        <v>8</v>
      </c>
      <c r="H1166" s="26" t="s">
        <v>1923</v>
      </c>
      <c r="I1166" s="26" t="s">
        <v>911</v>
      </c>
    </row>
    <row r="1167" spans="2:9" x14ac:dyDescent="0.25">
      <c r="B1167" s="26">
        <f t="shared" si="18"/>
        <v>1164</v>
      </c>
      <c r="C1167" s="27">
        <v>46216</v>
      </c>
      <c r="D1167" s="28" t="s">
        <v>1979</v>
      </c>
      <c r="E1167" s="29" t="str">
        <f>_xlfn.XLOOKUP(Table7[[#This Row],[Malın kodu]],Table4[Malın kodu],Table4[Malın adı],"Xəta",0)</f>
        <v>Valik / 20-lik "Defne"</v>
      </c>
      <c r="F1167" s="26"/>
      <c r="G1167" s="26">
        <v>6</v>
      </c>
      <c r="H1167" s="26" t="s">
        <v>1923</v>
      </c>
      <c r="I1167" s="26" t="s">
        <v>911</v>
      </c>
    </row>
    <row r="1168" spans="2:9" x14ac:dyDescent="0.25">
      <c r="B1168" s="26">
        <f t="shared" si="18"/>
        <v>1165</v>
      </c>
      <c r="C1168" s="27">
        <v>46216</v>
      </c>
      <c r="D1168" s="28" t="s">
        <v>1980</v>
      </c>
      <c r="E1168" s="29" t="str">
        <f>_xlfn.XLOOKUP(Table7[[#This Row],[Malın kodu]],Table4[Malın kodu],Table4[Malın adı],"Xəta",0)</f>
        <v>Skoç / kağız / 31</v>
      </c>
      <c r="F1168" s="26"/>
      <c r="G1168" s="26">
        <v>1</v>
      </c>
      <c r="H1168" s="26" t="s">
        <v>1923</v>
      </c>
      <c r="I1168" s="26" t="s">
        <v>911</v>
      </c>
    </row>
    <row r="1169" spans="2:9" x14ac:dyDescent="0.25">
      <c r="B1169" s="26">
        <f t="shared" si="18"/>
        <v>1166</v>
      </c>
      <c r="C1169" s="27">
        <v>46216</v>
      </c>
      <c r="D1169" s="28" t="s">
        <v>1981</v>
      </c>
      <c r="E1169" s="29" t="str">
        <f>_xlfn.XLOOKUP(Table7[[#This Row],[Malın kodu]],Table4[Malın kodu],Table4[Malın adı],"Xəta",0)</f>
        <v>Qaynaq çubuğu (elektrod) / 3 / "Azkaynak"</v>
      </c>
      <c r="F1169" s="26"/>
      <c r="G1169" s="26">
        <v>6</v>
      </c>
      <c r="H1169" s="26" t="s">
        <v>1923</v>
      </c>
      <c r="I1169" s="26" t="s">
        <v>911</v>
      </c>
    </row>
    <row r="1170" spans="2:9" x14ac:dyDescent="0.25">
      <c r="B1170" s="26">
        <f t="shared" si="18"/>
        <v>1167</v>
      </c>
      <c r="C1170" s="27">
        <v>46216</v>
      </c>
      <c r="D1170" s="28" t="s">
        <v>1982</v>
      </c>
      <c r="E1170" s="29" t="str">
        <f>_xlfn.XLOOKUP(Table7[[#This Row],[Malın kodu]],Table4[Malın kodu],Table4[Malın adı],"Xəta",0)</f>
        <v>Əlcək / sarı</v>
      </c>
      <c r="F1170" s="26"/>
      <c r="G1170" s="26">
        <v>13</v>
      </c>
      <c r="H1170" s="26" t="s">
        <v>1923</v>
      </c>
      <c r="I1170" s="26" t="s">
        <v>911</v>
      </c>
    </row>
    <row r="1171" spans="2:9" x14ac:dyDescent="0.25">
      <c r="B1171" s="26">
        <f t="shared" si="18"/>
        <v>1168</v>
      </c>
      <c r="C1171" s="27">
        <v>46216</v>
      </c>
      <c r="D1171" s="28" t="s">
        <v>2006</v>
      </c>
      <c r="E1171" s="29" t="str">
        <f>_xlfn.XLOOKUP(Table7[[#This Row],[Malın kodu]],Table4[Malın kodu],Table4[Malın adı],"Xəta",0)</f>
        <v>Strec / 300 P/6</v>
      </c>
      <c r="F1171" s="26"/>
      <c r="G1171" s="26">
        <v>1</v>
      </c>
      <c r="H1171" s="26" t="s">
        <v>1923</v>
      </c>
      <c r="I1171" s="26" t="s">
        <v>911</v>
      </c>
    </row>
    <row r="1172" spans="2:9" x14ac:dyDescent="0.25">
      <c r="B1172" s="26">
        <f t="shared" si="18"/>
        <v>1169</v>
      </c>
      <c r="C1172" s="27">
        <v>46216</v>
      </c>
      <c r="D1172" s="28" t="s">
        <v>2053</v>
      </c>
      <c r="E1172" s="29" t="str">
        <f>_xlfn.XLOOKUP(Table7[[#This Row],[Malın kodu]],Table4[Malın kodu],Table4[Malın adı],"Xəta",0)</f>
        <v>Laqonda / d 115 mm</v>
      </c>
      <c r="F1172" s="26"/>
      <c r="G1172" s="26">
        <v>1</v>
      </c>
      <c r="H1172" s="26" t="s">
        <v>1901</v>
      </c>
      <c r="I1172" s="26" t="s">
        <v>904</v>
      </c>
    </row>
    <row r="1173" spans="2:9" x14ac:dyDescent="0.25">
      <c r="B1173" s="26">
        <f t="shared" si="18"/>
        <v>1170</v>
      </c>
      <c r="C1173" s="27">
        <v>46216</v>
      </c>
      <c r="D1173" s="28" t="s">
        <v>2054</v>
      </c>
      <c r="E1173" s="29" t="str">
        <f>_xlfn.XLOOKUP(Table7[[#This Row],[Malın kodu]],Table4[Malın kodu],Table4[Malın adı],"Xəta",0)</f>
        <v>Metrə / 5m</v>
      </c>
      <c r="F1173" s="26"/>
      <c r="G1173" s="26">
        <v>1</v>
      </c>
      <c r="H1173" s="26" t="s">
        <v>1901</v>
      </c>
      <c r="I1173" s="26" t="s">
        <v>904</v>
      </c>
    </row>
    <row r="1174" spans="2:9" x14ac:dyDescent="0.25">
      <c r="B1174" s="26">
        <f t="shared" si="18"/>
        <v>1171</v>
      </c>
      <c r="C1174" s="27">
        <v>46216</v>
      </c>
      <c r="D1174" s="28" t="s">
        <v>2081</v>
      </c>
      <c r="E1174" s="29" t="str">
        <f>_xlfn.XLOOKUP(Table7[[#This Row],[Malın kodu]],Table4[Malın kodu],Table4[Malın adı],"Xəta",0)</f>
        <v>Lampa / 12 Vt / ağ / kürəvi</v>
      </c>
      <c r="F1174" s="26"/>
      <c r="G1174" s="26">
        <v>2</v>
      </c>
      <c r="H1174" s="26" t="s">
        <v>1901</v>
      </c>
      <c r="I1174" s="26" t="s">
        <v>904</v>
      </c>
    </row>
    <row r="1175" spans="2:9" x14ac:dyDescent="0.25">
      <c r="B1175" s="26">
        <f t="shared" si="18"/>
        <v>1172</v>
      </c>
      <c r="C1175" s="27">
        <v>46218</v>
      </c>
      <c r="D1175" s="28" t="s">
        <v>988</v>
      </c>
      <c r="E1175" s="29" t="str">
        <f>_xlfn.XLOOKUP(Table7[[#This Row],[Malın kodu]],Table4[Malın kodu],Table4[Malın adı],"Xəta",0)</f>
        <v>Filtr/ hava/ SHF 365/ "TUC"/ Çin istehsalı</v>
      </c>
      <c r="F1175" s="26"/>
      <c r="G1175" s="26">
        <v>1</v>
      </c>
      <c r="H1175" s="26" t="s">
        <v>1901</v>
      </c>
      <c r="I1175" s="26" t="s">
        <v>904</v>
      </c>
    </row>
    <row r="1176" spans="2:9" x14ac:dyDescent="0.25">
      <c r="B1176" s="26">
        <f t="shared" si="18"/>
        <v>1173</v>
      </c>
      <c r="C1176" s="27">
        <v>46218</v>
      </c>
      <c r="D1176" s="28" t="s">
        <v>1450</v>
      </c>
      <c r="E1176" s="29" t="str">
        <f>_xlfn.XLOOKUP(Table7[[#This Row],[Malın kodu]],Table4[Malın kodu],Table4[Malın adı],"Xəta",0)</f>
        <v>Şlanq / oksiqen</v>
      </c>
      <c r="F1176" s="26"/>
      <c r="G1176" s="26">
        <v>1</v>
      </c>
      <c r="H1176" s="26" t="s">
        <v>1901</v>
      </c>
      <c r="I1176" s="26" t="s">
        <v>904</v>
      </c>
    </row>
    <row r="1177" spans="2:9" x14ac:dyDescent="0.25">
      <c r="B1177" s="26">
        <f t="shared" si="18"/>
        <v>1174</v>
      </c>
      <c r="C1177" s="27">
        <v>46218</v>
      </c>
      <c r="D1177" s="28" t="s">
        <v>1496</v>
      </c>
      <c r="E1177" s="29" t="str">
        <f>_xlfn.XLOOKUP(Table7[[#This Row],[Malın kodu]],Table4[Malın kodu],Table4[Malın adı],"Xəta",0)</f>
        <v>Konteyner / 6 metr</v>
      </c>
      <c r="F1177" s="26"/>
      <c r="G1177" s="26">
        <v>2</v>
      </c>
      <c r="H1177" s="26" t="s">
        <v>1901</v>
      </c>
      <c r="I1177" s="26" t="s">
        <v>904</v>
      </c>
    </row>
    <row r="1178" spans="2:9" x14ac:dyDescent="0.25">
      <c r="B1178" s="26">
        <f t="shared" si="18"/>
        <v>1175</v>
      </c>
      <c r="C1178" s="27">
        <v>46218</v>
      </c>
      <c r="D1178" s="28" t="s">
        <v>1572</v>
      </c>
      <c r="E1178" s="29" t="str">
        <f>_xlfn.XLOOKUP(Table7[[#This Row],[Malın kodu]],Table4[Malın kodu],Table4[Malın adı],"Xəta",0)</f>
        <v>Boru / koruqe / d 300 mm / 6 metr</v>
      </c>
      <c r="F1178" s="26"/>
      <c r="G1178" s="26">
        <v>1</v>
      </c>
      <c r="H1178" s="26" t="s">
        <v>1901</v>
      </c>
      <c r="I1178" s="26" t="s">
        <v>904</v>
      </c>
    </row>
    <row r="1179" spans="2:9" x14ac:dyDescent="0.25">
      <c r="B1179" s="26">
        <f t="shared" si="18"/>
        <v>1176</v>
      </c>
      <c r="C1179" s="27">
        <v>46218</v>
      </c>
      <c r="D1179" s="28" t="s">
        <v>1722</v>
      </c>
      <c r="E1179" s="29" t="str">
        <f>_xlfn.XLOOKUP(Table7[[#This Row],[Malın kodu]],Table4[Malın kodu],Table4[Malın adı],"Xəta",0)</f>
        <v>Burğu / 14-lük</v>
      </c>
      <c r="F1179" s="26"/>
      <c r="G1179" s="26">
        <v>2</v>
      </c>
      <c r="H1179" s="26" t="s">
        <v>1901</v>
      </c>
      <c r="I1179" s="26" t="s">
        <v>904</v>
      </c>
    </row>
    <row r="1180" spans="2:9" x14ac:dyDescent="0.25">
      <c r="B1180" s="26">
        <f t="shared" si="18"/>
        <v>1177</v>
      </c>
      <c r="C1180" s="27">
        <v>46219</v>
      </c>
      <c r="D1180" s="28" t="s">
        <v>2327</v>
      </c>
      <c r="E1180" s="29" t="str">
        <f>_xlfn.XLOOKUP(Table7[[#This Row],[Malın kodu]],Table4[Malın kodu],Table4[Malın adı],"Xəta",0)</f>
        <v>Qaynaq çubuğu (elektrod) / 4</v>
      </c>
      <c r="F1180" s="26">
        <v>2</v>
      </c>
      <c r="G1180" s="26"/>
      <c r="H1180" s="26" t="s">
        <v>1909</v>
      </c>
      <c r="I1180" s="26" t="s">
        <v>910</v>
      </c>
    </row>
    <row r="1181" spans="2:9" ht="30" x14ac:dyDescent="0.25">
      <c r="B1181" s="4">
        <f>ROW()-3</f>
        <v>1178</v>
      </c>
      <c r="C1181" s="5">
        <v>46204</v>
      </c>
      <c r="D1181" s="8" t="s">
        <v>1543</v>
      </c>
      <c r="E1181" s="12" t="str">
        <f>_xlfn.XLOOKUP(Table7[[#This Row],[Malın kodu]],Table4[Malın kodu],Table4[Malın adı],"Xəta",0)</f>
        <v>Generator / dizel / 36 kVt/ 1500 d/d / "AKSA" / A3CRX32T / Türk istehsalı</v>
      </c>
      <c r="G1181" s="4">
        <v>1</v>
      </c>
      <c r="H1181" s="4" t="s">
        <v>1923</v>
      </c>
      <c r="I1181" s="4" t="s">
        <v>911</v>
      </c>
    </row>
  </sheetData>
  <phoneticPr fontId="3" type="noConversion"/>
  <conditionalFormatting sqref="D4:D10000">
    <cfRule type="expression" dxfId="46" priority="1">
      <formula>AND(D4&lt;&gt;"", SUMIFS($F:$F,$D:$D,$D4)-SUMIFS($G:$G,$D:$D,$D4)&lt;=0)</formula>
    </cfRule>
    <cfRule type="expression" dxfId="45" priority="2">
      <formula>AND(D4&lt;&gt;"", SUMIFS($F:$F,$D:$D,$D4)-SUMIFS($G:$G,$D:$D,$D4)&gt;0)</formula>
    </cfRule>
  </conditionalFormatting>
  <dataValidations disablePrompts="1" count="3">
    <dataValidation type="list" allowBlank="1" showInputMessage="1" showErrorMessage="1" sqref="D4:D1181" xr:uid="{B5A2CAA6-F84C-40FC-9BF3-98CC5408031E}">
      <formula1>INDIRECT("Table4[Malın kodu]")</formula1>
    </dataValidation>
    <dataValidation type="list" allowBlank="1" showInputMessage="1" showErrorMessage="1" sqref="H4:H1181" xr:uid="{83CABCCD-E728-4AAC-8360-749EF4FBBE2D}">
      <formula1>"Əvvələ qalıq,Yerdəyişmə, Satınalma, Sahəyə, Silinmə"</formula1>
    </dataValidation>
    <dataValidation type="list" allowBlank="1" showInputMessage="1" showErrorMessage="1" sqref="I4:I1181" xr:uid="{4D59F047-A320-48C6-90CC-29509C4896FB}">
      <formula1>INDIRECT("Table6[Anbar / Şirkət]")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71F2-BD6B-402D-818B-E060782C352F}">
  <sheetPr>
    <tabColor rgb="FFFFFF00"/>
  </sheetPr>
  <dimension ref="A3:I4"/>
  <sheetViews>
    <sheetView workbookViewId="0">
      <selection sqref="A1:XFD1048576"/>
    </sheetView>
  </sheetViews>
  <sheetFormatPr defaultColWidth="9.109375" defaultRowHeight="15" x14ac:dyDescent="0.25"/>
  <cols>
    <col min="1" max="1" width="1.88671875" style="4" customWidth="1"/>
    <col min="2" max="2" width="5.88671875" style="4" bestFit="1" customWidth="1"/>
    <col min="3" max="3" width="12.109375" style="4" bestFit="1" customWidth="1"/>
    <col min="4" max="4" width="16.88671875" style="8" bestFit="1" customWidth="1"/>
    <col min="5" max="5" width="67.21875" style="4" customWidth="1"/>
    <col min="6" max="7" width="18.44140625" style="4" customWidth="1"/>
    <col min="8" max="8" width="14.109375" style="3" customWidth="1"/>
    <col min="9" max="9" width="24" style="3" customWidth="1"/>
    <col min="10" max="16384" width="9.109375" style="3"/>
  </cols>
  <sheetData>
    <row r="3" spans="2:9" s="2" customFormat="1" ht="15.6" x14ac:dyDescent="0.3">
      <c r="B3" s="2" t="s">
        <v>0</v>
      </c>
      <c r="C3" s="2" t="s">
        <v>902</v>
      </c>
      <c r="D3" s="7" t="s">
        <v>2</v>
      </c>
      <c r="E3" s="11" t="s">
        <v>1</v>
      </c>
      <c r="F3" s="2" t="s">
        <v>912</v>
      </c>
      <c r="G3" s="2" t="s">
        <v>913</v>
      </c>
      <c r="H3" s="2" t="s">
        <v>908</v>
      </c>
      <c r="I3" s="2" t="s">
        <v>906</v>
      </c>
    </row>
    <row r="4" spans="2:9" x14ac:dyDescent="0.25">
      <c r="B4" s="26">
        <f t="shared" ref="B4" si="0">ROW()-3</f>
        <v>1</v>
      </c>
      <c r="C4" s="27"/>
      <c r="D4" s="28"/>
      <c r="E4" s="29" t="str">
        <f>_xlfn.XLOOKUP(Table_Yasamal[[#This Row],[Malın kodu]],Table4[Malın kodu],Table4[Malın adı],"Xəta",0)</f>
        <v>Xəta</v>
      </c>
      <c r="F4" s="26"/>
      <c r="G4" s="26"/>
      <c r="H4" s="26"/>
      <c r="I4" s="26"/>
    </row>
  </sheetData>
  <conditionalFormatting sqref="D4:D8823">
    <cfRule type="expression" dxfId="44" priority="1">
      <formula>AND(D4&lt;&gt;"", SUMIFS($F:$F,$D:$D,$D4)-SUMIFS($G:$G,$D:$D,$D4)&lt;=0)</formula>
    </cfRule>
    <cfRule type="expression" dxfId="43" priority="2">
      <formula>AND(D4&lt;&gt;"", SUMIFS($F:$F,$D:$D,$D4)-SUMIFS($G:$G,$D:$D,$D4)&gt;0)</formula>
    </cfRule>
  </conditionalFormatting>
  <dataValidations count="3">
    <dataValidation type="list" allowBlank="1" showInputMessage="1" showErrorMessage="1" sqref="I4" xr:uid="{C8D96E15-C027-45B1-8A7C-770A46041B3C}">
      <formula1>INDIRECT("Table6[Anbar / Şirkət]")</formula1>
    </dataValidation>
    <dataValidation type="list" allowBlank="1" showInputMessage="1" showErrorMessage="1" sqref="H4" xr:uid="{4C8C7326-3FD3-4D30-8EA0-D1B5385AD2D5}">
      <formula1>"Əvvələ qalıq,Yerdəyişmə, Satınalma, Sahəyə, Silinmə"</formula1>
    </dataValidation>
    <dataValidation type="list" allowBlank="1" showInputMessage="1" showErrorMessage="1" sqref="D4" xr:uid="{D190E3F0-29B7-4030-AAF5-7EBDBDBA064C}">
      <formula1>INDIRECT("Table4[Malın kodu]")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33B2-9DC8-41C8-88C6-8E49DD23867C}">
  <sheetPr>
    <tabColor rgb="FFFFFF00"/>
  </sheetPr>
  <dimension ref="A3:I45"/>
  <sheetViews>
    <sheetView workbookViewId="0">
      <selection activeCell="F47" sqref="F47"/>
    </sheetView>
  </sheetViews>
  <sheetFormatPr defaultColWidth="9.109375" defaultRowHeight="15" x14ac:dyDescent="0.25"/>
  <cols>
    <col min="1" max="1" width="5" style="4" customWidth="1"/>
    <col min="2" max="2" width="5.33203125" style="4" customWidth="1"/>
    <col min="3" max="3" width="14" style="4" customWidth="1"/>
    <col min="4" max="4" width="20" style="8" customWidth="1"/>
    <col min="5" max="5" width="69.5546875" style="13" customWidth="1"/>
    <col min="6" max="7" width="18.44140625" style="4" customWidth="1"/>
    <col min="8" max="8" width="14.109375" style="3" customWidth="1"/>
    <col min="9" max="9" width="30.6640625" style="3" customWidth="1"/>
    <col min="10" max="16384" width="9.109375" style="3"/>
  </cols>
  <sheetData>
    <row r="3" spans="2:9" s="2" customFormat="1" ht="15.6" x14ac:dyDescent="0.3">
      <c r="B3" s="2" t="s">
        <v>0</v>
      </c>
      <c r="C3" s="2" t="s">
        <v>902</v>
      </c>
      <c r="D3" s="7" t="s">
        <v>2</v>
      </c>
      <c r="E3" s="11" t="s">
        <v>1</v>
      </c>
      <c r="F3" s="2" t="s">
        <v>912</v>
      </c>
      <c r="G3" s="2" t="s">
        <v>913</v>
      </c>
      <c r="H3" s="2" t="s">
        <v>908</v>
      </c>
      <c r="I3" s="2" t="s">
        <v>906</v>
      </c>
    </row>
    <row r="4" spans="2:9" ht="15.6" x14ac:dyDescent="0.3">
      <c r="B4" s="4">
        <f t="shared" ref="B4:B41" si="0">ROW()-3</f>
        <v>1</v>
      </c>
      <c r="C4" s="5">
        <v>46148</v>
      </c>
      <c r="D4" s="8" t="s">
        <v>1983</v>
      </c>
      <c r="E4" s="12" t="str">
        <f>_xlfn.XLOOKUP(Table79[[#This Row],[Malın kodu]],Filtrasiya!E:E,Filtrasiya!D:D,"xəta",0)</f>
        <v>Fırça / N143 (şotka pas qara)</v>
      </c>
      <c r="F4" s="4">
        <v>3</v>
      </c>
      <c r="G4"/>
      <c r="H4" s="4" t="s">
        <v>1909</v>
      </c>
      <c r="I4" s="4" t="s">
        <v>910</v>
      </c>
    </row>
    <row r="5" spans="2:9" ht="15.6" x14ac:dyDescent="0.3">
      <c r="B5" s="4">
        <f t="shared" si="0"/>
        <v>2</v>
      </c>
      <c r="C5" s="5">
        <v>46148</v>
      </c>
      <c r="D5" s="8" t="s">
        <v>2069</v>
      </c>
      <c r="E5" s="12" t="str">
        <f>_xlfn.XLOOKUP(Table79[[#This Row],[Malın kodu]],Filtrasiya!E:E,Filtrasiya!D:D,"xəta",0)</f>
        <v>Bıçaq / oboy / N115</v>
      </c>
      <c r="F5" s="4">
        <v>2</v>
      </c>
      <c r="G5"/>
      <c r="H5" s="4" t="s">
        <v>1909</v>
      </c>
      <c r="I5" s="4" t="s">
        <v>910</v>
      </c>
    </row>
    <row r="6" spans="2:9" ht="15.6" x14ac:dyDescent="0.3">
      <c r="B6" s="4">
        <f t="shared" si="0"/>
        <v>3</v>
      </c>
      <c r="C6" s="5">
        <v>46148</v>
      </c>
      <c r="D6" s="8" t="s">
        <v>2085</v>
      </c>
      <c r="E6" s="12" t="str">
        <f>_xlfn.XLOOKUP(Table79[[#This Row],[Malın kodu]],Filtrasiya!E:E,Filtrasiya!D:D,"xəta",0)</f>
        <v>Kömür / laqonda üçün / "Conan"</v>
      </c>
      <c r="F6" s="4">
        <v>1</v>
      </c>
      <c r="G6"/>
      <c r="H6" s="4" t="s">
        <v>1909</v>
      </c>
      <c r="I6" s="4" t="s">
        <v>910</v>
      </c>
    </row>
    <row r="7" spans="2:9" ht="15.6" x14ac:dyDescent="0.3">
      <c r="B7" s="4">
        <f t="shared" si="0"/>
        <v>4</v>
      </c>
      <c r="C7" s="5">
        <v>46149</v>
      </c>
      <c r="D7" s="8" t="s">
        <v>2110</v>
      </c>
      <c r="E7" s="12" t="str">
        <f>_xlfn.XLOOKUP(Table79[[#This Row],[Malın kodu]],Filtrasiya!E:E,Filtrasiya!D:D,"xəta",0)</f>
        <v>Potric uzatma prizi / 5x32A / 225</v>
      </c>
      <c r="F7" s="4">
        <v>20</v>
      </c>
      <c r="G7"/>
      <c r="H7" s="4" t="s">
        <v>1909</v>
      </c>
      <c r="I7" s="4" t="s">
        <v>910</v>
      </c>
    </row>
    <row r="8" spans="2:9" ht="15.6" x14ac:dyDescent="0.3">
      <c r="B8" s="4">
        <f t="shared" si="0"/>
        <v>5</v>
      </c>
      <c r="C8" s="5">
        <v>46149</v>
      </c>
      <c r="D8" s="8" t="s">
        <v>2111</v>
      </c>
      <c r="E8" s="12" t="str">
        <f>_xlfn.XLOOKUP(Table79[[#This Row],[Malın kodu]],Filtrasiya!E:E,Filtrasiya!D:D,"xəta",0)</f>
        <v>MİQRİK XCK-J108 POTRİC</v>
      </c>
      <c r="F8" s="4">
        <v>4</v>
      </c>
      <c r="G8"/>
      <c r="H8" s="4" t="s">
        <v>1909</v>
      </c>
      <c r="I8" s="4" t="s">
        <v>910</v>
      </c>
    </row>
    <row r="9" spans="2:9" ht="15.6" x14ac:dyDescent="0.3">
      <c r="B9" s="4">
        <f t="shared" si="0"/>
        <v>6</v>
      </c>
      <c r="C9" s="5">
        <v>46149</v>
      </c>
      <c r="D9" s="8" t="s">
        <v>2112</v>
      </c>
      <c r="E9" s="12" t="str">
        <f>_xlfn.XLOOKUP(Table79[[#This Row],[Malın kodu]],Filtrasiya!E:E,Filtrasiya!D:D,"xəta",0)</f>
        <v>Kabel / 2x2.5 / NEXANS H07VV-F 0,6/1 KV</v>
      </c>
      <c r="F9" s="4">
        <v>100</v>
      </c>
      <c r="G9"/>
      <c r="H9" s="4" t="s">
        <v>1909</v>
      </c>
      <c r="I9" s="4" t="s">
        <v>910</v>
      </c>
    </row>
    <row r="10" spans="2:9" ht="15.6" x14ac:dyDescent="0.3">
      <c r="B10" s="4">
        <f t="shared" si="0"/>
        <v>7</v>
      </c>
      <c r="C10" s="5">
        <v>46149</v>
      </c>
      <c r="D10" s="8" t="s">
        <v>2113</v>
      </c>
      <c r="E10" s="12" t="str">
        <f>_xlfn.XLOOKUP(Table79[[#This Row],[Malın kodu]],Filtrasiya!E:E,Filtrasiya!D:D,"xəta",0)</f>
        <v>Kabel / 2x4 / NEXANS H07VV-F 0,6/1 KV</v>
      </c>
      <c r="F10" s="4">
        <v>100</v>
      </c>
      <c r="G10"/>
      <c r="H10" s="4" t="s">
        <v>1909</v>
      </c>
      <c r="I10" s="4" t="s">
        <v>910</v>
      </c>
    </row>
    <row r="11" spans="2:9" ht="15.6" x14ac:dyDescent="0.3">
      <c r="B11" s="4">
        <f t="shared" si="0"/>
        <v>8</v>
      </c>
      <c r="C11" s="5">
        <v>46149</v>
      </c>
      <c r="D11" s="8" t="s">
        <v>2114</v>
      </c>
      <c r="E11" s="12" t="str">
        <f>_xlfn.XLOOKUP(Table79[[#This Row],[Malın kodu]],Filtrasiya!E:E,Filtrasiya!D:D,"xəta",0)</f>
        <v>TAYRAP / 5x250 / QARA</v>
      </c>
      <c r="F11" s="4">
        <v>10</v>
      </c>
      <c r="G11"/>
      <c r="H11" s="4" t="s">
        <v>1909</v>
      </c>
      <c r="I11" s="4" t="s">
        <v>910</v>
      </c>
    </row>
    <row r="12" spans="2:9" ht="15.6" x14ac:dyDescent="0.3">
      <c r="B12" s="4">
        <f t="shared" si="0"/>
        <v>9</v>
      </c>
      <c r="C12" s="5">
        <v>46149</v>
      </c>
      <c r="D12" s="8" t="s">
        <v>2115</v>
      </c>
      <c r="E12" s="12" t="str">
        <f>_xlfn.XLOOKUP(Table79[[#This Row],[Malın kodu]],Filtrasiya!E:E,Filtrasiya!D:D,"xəta",0)</f>
        <v>Ucluq / mis / DT95</v>
      </c>
      <c r="F12" s="4">
        <v>20</v>
      </c>
      <c r="G12"/>
      <c r="H12" s="4" t="s">
        <v>1909</v>
      </c>
      <c r="I12" s="4" t="s">
        <v>910</v>
      </c>
    </row>
    <row r="13" spans="2:9" ht="15.6" x14ac:dyDescent="0.3">
      <c r="B13" s="4">
        <f t="shared" si="0"/>
        <v>10</v>
      </c>
      <c r="C13" s="5">
        <v>46149</v>
      </c>
      <c r="D13" s="8" t="s">
        <v>2116</v>
      </c>
      <c r="E13" s="12" t="str">
        <f>_xlfn.XLOOKUP(Table79[[#This Row],[Malın kodu]],Filtrasiya!E:E,Filtrasiya!D:D,"xəta",0)</f>
        <v>Press 120</v>
      </c>
      <c r="F13" s="4">
        <v>1</v>
      </c>
      <c r="G13"/>
      <c r="H13" s="4" t="s">
        <v>1909</v>
      </c>
      <c r="I13" s="4" t="s">
        <v>910</v>
      </c>
    </row>
    <row r="14" spans="2:9" ht="15.6" x14ac:dyDescent="0.3">
      <c r="B14" s="4">
        <f t="shared" si="0"/>
        <v>11</v>
      </c>
      <c r="C14" s="5">
        <v>46149</v>
      </c>
      <c r="D14" s="8" t="s">
        <v>2117</v>
      </c>
      <c r="E14" s="12" t="str">
        <f>_xlfn.XLOOKUP(Table79[[#This Row],[Malın kodu]],Filtrasiya!E:E,Filtrasiya!D:D,"xəta",0)</f>
        <v>Projektor / led / 100 Vt / mini</v>
      </c>
      <c r="F14" s="4">
        <v>10</v>
      </c>
      <c r="G14"/>
      <c r="H14" s="4" t="s">
        <v>1909</v>
      </c>
      <c r="I14" s="4" t="s">
        <v>910</v>
      </c>
    </row>
    <row r="15" spans="2:9" ht="15.6" x14ac:dyDescent="0.3">
      <c r="B15" s="4">
        <f t="shared" si="0"/>
        <v>12</v>
      </c>
      <c r="C15" s="5">
        <v>46149</v>
      </c>
      <c r="D15" s="8" t="s">
        <v>2118</v>
      </c>
      <c r="E15" s="12" t="str">
        <f>_xlfn.XLOOKUP(Table79[[#This Row],[Malın kodu]],Filtrasiya!E:E,Filtrasiya!D:D,"xəta",0)</f>
        <v>Potric / 5x32A / FİŞ 025</v>
      </c>
      <c r="F15" s="4">
        <v>20</v>
      </c>
      <c r="G15"/>
      <c r="H15" s="4" t="s">
        <v>1909</v>
      </c>
      <c r="I15" s="4" t="s">
        <v>910</v>
      </c>
    </row>
    <row r="16" spans="2:9" ht="15.6" x14ac:dyDescent="0.3">
      <c r="B16" s="4">
        <f t="shared" si="0"/>
        <v>13</v>
      </c>
      <c r="C16" s="5">
        <v>46191</v>
      </c>
      <c r="D16" s="8" t="s">
        <v>1084</v>
      </c>
      <c r="E16" s="12" t="str">
        <f>_xlfn.XLOOKUP(Table79[[#This Row],[Malın kodu]],Filtrasiya!E:E,Filtrasiya!D:D,"xəta",0)</f>
        <v>Burğu / d 14 mm / perforator üçün</v>
      </c>
      <c r="F16" s="4">
        <v>2</v>
      </c>
      <c r="G16"/>
      <c r="H16" s="4" t="s">
        <v>1901</v>
      </c>
      <c r="I16" s="4" t="s">
        <v>903</v>
      </c>
    </row>
    <row r="17" spans="2:9" ht="15.6" x14ac:dyDescent="0.3">
      <c r="B17" s="4">
        <f t="shared" si="0"/>
        <v>14</v>
      </c>
      <c r="C17" s="5">
        <v>46191</v>
      </c>
      <c r="D17" s="8" t="s">
        <v>1085</v>
      </c>
      <c r="E17" s="12" t="str">
        <f>_xlfn.XLOOKUP(Table79[[#This Row],[Malın kodu]],Filtrasiya!E:E,Filtrasiya!D:D,"xəta",0)</f>
        <v>Burğu / d 18 mm / perforator üçün</v>
      </c>
      <c r="F17" s="4">
        <v>1</v>
      </c>
      <c r="G17"/>
      <c r="H17" s="4" t="s">
        <v>1901</v>
      </c>
      <c r="I17" s="4" t="s">
        <v>903</v>
      </c>
    </row>
    <row r="18" spans="2:9" ht="15.6" x14ac:dyDescent="0.3">
      <c r="B18" s="4">
        <f t="shared" si="0"/>
        <v>15</v>
      </c>
      <c r="C18" s="5">
        <v>46191</v>
      </c>
      <c r="D18" s="8" t="s">
        <v>1086</v>
      </c>
      <c r="E18" s="12" t="str">
        <f>_xlfn.XLOOKUP(Table79[[#This Row],[Malın kodu]],Filtrasiya!E:E,Filtrasiya!D:D,"xəta",0)</f>
        <v>Kəsər sapı / taxta</v>
      </c>
      <c r="F18" s="4">
        <v>5</v>
      </c>
      <c r="G18"/>
      <c r="H18" s="4" t="s">
        <v>1901</v>
      </c>
      <c r="I18" s="4" t="s">
        <v>903</v>
      </c>
    </row>
    <row r="19" spans="2:9" ht="15.6" x14ac:dyDescent="0.3">
      <c r="B19" s="4">
        <f t="shared" si="0"/>
        <v>16</v>
      </c>
      <c r="C19" s="5">
        <v>46191</v>
      </c>
      <c r="D19" s="8" t="s">
        <v>1262</v>
      </c>
      <c r="E19" s="12" t="str">
        <f>_xlfn.XLOOKUP(Table79[[#This Row],[Malın kodu]],Filtrasiya!E:E,Filtrasiya!D:D,"xəta",0)</f>
        <v>Su pompası / dalğıc</v>
      </c>
      <c r="F19" s="4">
        <v>1</v>
      </c>
      <c r="G19"/>
      <c r="H19" s="4" t="s">
        <v>1901</v>
      </c>
      <c r="I19" s="4" t="s">
        <v>903</v>
      </c>
    </row>
    <row r="20" spans="2:9" ht="15.6" x14ac:dyDescent="0.3">
      <c r="B20" s="4">
        <f t="shared" si="0"/>
        <v>17</v>
      </c>
      <c r="C20" s="5">
        <v>46191</v>
      </c>
      <c r="D20" s="8" t="s">
        <v>1273</v>
      </c>
      <c r="E20" s="12" t="str">
        <f>_xlfn.XLOOKUP(Table79[[#This Row],[Malın kodu]],Filtrasiya!E:E,Filtrasiya!D:D,"xəta",0)</f>
        <v>Su tərəzisi</v>
      </c>
      <c r="F20" s="4">
        <v>1</v>
      </c>
      <c r="G20"/>
      <c r="H20" s="4" t="s">
        <v>1901</v>
      </c>
      <c r="I20" s="4" t="s">
        <v>903</v>
      </c>
    </row>
    <row r="21" spans="2:9" ht="15.6" x14ac:dyDescent="0.3">
      <c r="B21" s="4">
        <f t="shared" si="0"/>
        <v>18</v>
      </c>
      <c r="C21" s="5">
        <v>46191</v>
      </c>
      <c r="D21" s="8" t="s">
        <v>1276</v>
      </c>
      <c r="E21" s="12" t="str">
        <f>_xlfn.XLOOKUP(Table79[[#This Row],[Malın kodu]],Filtrasiya!E:E,Filtrasiya!D:D,"xəta",0)</f>
        <v>Lagonda / 2000 vt / 6500 d/d / "Dingqi" / JB02401 / Çin istehsalı</v>
      </c>
      <c r="F21" s="4">
        <v>1</v>
      </c>
      <c r="G21"/>
      <c r="H21" s="4" t="s">
        <v>1901</v>
      </c>
      <c r="I21" s="4" t="s">
        <v>903</v>
      </c>
    </row>
    <row r="22" spans="2:9" ht="15.6" x14ac:dyDescent="0.3">
      <c r="B22" s="4">
        <f t="shared" si="0"/>
        <v>19</v>
      </c>
      <c r="C22" s="5">
        <v>46191</v>
      </c>
      <c r="D22" s="8" t="s">
        <v>1286</v>
      </c>
      <c r="E22" s="12" t="str">
        <f>_xlfn.XLOOKUP(Table79[[#This Row],[Malın kodu]],Filtrasiya!E:E,Filtrasiya!D:D,"xəta",0)</f>
        <v>Dizlik</v>
      </c>
      <c r="F22" s="4">
        <v>10</v>
      </c>
      <c r="G22"/>
      <c r="H22" s="4" t="s">
        <v>1901</v>
      </c>
      <c r="I22" s="4" t="s">
        <v>903</v>
      </c>
    </row>
    <row r="23" spans="2:9" ht="30" x14ac:dyDescent="0.3">
      <c r="B23" s="4">
        <f t="shared" si="0"/>
        <v>20</v>
      </c>
      <c r="C23" s="5">
        <v>46191</v>
      </c>
      <c r="D23" s="8" t="s">
        <v>1359</v>
      </c>
      <c r="E23" s="12" t="str">
        <f>_xlfn.XLOOKUP(Table79[[#This Row],[Malın kodu]],Filtrasiya!E:E,Filtrasiya!D:D,"xəta",0)</f>
        <v>Yağ / transmissiya / 80 W 90 / API GL-5 / 20Litr / "ALPINE" Almaniya istehsalı</v>
      </c>
      <c r="F23" s="4">
        <v>1</v>
      </c>
      <c r="G23"/>
      <c r="H23" s="4" t="s">
        <v>1901</v>
      </c>
      <c r="I23" s="4" t="s">
        <v>903</v>
      </c>
    </row>
    <row r="24" spans="2:9" ht="15.6" x14ac:dyDescent="0.3">
      <c r="B24" s="4">
        <f t="shared" si="0"/>
        <v>21</v>
      </c>
      <c r="C24" s="5">
        <v>46191</v>
      </c>
      <c r="D24" s="8" t="s">
        <v>1524</v>
      </c>
      <c r="E24" s="12" t="str">
        <f>_xlfn.XLOOKUP(Table79[[#This Row],[Malın kodu]],Filtrasiya!E:E,Filtrasiya!D:D,"xəta",0)</f>
        <v>Generator / 7.5 kVA / dizel / "Power Tech"</v>
      </c>
      <c r="F24" s="4">
        <v>1</v>
      </c>
      <c r="G24"/>
      <c r="H24" s="4" t="s">
        <v>1901</v>
      </c>
      <c r="I24" s="4" t="s">
        <v>903</v>
      </c>
    </row>
    <row r="25" spans="2:9" ht="15.6" x14ac:dyDescent="0.3">
      <c r="B25" s="4">
        <f t="shared" si="0"/>
        <v>22</v>
      </c>
      <c r="C25" s="5">
        <v>46191</v>
      </c>
      <c r="D25" s="8" t="s">
        <v>1533</v>
      </c>
      <c r="E25" s="12" t="str">
        <f>_xlfn.XLOOKUP(Table79[[#This Row],[Malın kodu]],Filtrasiya!E:E,Filtrasiya!D:D,"xəta",0)</f>
        <v>Generator / "ITC POWER" / Çin istehsalı</v>
      </c>
      <c r="F25" s="4">
        <v>1</v>
      </c>
      <c r="G25"/>
      <c r="H25" s="4" t="s">
        <v>1901</v>
      </c>
      <c r="I25" s="4" t="s">
        <v>903</v>
      </c>
    </row>
    <row r="26" spans="2:9" ht="15.6" x14ac:dyDescent="0.3">
      <c r="B26" s="4">
        <f t="shared" si="0"/>
        <v>23</v>
      </c>
      <c r="C26" s="5">
        <v>46191</v>
      </c>
      <c r="D26" s="8" t="s">
        <v>1539</v>
      </c>
      <c r="E26" s="12" t="str">
        <f>_xlfn.XLOOKUP(Table79[[#This Row],[Malın kodu]],Filtrasiya!E:E,Filtrasiya!D:D,"xəta",0)</f>
        <v>Generator / 7.5 kvt / benzin / 220-230V / "KEMAN" / Çin istehsalı</v>
      </c>
      <c r="F26" s="4">
        <v>1</v>
      </c>
      <c r="G26"/>
      <c r="H26" s="4" t="s">
        <v>1901</v>
      </c>
      <c r="I26" s="4" t="s">
        <v>903</v>
      </c>
    </row>
    <row r="27" spans="2:9" ht="30" x14ac:dyDescent="0.3">
      <c r="B27" s="4">
        <f t="shared" si="0"/>
        <v>24</v>
      </c>
      <c r="C27" s="5">
        <v>46191</v>
      </c>
      <c r="D27" s="8" t="s">
        <v>1540</v>
      </c>
      <c r="E27" s="12" t="str">
        <f>_xlfn.XLOOKUP(Table79[[#This Row],[Malın kodu]],Filtrasiya!E:E,Filtrasiya!D:D,"xəta",0)</f>
        <v>Armatur əyən / 3 kvt / 11 d/d / 380V / 3 faza / "AFACAN" / B36 / Türkiyə istehsalı</v>
      </c>
      <c r="F27" s="4">
        <v>1</v>
      </c>
      <c r="G27"/>
      <c r="H27" s="4" t="s">
        <v>1901</v>
      </c>
      <c r="I27" s="4" t="s">
        <v>903</v>
      </c>
    </row>
    <row r="28" spans="2:9" ht="30" x14ac:dyDescent="0.3">
      <c r="B28" s="4">
        <f t="shared" si="0"/>
        <v>25</v>
      </c>
      <c r="C28" s="5">
        <v>46191</v>
      </c>
      <c r="D28" s="8" t="s">
        <v>1542</v>
      </c>
      <c r="E28" s="12" t="str">
        <f>_xlfn.XLOOKUP(Table79[[#This Row],[Malın kodu]],Filtrasiya!E:E,Filtrasiya!D:D,"xəta",0)</f>
        <v>Kompressor / 2.4 Atm / "IR Ingersoll Rand" / 7/3IE / İngiltərə istehsalı</v>
      </c>
      <c r="F28" s="4">
        <v>1</v>
      </c>
      <c r="G28"/>
      <c r="H28" s="4" t="s">
        <v>1901</v>
      </c>
      <c r="I28" s="4" t="s">
        <v>903</v>
      </c>
    </row>
    <row r="29" spans="2:9" ht="15.6" x14ac:dyDescent="0.3">
      <c r="B29" s="4">
        <f t="shared" si="0"/>
        <v>26</v>
      </c>
      <c r="C29" s="5">
        <v>46191</v>
      </c>
      <c r="D29" s="8" t="s">
        <v>1706</v>
      </c>
      <c r="E29" s="12" t="str">
        <f>_xlfn.XLOOKUP(Table79[[#This Row],[Malın kodu]],Filtrasiya!E:E,Filtrasiya!D:D,"xəta",0)</f>
        <v>Akkumulyator / 12V / 100AH / Ca-Ca / "Energy" / Türkiyə istehsalı</v>
      </c>
      <c r="F29" s="4">
        <v>1</v>
      </c>
      <c r="G29"/>
      <c r="H29" s="4" t="s">
        <v>1901</v>
      </c>
      <c r="I29" s="4" t="s">
        <v>903</v>
      </c>
    </row>
    <row r="30" spans="2:9" ht="15.6" x14ac:dyDescent="0.3">
      <c r="B30" s="4">
        <f t="shared" si="0"/>
        <v>27</v>
      </c>
      <c r="C30" s="5">
        <v>46191</v>
      </c>
      <c r="D30" s="8" t="s">
        <v>1872</v>
      </c>
      <c r="E30" s="12" t="str">
        <f>_xlfn.XLOOKUP(Table79[[#This Row],[Malın kodu]],Filtrasiya!E:E,Filtrasiya!D:D,"xəta",0)</f>
        <v>Oturacaq / parça</v>
      </c>
      <c r="F30" s="4">
        <v>2</v>
      </c>
      <c r="G30"/>
      <c r="H30" s="4" t="s">
        <v>1901</v>
      </c>
      <c r="I30" s="4" t="s">
        <v>903</v>
      </c>
    </row>
    <row r="31" spans="2:9" ht="15.6" x14ac:dyDescent="0.3">
      <c r="B31" s="4">
        <f t="shared" si="0"/>
        <v>28</v>
      </c>
      <c r="C31" s="5">
        <v>46213</v>
      </c>
      <c r="D31" s="8" t="s">
        <v>2286</v>
      </c>
      <c r="E31" s="12" t="str">
        <f>_xlfn.XLOOKUP(Table79[[#This Row],[Malın kodu]],Filtrasiya!E:E,Filtrasiya!D:D,"xəta",0)</f>
        <v>Siyirtmə /d 110mm / kürəvi</v>
      </c>
      <c r="F31" s="4">
        <v>1</v>
      </c>
      <c r="G31"/>
      <c r="H31" s="4" t="s">
        <v>1909</v>
      </c>
      <c r="I31" s="4" t="s">
        <v>1897</v>
      </c>
    </row>
    <row r="32" spans="2:9" ht="15.6" x14ac:dyDescent="0.3">
      <c r="B32" s="4">
        <f t="shared" si="0"/>
        <v>29</v>
      </c>
      <c r="C32" s="5">
        <v>46213</v>
      </c>
      <c r="D32" s="8" t="s">
        <v>2287</v>
      </c>
      <c r="E32" s="12" t="str">
        <f>_xlfn.XLOOKUP(Table79[[#This Row],[Malın kodu]],Filtrasiya!E:E,Filtrasiya!D:D,"xəta",0)</f>
        <v>Tesar/Victaulic bağlantı</v>
      </c>
      <c r="F32" s="4">
        <v>1</v>
      </c>
      <c r="G32"/>
      <c r="H32" s="4" t="s">
        <v>1909</v>
      </c>
      <c r="I32" s="4" t="s">
        <v>1897</v>
      </c>
    </row>
    <row r="33" spans="2:9" ht="15.6" x14ac:dyDescent="0.3">
      <c r="B33" s="4">
        <f t="shared" si="0"/>
        <v>30</v>
      </c>
      <c r="C33" s="5">
        <v>46216</v>
      </c>
      <c r="D33" s="8" t="s">
        <v>1089</v>
      </c>
      <c r="E33" s="12" t="str">
        <f>_xlfn.XLOOKUP(Table79[[#This Row],[Malın kodu]],Filtrasiya!E:E,Filtrasiya!D:D,"xəta",0)</f>
        <v>Printer / ağ-qara / skaner ilə / "Epson" / L3251 / Filippin istehsalı</v>
      </c>
      <c r="F33" s="4">
        <v>1</v>
      </c>
      <c r="G33"/>
      <c r="H33" s="4" t="s">
        <v>1901</v>
      </c>
      <c r="I33" s="4" t="s">
        <v>903</v>
      </c>
    </row>
    <row r="34" spans="2:9" ht="15.6" x14ac:dyDescent="0.3">
      <c r="B34" s="4">
        <f t="shared" si="0"/>
        <v>31</v>
      </c>
      <c r="C34" s="5">
        <v>46216</v>
      </c>
      <c r="D34" s="8" t="s">
        <v>1267</v>
      </c>
      <c r="E34" s="12" t="str">
        <f>_xlfn.XLOOKUP(Table79[[#This Row],[Malın kodu]],Filtrasiya!E:E,Filtrasiya!D:D,"xəta",0)</f>
        <v>Nivelyator / "Leica" / NA 332</v>
      </c>
      <c r="F34" s="4">
        <v>1</v>
      </c>
      <c r="G34"/>
      <c r="H34" s="4" t="s">
        <v>1901</v>
      </c>
      <c r="I34" s="4" t="s">
        <v>903</v>
      </c>
    </row>
    <row r="35" spans="2:9" ht="15.6" x14ac:dyDescent="0.3">
      <c r="B35" s="4">
        <f t="shared" si="0"/>
        <v>32</v>
      </c>
      <c r="C35" s="5">
        <v>46216</v>
      </c>
      <c r="D35" s="8" t="s">
        <v>1352</v>
      </c>
      <c r="E35" s="12" t="str">
        <f>_xlfn.XLOOKUP(Table79[[#This Row],[Malın kodu]],Filtrasiya!E:E,Filtrasiya!D:D,"xəta",0)</f>
        <v>Xətkeş / nivelyator üçün / A</v>
      </c>
      <c r="F35" s="4">
        <v>1</v>
      </c>
      <c r="G35"/>
      <c r="H35" s="4" t="s">
        <v>1901</v>
      </c>
      <c r="I35" s="4" t="s">
        <v>903</v>
      </c>
    </row>
    <row r="36" spans="2:9" ht="15.6" x14ac:dyDescent="0.3">
      <c r="B36" s="4">
        <f t="shared" si="0"/>
        <v>33</v>
      </c>
      <c r="C36" s="5">
        <v>46216</v>
      </c>
      <c r="D36" s="8" t="s">
        <v>1856</v>
      </c>
      <c r="E36" s="12" t="str">
        <f>_xlfn.XLOOKUP(Table79[[#This Row],[Malın kodu]],Filtrasiya!E:E,Filtrasiya!D:D,"xəta",0)</f>
        <v>Nivelyator dayağı / üçayaq</v>
      </c>
      <c r="F36" s="4">
        <v>1</v>
      </c>
      <c r="G36"/>
      <c r="H36" s="4" t="s">
        <v>1901</v>
      </c>
      <c r="I36" s="4" t="s">
        <v>903</v>
      </c>
    </row>
    <row r="37" spans="2:9" ht="15.6" x14ac:dyDescent="0.3">
      <c r="B37" s="4">
        <f t="shared" si="0"/>
        <v>34</v>
      </c>
      <c r="C37" s="5">
        <v>46216</v>
      </c>
      <c r="D37" s="8" t="s">
        <v>1949</v>
      </c>
      <c r="E37" s="12" t="str">
        <f>_xlfn.XLOOKUP(Table79[[#This Row],[Malın kodu]],Filtrasiya!E:E,Filtrasiya!D:D,"xəta",0)</f>
        <v>Jilet / sarı/ sadə</v>
      </c>
      <c r="F37" s="4">
        <v>20</v>
      </c>
      <c r="G37"/>
      <c r="H37" s="4" t="s">
        <v>1901</v>
      </c>
      <c r="I37" s="4" t="s">
        <v>903</v>
      </c>
    </row>
    <row r="38" spans="2:9" ht="15.6" x14ac:dyDescent="0.3">
      <c r="B38" s="4">
        <f t="shared" si="0"/>
        <v>35</v>
      </c>
      <c r="C38" s="5">
        <v>46216</v>
      </c>
      <c r="D38" s="8" t="s">
        <v>1951</v>
      </c>
      <c r="E38" s="12" t="str">
        <f>_xlfn.XLOOKUP(Table79[[#This Row],[Malın kodu]],Filtrasiya!E:E,Filtrasiya!D:D,"xəta",0)</f>
        <v>Çəkmə / qısa boğaz / 44 / "YDS"</v>
      </c>
      <c r="F38" s="4">
        <v>3</v>
      </c>
      <c r="G38"/>
      <c r="H38" s="4" t="s">
        <v>1901</v>
      </c>
      <c r="I38" s="4" t="s">
        <v>903</v>
      </c>
    </row>
    <row r="39" spans="2:9" ht="15.6" x14ac:dyDescent="0.3">
      <c r="B39" s="4">
        <f t="shared" si="0"/>
        <v>36</v>
      </c>
      <c r="C39" s="5">
        <v>46216</v>
      </c>
      <c r="D39" s="8" t="s">
        <v>1952</v>
      </c>
      <c r="E39" s="12" t="str">
        <f>_xlfn.XLOOKUP(Table79[[#This Row],[Malın kodu]],Filtrasiya!E:E,Filtrasiya!D:D,"xəta",0)</f>
        <v>Çəkmə / qısa boğaz / 42 / "YDS"</v>
      </c>
      <c r="F39" s="4">
        <v>6</v>
      </c>
      <c r="G39"/>
      <c r="H39" s="4" t="s">
        <v>1901</v>
      </c>
      <c r="I39" s="4" t="s">
        <v>903</v>
      </c>
    </row>
    <row r="40" spans="2:9" ht="15.6" x14ac:dyDescent="0.3">
      <c r="B40" s="4">
        <f t="shared" si="0"/>
        <v>37</v>
      </c>
      <c r="C40" s="5">
        <v>46216</v>
      </c>
      <c r="D40" s="8" t="s">
        <v>1955</v>
      </c>
      <c r="E40" s="12" t="str">
        <f>_xlfn.XLOOKUP(Table79[[#This Row],[Malın kodu]],Filtrasiya!E:E,Filtrasiya!D:D,"xəta",0)</f>
        <v>Ayaqqabı / qısa boğaz / 42 / "Dingoi" 90050142</v>
      </c>
      <c r="F40" s="4">
        <v>1</v>
      </c>
      <c r="G40"/>
      <c r="H40" s="4" t="s">
        <v>1901</v>
      </c>
      <c r="I40" s="4" t="s">
        <v>903</v>
      </c>
    </row>
    <row r="41" spans="2:9" ht="15.6" x14ac:dyDescent="0.3">
      <c r="B41" s="4">
        <f t="shared" si="0"/>
        <v>38</v>
      </c>
      <c r="C41" s="5">
        <v>46216</v>
      </c>
      <c r="D41" s="8" t="s">
        <v>1959</v>
      </c>
      <c r="E41" s="12" t="str">
        <f>_xlfn.XLOOKUP(Table79[[#This Row],[Malın kodu]],Filtrasiya!E:E,Filtrasiya!D:D,"xəta",0)</f>
        <v>Jilet / sarı-narıncı / briqadir üçün</v>
      </c>
      <c r="F41" s="4">
        <v>1</v>
      </c>
      <c r="G41"/>
      <c r="H41" s="4" t="s">
        <v>1901</v>
      </c>
      <c r="I41" s="4" t="s">
        <v>903</v>
      </c>
    </row>
    <row r="42" spans="2:9" ht="27" customHeight="1" x14ac:dyDescent="0.25">
      <c r="B42" s="4">
        <f>ROW()-3</f>
        <v>39</v>
      </c>
      <c r="C42" s="5">
        <v>46198</v>
      </c>
      <c r="D42" s="8" t="s">
        <v>1539</v>
      </c>
      <c r="E42" s="12" t="str">
        <f>_xlfn.XLOOKUP(Table79[[#This Row],[Malın kodu]],Filtrasiya!E:E,Filtrasiya!D:D,"xəta",0)</f>
        <v>Generator / 7.5 kvt / benzin / 220-230V / "KEMAN" / Çin istehsalı</v>
      </c>
      <c r="G42" s="4">
        <v>1</v>
      </c>
      <c r="H42" s="4" t="s">
        <v>1901</v>
      </c>
      <c r="I42" s="4" t="s">
        <v>904</v>
      </c>
    </row>
    <row r="43" spans="2:9" x14ac:dyDescent="0.25">
      <c r="B43" s="4">
        <f>ROW()-3</f>
        <v>40</v>
      </c>
      <c r="C43" s="5">
        <v>46174</v>
      </c>
      <c r="D43" s="8" t="s">
        <v>2634</v>
      </c>
      <c r="E43" s="12" t="str">
        <f>_xlfn.XLOOKUP(Table79[[#This Row],[Malın kodu]],Filtrasiya!E:E,Filtrasiya!D:D,"xəta",0)</f>
        <v>Generator / 205 kVA / "Genpower"</v>
      </c>
      <c r="F43" s="4">
        <v>1</v>
      </c>
      <c r="H43" s="4"/>
      <c r="I43" s="4" t="s">
        <v>1918</v>
      </c>
    </row>
    <row r="44" spans="2:9" x14ac:dyDescent="0.25">
      <c r="B44" s="4">
        <f t="shared" ref="B44:B45" si="1">ROW()-3</f>
        <v>41</v>
      </c>
      <c r="C44" s="5">
        <v>46226</v>
      </c>
      <c r="D44" s="8" t="s">
        <v>2637</v>
      </c>
      <c r="E44" s="12" t="str">
        <f>_xlfn.XLOOKUP(Table79[[#This Row],[Malın kodu]],Filtrasiya!E:E,Filtrasiya!D:D,"xəta",0)</f>
        <v>Karot ucu / perforator üçün / 40mm</v>
      </c>
      <c r="F44" s="4">
        <v>1</v>
      </c>
      <c r="H44" s="4" t="s">
        <v>1909</v>
      </c>
      <c r="I44" s="4" t="s">
        <v>1897</v>
      </c>
    </row>
    <row r="45" spans="2:9" x14ac:dyDescent="0.25">
      <c r="B45" s="4">
        <f t="shared" si="1"/>
        <v>42</v>
      </c>
      <c r="C45" s="5">
        <v>46226</v>
      </c>
      <c r="D45" s="8" t="s">
        <v>2638</v>
      </c>
      <c r="E45" s="12" t="str">
        <f>_xlfn.XLOOKUP(Table79[[#This Row],[Malın kodu]],Filtrasiya!E:E,Filtrasiya!D:D,"xəta",0)</f>
        <v>Su pompası / d 76mm / 6.6 kVt / H 28metr / "Grindex" / 0940147</v>
      </c>
      <c r="F45" s="4">
        <v>1</v>
      </c>
      <c r="H45" s="4" t="s">
        <v>1909</v>
      </c>
      <c r="I45" s="4" t="s">
        <v>1897</v>
      </c>
    </row>
  </sheetData>
  <phoneticPr fontId="3" type="noConversion"/>
  <dataValidations count="3">
    <dataValidation type="list" allowBlank="1" showInputMessage="1" showErrorMessage="1" sqref="H4:H45" xr:uid="{CF61A3EC-EFDB-4079-8C4E-625CC9C1BF42}">
      <formula1>"Yerdəyişmə, Satınalma, Sahəyə, Silinmə"</formula1>
    </dataValidation>
    <dataValidation type="list" allowBlank="1" showInputMessage="1" showErrorMessage="1" sqref="D4:D45" xr:uid="{475FBB01-5A7F-4766-A664-52CFA7D8A2D9}">
      <formula1>INDIRECT("Table4[Malın kodu]")</formula1>
    </dataValidation>
    <dataValidation type="list" allowBlank="1" showInputMessage="1" showErrorMessage="1" sqref="I4:I45" xr:uid="{FCB7CBD0-D8C3-4124-A956-753DDE86AE19}">
      <formula1>INDIRECT("Table6[Anbar / Şirkət]")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D3F1-7B3B-495A-BDB7-193F4B245E6A}">
  <sheetPr>
    <tabColor rgb="FFFFFF00"/>
  </sheetPr>
  <dimension ref="A3:I42"/>
  <sheetViews>
    <sheetView workbookViewId="0">
      <selection activeCell="F47" sqref="F47"/>
    </sheetView>
  </sheetViews>
  <sheetFormatPr defaultColWidth="9.109375" defaultRowHeight="15" x14ac:dyDescent="0.25"/>
  <cols>
    <col min="1" max="1" width="5" style="4" customWidth="1"/>
    <col min="2" max="2" width="5.33203125" style="4" customWidth="1"/>
    <col min="3" max="3" width="14" style="4" customWidth="1"/>
    <col min="4" max="4" width="20" style="8" customWidth="1"/>
    <col min="5" max="5" width="69.5546875" style="13" customWidth="1"/>
    <col min="6" max="7" width="18.44140625" style="4" customWidth="1"/>
    <col min="8" max="8" width="14.109375" style="3" customWidth="1"/>
    <col min="9" max="9" width="30.6640625" style="3" customWidth="1"/>
    <col min="10" max="16384" width="9.109375" style="3"/>
  </cols>
  <sheetData>
    <row r="3" spans="2:9" s="2" customFormat="1" ht="15.6" x14ac:dyDescent="0.3">
      <c r="B3" s="2" t="s">
        <v>0</v>
      </c>
      <c r="C3" s="2" t="s">
        <v>902</v>
      </c>
      <c r="D3" s="7" t="s">
        <v>2</v>
      </c>
      <c r="E3" s="11" t="s">
        <v>1</v>
      </c>
      <c r="F3" s="2" t="s">
        <v>912</v>
      </c>
      <c r="G3" s="2" t="s">
        <v>913</v>
      </c>
      <c r="H3" s="2" t="s">
        <v>908</v>
      </c>
      <c r="I3" s="2" t="s">
        <v>906</v>
      </c>
    </row>
    <row r="4" spans="2:9" ht="15.6" x14ac:dyDescent="0.3">
      <c r="B4" s="4">
        <f t="shared" ref="B4" si="0">ROW()-3</f>
        <v>1</v>
      </c>
      <c r="C4" s="5"/>
      <c r="E4" s="12">
        <f>_xlfn.XLOOKUP(Table_Ofis[[#This Row],[Malın kodu]],Filtrasiya!E:E,Filtrasiya!D:D,"xəta",0)</f>
        <v>0</v>
      </c>
      <c r="G4"/>
      <c r="H4" s="4"/>
      <c r="I4" s="4"/>
    </row>
    <row r="42" ht="27" customHeight="1" x14ac:dyDescent="0.25"/>
  </sheetData>
  <dataValidations count="3">
    <dataValidation type="list" allowBlank="1" showInputMessage="1" showErrorMessage="1" sqref="I4" xr:uid="{2070F26B-AB4E-45C6-8A99-D02957F9464B}">
      <formula1>INDIRECT("Table6[Anbar / Şirkət]")</formula1>
    </dataValidation>
    <dataValidation type="list" allowBlank="1" showInputMessage="1" showErrorMessage="1" sqref="D4" xr:uid="{2413CACE-6187-4C51-B9DE-82AD143C536E}">
      <formula1>INDIRECT("Table4[Malın kodu]")</formula1>
    </dataValidation>
    <dataValidation type="list" allowBlank="1" showInputMessage="1" showErrorMessage="1" sqref="H4" xr:uid="{39C8F275-0DCC-4771-90C4-71454AB7C69F}">
      <formula1>"Yerdəyişmə, Satınalma, Sahəyə, Silinmə"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E0EA-41D1-445F-A242-783C5CA68D2E}">
  <sheetPr>
    <tabColor rgb="FFFFFF00"/>
  </sheetPr>
  <dimension ref="A3:I259"/>
  <sheetViews>
    <sheetView topLeftCell="A179" zoomScaleNormal="100" workbookViewId="0">
      <selection activeCell="D69" sqref="D69"/>
    </sheetView>
  </sheetViews>
  <sheetFormatPr defaultColWidth="9.109375" defaultRowHeight="15" x14ac:dyDescent="0.25"/>
  <cols>
    <col min="1" max="1" width="3.109375" style="4" customWidth="1"/>
    <col min="2" max="2" width="5.33203125" style="4" customWidth="1"/>
    <col min="3" max="3" width="13.5546875" style="4" customWidth="1"/>
    <col min="4" max="4" width="13.88671875" style="8" customWidth="1"/>
    <col min="5" max="5" width="81" style="10" customWidth="1"/>
    <col min="6" max="7" width="18.44140625" style="4" customWidth="1"/>
    <col min="8" max="8" width="14.109375" style="3" customWidth="1"/>
    <col min="9" max="9" width="30.6640625" style="3" customWidth="1"/>
    <col min="10" max="10" width="9.109375" style="3"/>
    <col min="11" max="11" width="9.6640625" style="3" bestFit="1" customWidth="1"/>
    <col min="12" max="16384" width="9.109375" style="3"/>
  </cols>
  <sheetData>
    <row r="3" spans="2:9" s="2" customFormat="1" ht="15.6" x14ac:dyDescent="0.3">
      <c r="B3" s="2" t="s">
        <v>0</v>
      </c>
      <c r="C3" s="2" t="s">
        <v>902</v>
      </c>
      <c r="D3" s="7" t="s">
        <v>2</v>
      </c>
      <c r="E3" s="9" t="s">
        <v>1</v>
      </c>
      <c r="F3" s="2" t="s">
        <v>912</v>
      </c>
      <c r="G3" s="2" t="s">
        <v>913</v>
      </c>
      <c r="H3" s="2" t="s">
        <v>908</v>
      </c>
      <c r="I3" s="2" t="s">
        <v>906</v>
      </c>
    </row>
    <row r="4" spans="2:9" ht="15.6" x14ac:dyDescent="0.3">
      <c r="B4" s="4">
        <f t="shared" ref="B4:B67" si="0">ROW()-3</f>
        <v>1</v>
      </c>
      <c r="C4" s="5">
        <v>46174</v>
      </c>
      <c r="D4" s="8" t="s">
        <v>2021</v>
      </c>
      <c r="E4" s="10" t="str">
        <f>_xlfn.XLOOKUP(Table7912[[#This Row],[Malın kodu]],Filtrasiya!E:E,Filtrasiya!D:D,"xəta",0)</f>
        <v>Generator / dizel / 50 kvA / "Genpower"</v>
      </c>
      <c r="F4" s="4">
        <v>1</v>
      </c>
      <c r="G4"/>
      <c r="H4" s="4" t="s">
        <v>899</v>
      </c>
      <c r="I4" s="4" t="s">
        <v>1918</v>
      </c>
    </row>
    <row r="5" spans="2:9" ht="15.6" x14ac:dyDescent="0.3">
      <c r="B5" s="4">
        <f t="shared" si="0"/>
        <v>2</v>
      </c>
      <c r="C5" s="5">
        <v>46179</v>
      </c>
      <c r="D5" s="8" t="s">
        <v>1910</v>
      </c>
      <c r="E5" s="10" t="str">
        <f>_xlfn.XLOOKUP(Table7912[[#This Row],[Malın kodu]],Filtrasiya!E:E,Filtrasiya!D:D,"xəta",0)</f>
        <v>Mouse-Keyboard / wireless / "DELL" KM3322W</v>
      </c>
      <c r="F5" s="4">
        <v>1</v>
      </c>
      <c r="G5"/>
      <c r="H5" s="4" t="s">
        <v>1909</v>
      </c>
      <c r="I5" s="4" t="s">
        <v>910</v>
      </c>
    </row>
    <row r="6" spans="2:9" ht="15.6" x14ac:dyDescent="0.3">
      <c r="B6" s="4">
        <f t="shared" si="0"/>
        <v>3</v>
      </c>
      <c r="C6" s="5">
        <v>46179</v>
      </c>
      <c r="D6" s="8" t="s">
        <v>1908</v>
      </c>
      <c r="E6" s="10" t="str">
        <f>_xlfn.XLOOKUP(Table7912[[#This Row],[Malın kodu]],Filtrasiya!E:E,Filtrasiya!D:D,"xəta",0)</f>
        <v>Notebook / 16GB / 512GB / SSD 6GB / "HP" VİCTUS 15-FA2082 WM i5-1342OH</v>
      </c>
      <c r="F6" s="4">
        <v>1</v>
      </c>
      <c r="G6"/>
      <c r="H6" s="4" t="s">
        <v>1909</v>
      </c>
      <c r="I6" s="4" t="s">
        <v>910</v>
      </c>
    </row>
    <row r="7" spans="2:9" ht="15.6" x14ac:dyDescent="0.3">
      <c r="B7" s="4">
        <f t="shared" si="0"/>
        <v>4</v>
      </c>
      <c r="C7" s="5">
        <v>46179</v>
      </c>
      <c r="D7" s="8" t="s">
        <v>1911</v>
      </c>
      <c r="E7" s="10" t="str">
        <f>_xlfn.XLOOKUP(Table7912[[#This Row],[Malın kodu]],Filtrasiya!E:E,Filtrasiya!D:D,"xəta",0)</f>
        <v>Çanta / notebook üçün / "HP" Prelude 15.6" TOP LOAD</v>
      </c>
      <c r="F7" s="4">
        <v>1</v>
      </c>
      <c r="G7"/>
      <c r="H7" s="4" t="s">
        <v>1909</v>
      </c>
      <c r="I7" s="4" t="s">
        <v>910</v>
      </c>
    </row>
    <row r="8" spans="2:9" ht="15.6" x14ac:dyDescent="0.3">
      <c r="B8" s="4">
        <f t="shared" si="0"/>
        <v>5</v>
      </c>
      <c r="C8" s="5">
        <v>46181</v>
      </c>
      <c r="D8" s="8" t="s">
        <v>1148</v>
      </c>
      <c r="E8" s="10" t="str">
        <f>_xlfn.XLOOKUP(Table7912[[#This Row],[Malın kodu]],Filtrasiya!E:E,Filtrasiya!D:D,"xəta",0)</f>
        <v>Burğu / 8 x 120 mm</v>
      </c>
      <c r="F8" s="4">
        <v>1</v>
      </c>
      <c r="G8"/>
      <c r="H8" s="4" t="s">
        <v>1909</v>
      </c>
      <c r="I8" s="4" t="s">
        <v>910</v>
      </c>
    </row>
    <row r="9" spans="2:9" ht="15.6" x14ac:dyDescent="0.3">
      <c r="B9" s="4">
        <f t="shared" si="0"/>
        <v>6</v>
      </c>
      <c r="C9" s="5">
        <v>46181</v>
      </c>
      <c r="D9" s="8" t="s">
        <v>1270</v>
      </c>
      <c r="E9" s="10" t="str">
        <f>_xlfn.XLOOKUP(Table7912[[#This Row],[Malın kodu]],Filtrasiya!E:E,Filtrasiya!D:D,"xəta",0)</f>
        <v>Akkumulyator / 12V / 77AH / 640A / "Tungstone"</v>
      </c>
      <c r="F9" s="4">
        <v>1</v>
      </c>
      <c r="G9"/>
      <c r="H9" s="4" t="s">
        <v>1901</v>
      </c>
      <c r="I9" s="4" t="s">
        <v>903</v>
      </c>
    </row>
    <row r="10" spans="2:9" ht="15.6" x14ac:dyDescent="0.3">
      <c r="B10" s="4">
        <f t="shared" si="0"/>
        <v>7</v>
      </c>
      <c r="C10" s="5">
        <v>46181</v>
      </c>
      <c r="D10" s="8" t="s">
        <v>1979</v>
      </c>
      <c r="E10" s="10" t="str">
        <f>_xlfn.XLOOKUP(Table7912[[#This Row],[Malın kodu]],Filtrasiya!E:E,Filtrasiya!D:D,"xəta",0)</f>
        <v>Valik / 20-lik "Defne"</v>
      </c>
      <c r="F10" s="4">
        <v>5</v>
      </c>
      <c r="G10"/>
      <c r="H10" s="4" t="s">
        <v>1909</v>
      </c>
      <c r="I10" s="4" t="s">
        <v>910</v>
      </c>
    </row>
    <row r="11" spans="2:9" ht="15.6" x14ac:dyDescent="0.3">
      <c r="B11" s="4">
        <f t="shared" si="0"/>
        <v>8</v>
      </c>
      <c r="C11" s="5">
        <v>46181</v>
      </c>
      <c r="D11" s="8" t="s">
        <v>1981</v>
      </c>
      <c r="E11" s="10" t="str">
        <f>_xlfn.XLOOKUP(Table7912[[#This Row],[Malın kodu]],Filtrasiya!E:E,Filtrasiya!D:D,"xəta",0)</f>
        <v>Qaynaq çubuğu (elektrod) / 3 / "Azkaynak"</v>
      </c>
      <c r="F11" s="4">
        <v>2</v>
      </c>
      <c r="G11"/>
      <c r="H11" s="4" t="s">
        <v>1909</v>
      </c>
      <c r="I11" s="4" t="s">
        <v>910</v>
      </c>
    </row>
    <row r="12" spans="2:9" ht="15.6" x14ac:dyDescent="0.3">
      <c r="B12" s="4">
        <f t="shared" si="0"/>
        <v>9</v>
      </c>
      <c r="C12" s="5">
        <v>46181</v>
      </c>
      <c r="D12" s="8" t="s">
        <v>1982</v>
      </c>
      <c r="E12" s="10" t="str">
        <f>_xlfn.XLOOKUP(Table7912[[#This Row],[Malın kodu]],Filtrasiya!E:E,Filtrasiya!D:D,"xəta",0)</f>
        <v>Əlcək / sarı</v>
      </c>
      <c r="F12" s="4">
        <v>50</v>
      </c>
      <c r="G12"/>
      <c r="H12" s="4" t="s">
        <v>1909</v>
      </c>
      <c r="I12" s="4" t="s">
        <v>910</v>
      </c>
    </row>
    <row r="13" spans="2:9" ht="15.6" x14ac:dyDescent="0.3">
      <c r="B13" s="4">
        <f t="shared" si="0"/>
        <v>10</v>
      </c>
      <c r="C13" s="5">
        <v>46181</v>
      </c>
      <c r="D13" s="8" t="s">
        <v>2054</v>
      </c>
      <c r="E13" s="10" t="str">
        <f>_xlfn.XLOOKUP(Table7912[[#This Row],[Malın kodu]],Filtrasiya!E:E,Filtrasiya!D:D,"xəta",0)</f>
        <v>Metrə / 5m</v>
      </c>
      <c r="F13" s="4">
        <v>3</v>
      </c>
      <c r="G13"/>
      <c r="H13" s="4" t="s">
        <v>1909</v>
      </c>
      <c r="I13" s="4" t="s">
        <v>910</v>
      </c>
    </row>
    <row r="14" spans="2:9" ht="15.6" x14ac:dyDescent="0.3">
      <c r="B14" s="4">
        <f t="shared" si="0"/>
        <v>11</v>
      </c>
      <c r="C14" s="5">
        <v>46181</v>
      </c>
      <c r="D14" s="8" t="s">
        <v>2178</v>
      </c>
      <c r="E14" s="10" t="str">
        <f>_xlfn.XLOOKUP(Table7912[[#This Row],[Malın kodu]],Filtrasiya!E:E,Filtrasiya!D:D,"xəta",0)</f>
        <v>Metrə / 3m</v>
      </c>
      <c r="F14" s="4">
        <v>2</v>
      </c>
      <c r="G14"/>
      <c r="H14" s="4" t="s">
        <v>1909</v>
      </c>
      <c r="I14" s="4" t="s">
        <v>910</v>
      </c>
    </row>
    <row r="15" spans="2:9" ht="15.6" x14ac:dyDescent="0.3">
      <c r="B15" s="4">
        <f t="shared" si="0"/>
        <v>12</v>
      </c>
      <c r="C15" s="5">
        <v>46181</v>
      </c>
      <c r="D15" s="8" t="s">
        <v>2259</v>
      </c>
      <c r="E15" s="10" t="str">
        <f>_xlfn.XLOOKUP(Table7912[[#This Row],[Malın kodu]],Filtrasiya!E:E,Filtrasiya!D:D,"xəta",0)</f>
        <v>Bel sapı</v>
      </c>
      <c r="F15" s="4">
        <v>10</v>
      </c>
      <c r="G15"/>
      <c r="H15" s="4" t="s">
        <v>1909</v>
      </c>
      <c r="I15" s="4" t="s">
        <v>910</v>
      </c>
    </row>
    <row r="16" spans="2:9" ht="15.6" x14ac:dyDescent="0.3">
      <c r="B16" s="4">
        <f t="shared" si="0"/>
        <v>13</v>
      </c>
      <c r="C16" s="5">
        <v>46181</v>
      </c>
      <c r="D16" s="8" t="s">
        <v>2261</v>
      </c>
      <c r="E16" s="10" t="str">
        <f>_xlfn.XLOOKUP(Table7912[[#This Row],[Malın kodu]],Filtrasiya!E:E,Filtrasiya!D:D,"xəta",0)</f>
        <v>Jilet / fəhlə</v>
      </c>
      <c r="F16" s="4">
        <v>15</v>
      </c>
      <c r="G16"/>
      <c r="H16" s="4" t="s">
        <v>1909</v>
      </c>
      <c r="I16" s="4" t="s">
        <v>910</v>
      </c>
    </row>
    <row r="17" spans="2:9" ht="15.6" x14ac:dyDescent="0.3">
      <c r="B17" s="4">
        <f t="shared" si="0"/>
        <v>14</v>
      </c>
      <c r="C17" s="5">
        <v>46181</v>
      </c>
      <c r="D17" s="8" t="s">
        <v>2296</v>
      </c>
      <c r="E17" s="10" t="str">
        <f>_xlfn.XLOOKUP(Table7912[[#This Row],[Malın kodu]],Filtrasiya!E:E,Filtrasiya!D:D,"xəta",0)</f>
        <v>Çəkic / 2 kq</v>
      </c>
      <c r="F17" s="4">
        <v>1</v>
      </c>
      <c r="G17"/>
      <c r="H17" s="4" t="s">
        <v>1909</v>
      </c>
      <c r="I17" s="4" t="s">
        <v>910</v>
      </c>
    </row>
    <row r="18" spans="2:9" ht="15.6" x14ac:dyDescent="0.3">
      <c r="B18" s="4">
        <f t="shared" si="0"/>
        <v>15</v>
      </c>
      <c r="C18" s="5">
        <v>46181</v>
      </c>
      <c r="D18" s="8" t="s">
        <v>2351</v>
      </c>
      <c r="E18" s="10" t="str">
        <f>_xlfn.XLOOKUP(Table7912[[#This Row],[Malın kodu]],Filtrasiya!E:E,Filtrasiya!D:D,"xəta",0)</f>
        <v>Disk / d 230mm / nerj nazik</v>
      </c>
      <c r="F18" s="4">
        <v>25</v>
      </c>
      <c r="G18"/>
      <c r="H18" s="4" t="s">
        <v>1909</v>
      </c>
      <c r="I18" s="4" t="s">
        <v>910</v>
      </c>
    </row>
    <row r="19" spans="2:9" ht="15.6" x14ac:dyDescent="0.3">
      <c r="B19" s="4">
        <f t="shared" si="0"/>
        <v>16</v>
      </c>
      <c r="C19" s="5">
        <v>46181</v>
      </c>
      <c r="D19" s="8" t="s">
        <v>2352</v>
      </c>
      <c r="E19" s="10" t="str">
        <f>_xlfn.XLOOKUP(Table7912[[#This Row],[Malın kodu]],Filtrasiya!E:E,Filtrasiya!D:D,"xəta",0)</f>
        <v>İzolyasiya lenti / 25m / qara</v>
      </c>
      <c r="F19" s="4">
        <v>10</v>
      </c>
      <c r="G19"/>
      <c r="H19" s="4" t="s">
        <v>1909</v>
      </c>
      <c r="I19" s="4" t="s">
        <v>910</v>
      </c>
    </row>
    <row r="20" spans="2:9" ht="15.6" x14ac:dyDescent="0.3">
      <c r="B20" s="4">
        <f t="shared" si="0"/>
        <v>17</v>
      </c>
      <c r="C20" s="5">
        <v>46181</v>
      </c>
      <c r="D20" s="8" t="s">
        <v>2354</v>
      </c>
      <c r="E20" s="10" t="str">
        <f>_xlfn.XLOOKUP(Table7912[[#This Row],[Malın kodu]],Filtrasiya!E:E,Filtrasiya!D:D,"xəta",0)</f>
        <v>Yanmış məftil</v>
      </c>
      <c r="F20" s="4">
        <v>100</v>
      </c>
      <c r="G20"/>
      <c r="H20" s="4" t="s">
        <v>1909</v>
      </c>
      <c r="I20" s="4" t="s">
        <v>910</v>
      </c>
    </row>
    <row r="21" spans="2:9" ht="15.6" x14ac:dyDescent="0.3">
      <c r="B21" s="4">
        <f t="shared" si="0"/>
        <v>18</v>
      </c>
      <c r="C21" s="5">
        <v>46181</v>
      </c>
      <c r="D21" s="8" t="s">
        <v>2355</v>
      </c>
      <c r="E21" s="10" t="str">
        <f>_xlfn.XLOOKUP(Table7912[[#This Row],[Malın kodu]],Filtrasiya!E:E,Filtrasiya!D:D,"xəta",0)</f>
        <v>Kəlbətin / N7</v>
      </c>
      <c r="F21" s="4">
        <v>1</v>
      </c>
      <c r="G21"/>
      <c r="H21" s="4" t="s">
        <v>1909</v>
      </c>
      <c r="I21" s="4" t="s">
        <v>910</v>
      </c>
    </row>
    <row r="22" spans="2:9" ht="15.6" x14ac:dyDescent="0.3">
      <c r="B22" s="4">
        <f t="shared" si="0"/>
        <v>19</v>
      </c>
      <c r="C22" s="5">
        <v>46181</v>
      </c>
      <c r="D22" s="8" t="s">
        <v>2356</v>
      </c>
      <c r="E22" s="10" t="str">
        <f>_xlfn.XLOOKUP(Table7912[[#This Row],[Malın kodu]],Filtrasiya!E:E,Filtrasiya!D:D,"xəta",0)</f>
        <v>Kəsər / sadə / çin</v>
      </c>
      <c r="F22" s="4">
        <v>2</v>
      </c>
      <c r="G22"/>
      <c r="H22" s="4" t="s">
        <v>1909</v>
      </c>
      <c r="I22" s="4" t="s">
        <v>910</v>
      </c>
    </row>
    <row r="23" spans="2:9" ht="15.6" x14ac:dyDescent="0.3">
      <c r="B23" s="4">
        <f t="shared" si="0"/>
        <v>20</v>
      </c>
      <c r="C23" s="5">
        <v>46181</v>
      </c>
      <c r="D23" s="8" t="s">
        <v>2357</v>
      </c>
      <c r="E23" s="10" t="str">
        <f>_xlfn.XLOOKUP(Table7912[[#This Row],[Malın kodu]],Filtrasiya!E:E,Filtrasiya!D:D,"xəta",0)</f>
        <v>Kəsər sapı / laklı / çin</v>
      </c>
      <c r="F23" s="4">
        <v>2</v>
      </c>
      <c r="G23"/>
      <c r="H23" s="4" t="s">
        <v>1909</v>
      </c>
      <c r="I23" s="4" t="s">
        <v>910</v>
      </c>
    </row>
    <row r="24" spans="2:9" ht="15.6" x14ac:dyDescent="0.3">
      <c r="B24" s="4">
        <f t="shared" si="0"/>
        <v>21</v>
      </c>
      <c r="C24" s="5">
        <v>46181</v>
      </c>
      <c r="D24" s="8" t="s">
        <v>2358</v>
      </c>
      <c r="E24" s="10" t="str">
        <f>_xlfn.XLOOKUP(Table7912[[#This Row],[Malın kodu]],Filtrasiya!E:E,Filtrasiya!D:D,"xəta",0)</f>
        <v>Lom / 28 (böyük)</v>
      </c>
      <c r="F24" s="4">
        <v>1</v>
      </c>
      <c r="G24"/>
      <c r="H24" s="4" t="s">
        <v>1909</v>
      </c>
      <c r="I24" s="4" t="s">
        <v>910</v>
      </c>
    </row>
    <row r="25" spans="2:9" ht="15.6" x14ac:dyDescent="0.3">
      <c r="B25" s="4">
        <f t="shared" si="0"/>
        <v>22</v>
      </c>
      <c r="C25" s="5">
        <v>46181</v>
      </c>
      <c r="D25" s="8" t="s">
        <v>2359</v>
      </c>
      <c r="E25" s="10" t="str">
        <f>_xlfn.XLOOKUP(Table7912[[#This Row],[Malın kodu]],Filtrasiya!E:E,Filtrasiya!D:D,"xəta",0)</f>
        <v>Disk / d 180  / ataka / "Makita"</v>
      </c>
      <c r="F25" s="4">
        <v>1</v>
      </c>
      <c r="G25"/>
      <c r="H25" s="4" t="s">
        <v>1909</v>
      </c>
      <c r="I25" s="4" t="s">
        <v>910</v>
      </c>
    </row>
    <row r="26" spans="2:9" ht="15.6" x14ac:dyDescent="0.3">
      <c r="B26" s="4">
        <f t="shared" si="0"/>
        <v>23</v>
      </c>
      <c r="C26" s="5">
        <v>46181</v>
      </c>
      <c r="D26" s="8" t="s">
        <v>2360</v>
      </c>
      <c r="E26" s="10" t="str">
        <f>_xlfn.XLOOKUP(Table7912[[#This Row],[Malın kodu]],Filtrasiya!E:E,Filtrasiya!D:D,"xəta",0)</f>
        <v>Bel / 750 qr / çalov</v>
      </c>
      <c r="F26" s="4">
        <v>5</v>
      </c>
      <c r="G26"/>
      <c r="H26" s="4" t="s">
        <v>1909</v>
      </c>
      <c r="I26" s="4" t="s">
        <v>910</v>
      </c>
    </row>
    <row r="27" spans="2:9" ht="15.6" x14ac:dyDescent="0.3">
      <c r="B27" s="4">
        <f t="shared" si="0"/>
        <v>24</v>
      </c>
      <c r="C27" s="5">
        <v>46181</v>
      </c>
      <c r="D27" s="8" t="s">
        <v>2361</v>
      </c>
      <c r="E27" s="10" t="str">
        <f>_xlfn.XLOOKUP(Table7912[[#This Row],[Malın kodu]],Filtrasiya!E:E,Filtrasiya!D:D,"xəta",0)</f>
        <v>Bel / 750 qr / düz</v>
      </c>
      <c r="F27" s="4">
        <v>3</v>
      </c>
      <c r="G27"/>
      <c r="H27" s="4" t="s">
        <v>1909</v>
      </c>
      <c r="I27" s="4" t="s">
        <v>910</v>
      </c>
    </row>
    <row r="28" spans="2:9" ht="15.6" x14ac:dyDescent="0.3">
      <c r="B28" s="4">
        <f t="shared" si="0"/>
        <v>25</v>
      </c>
      <c r="C28" s="5">
        <v>46181</v>
      </c>
      <c r="D28" s="8" t="s">
        <v>2362</v>
      </c>
      <c r="E28" s="10" t="str">
        <f>_xlfn.XLOOKUP(Table7912[[#This Row],[Malın kodu]],Filtrasiya!E:E,Filtrasiya!D:D,"xəta",0)</f>
        <v>Metrə / 10m / rezin N142</v>
      </c>
      <c r="F28" s="4">
        <v>2</v>
      </c>
      <c r="G28"/>
      <c r="H28" s="4" t="s">
        <v>1909</v>
      </c>
      <c r="I28" s="4" t="s">
        <v>910</v>
      </c>
    </row>
    <row r="29" spans="2:9" ht="15.6" x14ac:dyDescent="0.3">
      <c r="B29" s="4">
        <f t="shared" si="0"/>
        <v>26</v>
      </c>
      <c r="C29" s="5">
        <v>46181</v>
      </c>
      <c r="D29" s="8" t="s">
        <v>2363</v>
      </c>
      <c r="E29" s="10" t="str">
        <f>_xlfn.XLOOKUP(Table7912[[#This Row],[Malın kodu]],Filtrasiya!E:E,Filtrasiya!D:D,"xəta",0)</f>
        <v>Metrə / 30m / ruletka N69</v>
      </c>
      <c r="F29" s="4">
        <v>1</v>
      </c>
      <c r="G29"/>
      <c r="H29" s="4" t="s">
        <v>1909</v>
      </c>
      <c r="I29" s="4" t="s">
        <v>910</v>
      </c>
    </row>
    <row r="30" spans="2:9" ht="15.6" x14ac:dyDescent="0.3">
      <c r="B30" s="4">
        <f t="shared" si="0"/>
        <v>27</v>
      </c>
      <c r="C30" s="5">
        <v>46181</v>
      </c>
      <c r="D30" s="8" t="s">
        <v>2364</v>
      </c>
      <c r="E30" s="10" t="str">
        <f>_xlfn.XLOOKUP(Table7912[[#This Row],[Malın kodu]],Filtrasiya!E:E,Filtrasiya!D:D,"xəta",0)</f>
        <v>Fənər / 013</v>
      </c>
      <c r="F30" s="4">
        <v>1</v>
      </c>
      <c r="G30"/>
      <c r="H30" s="4" t="s">
        <v>1909</v>
      </c>
      <c r="I30" s="4" t="s">
        <v>910</v>
      </c>
    </row>
    <row r="31" spans="2:9" ht="15.6" x14ac:dyDescent="0.3">
      <c r="B31" s="4">
        <f t="shared" si="0"/>
        <v>28</v>
      </c>
      <c r="C31" s="5">
        <v>46181</v>
      </c>
      <c r="D31" s="8" t="s">
        <v>2365</v>
      </c>
      <c r="E31" s="10" t="str">
        <f>_xlfn.XLOOKUP(Table7912[[#This Row],[Malın kodu]],Filtrasiya!E:E,Filtrasiya!D:D,"xəta",0)</f>
        <v>Qoruyucu şüşə / qara / kaska üçün</v>
      </c>
      <c r="F31" s="4">
        <v>5</v>
      </c>
      <c r="G31"/>
      <c r="H31" s="4" t="s">
        <v>1909</v>
      </c>
      <c r="I31" s="4" t="s">
        <v>910</v>
      </c>
    </row>
    <row r="32" spans="2:9" ht="15.6" x14ac:dyDescent="0.3">
      <c r="B32" s="4">
        <f t="shared" si="0"/>
        <v>29</v>
      </c>
      <c r="C32" s="5">
        <v>46181</v>
      </c>
      <c r="D32" s="8" t="s">
        <v>2366</v>
      </c>
      <c r="E32" s="10" t="str">
        <f>_xlfn.XLOOKUP(Table7912[[#This Row],[Malın kodu]],Filtrasiya!E:E,Filtrasiya!D:D,"xəta",0)</f>
        <v>Lent / təhlükəsizlik / 200m</v>
      </c>
      <c r="F32" s="4">
        <v>5</v>
      </c>
      <c r="G32"/>
      <c r="H32" s="4" t="s">
        <v>1909</v>
      </c>
      <c r="I32" s="4" t="s">
        <v>910</v>
      </c>
    </row>
    <row r="33" spans="2:9" ht="15.6" x14ac:dyDescent="0.3">
      <c r="B33" s="4">
        <f t="shared" si="0"/>
        <v>30</v>
      </c>
      <c r="C33" s="5">
        <v>46183</v>
      </c>
      <c r="D33" s="8" t="s">
        <v>1129</v>
      </c>
      <c r="E33" s="10" t="str">
        <f>_xlfn.XLOOKUP(Table7912[[#This Row],[Malın kodu]],Filtrasiya!E:E,Filtrasiya!D:D,"xəta",0)</f>
        <v>Disk / cilalayıcı / d 115 mm / lagonda üçün</v>
      </c>
      <c r="F33" s="4">
        <v>10</v>
      </c>
      <c r="G33"/>
      <c r="H33" s="4" t="s">
        <v>1909</v>
      </c>
      <c r="I33" s="4" t="s">
        <v>910</v>
      </c>
    </row>
    <row r="34" spans="2:9" ht="15.6" x14ac:dyDescent="0.3">
      <c r="B34" s="4">
        <f t="shared" si="0"/>
        <v>31</v>
      </c>
      <c r="C34" s="5">
        <v>46183</v>
      </c>
      <c r="D34" s="8" t="s">
        <v>1787</v>
      </c>
      <c r="E34" s="10" t="str">
        <f>_xlfn.XLOOKUP(Table7912[[#This Row],[Malın kodu]],Filtrasiya!E:E,Filtrasiya!D:D,"xəta",0)</f>
        <v>Fırça / metal / 4 inch / laqonda üçün</v>
      </c>
      <c r="F34" s="4">
        <v>3</v>
      </c>
      <c r="G34"/>
      <c r="H34" s="4" t="s">
        <v>1909</v>
      </c>
      <c r="I34" s="4" t="s">
        <v>910</v>
      </c>
    </row>
    <row r="35" spans="2:9" ht="15.6" x14ac:dyDescent="0.3">
      <c r="B35" s="4">
        <f t="shared" si="0"/>
        <v>32</v>
      </c>
      <c r="C35" s="5">
        <v>46183</v>
      </c>
      <c r="D35" s="8" t="s">
        <v>2078</v>
      </c>
      <c r="E35" s="10" t="str">
        <f>_xlfn.XLOOKUP(Table7912[[#This Row],[Malın kodu]],Filtrasiya!E:E,Filtrasiya!D:D,"xəta",0)</f>
        <v>Qıfıl / VAZ</v>
      </c>
      <c r="F35" s="4">
        <v>1</v>
      </c>
      <c r="G35"/>
      <c r="H35" s="4" t="s">
        <v>1909</v>
      </c>
      <c r="I35" s="4" t="s">
        <v>910</v>
      </c>
    </row>
    <row r="36" spans="2:9" ht="15.6" x14ac:dyDescent="0.3">
      <c r="B36" s="4">
        <f t="shared" si="0"/>
        <v>33</v>
      </c>
      <c r="C36" s="5">
        <v>46183</v>
      </c>
      <c r="D36" s="8" t="s">
        <v>2269</v>
      </c>
      <c r="E36" s="10" t="str">
        <f>_xlfn.XLOOKUP(Table7912[[#This Row],[Malın kodu]],Filtrasiya!E:E,Filtrasiya!D:D,"xəta",0)</f>
        <v>Elektrik üçlük (kalot) / 3 gözlü</v>
      </c>
      <c r="F36" s="4">
        <v>10</v>
      </c>
      <c r="G36"/>
      <c r="H36" s="4" t="s">
        <v>1909</v>
      </c>
      <c r="I36" s="4" t="s">
        <v>910</v>
      </c>
    </row>
    <row r="37" spans="2:9" ht="15.6" x14ac:dyDescent="0.3">
      <c r="B37" s="4">
        <f t="shared" si="0"/>
        <v>34</v>
      </c>
      <c r="C37" s="5">
        <v>46183</v>
      </c>
      <c r="D37" s="8" t="s">
        <v>2284</v>
      </c>
      <c r="E37" s="10" t="str">
        <f>_xlfn.XLOOKUP(Table7912[[#This Row],[Malın kodu]],Filtrasiya!E:E,Filtrasiya!D:D,"xəta",0)</f>
        <v>Sututucu bant / AK 20/2</v>
      </c>
      <c r="F37" s="4">
        <v>100</v>
      </c>
      <c r="G37"/>
      <c r="H37" s="4" t="s">
        <v>1909</v>
      </c>
      <c r="I37" s="4" t="s">
        <v>910</v>
      </c>
    </row>
    <row r="38" spans="2:9" ht="15.6" x14ac:dyDescent="0.3">
      <c r="B38" s="4">
        <f t="shared" si="0"/>
        <v>35</v>
      </c>
      <c r="C38" s="5">
        <v>46183</v>
      </c>
      <c r="D38" s="8" t="s">
        <v>2371</v>
      </c>
      <c r="E38" s="10" t="str">
        <f>_xlfn.XLOOKUP(Table7912[[#This Row],[Malın kodu]],Filtrasiya!E:E,Filtrasiya!D:D,"xəta",0)</f>
        <v>Kran / arko / d 15mm / latun</v>
      </c>
      <c r="F38" s="4">
        <v>3</v>
      </c>
      <c r="G38"/>
      <c r="H38" s="4" t="s">
        <v>1909</v>
      </c>
      <c r="I38" s="4" t="s">
        <v>910</v>
      </c>
    </row>
    <row r="39" spans="2:9" ht="15.6" x14ac:dyDescent="0.3">
      <c r="B39" s="4">
        <f t="shared" si="0"/>
        <v>36</v>
      </c>
      <c r="C39" s="5">
        <v>46183</v>
      </c>
      <c r="D39" s="8" t="s">
        <v>2372</v>
      </c>
      <c r="E39" s="10" t="str">
        <f>_xlfn.XLOOKUP(Table7912[[#This Row],[Malın kodu]],Filtrasiya!E:E,Filtrasiya!D:D,"xəta",0)</f>
        <v>Suqarışdırıcı (smesitel) / duş CA 5</v>
      </c>
      <c r="F39" s="4">
        <v>1</v>
      </c>
      <c r="G39"/>
      <c r="H39" s="4" t="s">
        <v>1909</v>
      </c>
      <c r="I39" s="4" t="s">
        <v>910</v>
      </c>
    </row>
    <row r="40" spans="2:9" ht="15.6" x14ac:dyDescent="0.3">
      <c r="B40" s="4">
        <f t="shared" si="0"/>
        <v>37</v>
      </c>
      <c r="C40" s="5">
        <v>46183</v>
      </c>
      <c r="D40" s="8" t="s">
        <v>2373</v>
      </c>
      <c r="E40" s="10" t="str">
        <f>_xlfn.XLOOKUP(Table7912[[#This Row],[Malın kodu]],Filtrasiya!E:E,Filtrasiya!D:D,"xəta",0)</f>
        <v>Duş sepi / 120 fora</v>
      </c>
      <c r="F40" s="4">
        <v>3</v>
      </c>
      <c r="G40"/>
      <c r="H40" s="4" t="s">
        <v>1909</v>
      </c>
      <c r="I40" s="4" t="s">
        <v>910</v>
      </c>
    </row>
    <row r="41" spans="2:9" ht="15.6" x14ac:dyDescent="0.3">
      <c r="B41" s="4">
        <f t="shared" si="0"/>
        <v>38</v>
      </c>
      <c r="C41" s="5">
        <v>46183</v>
      </c>
      <c r="D41" s="8" t="s">
        <v>2374</v>
      </c>
      <c r="E41" s="10" t="str">
        <f>_xlfn.XLOOKUP(Table7912[[#This Row],[Malın kodu]],Filtrasiya!E:E,Filtrasiya!D:D,"xəta",0)</f>
        <v>Şlanq / moyka 60 / ziko</v>
      </c>
      <c r="F41" s="4">
        <v>2</v>
      </c>
      <c r="G41"/>
      <c r="H41" s="4" t="s">
        <v>1909</v>
      </c>
      <c r="I41" s="4" t="s">
        <v>910</v>
      </c>
    </row>
    <row r="42" spans="2:9" ht="15.6" x14ac:dyDescent="0.3">
      <c r="B42" s="4">
        <f t="shared" si="0"/>
        <v>39</v>
      </c>
      <c r="C42" s="5">
        <v>46183</v>
      </c>
      <c r="D42" s="8" t="s">
        <v>2375</v>
      </c>
      <c r="E42" s="10" t="str">
        <f>_xlfn.XLOOKUP(Table7912[[#This Row],[Malın kodu]],Filtrasiya!E:E,Filtrasiya!D:D,"xəta",0)</f>
        <v>Bolt / D-232</v>
      </c>
      <c r="F42" s="4">
        <v>2</v>
      </c>
      <c r="G42"/>
      <c r="H42" s="4" t="s">
        <v>1909</v>
      </c>
      <c r="I42" s="4" t="s">
        <v>910</v>
      </c>
    </row>
    <row r="43" spans="2:9" ht="15.6" x14ac:dyDescent="0.3">
      <c r="B43" s="4">
        <f t="shared" si="0"/>
        <v>40</v>
      </c>
      <c r="C43" s="5">
        <v>46183</v>
      </c>
      <c r="D43" s="8" t="s">
        <v>2351</v>
      </c>
      <c r="E43" s="10" t="str">
        <f>_xlfn.XLOOKUP(Table7912[[#This Row],[Malın kodu]],Filtrasiya!E:E,Filtrasiya!D:D,"xəta",0)</f>
        <v>Disk / d 230mm / nerj nazik</v>
      </c>
      <c r="F43" s="4">
        <v>15</v>
      </c>
      <c r="G43"/>
      <c r="H43" s="4" t="s">
        <v>1909</v>
      </c>
      <c r="I43" s="4" t="s">
        <v>910</v>
      </c>
    </row>
    <row r="44" spans="2:9" ht="15.6" x14ac:dyDescent="0.3">
      <c r="B44" s="4">
        <f t="shared" si="0"/>
        <v>41</v>
      </c>
      <c r="C44" s="5">
        <v>46183</v>
      </c>
      <c r="D44" s="8" t="s">
        <v>2376</v>
      </c>
      <c r="E44" s="10" t="str">
        <f>_xlfn.XLOOKUP(Table7912[[#This Row],[Malın kodu]],Filtrasiya!E:E,Filtrasiya!D:D,"xəta",0)</f>
        <v>Fırça / metal / 2.5 inch / laqonda üçün / saçaq</v>
      </c>
      <c r="F44" s="4">
        <v>5</v>
      </c>
      <c r="G44"/>
      <c r="H44" s="4" t="s">
        <v>1909</v>
      </c>
      <c r="I44" s="4" t="s">
        <v>910</v>
      </c>
    </row>
    <row r="45" spans="2:9" ht="15.6" x14ac:dyDescent="0.3">
      <c r="B45" s="4">
        <f t="shared" si="0"/>
        <v>42</v>
      </c>
      <c r="C45" s="5">
        <v>46183</v>
      </c>
      <c r="D45" s="8" t="s">
        <v>2377</v>
      </c>
      <c r="E45" s="10" t="str">
        <f>_xlfn.XLOOKUP(Table7912[[#This Row],[Malın kodu]],Filtrasiya!E:E,Filtrasiya!D:D,"xəta",0)</f>
        <v>Fırça / metal / 4 inch / laqonda üçün / cod</v>
      </c>
      <c r="F45" s="4">
        <v>2</v>
      </c>
      <c r="G45"/>
      <c r="H45" s="4" t="s">
        <v>1909</v>
      </c>
      <c r="I45" s="4" t="s">
        <v>910</v>
      </c>
    </row>
    <row r="46" spans="2:9" ht="15.6" x14ac:dyDescent="0.3">
      <c r="B46" s="4">
        <f t="shared" si="0"/>
        <v>43</v>
      </c>
      <c r="C46" s="5">
        <v>46183</v>
      </c>
      <c r="D46" s="8" t="s">
        <v>2378</v>
      </c>
      <c r="E46" s="10" t="str">
        <f>_xlfn.XLOOKUP(Table7912[[#This Row],[Malın kodu]],Filtrasiya!E:E,Filtrasiya!D:D,"xəta",0)</f>
        <v>Suqarışdırıcı (smesitel) / aftaxa Z62B</v>
      </c>
      <c r="F46" s="4">
        <v>1</v>
      </c>
      <c r="G46"/>
      <c r="H46" s="4" t="s">
        <v>1909</v>
      </c>
      <c r="I46" s="4" t="s">
        <v>910</v>
      </c>
    </row>
    <row r="47" spans="2:9" ht="15.6" x14ac:dyDescent="0.3">
      <c r="B47" s="4">
        <f t="shared" si="0"/>
        <v>44</v>
      </c>
      <c r="C47" s="5">
        <v>46183</v>
      </c>
      <c r="D47" s="8" t="s">
        <v>2379</v>
      </c>
      <c r="E47" s="10" t="str">
        <f>_xlfn.XLOOKUP(Table7912[[#This Row],[Malın kodu]],Filtrasiya!E:E,Filtrasiya!D:D,"xəta",0)</f>
        <v>EL-Bİ Üst 1R</v>
      </c>
      <c r="F47" s="4">
        <v>1</v>
      </c>
      <c r="G47"/>
      <c r="H47" s="4" t="s">
        <v>1909</v>
      </c>
      <c r="I47" s="4" t="s">
        <v>910</v>
      </c>
    </row>
    <row r="48" spans="2:9" ht="15.6" x14ac:dyDescent="0.3">
      <c r="B48" s="4">
        <f t="shared" si="0"/>
        <v>45</v>
      </c>
      <c r="C48" s="5">
        <v>46183</v>
      </c>
      <c r="D48" s="8" t="s">
        <v>2380</v>
      </c>
      <c r="E48" s="10" t="str">
        <f>_xlfn.XLOOKUP(Table7912[[#This Row],[Malın kodu]],Filtrasiya!E:E,Filtrasiya!D:D,"xəta",0)</f>
        <v>Lampa / spot tənzimlənən / 3D 24 Vt / ağ / kvadrat</v>
      </c>
      <c r="F48" s="4">
        <v>8</v>
      </c>
      <c r="G48"/>
      <c r="H48" s="4" t="s">
        <v>1909</v>
      </c>
      <c r="I48" s="4" t="s">
        <v>910</v>
      </c>
    </row>
    <row r="49" spans="2:9" ht="15.6" x14ac:dyDescent="0.3">
      <c r="B49" s="4">
        <f t="shared" si="0"/>
        <v>46</v>
      </c>
      <c r="C49" s="5">
        <v>46183</v>
      </c>
      <c r="D49" s="8" t="s">
        <v>2381</v>
      </c>
      <c r="E49" s="10" t="str">
        <f>_xlfn.XLOOKUP(Table7912[[#This Row],[Malın kodu]],Filtrasiya!E:E,Filtrasiya!D:D,"xəta",0)</f>
        <v>Əl-üz yüyan (Umıvalnik) / orta</v>
      </c>
      <c r="F49" s="4">
        <v>1</v>
      </c>
      <c r="G49"/>
      <c r="H49" s="4" t="s">
        <v>1909</v>
      </c>
      <c r="I49" s="4" t="s">
        <v>910</v>
      </c>
    </row>
    <row r="50" spans="2:9" ht="15.6" x14ac:dyDescent="0.3">
      <c r="B50" s="4">
        <f t="shared" si="0"/>
        <v>47</v>
      </c>
      <c r="C50" s="5">
        <v>46183</v>
      </c>
      <c r="D50" s="8" t="s">
        <v>2382</v>
      </c>
      <c r="E50" s="10" t="str">
        <f>_xlfn.XLOOKUP(Table7912[[#This Row],[Malın kodu]],Filtrasiya!E:E,Filtrasiya!D:D,"xəta",0)</f>
        <v>Elektrik çəngəli (vilka) / qulplu 258</v>
      </c>
      <c r="F50" s="4">
        <v>5</v>
      </c>
      <c r="G50"/>
      <c r="H50" s="4" t="s">
        <v>1909</v>
      </c>
      <c r="I50" s="4" t="s">
        <v>910</v>
      </c>
    </row>
    <row r="51" spans="2:9" ht="15.6" x14ac:dyDescent="0.3">
      <c r="B51" s="4">
        <f t="shared" si="0"/>
        <v>48</v>
      </c>
      <c r="C51" s="5">
        <v>46183</v>
      </c>
      <c r="D51" s="8" t="s">
        <v>2382</v>
      </c>
      <c r="E51" s="10" t="str">
        <f>_xlfn.XLOOKUP(Table7912[[#This Row],[Malın kodu]],Filtrasiya!E:E,Filtrasiya!D:D,"xəta",0)</f>
        <v>Elektrik çəngəli (vilka) / qulplu 258</v>
      </c>
      <c r="F51" s="4">
        <v>5</v>
      </c>
      <c r="G51"/>
      <c r="H51" s="4" t="s">
        <v>1909</v>
      </c>
      <c r="I51" s="4" t="s">
        <v>910</v>
      </c>
    </row>
    <row r="52" spans="2:9" ht="15.6" x14ac:dyDescent="0.3">
      <c r="B52" s="4">
        <f t="shared" si="0"/>
        <v>49</v>
      </c>
      <c r="C52" s="5">
        <v>46183</v>
      </c>
      <c r="D52" s="8" t="s">
        <v>2352</v>
      </c>
      <c r="E52" s="10" t="str">
        <f>_xlfn.XLOOKUP(Table7912[[#This Row],[Malın kodu]],Filtrasiya!E:E,Filtrasiya!D:D,"xəta",0)</f>
        <v>İzolyasiya lenti / 25m / qara</v>
      </c>
      <c r="F52" s="4">
        <v>10</v>
      </c>
      <c r="G52"/>
      <c r="H52" s="4" t="s">
        <v>1909</v>
      </c>
      <c r="I52" s="4" t="s">
        <v>910</v>
      </c>
    </row>
    <row r="53" spans="2:9" ht="15.6" x14ac:dyDescent="0.3">
      <c r="B53" s="4">
        <f t="shared" si="0"/>
        <v>50</v>
      </c>
      <c r="C53" s="5">
        <v>46184</v>
      </c>
      <c r="D53" s="8" t="s">
        <v>2095</v>
      </c>
      <c r="E53" s="10" t="str">
        <f>_xlfn.XLOOKUP(Table7912[[#This Row],[Malın kodu]],Filtrasiya!E:E,Filtrasiya!D:D,"xəta",0)</f>
        <v>Kağız / A4 / 80qr / 500 vərəq / "Assis"</v>
      </c>
      <c r="F53" s="4">
        <v>2</v>
      </c>
      <c r="G53"/>
      <c r="H53" s="4" t="s">
        <v>1909</v>
      </c>
      <c r="I53" s="4" t="s">
        <v>1897</v>
      </c>
    </row>
    <row r="54" spans="2:9" ht="15.6" x14ac:dyDescent="0.3">
      <c r="B54" s="4">
        <f t="shared" si="0"/>
        <v>51</v>
      </c>
      <c r="C54" s="5">
        <v>46185</v>
      </c>
      <c r="D54" s="8" t="s">
        <v>2096</v>
      </c>
      <c r="E54" s="10" t="str">
        <f>_xlfn.XLOOKUP(Table7912[[#This Row],[Malın kodu]],Filtrasiya!E:E,Filtrasiya!D:D,"xəta",0)</f>
        <v>Sim / stepler üçün / 58mm / 24/6 / (1000 əd)</v>
      </c>
      <c r="F54" s="4">
        <v>1</v>
      </c>
      <c r="G54"/>
      <c r="H54" s="4" t="s">
        <v>1909</v>
      </c>
      <c r="I54" s="4" t="s">
        <v>1897</v>
      </c>
    </row>
    <row r="55" spans="2:9" ht="15.6" x14ac:dyDescent="0.3">
      <c r="B55" s="4">
        <f t="shared" si="0"/>
        <v>52</v>
      </c>
      <c r="C55" s="5">
        <v>46186</v>
      </c>
      <c r="D55" s="8" t="s">
        <v>1580</v>
      </c>
      <c r="E55" s="10" t="str">
        <f>_xlfn.XLOOKUP(Table7912[[#This Row],[Malın kodu]],Filtrasiya!E:E,Filtrasiya!D:D,"xəta",0)</f>
        <v>Vaqonet (badya) /</v>
      </c>
      <c r="F55" s="4">
        <v>1</v>
      </c>
      <c r="G55"/>
      <c r="H55" s="4" t="s">
        <v>1901</v>
      </c>
      <c r="I55" s="4" t="s">
        <v>903</v>
      </c>
    </row>
    <row r="56" spans="2:9" ht="15.6" x14ac:dyDescent="0.3">
      <c r="B56" s="4">
        <f t="shared" si="0"/>
        <v>53</v>
      </c>
      <c r="C56" s="5">
        <v>46186</v>
      </c>
      <c r="D56" s="8" t="s">
        <v>2128</v>
      </c>
      <c r="E56" s="10" t="str">
        <f>_xlfn.XLOOKUP(Table7912[[#This Row],[Malın kodu]],Filtrasiya!E:E,Filtrasiya!D:D,"xəta",0)</f>
        <v>Çay / 450qr / "Azərçay"</v>
      </c>
      <c r="F56" s="4">
        <v>1</v>
      </c>
      <c r="G56"/>
      <c r="H56" s="4" t="s">
        <v>1909</v>
      </c>
      <c r="I56" s="4" t="s">
        <v>1897</v>
      </c>
    </row>
    <row r="57" spans="2:9" ht="15.6" x14ac:dyDescent="0.3">
      <c r="B57" s="4">
        <f t="shared" si="0"/>
        <v>54</v>
      </c>
      <c r="C57" s="5">
        <v>46186</v>
      </c>
      <c r="D57" s="8" t="s">
        <v>2129</v>
      </c>
      <c r="E57" s="10" t="str">
        <f>_xlfn.XLOOKUP(Table7912[[#This Row],[Malın kodu]],Filtrasiya!E:E,Filtrasiya!D:D,"xəta",0)</f>
        <v>Qənd / "Azərşəkər"</v>
      </c>
      <c r="F57" s="4">
        <v>1</v>
      </c>
      <c r="G57"/>
      <c r="H57" s="4" t="s">
        <v>1909</v>
      </c>
      <c r="I57" s="4" t="s">
        <v>1897</v>
      </c>
    </row>
    <row r="58" spans="2:9" ht="15.6" x14ac:dyDescent="0.3">
      <c r="B58" s="4">
        <f t="shared" si="0"/>
        <v>55</v>
      </c>
      <c r="C58" s="5">
        <v>46186</v>
      </c>
      <c r="D58" s="8" t="s">
        <v>2130</v>
      </c>
      <c r="E58" s="10" t="str">
        <f>_xlfn.XLOOKUP(Table7912[[#This Row],[Malın kodu]],Filtrasiya!E:E,Filtrasiya!D:D,"xəta",0)</f>
        <v>Qələm / qara / "Assis"</v>
      </c>
      <c r="F58" s="4">
        <v>2</v>
      </c>
      <c r="G58"/>
      <c r="H58" s="4" t="s">
        <v>1909</v>
      </c>
      <c r="I58" s="4" t="s">
        <v>1897</v>
      </c>
    </row>
    <row r="59" spans="2:9" ht="15.6" x14ac:dyDescent="0.3">
      <c r="B59" s="4">
        <f t="shared" si="0"/>
        <v>56</v>
      </c>
      <c r="C59" s="5">
        <v>46186</v>
      </c>
      <c r="D59" s="8" t="s">
        <v>2131</v>
      </c>
      <c r="E59" s="10" t="str">
        <f>_xlfn.XLOOKUP(Table7912[[#This Row],[Malın kodu]],Filtrasiya!E:E,Filtrasiya!D:D,"xəta",0)</f>
        <v>Qələm / qırmızı / "Assis"</v>
      </c>
      <c r="F59" s="4">
        <v>1</v>
      </c>
      <c r="G59"/>
      <c r="H59" s="4" t="s">
        <v>1909</v>
      </c>
      <c r="I59" s="4" t="s">
        <v>1897</v>
      </c>
    </row>
    <row r="60" spans="2:9" ht="15.6" x14ac:dyDescent="0.3">
      <c r="B60" s="4">
        <f t="shared" si="0"/>
        <v>57</v>
      </c>
      <c r="C60" s="5">
        <v>46186</v>
      </c>
      <c r="D60" s="8" t="s">
        <v>2132</v>
      </c>
      <c r="E60" s="10" t="str">
        <f>_xlfn.XLOOKUP(Table7912[[#This Row],[Malın kodu]],Filtrasiya!E:E,Filtrasiya!D:D,"xəta",0)</f>
        <v>Qələm / göy / "Assis"</v>
      </c>
      <c r="F60" s="4">
        <v>6</v>
      </c>
      <c r="G60"/>
      <c r="H60" s="4" t="s">
        <v>1909</v>
      </c>
      <c r="I60" s="4" t="s">
        <v>1897</v>
      </c>
    </row>
    <row r="61" spans="2:9" ht="15.6" x14ac:dyDescent="0.3">
      <c r="B61" s="4">
        <f t="shared" si="0"/>
        <v>58</v>
      </c>
      <c r="C61" s="5">
        <v>46186</v>
      </c>
      <c r="D61" s="8" t="s">
        <v>2133</v>
      </c>
      <c r="E61" s="10" t="str">
        <f>_xlfn.XLOOKUP(Table7912[[#This Row],[Malın kodu]],Filtrasiya!E:E,Filtrasiya!D:D,"xəta",0)</f>
        <v>Qələm / qırmızı / i-9095"Assis"</v>
      </c>
      <c r="F61" s="4">
        <v>1</v>
      </c>
      <c r="G61"/>
      <c r="H61" s="4" t="s">
        <v>1909</v>
      </c>
      <c r="I61" s="4" t="s">
        <v>1897</v>
      </c>
    </row>
    <row r="62" spans="2:9" ht="15.6" x14ac:dyDescent="0.3">
      <c r="B62" s="4">
        <f t="shared" si="0"/>
        <v>59</v>
      </c>
      <c r="C62" s="5">
        <v>46186</v>
      </c>
      <c r="D62" s="8" t="s">
        <v>2134</v>
      </c>
      <c r="E62" s="10" t="str">
        <f>_xlfn.XLOOKUP(Table7912[[#This Row],[Malın kodu]],Filtrasiya!E:E,Filtrasiya!D:D,"xəta",0)</f>
        <v>Batareya / AAA4 / "Varta" / Superlife</v>
      </c>
      <c r="F62" s="4">
        <v>1</v>
      </c>
      <c r="G62"/>
      <c r="H62" s="4" t="s">
        <v>1909</v>
      </c>
      <c r="I62" s="4" t="s">
        <v>1897</v>
      </c>
    </row>
    <row r="63" spans="2:9" ht="15.6" x14ac:dyDescent="0.3">
      <c r="B63" s="4">
        <f t="shared" si="0"/>
        <v>60</v>
      </c>
      <c r="C63" s="5">
        <v>46186</v>
      </c>
      <c r="D63" s="8" t="s">
        <v>2135</v>
      </c>
      <c r="E63" s="10" t="str">
        <f>_xlfn.XLOOKUP(Table7912[[#This Row],[Malın kodu]],Filtrasiya!E:E,Filtrasiya!D:D,"xəta",0)</f>
        <v>Marker / mavi / "Oyal"</v>
      </c>
      <c r="F63" s="4">
        <v>10</v>
      </c>
      <c r="G63"/>
      <c r="H63" s="4" t="s">
        <v>1909</v>
      </c>
      <c r="I63" s="4" t="s">
        <v>1897</v>
      </c>
    </row>
    <row r="64" spans="2:9" ht="15.6" x14ac:dyDescent="0.3">
      <c r="B64" s="4">
        <f t="shared" si="0"/>
        <v>61</v>
      </c>
      <c r="C64" s="5">
        <v>46186</v>
      </c>
      <c r="D64" s="8" t="s">
        <v>2136</v>
      </c>
      <c r="E64" s="10" t="str">
        <f>_xlfn.XLOOKUP(Table7912[[#This Row],[Malın kodu]],Filtrasiya!E:E,Filtrasiya!D:D,"xəta",0)</f>
        <v>Paket / polietilen / extra</v>
      </c>
      <c r="F64" s="4">
        <v>1</v>
      </c>
      <c r="G64"/>
      <c r="H64" s="4" t="s">
        <v>1909</v>
      </c>
      <c r="I64" s="4" t="s">
        <v>1897</v>
      </c>
    </row>
    <row r="65" spans="2:9" ht="15.6" x14ac:dyDescent="0.3">
      <c r="B65" s="4">
        <f t="shared" si="0"/>
        <v>62</v>
      </c>
      <c r="C65" s="5">
        <v>46186</v>
      </c>
      <c r="D65" s="8" t="s">
        <v>2137</v>
      </c>
      <c r="E65" s="10" t="str">
        <f>_xlfn.XLOOKUP(Table7912[[#This Row],[Malın kodu]],Filtrasiya!E:E,Filtrasiya!D:D,"xəta",0)</f>
        <v>Təmizlik bezi / 20 pic. / "Merry"</v>
      </c>
      <c r="F65" s="4">
        <v>1</v>
      </c>
      <c r="G65"/>
      <c r="H65" s="4" t="s">
        <v>1909</v>
      </c>
      <c r="I65" s="4" t="s">
        <v>1897</v>
      </c>
    </row>
    <row r="66" spans="2:9" ht="15.6" x14ac:dyDescent="0.3">
      <c r="B66" s="4">
        <f t="shared" si="0"/>
        <v>63</v>
      </c>
      <c r="C66" s="5">
        <v>46186</v>
      </c>
      <c r="D66" s="8" t="s">
        <v>2138</v>
      </c>
      <c r="E66" s="10" t="str">
        <f>_xlfn.XLOOKUP(Table7912[[#This Row],[Malın kodu]],Filtrasiya!E:E,Filtrasiya!D:D,"xəta",0)</f>
        <v>Zərf / 110x220mm / "İnci"</v>
      </c>
      <c r="F66" s="4">
        <v>5</v>
      </c>
      <c r="G66"/>
      <c r="H66" s="4" t="s">
        <v>1909</v>
      </c>
      <c r="I66" s="4" t="s">
        <v>1897</v>
      </c>
    </row>
    <row r="67" spans="2:9" ht="15.6" x14ac:dyDescent="0.3">
      <c r="B67" s="4">
        <f t="shared" si="0"/>
        <v>64</v>
      </c>
      <c r="C67" s="5">
        <v>46186</v>
      </c>
      <c r="D67" s="8" t="s">
        <v>2139</v>
      </c>
      <c r="E67" s="10" t="str">
        <f>_xlfn.XLOOKUP(Table7912[[#This Row],[Malın kodu]],Filtrasiya!E:E,Filtrasiya!D:D,"xəta",0)</f>
        <v>Paket / polietilen</v>
      </c>
      <c r="F67" s="4">
        <v>12</v>
      </c>
      <c r="G67"/>
      <c r="H67" s="4" t="s">
        <v>1909</v>
      </c>
      <c r="I67" s="4" t="s">
        <v>1897</v>
      </c>
    </row>
    <row r="68" spans="2:9" ht="15.6" x14ac:dyDescent="0.3">
      <c r="B68" s="4">
        <f t="shared" ref="B68:B131" si="1">ROW()-3</f>
        <v>65</v>
      </c>
      <c r="C68" s="5">
        <v>46187</v>
      </c>
      <c r="D68" s="8" t="s">
        <v>2099</v>
      </c>
      <c r="E68" s="10" t="str">
        <f>_xlfn.XLOOKUP(Table7912[[#This Row],[Malın kodu]],Filtrasiya!E:E,Filtrasiya!D:D,"xəta",0)</f>
        <v>Jalyuz / parça</v>
      </c>
      <c r="F68" s="4">
        <v>1.5</v>
      </c>
      <c r="G68"/>
      <c r="H68" s="4" t="s">
        <v>1909</v>
      </c>
      <c r="I68" s="4" t="s">
        <v>1897</v>
      </c>
    </row>
    <row r="69" spans="2:9" ht="15.6" x14ac:dyDescent="0.3">
      <c r="B69" s="4">
        <f t="shared" si="1"/>
        <v>66</v>
      </c>
      <c r="C69" s="5">
        <v>46189</v>
      </c>
      <c r="D69" s="8" t="s">
        <v>1260</v>
      </c>
      <c r="E69" s="10" t="str">
        <f>_xlfn.XLOOKUP(Table7912[[#This Row],[Malın kodu]],Filtrasiya!E:E,Filtrasiya!D:D,"xəta",0)</f>
        <v>Perforator / "Bosch" / GBH 8-45 D</v>
      </c>
      <c r="F69" s="4">
        <v>1</v>
      </c>
      <c r="G69"/>
      <c r="H69" s="4" t="s">
        <v>1901</v>
      </c>
      <c r="I69" s="4" t="s">
        <v>903</v>
      </c>
    </row>
    <row r="70" spans="2:9" ht="15.6" x14ac:dyDescent="0.3">
      <c r="B70" s="4">
        <f t="shared" si="1"/>
        <v>67</v>
      </c>
      <c r="C70" s="5">
        <v>46189</v>
      </c>
      <c r="D70" s="8" t="s">
        <v>1292</v>
      </c>
      <c r="E70" s="10" t="str">
        <f>_xlfn.XLOOKUP(Table7912[[#This Row],[Malın kodu]],Filtrasiya!E:E,Filtrasiya!D:D,"xəta",0)</f>
        <v>Nivelyator dayağı / üçayaq / metal</v>
      </c>
      <c r="F70" s="4">
        <v>1</v>
      </c>
      <c r="G70"/>
      <c r="H70" s="4" t="s">
        <v>1901</v>
      </c>
      <c r="I70" s="4" t="s">
        <v>903</v>
      </c>
    </row>
    <row r="71" spans="2:9" ht="15.6" x14ac:dyDescent="0.3">
      <c r="B71" s="4">
        <f t="shared" si="1"/>
        <v>68</v>
      </c>
      <c r="C71" s="5">
        <v>46189</v>
      </c>
      <c r="D71" s="8" t="s">
        <v>1771</v>
      </c>
      <c r="E71" s="10" t="str">
        <f>_xlfn.XLOOKUP(Table7912[[#This Row],[Malın kodu]],Filtrasiya!E:E,Filtrasiya!D:D,"xəta",0)</f>
        <v>Armatur əyən alət</v>
      </c>
      <c r="F71" s="4">
        <v>2</v>
      </c>
      <c r="G71"/>
      <c r="H71" s="4" t="s">
        <v>1901</v>
      </c>
      <c r="I71" s="4" t="s">
        <v>903</v>
      </c>
    </row>
    <row r="72" spans="2:9" ht="15.6" x14ac:dyDescent="0.3">
      <c r="B72" s="4">
        <f t="shared" si="1"/>
        <v>69</v>
      </c>
      <c r="C72" s="5">
        <v>46191</v>
      </c>
      <c r="D72" s="8" t="s">
        <v>1061</v>
      </c>
      <c r="E72" s="10" t="str">
        <f>_xlfn.XLOOKUP(Table7912[[#This Row],[Malın kodu]],Filtrasiya!E:E,Filtrasiya!D:D,"xəta",0)</f>
        <v>Printer / "HP" / MFP M181FW / Vyetnam istehsalı</v>
      </c>
      <c r="F72" s="4">
        <v>1</v>
      </c>
      <c r="G72"/>
      <c r="H72" s="4" t="s">
        <v>1901</v>
      </c>
      <c r="I72" s="4" t="s">
        <v>903</v>
      </c>
    </row>
    <row r="73" spans="2:9" ht="15.6" x14ac:dyDescent="0.3">
      <c r="B73" s="4">
        <f t="shared" si="1"/>
        <v>70</v>
      </c>
      <c r="C73" s="5">
        <v>46191</v>
      </c>
      <c r="D73" s="8" t="s">
        <v>1062</v>
      </c>
      <c r="E73" s="10" t="str">
        <f>_xlfn.XLOOKUP(Table7912[[#This Row],[Malın kodu]],Filtrasiya!E:E,Filtrasiya!D:D,"xəta",0)</f>
        <v>Elektrik mişar / 2350 Wt / d 235 mm / "Viktor" /  Çin istehsalı</v>
      </c>
      <c r="F73" s="4">
        <v>1</v>
      </c>
      <c r="G73"/>
      <c r="H73" s="4" t="s">
        <v>1901</v>
      </c>
      <c r="I73" s="4" t="s">
        <v>903</v>
      </c>
    </row>
    <row r="74" spans="2:9" ht="15.6" x14ac:dyDescent="0.3">
      <c r="B74" s="4">
        <f t="shared" si="1"/>
        <v>71</v>
      </c>
      <c r="C74" s="5">
        <v>46191</v>
      </c>
      <c r="D74" s="8" t="s">
        <v>1064</v>
      </c>
      <c r="E74" s="10" t="str">
        <f>_xlfn.XLOOKUP(Table7912[[#This Row],[Malın kodu]],Filtrasiya!E:E,Filtrasiya!D:D,"xəta",0)</f>
        <v>Pika / 25 x 400 mm / pnevmatik çəkic üçün / Çin istehsalı</v>
      </c>
      <c r="F74" s="4">
        <v>4</v>
      </c>
      <c r="G74"/>
      <c r="H74" s="4" t="s">
        <v>1901</v>
      </c>
      <c r="I74" s="4" t="s">
        <v>903</v>
      </c>
    </row>
    <row r="75" spans="2:9" ht="15.6" x14ac:dyDescent="0.3">
      <c r="B75" s="4">
        <f t="shared" si="1"/>
        <v>72</v>
      </c>
      <c r="C75" s="5">
        <v>46191</v>
      </c>
      <c r="D75" s="8" t="s">
        <v>1096</v>
      </c>
      <c r="E75" s="10" t="str">
        <f>_xlfn.XLOOKUP(Table7912[[#This Row],[Malın kodu]],Filtrasiya!E:E,Filtrasiya!D:D,"xəta",0)</f>
        <v>Qaynaq aparatı / 20-315 mm / plastik muftalar üçün / "Hürner" / HST 300 Easy D / Almaniya istehsalı</v>
      </c>
      <c r="F75" s="4">
        <v>1</v>
      </c>
      <c r="G75"/>
      <c r="H75" s="4" t="s">
        <v>1901</v>
      </c>
      <c r="I75" s="4" t="s">
        <v>903</v>
      </c>
    </row>
    <row r="76" spans="2:9" ht="15.6" x14ac:dyDescent="0.3">
      <c r="B76" s="4">
        <f t="shared" si="1"/>
        <v>73</v>
      </c>
      <c r="C76" s="5">
        <v>46191</v>
      </c>
      <c r="D76" s="8" t="s">
        <v>1148</v>
      </c>
      <c r="E76" s="10" t="str">
        <f>_xlfn.XLOOKUP(Table7912[[#This Row],[Malın kodu]],Filtrasiya!E:E,Filtrasiya!D:D,"xəta",0)</f>
        <v>Burğu / 8 x 120 mm</v>
      </c>
      <c r="F76" s="4">
        <v>2</v>
      </c>
      <c r="G76"/>
      <c r="H76" s="4" t="s">
        <v>1901</v>
      </c>
      <c r="I76" s="4" t="s">
        <v>903</v>
      </c>
    </row>
    <row r="77" spans="2:9" ht="15.6" x14ac:dyDescent="0.3">
      <c r="B77" s="4">
        <f t="shared" si="1"/>
        <v>74</v>
      </c>
      <c r="C77" s="5">
        <v>46191</v>
      </c>
      <c r="D77" s="8" t="s">
        <v>1206</v>
      </c>
      <c r="E77" s="10" t="str">
        <f>_xlfn.XLOOKUP(Table7912[[#This Row],[Malın kodu]],Filtrasiya!E:E,Filtrasiya!D:D,"xəta",0)</f>
        <v>Çəkic / 3 LB</v>
      </c>
      <c r="F77" s="4">
        <v>1</v>
      </c>
      <c r="G77"/>
      <c r="H77" s="4" t="s">
        <v>1901</v>
      </c>
      <c r="I77" s="4" t="s">
        <v>903</v>
      </c>
    </row>
    <row r="78" spans="2:9" ht="15.6" x14ac:dyDescent="0.3">
      <c r="B78" s="4">
        <f t="shared" si="1"/>
        <v>75</v>
      </c>
      <c r="C78" s="5">
        <v>46191</v>
      </c>
      <c r="D78" s="8" t="s">
        <v>1222</v>
      </c>
      <c r="E78" s="10" t="str">
        <f>_xlfn.XLOOKUP(Table7912[[#This Row],[Malın kodu]],Filtrasiya!E:E,Filtrasiya!D:D,"xəta",0)</f>
        <v>Bel / metal</v>
      </c>
      <c r="F78" s="4">
        <v>2</v>
      </c>
      <c r="G78"/>
      <c r="H78" s="4" t="s">
        <v>1901</v>
      </c>
      <c r="I78" s="4" t="s">
        <v>903</v>
      </c>
    </row>
    <row r="79" spans="2:9" ht="15.6" x14ac:dyDescent="0.3">
      <c r="B79" s="4">
        <f t="shared" si="1"/>
        <v>76</v>
      </c>
      <c r="C79" s="5">
        <v>46191</v>
      </c>
      <c r="D79" s="8" t="s">
        <v>1224</v>
      </c>
      <c r="E79" s="10" t="str">
        <f>_xlfn.XLOOKUP(Table7912[[#This Row],[Malın kodu]],Filtrasiya!E:E,Filtrasiya!D:D,"xəta",0)</f>
        <v>Dabilgə / plastik / sarı</v>
      </c>
      <c r="F79" s="4">
        <v>6</v>
      </c>
      <c r="G79"/>
      <c r="H79" s="4" t="s">
        <v>1901</v>
      </c>
      <c r="I79" s="4" t="s">
        <v>903</v>
      </c>
    </row>
    <row r="80" spans="2:9" ht="15.6" x14ac:dyDescent="0.3">
      <c r="B80" s="4">
        <f t="shared" si="1"/>
        <v>77</v>
      </c>
      <c r="C80" s="5">
        <v>46191</v>
      </c>
      <c r="D80" s="8" t="s">
        <v>1227</v>
      </c>
      <c r="E80" s="10" t="str">
        <f>_xlfn.XLOOKUP(Table7912[[#This Row],[Malın kodu]],Filtrasiya!E:E,Filtrasiya!D:D,"xəta",0)</f>
        <v>Dabilgə / plastik / göy</v>
      </c>
      <c r="F80" s="4">
        <v>4</v>
      </c>
      <c r="G80"/>
      <c r="H80" s="4" t="s">
        <v>1901</v>
      </c>
      <c r="I80" s="4" t="s">
        <v>903</v>
      </c>
    </row>
    <row r="81" spans="2:9" ht="15.6" x14ac:dyDescent="0.3">
      <c r="B81" s="4">
        <f t="shared" si="1"/>
        <v>78</v>
      </c>
      <c r="C81" s="5">
        <v>46191</v>
      </c>
      <c r="D81" s="8" t="s">
        <v>1240</v>
      </c>
      <c r="E81" s="10" t="str">
        <f>_xlfn.XLOOKUP(Table7912[[#This Row],[Malın kodu]],Filtrasiya!E:E,Filtrasiya!D:D,"xəta",0)</f>
        <v>Ventilyator / yerüstü</v>
      </c>
      <c r="F81" s="4">
        <v>1</v>
      </c>
      <c r="G81"/>
      <c r="H81" s="4" t="s">
        <v>1901</v>
      </c>
      <c r="I81" s="4" t="s">
        <v>903</v>
      </c>
    </row>
    <row r="82" spans="2:9" ht="15.6" x14ac:dyDescent="0.3">
      <c r="B82" s="4">
        <f t="shared" si="1"/>
        <v>79</v>
      </c>
      <c r="C82" s="5">
        <v>46191</v>
      </c>
      <c r="D82" s="8" t="s">
        <v>1260</v>
      </c>
      <c r="E82" s="10" t="str">
        <f>_xlfn.XLOOKUP(Table7912[[#This Row],[Malın kodu]],Filtrasiya!E:E,Filtrasiya!D:D,"xəta",0)</f>
        <v>Perforator / "Bosch" / GBH 8-45 D</v>
      </c>
      <c r="F82" s="4">
        <v>1</v>
      </c>
      <c r="G82"/>
      <c r="H82" s="4" t="s">
        <v>1901</v>
      </c>
      <c r="I82" s="4" t="s">
        <v>903</v>
      </c>
    </row>
    <row r="83" spans="2:9" ht="15.6" x14ac:dyDescent="0.3">
      <c r="B83" s="4">
        <f t="shared" si="1"/>
        <v>80</v>
      </c>
      <c r="C83" s="5">
        <v>46191</v>
      </c>
      <c r="D83" s="8" t="s">
        <v>1262</v>
      </c>
      <c r="E83" s="10" t="str">
        <f>_xlfn.XLOOKUP(Table7912[[#This Row],[Malın kodu]],Filtrasiya!E:E,Filtrasiya!D:D,"xəta",0)</f>
        <v>Su pompası / dalğıc</v>
      </c>
      <c r="F83" s="4">
        <v>2</v>
      </c>
      <c r="G83"/>
      <c r="H83" s="4" t="s">
        <v>1901</v>
      </c>
      <c r="I83" s="4" t="s">
        <v>903</v>
      </c>
    </row>
    <row r="84" spans="2:9" ht="15.6" x14ac:dyDescent="0.3">
      <c r="B84" s="4">
        <f t="shared" si="1"/>
        <v>81</v>
      </c>
      <c r="C84" s="5">
        <v>46191</v>
      </c>
      <c r="D84" s="8" t="s">
        <v>1277</v>
      </c>
      <c r="E84" s="10" t="str">
        <f>_xlfn.XLOOKUP(Table7912[[#This Row],[Malın kodu]],Filtrasiya!E:E,Filtrasiya!D:D,"xəta",0)</f>
        <v>Lagonda / 2300 vt / 6500 d/d / "Dingqi" / Çin istehsalı</v>
      </c>
      <c r="F84" s="4">
        <v>1</v>
      </c>
      <c r="G84"/>
      <c r="H84" s="4" t="s">
        <v>1901</v>
      </c>
      <c r="I84" s="4" t="s">
        <v>903</v>
      </c>
    </row>
    <row r="85" spans="2:9" ht="15.6" x14ac:dyDescent="0.3">
      <c r="B85" s="4">
        <f t="shared" si="1"/>
        <v>82</v>
      </c>
      <c r="C85" s="5">
        <v>46191</v>
      </c>
      <c r="D85" s="8" t="s">
        <v>1278</v>
      </c>
      <c r="E85" s="10" t="str">
        <f>_xlfn.XLOOKUP(Table7912[[#This Row],[Malın kodu]],Filtrasiya!E:E,Filtrasiya!D:D,"xəta",0)</f>
        <v>Lagonda / "Bosch" / GWS 21</v>
      </c>
      <c r="F85" s="4">
        <v>1</v>
      </c>
      <c r="G85"/>
      <c r="H85" s="4" t="s">
        <v>1901</v>
      </c>
      <c r="I85" s="4" t="s">
        <v>903</v>
      </c>
    </row>
    <row r="86" spans="2:9" ht="15.6" x14ac:dyDescent="0.3">
      <c r="B86" s="4">
        <f t="shared" si="1"/>
        <v>83</v>
      </c>
      <c r="C86" s="5">
        <v>46191</v>
      </c>
      <c r="D86" s="8" t="s">
        <v>1371</v>
      </c>
      <c r="E86" s="10" t="str">
        <f>_xlfn.XLOOKUP(Table7912[[#This Row],[Malın kodu]],Filtrasiya!E:E,Filtrasiya!D:D,"xəta",0)</f>
        <v>Qaynaqçı dəbilgəsi</v>
      </c>
      <c r="F86" s="4">
        <v>2</v>
      </c>
      <c r="G86"/>
      <c r="H86" s="4" t="s">
        <v>1901</v>
      </c>
      <c r="I86" s="4" t="s">
        <v>903</v>
      </c>
    </row>
    <row r="87" spans="2:9" ht="15.6" x14ac:dyDescent="0.3">
      <c r="B87" s="4">
        <f t="shared" si="1"/>
        <v>84</v>
      </c>
      <c r="C87" s="5">
        <v>46191</v>
      </c>
      <c r="D87" s="8" t="s">
        <v>1447</v>
      </c>
      <c r="E87" s="10" t="str">
        <f>_xlfn.XLOOKUP(Table7912[[#This Row],[Malın kodu]],Filtrasiya!E:E,Filtrasiya!D:D,"xəta",0)</f>
        <v>Elektrik mişar / 1380 Vt / d 185 mm / 5300 dövr/dəq / “Makute” Çin istehsalı</v>
      </c>
      <c r="F87" s="4">
        <v>1</v>
      </c>
      <c r="G87"/>
      <c r="H87" s="4" t="s">
        <v>1901</v>
      </c>
      <c r="I87" s="4" t="s">
        <v>903</v>
      </c>
    </row>
    <row r="88" spans="2:9" ht="15.6" x14ac:dyDescent="0.3">
      <c r="B88" s="4">
        <f t="shared" si="1"/>
        <v>85</v>
      </c>
      <c r="C88" s="5">
        <v>46191</v>
      </c>
      <c r="D88" s="8" t="s">
        <v>1496</v>
      </c>
      <c r="E88" s="10" t="str">
        <f>_xlfn.XLOOKUP(Table7912[[#This Row],[Malın kodu]],Filtrasiya!E:E,Filtrasiya!D:D,"xəta",0)</f>
        <v>Konteyner / 6 metr</v>
      </c>
      <c r="F88" s="4">
        <v>1</v>
      </c>
      <c r="G88"/>
      <c r="H88" s="4" t="s">
        <v>1901</v>
      </c>
      <c r="I88" s="4" t="s">
        <v>903</v>
      </c>
    </row>
    <row r="89" spans="2:9" ht="15.6" x14ac:dyDescent="0.3">
      <c r="B89" s="4">
        <f t="shared" si="1"/>
        <v>86</v>
      </c>
      <c r="C89" s="5">
        <v>46191</v>
      </c>
      <c r="D89" s="8" t="s">
        <v>1497</v>
      </c>
      <c r="E89" s="10" t="str">
        <f>_xlfn.XLOOKUP(Table7912[[#This Row],[Malın kodu]],Filtrasiya!E:E,Filtrasiya!D:D,"xəta",0)</f>
        <v>Konteyner / 12 metr</v>
      </c>
      <c r="F89" s="4">
        <v>1</v>
      </c>
      <c r="G89"/>
      <c r="H89" s="4" t="s">
        <v>1901</v>
      </c>
      <c r="I89" s="4" t="s">
        <v>903</v>
      </c>
    </row>
    <row r="90" spans="2:9" ht="15.6" x14ac:dyDescent="0.3">
      <c r="B90" s="4">
        <f t="shared" si="1"/>
        <v>87</v>
      </c>
      <c r="C90" s="5">
        <v>46191</v>
      </c>
      <c r="D90" s="8" t="s">
        <v>1525</v>
      </c>
      <c r="E90" s="10" t="str">
        <f>_xlfn.XLOOKUP(Table7912[[#This Row],[Malın kodu]],Filtrasiya!E:E,Filtrasiya!D:D,"xəta",0)</f>
        <v>Armatur kəsən / hidravlik / d 36 mm / 4 kvt / 1500 d/d / "AFACAN" / Türkiyə istehsalı</v>
      </c>
      <c r="F90" s="4">
        <v>2</v>
      </c>
      <c r="G90"/>
      <c r="H90" s="4" t="s">
        <v>1901</v>
      </c>
      <c r="I90" s="4" t="s">
        <v>903</v>
      </c>
    </row>
    <row r="91" spans="2:9" ht="15.6" x14ac:dyDescent="0.3">
      <c r="B91" s="4">
        <f t="shared" si="1"/>
        <v>88</v>
      </c>
      <c r="C91" s="5">
        <v>46191</v>
      </c>
      <c r="D91" s="8" t="s">
        <v>1532</v>
      </c>
      <c r="E91" s="10" t="str">
        <f>_xlfn.XLOOKUP(Table7912[[#This Row],[Malın kodu]],Filtrasiya!E:E,Filtrasiya!D:D,"xəta",0)</f>
        <v>Generator / dizel / 4.5 kvt / 220V / 50 Hz / IP23 / "FIRMAN" / SDG5500CLE / Çin istehsalı / 1 əd</v>
      </c>
      <c r="F91" s="4">
        <v>1</v>
      </c>
      <c r="G91"/>
      <c r="H91" s="4" t="s">
        <v>1901</v>
      </c>
      <c r="I91" s="4" t="s">
        <v>903</v>
      </c>
    </row>
    <row r="92" spans="2:9" ht="15.6" x14ac:dyDescent="0.3">
      <c r="B92" s="4">
        <f t="shared" si="1"/>
        <v>89</v>
      </c>
      <c r="C92" s="5">
        <v>46191</v>
      </c>
      <c r="D92" s="8" t="s">
        <v>1540</v>
      </c>
      <c r="E92" s="10" t="str">
        <f>_xlfn.XLOOKUP(Table7912[[#This Row],[Malın kodu]],Filtrasiya!E:E,Filtrasiya!D:D,"xəta",0)</f>
        <v>Armatur əyən / 3 kvt / 11 d/d / 380V / 3 faza / "AFACAN" / B36 / Türkiyə istehsalı</v>
      </c>
      <c r="F92" s="4">
        <v>1</v>
      </c>
      <c r="G92"/>
      <c r="H92" s="4" t="s">
        <v>1901</v>
      </c>
      <c r="I92" s="4" t="s">
        <v>903</v>
      </c>
    </row>
    <row r="93" spans="2:9" ht="15.6" x14ac:dyDescent="0.3">
      <c r="B93" s="4">
        <f t="shared" si="1"/>
        <v>90</v>
      </c>
      <c r="C93" s="5">
        <v>46191</v>
      </c>
      <c r="D93" s="8" t="s">
        <v>1556</v>
      </c>
      <c r="E93" s="10" t="str">
        <f>_xlfn.XLOOKUP(Table7912[[#This Row],[Malın kodu]],Filtrasiya!E:E,Filtrasiya!D:D,"xəta",0)</f>
        <v>Tunel qəlibi / giriş-çıxış quyuları üçün</v>
      </c>
      <c r="F93" s="4">
        <v>20</v>
      </c>
      <c r="G93"/>
      <c r="H93" s="4" t="s">
        <v>1901</v>
      </c>
      <c r="I93" s="4" t="s">
        <v>903</v>
      </c>
    </row>
    <row r="94" spans="2:9" ht="15.6" x14ac:dyDescent="0.3">
      <c r="B94" s="4">
        <f t="shared" si="1"/>
        <v>91</v>
      </c>
      <c r="C94" s="5">
        <v>46191</v>
      </c>
      <c r="D94" s="8" t="s">
        <v>1666</v>
      </c>
      <c r="E94" s="10" t="str">
        <f>_xlfn.XLOOKUP(Table7912[[#This Row],[Malın kodu]],Filtrasiya!E:E,Filtrasiya!D:D,"xəta",0)</f>
        <v>Kondisioner mühərriki / "AUX"</v>
      </c>
      <c r="F94" s="4">
        <v>2</v>
      </c>
      <c r="G94"/>
      <c r="H94" s="4" t="s">
        <v>1901</v>
      </c>
      <c r="I94" s="4" t="s">
        <v>903</v>
      </c>
    </row>
    <row r="95" spans="2:9" ht="15.6" x14ac:dyDescent="0.3">
      <c r="B95" s="4">
        <f t="shared" si="1"/>
        <v>92</v>
      </c>
      <c r="C95" s="5">
        <v>46191</v>
      </c>
      <c r="D95" s="8" t="s">
        <v>1711</v>
      </c>
      <c r="E95" s="10" t="str">
        <f>_xlfn.XLOOKUP(Table7912[[#This Row],[Malın kodu]],Filtrasiya!E:E,Filtrasiya!D:D,"xəta",0)</f>
        <v>Beton vibratorun mühərriki</v>
      </c>
      <c r="F95" s="4">
        <v>2</v>
      </c>
      <c r="G95"/>
      <c r="H95" s="4" t="s">
        <v>1901</v>
      </c>
      <c r="I95" s="4" t="s">
        <v>903</v>
      </c>
    </row>
    <row r="96" spans="2:9" ht="15.6" x14ac:dyDescent="0.3">
      <c r="B96" s="4">
        <f t="shared" si="1"/>
        <v>93</v>
      </c>
      <c r="C96" s="5">
        <v>46191</v>
      </c>
      <c r="D96" s="8" t="s">
        <v>1771</v>
      </c>
      <c r="E96" s="10" t="str">
        <f>_xlfn.XLOOKUP(Table7912[[#This Row],[Malın kodu]],Filtrasiya!E:E,Filtrasiya!D:D,"xəta",0)</f>
        <v>Armatur əyən alət</v>
      </c>
      <c r="F96" s="4">
        <v>2</v>
      </c>
      <c r="G96"/>
      <c r="H96" s="4" t="s">
        <v>1901</v>
      </c>
      <c r="I96" s="4" t="s">
        <v>903</v>
      </c>
    </row>
    <row r="97" spans="2:9" ht="15.6" x14ac:dyDescent="0.3">
      <c r="B97" s="4">
        <f t="shared" si="1"/>
        <v>94</v>
      </c>
      <c r="C97" s="5">
        <v>46191</v>
      </c>
      <c r="D97" s="8" t="s">
        <v>1771</v>
      </c>
      <c r="E97" s="10" t="str">
        <f>_xlfn.XLOOKUP(Table7912[[#This Row],[Malın kodu]],Filtrasiya!E:E,Filtrasiya!D:D,"xəta",0)</f>
        <v>Armatur əyən alət</v>
      </c>
      <c r="F97" s="4">
        <v>3</v>
      </c>
      <c r="G97"/>
      <c r="H97" s="4" t="s">
        <v>1901</v>
      </c>
      <c r="I97" s="4" t="s">
        <v>903</v>
      </c>
    </row>
    <row r="98" spans="2:9" ht="15.6" x14ac:dyDescent="0.3">
      <c r="B98" s="4">
        <f t="shared" si="1"/>
        <v>95</v>
      </c>
      <c r="C98" s="5">
        <v>46191</v>
      </c>
      <c r="D98" s="8" t="s">
        <v>1809</v>
      </c>
      <c r="E98" s="10" t="str">
        <f>_xlfn.XLOOKUP(Table7912[[#This Row],[Malın kodu]],Filtrasiya!E:E,Filtrasiya!D:D,"xəta",0)</f>
        <v>Su pompası / 2200 Vt / 1300 L/d / H 18.5 m / “Shimge”</v>
      </c>
      <c r="F98" s="4">
        <v>1</v>
      </c>
      <c r="G98"/>
      <c r="H98" s="4" t="s">
        <v>1901</v>
      </c>
      <c r="I98" s="4" t="s">
        <v>903</v>
      </c>
    </row>
    <row r="99" spans="2:9" ht="15.6" x14ac:dyDescent="0.3">
      <c r="B99" s="4">
        <f t="shared" si="1"/>
        <v>96</v>
      </c>
      <c r="C99" s="5">
        <v>46191</v>
      </c>
      <c r="D99" s="8" t="s">
        <v>1844</v>
      </c>
      <c r="E99" s="10" t="str">
        <f>_xlfn.XLOOKUP(Table7912[[#This Row],[Malın kodu]],Filtrasiya!E:E,Filtrasiya!D:D,"xəta",0)</f>
        <v>Yataq / açilıb bağlanan /</v>
      </c>
      <c r="F99" s="4">
        <v>3</v>
      </c>
      <c r="G99"/>
      <c r="H99" s="4" t="s">
        <v>1901</v>
      </c>
      <c r="I99" s="4" t="s">
        <v>903</v>
      </c>
    </row>
    <row r="100" spans="2:9" ht="15.6" x14ac:dyDescent="0.3">
      <c r="B100" s="4">
        <f t="shared" si="1"/>
        <v>97</v>
      </c>
      <c r="C100" s="5">
        <v>46191</v>
      </c>
      <c r="D100" s="8" t="s">
        <v>1849</v>
      </c>
      <c r="E100" s="10" t="str">
        <f>_xlfn.XLOOKUP(Table7912[[#This Row],[Malın kodu]],Filtrasiya!E:E,Filtrasiya!D:D,"xəta",0)</f>
        <v>Elektrik lövhəsi / 300x400mm</v>
      </c>
      <c r="F100" s="4">
        <v>1</v>
      </c>
      <c r="G100"/>
      <c r="H100" s="4" t="s">
        <v>1901</v>
      </c>
      <c r="I100" s="4" t="s">
        <v>903</v>
      </c>
    </row>
    <row r="101" spans="2:9" ht="15.6" x14ac:dyDescent="0.3">
      <c r="B101" s="4">
        <f t="shared" si="1"/>
        <v>98</v>
      </c>
      <c r="C101" s="5">
        <v>46191</v>
      </c>
      <c r="D101" s="8" t="s">
        <v>1852</v>
      </c>
      <c r="E101" s="10" t="str">
        <f>_xlfn.XLOOKUP(Table7912[[#This Row],[Malın kodu]],Filtrasiya!E:E,Filtrasiya!D:D,"xəta",0)</f>
        <v>Masa / 500x950 mm</v>
      </c>
      <c r="F101" s="4">
        <v>1</v>
      </c>
      <c r="G101"/>
      <c r="H101" s="4" t="s">
        <v>1901</v>
      </c>
      <c r="I101" s="4" t="s">
        <v>903</v>
      </c>
    </row>
    <row r="102" spans="2:9" ht="15.6" x14ac:dyDescent="0.3">
      <c r="B102" s="4">
        <f t="shared" si="1"/>
        <v>99</v>
      </c>
      <c r="C102" s="5">
        <v>46191</v>
      </c>
      <c r="D102" s="8" t="s">
        <v>1854</v>
      </c>
      <c r="E102" s="10" t="str">
        <f>_xlfn.XLOOKUP(Table7912[[#This Row],[Malın kodu]],Filtrasiya!E:E,Filtrasiya!D:D,"xəta",0)</f>
        <v>Sənəd dolabı / 700x1320mm</v>
      </c>
      <c r="F102" s="4">
        <v>1</v>
      </c>
      <c r="G102"/>
      <c r="H102" s="4" t="s">
        <v>1901</v>
      </c>
      <c r="I102" s="4" t="s">
        <v>903</v>
      </c>
    </row>
    <row r="103" spans="2:9" ht="15.6" x14ac:dyDescent="0.3">
      <c r="B103" s="4">
        <f t="shared" si="1"/>
        <v>100</v>
      </c>
      <c r="C103" s="5">
        <v>46191</v>
      </c>
      <c r="D103" s="8" t="s">
        <v>1892</v>
      </c>
      <c r="E103" s="10" t="str">
        <f>_xlfn.XLOOKUP(Table7912[[#This Row],[Malın kodu]],Filtrasiya!E:E,Filtrasiya!D:D,"xəta",0)</f>
        <v>Dolab / sənəd / 800x1800mm</v>
      </c>
      <c r="F103" s="4">
        <v>1</v>
      </c>
      <c r="G103"/>
      <c r="H103" s="4" t="s">
        <v>1901</v>
      </c>
      <c r="I103" s="4" t="s">
        <v>903</v>
      </c>
    </row>
    <row r="104" spans="2:9" ht="15.6" x14ac:dyDescent="0.3">
      <c r="B104" s="4">
        <f t="shared" si="1"/>
        <v>101</v>
      </c>
      <c r="C104" s="5">
        <v>46191</v>
      </c>
      <c r="D104" s="8" t="s">
        <v>1943</v>
      </c>
      <c r="E104" s="10" t="str">
        <f>_xlfn.XLOOKUP(Table7912[[#This Row],[Malın kodu]],Filtrasiya!E:E,Filtrasiya!D:D,"xəta",0)</f>
        <v>Laqonda / 180/230/2000Vt / "Dingoi" / JB02401</v>
      </c>
      <c r="F104" s="4">
        <v>1</v>
      </c>
      <c r="G104"/>
      <c r="H104" s="4" t="s">
        <v>1909</v>
      </c>
      <c r="I104" s="4" t="s">
        <v>910</v>
      </c>
    </row>
    <row r="105" spans="2:9" ht="15.6" x14ac:dyDescent="0.3">
      <c r="B105" s="4">
        <f t="shared" si="1"/>
        <v>102</v>
      </c>
      <c r="C105" s="5">
        <v>46191</v>
      </c>
      <c r="D105" s="8" t="s">
        <v>1944</v>
      </c>
      <c r="E105" s="10" t="str">
        <f>_xlfn.XLOOKUP(Table7912[[#This Row],[Malın kodu]],Filtrasiya!E:E,Filtrasiya!D:D,"xəta",0)</f>
        <v>Laqonda / 125/1220V / "Dingoi" / 101090</v>
      </c>
      <c r="F105" s="4">
        <v>1</v>
      </c>
      <c r="G105"/>
      <c r="H105" s="4" t="s">
        <v>1909</v>
      </c>
      <c r="I105" s="4" t="s">
        <v>1897</v>
      </c>
    </row>
    <row r="106" spans="2:9" ht="15.6" x14ac:dyDescent="0.3">
      <c r="B106" s="4">
        <f t="shared" si="1"/>
        <v>103</v>
      </c>
      <c r="C106" s="5">
        <v>46191</v>
      </c>
      <c r="D106" s="8" t="s">
        <v>1945</v>
      </c>
      <c r="E106" s="10" t="str">
        <f>_xlfn.XLOOKUP(Table7912[[#This Row],[Malın kodu]],Filtrasiya!E:E,Filtrasiya!D:D,"xəta",0)</f>
        <v>Disk / kəsici / d 230 mm / 3.2 / laqonda üçün / "Grassland"</v>
      </c>
      <c r="F106" s="4">
        <v>10</v>
      </c>
      <c r="G106"/>
      <c r="H106" s="4" t="s">
        <v>1909</v>
      </c>
      <c r="I106" s="4" t="s">
        <v>1897</v>
      </c>
    </row>
    <row r="107" spans="2:9" ht="15.6" x14ac:dyDescent="0.3">
      <c r="B107" s="4">
        <f t="shared" si="1"/>
        <v>104</v>
      </c>
      <c r="C107" s="5">
        <v>46191</v>
      </c>
      <c r="D107" s="8" t="s">
        <v>1946</v>
      </c>
      <c r="E107" s="10" t="str">
        <f>_xlfn.XLOOKUP(Table7912[[#This Row],[Malın kodu]],Filtrasiya!E:E,Filtrasiya!D:D,"xəta",0)</f>
        <v>Disk / kəsici / d 125 mm / 2.5 / laqonda üçün / "Grassland"</v>
      </c>
      <c r="F107" s="4">
        <v>10</v>
      </c>
      <c r="G107"/>
      <c r="H107" s="4" t="s">
        <v>1909</v>
      </c>
      <c r="I107" s="4" t="s">
        <v>1897</v>
      </c>
    </row>
    <row r="108" spans="2:9" ht="15.6" x14ac:dyDescent="0.3">
      <c r="B108" s="4">
        <f t="shared" si="1"/>
        <v>105</v>
      </c>
      <c r="C108" s="5">
        <v>46191</v>
      </c>
      <c r="D108" s="8" t="s">
        <v>1947</v>
      </c>
      <c r="E108" s="10" t="str">
        <f>_xlfn.XLOOKUP(Table7912[[#This Row],[Malın kodu]],Filtrasiya!E:E,Filtrasiya!D:D,"xəta",0)</f>
        <v>Araba / qaynaqlı BM</v>
      </c>
      <c r="F108" s="4">
        <v>1</v>
      </c>
      <c r="G108"/>
      <c r="H108" s="4" t="s">
        <v>1909</v>
      </c>
      <c r="I108" s="4" t="s">
        <v>1897</v>
      </c>
    </row>
    <row r="109" spans="2:9" ht="15.6" x14ac:dyDescent="0.3">
      <c r="B109" s="4">
        <f t="shared" si="1"/>
        <v>106</v>
      </c>
      <c r="C109" s="5">
        <v>46191</v>
      </c>
      <c r="D109" s="8" t="s">
        <v>1948</v>
      </c>
      <c r="E109" s="10" t="str">
        <f>_xlfn.XLOOKUP(Table7912[[#This Row],[Malın kodu]],Filtrasiya!E:E,Filtrasiya!D:D,"xəta",0)</f>
        <v>Vedrə / plastik / 14L / BM</v>
      </c>
      <c r="F109" s="4">
        <v>3</v>
      </c>
      <c r="G109"/>
      <c r="H109" s="4" t="s">
        <v>1909</v>
      </c>
      <c r="I109" s="4" t="s">
        <v>1897</v>
      </c>
    </row>
    <row r="110" spans="2:9" ht="15.6" x14ac:dyDescent="0.3">
      <c r="B110" s="4">
        <f t="shared" si="1"/>
        <v>107</v>
      </c>
      <c r="C110" s="5">
        <v>46191</v>
      </c>
      <c r="D110" s="8" t="s">
        <v>1950</v>
      </c>
      <c r="E110" s="10" t="str">
        <f>_xlfn.XLOOKUP(Table7912[[#This Row],[Malın kodu]],Filtrasiya!E:E,Filtrasiya!D:D,"xəta",0)</f>
        <v>Çəkmə / qısa boğaz / 40 / "YDS"</v>
      </c>
      <c r="F110" s="4">
        <v>2</v>
      </c>
      <c r="G110"/>
      <c r="H110" s="4" t="s">
        <v>1909</v>
      </c>
      <c r="I110" s="4" t="s">
        <v>1897</v>
      </c>
    </row>
    <row r="111" spans="2:9" ht="15.6" x14ac:dyDescent="0.3">
      <c r="B111" s="4">
        <f t="shared" si="1"/>
        <v>108</v>
      </c>
      <c r="C111" s="5">
        <v>46191</v>
      </c>
      <c r="D111" s="8" t="s">
        <v>1951</v>
      </c>
      <c r="E111" s="10" t="str">
        <f>_xlfn.XLOOKUP(Table7912[[#This Row],[Malın kodu]],Filtrasiya!E:E,Filtrasiya!D:D,"xəta",0)</f>
        <v>Çəkmə / qısa boğaz / 44 / "YDS"</v>
      </c>
      <c r="F111" s="4">
        <v>2</v>
      </c>
      <c r="G111"/>
      <c r="H111" s="4" t="s">
        <v>1909</v>
      </c>
      <c r="I111" s="4" t="s">
        <v>1897</v>
      </c>
    </row>
    <row r="112" spans="2:9" ht="15.6" x14ac:dyDescent="0.3">
      <c r="B112" s="4">
        <f t="shared" si="1"/>
        <v>109</v>
      </c>
      <c r="C112" s="5">
        <v>46191</v>
      </c>
      <c r="D112" s="8" t="s">
        <v>1953</v>
      </c>
      <c r="E112" s="10" t="str">
        <f>_xlfn.XLOOKUP(Table7912[[#This Row],[Malın kodu]],Filtrasiya!E:E,Filtrasiya!D:D,"xəta",0)</f>
        <v>Çəkmə / qısa boğaz / 43 / "YDS"</v>
      </c>
      <c r="F112" s="4">
        <v>3</v>
      </c>
      <c r="G112"/>
      <c r="H112" s="4" t="s">
        <v>1909</v>
      </c>
      <c r="I112" s="4" t="s">
        <v>1897</v>
      </c>
    </row>
    <row r="113" spans="2:9" ht="15.6" x14ac:dyDescent="0.3">
      <c r="B113" s="4">
        <f t="shared" si="1"/>
        <v>110</v>
      </c>
      <c r="C113" s="5">
        <v>46191</v>
      </c>
      <c r="D113" s="8" t="s">
        <v>1954</v>
      </c>
      <c r="E113" s="10" t="str">
        <f>_xlfn.XLOOKUP(Table7912[[#This Row],[Malın kodu]],Filtrasiya!E:E,Filtrasiya!D:D,"xəta",0)</f>
        <v>Ayaqqabı / qısa boğaz / 41 / "Dingoi" 90050141</v>
      </c>
      <c r="F113" s="4">
        <v>2</v>
      </c>
      <c r="G113"/>
      <c r="H113" s="4" t="s">
        <v>1909</v>
      </c>
      <c r="I113" s="4" t="s">
        <v>1897</v>
      </c>
    </row>
    <row r="114" spans="2:9" ht="15.6" x14ac:dyDescent="0.3">
      <c r="B114" s="4">
        <f t="shared" si="1"/>
        <v>111</v>
      </c>
      <c r="C114" s="5">
        <v>46191</v>
      </c>
      <c r="D114" s="8" t="s">
        <v>1956</v>
      </c>
      <c r="E114" s="10" t="str">
        <f>_xlfn.XLOOKUP(Table7912[[#This Row],[Malın kodu]],Filtrasiya!E:E,Filtrasiya!D:D,"xəta",0)</f>
        <v>Ayaqqabı / 40 / "Dingoi" 95240</v>
      </c>
      <c r="F114" s="4">
        <v>1</v>
      </c>
      <c r="G114"/>
      <c r="H114" s="4" t="s">
        <v>1909</v>
      </c>
      <c r="I114" s="4" t="s">
        <v>1897</v>
      </c>
    </row>
    <row r="115" spans="2:9" ht="15.6" x14ac:dyDescent="0.3">
      <c r="B115" s="4">
        <f t="shared" si="1"/>
        <v>112</v>
      </c>
      <c r="C115" s="5">
        <v>46191</v>
      </c>
      <c r="D115" s="8" t="s">
        <v>1957</v>
      </c>
      <c r="E115" s="10" t="str">
        <f>_xlfn.XLOOKUP(Table7912[[#This Row],[Malın kodu]],Filtrasiya!E:E,Filtrasiya!D:D,"xəta",0)</f>
        <v>Eynək / qara / 3M358</v>
      </c>
      <c r="F115" s="4">
        <v>8</v>
      </c>
      <c r="G115"/>
      <c r="H115" s="4" t="s">
        <v>1909</v>
      </c>
      <c r="I115" s="4" t="s">
        <v>1897</v>
      </c>
    </row>
    <row r="116" spans="2:9" ht="15.6" x14ac:dyDescent="0.3">
      <c r="B116" s="4">
        <f t="shared" si="1"/>
        <v>113</v>
      </c>
      <c r="C116" s="5">
        <v>46191</v>
      </c>
      <c r="D116" s="8" t="s">
        <v>1958</v>
      </c>
      <c r="E116" s="10" t="str">
        <f>_xlfn.XLOOKUP(Table7912[[#This Row],[Malın kodu]],Filtrasiya!E:E,Filtrasiya!D:D,"xəta",0)</f>
        <v>Jilet / sarı-göy / sepli / mühəndis üçün / XL / "EMİRHAN"</v>
      </c>
      <c r="F116" s="4">
        <v>1</v>
      </c>
      <c r="G116"/>
      <c r="H116" s="4" t="s">
        <v>1909</v>
      </c>
      <c r="I116" s="4" t="s">
        <v>1897</v>
      </c>
    </row>
    <row r="117" spans="2:9" ht="15.6" x14ac:dyDescent="0.3">
      <c r="B117" s="4">
        <f t="shared" si="1"/>
        <v>114</v>
      </c>
      <c r="C117" s="5">
        <v>46191</v>
      </c>
      <c r="D117" s="8" t="s">
        <v>1960</v>
      </c>
      <c r="E117" s="10" t="str">
        <f>_xlfn.XLOOKUP(Table7912[[#This Row],[Malın kodu]],Filtrasiya!E:E,Filtrasiya!D:D,"xəta",0)</f>
        <v>Jilet / sepli</v>
      </c>
      <c r="F117" s="4">
        <v>3</v>
      </c>
      <c r="G117"/>
      <c r="H117" s="4" t="s">
        <v>1909</v>
      </c>
      <c r="I117" s="4" t="s">
        <v>1897</v>
      </c>
    </row>
    <row r="118" spans="2:9" ht="15.6" x14ac:dyDescent="0.3">
      <c r="B118" s="4">
        <f t="shared" si="1"/>
        <v>115</v>
      </c>
      <c r="C118" s="5">
        <v>46191</v>
      </c>
      <c r="D118" s="8" t="s">
        <v>1961</v>
      </c>
      <c r="E118" s="10" t="str">
        <f>_xlfn.XLOOKUP(Table7912[[#This Row],[Malın kodu]],Filtrasiya!E:E,Filtrasiya!D:D,"xəta",0)</f>
        <v>Projektor / panel ilə / 120 Vt / AB-T8120</v>
      </c>
      <c r="F118" s="4">
        <v>2</v>
      </c>
      <c r="G118"/>
      <c r="H118" s="4" t="s">
        <v>1909</v>
      </c>
      <c r="I118" s="4" t="s">
        <v>1897</v>
      </c>
    </row>
    <row r="119" spans="2:9" ht="15.6" x14ac:dyDescent="0.3">
      <c r="B119" s="4">
        <f t="shared" si="1"/>
        <v>116</v>
      </c>
      <c r="C119" s="5">
        <v>46191</v>
      </c>
      <c r="D119" s="8" t="s">
        <v>1962</v>
      </c>
      <c r="E119" s="10" t="str">
        <f>_xlfn.XLOOKUP(Table7912[[#This Row],[Malın kodu]],Filtrasiya!E:E,Filtrasiya!D:D,"xəta",0)</f>
        <v>Vintaçan / 7 pcs / 68602</v>
      </c>
      <c r="F119" s="4">
        <v>1</v>
      </c>
      <c r="G119"/>
      <c r="H119" s="4" t="s">
        <v>1909</v>
      </c>
      <c r="I119" s="4" t="s">
        <v>1897</v>
      </c>
    </row>
    <row r="120" spans="2:9" ht="15.6" x14ac:dyDescent="0.3">
      <c r="B120" s="4">
        <f t="shared" si="1"/>
        <v>117</v>
      </c>
      <c r="C120" s="5">
        <v>46191</v>
      </c>
      <c r="D120" s="8" t="s">
        <v>1976</v>
      </c>
      <c r="E120" s="10" t="str">
        <f>_xlfn.XLOOKUP(Table7912[[#This Row],[Malın kodu]],Filtrasiya!E:E,Filtrasiya!D:D,"xəta",0)</f>
        <v>Külüng sapı</v>
      </c>
      <c r="F120" s="4">
        <v>5</v>
      </c>
      <c r="G120"/>
      <c r="H120" s="4" t="s">
        <v>1909</v>
      </c>
      <c r="I120" s="4" t="s">
        <v>1897</v>
      </c>
    </row>
    <row r="121" spans="2:9" ht="15.6" x14ac:dyDescent="0.3">
      <c r="B121" s="4">
        <f t="shared" si="1"/>
        <v>118</v>
      </c>
      <c r="C121" s="5">
        <v>46191</v>
      </c>
      <c r="D121" s="8" t="s">
        <v>1977</v>
      </c>
      <c r="E121" s="10" t="str">
        <f>_xlfn.XLOOKUP(Table7912[[#This Row],[Malın kodu]],Filtrasiya!E:E,Filtrasiya!D:D,"xəta",0)</f>
        <v>Boya / sprey / qərmızı</v>
      </c>
      <c r="F121" s="4">
        <v>5</v>
      </c>
      <c r="G121"/>
      <c r="H121" s="4" t="s">
        <v>1909</v>
      </c>
      <c r="I121" s="4" t="s">
        <v>1897</v>
      </c>
    </row>
    <row r="122" spans="2:9" ht="15.6" x14ac:dyDescent="0.3">
      <c r="B122" s="4">
        <f t="shared" si="1"/>
        <v>119</v>
      </c>
      <c r="C122" s="5">
        <v>46191</v>
      </c>
      <c r="D122" s="8" t="s">
        <v>1988</v>
      </c>
      <c r="E122" s="10" t="str">
        <f>_xlfn.XLOOKUP(Table7912[[#This Row],[Malın kodu]],Filtrasiya!E:E,Filtrasiya!D:D,"xəta",0)</f>
        <v>Əlcək / qaynaqçı</v>
      </c>
      <c r="F122" s="4">
        <v>1</v>
      </c>
      <c r="G122"/>
      <c r="H122" s="4" t="s">
        <v>1909</v>
      </c>
      <c r="I122" s="4" t="s">
        <v>1897</v>
      </c>
    </row>
    <row r="123" spans="2:9" ht="15.6" x14ac:dyDescent="0.3">
      <c r="B123" s="4">
        <f t="shared" si="1"/>
        <v>120</v>
      </c>
      <c r="C123" s="5">
        <v>46191</v>
      </c>
      <c r="D123" s="8" t="s">
        <v>1989</v>
      </c>
      <c r="E123" s="10" t="str">
        <f>_xlfn.XLOOKUP(Table7912[[#This Row],[Malın kodu]],Filtrasiya!E:E,Filtrasiya!D:D,"xəta",0)</f>
        <v>Elektrik uzadıcı / 5 metr</v>
      </c>
      <c r="F123" s="4">
        <v>1</v>
      </c>
      <c r="G123"/>
      <c r="H123" s="4" t="s">
        <v>1909</v>
      </c>
      <c r="I123" s="4" t="s">
        <v>1897</v>
      </c>
    </row>
    <row r="124" spans="2:9" ht="15.6" x14ac:dyDescent="0.3">
      <c r="B124" s="4">
        <f t="shared" si="1"/>
        <v>121</v>
      </c>
      <c r="C124" s="5">
        <v>46191</v>
      </c>
      <c r="D124" s="8" t="s">
        <v>2005</v>
      </c>
      <c r="E124" s="10" t="str">
        <f>_xlfn.XLOOKUP(Table7912[[#This Row],[Malın kodu]],Filtrasiya!E:E,Filtrasiya!D:D,"xəta",0)</f>
        <v>Yapışdırıcı / fabkim standart / 25 kq</v>
      </c>
      <c r="F124" s="4">
        <v>3</v>
      </c>
      <c r="G124"/>
      <c r="H124" s="4" t="s">
        <v>1909</v>
      </c>
      <c r="I124" s="4" t="s">
        <v>1897</v>
      </c>
    </row>
    <row r="125" spans="2:9" ht="15.6" x14ac:dyDescent="0.3">
      <c r="B125" s="4">
        <f t="shared" si="1"/>
        <v>122</v>
      </c>
      <c r="C125" s="5">
        <v>46191</v>
      </c>
      <c r="D125" s="8" t="s">
        <v>2207</v>
      </c>
      <c r="E125" s="10" t="str">
        <f>_xlfn.XLOOKUP(Table7912[[#This Row],[Malın kodu]],Filtrasiya!E:E,Filtrasiya!D:D,"xəta",0)</f>
        <v>Sement / M400 / Norm</v>
      </c>
      <c r="F125" s="4">
        <v>2</v>
      </c>
      <c r="G125"/>
      <c r="H125" s="4" t="s">
        <v>1909</v>
      </c>
      <c r="I125" s="4" t="s">
        <v>1897</v>
      </c>
    </row>
    <row r="126" spans="2:9" ht="15.6" x14ac:dyDescent="0.3">
      <c r="B126" s="4">
        <f t="shared" si="1"/>
        <v>123</v>
      </c>
      <c r="C126" s="5">
        <v>46192</v>
      </c>
      <c r="D126" s="8" t="s">
        <v>2211</v>
      </c>
      <c r="E126" s="10" t="str">
        <f>_xlfn.XLOOKUP(Table7912[[#This Row],[Malın kodu]],Filtrasiya!E:E,Filtrasiya!D:D,"xəta",0)</f>
        <v>Yağ / 15w40 / 1L / Lubex Primus EC</v>
      </c>
      <c r="F126" s="4">
        <v>3</v>
      </c>
      <c r="G126"/>
      <c r="H126" s="4" t="s">
        <v>1909</v>
      </c>
      <c r="I126" s="4" t="s">
        <v>1897</v>
      </c>
    </row>
    <row r="127" spans="2:9" ht="15.6" x14ac:dyDescent="0.3">
      <c r="B127" s="4">
        <f t="shared" si="1"/>
        <v>124</v>
      </c>
      <c r="C127" s="5">
        <v>46193</v>
      </c>
      <c r="D127" s="8" t="s">
        <v>2203</v>
      </c>
      <c r="E127" s="10" t="str">
        <f>_xlfn.XLOOKUP(Table7912[[#This Row],[Malın kodu]],Filtrasiya!E:E,Filtrasiya!D:D,"xəta",0)</f>
        <v>Bitum / Rus</v>
      </c>
      <c r="F127" s="4">
        <v>2</v>
      </c>
      <c r="G127"/>
      <c r="H127" s="4" t="s">
        <v>1909</v>
      </c>
      <c r="I127" s="4" t="s">
        <v>1897</v>
      </c>
    </row>
    <row r="128" spans="2:9" ht="15.6" x14ac:dyDescent="0.3">
      <c r="B128" s="4">
        <f t="shared" si="1"/>
        <v>125</v>
      </c>
      <c r="C128" s="5">
        <v>46194</v>
      </c>
      <c r="D128" s="8" t="s">
        <v>2189</v>
      </c>
      <c r="E128" s="10" t="str">
        <f>_xlfn.XLOOKUP(Table7912[[#This Row],[Malın kodu]],Filtrasiya!E:E,Filtrasiya!D:D,"xəta",0)</f>
        <v>Arxiv qovluğu / ensiz / göy</v>
      </c>
      <c r="F128" s="4">
        <v>3</v>
      </c>
      <c r="G128"/>
      <c r="H128" s="4" t="s">
        <v>1909</v>
      </c>
      <c r="I128" s="4" t="s">
        <v>1897</v>
      </c>
    </row>
    <row r="129" spans="2:9" ht="15.6" x14ac:dyDescent="0.3">
      <c r="B129" s="4">
        <f t="shared" si="1"/>
        <v>126</v>
      </c>
      <c r="C129" s="5">
        <v>46194</v>
      </c>
      <c r="D129" s="8" t="s">
        <v>2190</v>
      </c>
      <c r="E129" s="10" t="str">
        <f>_xlfn.XLOOKUP(Table7912[[#This Row],[Malın kodu]],Filtrasiya!E:E,Filtrasiya!D:D,"xəta",0)</f>
        <v>Sənəd rəfi / 3-lü / DG 2001 HF J2</v>
      </c>
      <c r="F129" s="4">
        <v>1</v>
      </c>
      <c r="G129"/>
      <c r="H129" s="4" t="s">
        <v>1909</v>
      </c>
      <c r="I129" s="4" t="s">
        <v>1897</v>
      </c>
    </row>
    <row r="130" spans="2:9" ht="15.6" x14ac:dyDescent="0.3">
      <c r="B130" s="4">
        <f t="shared" si="1"/>
        <v>127</v>
      </c>
      <c r="C130" s="5">
        <v>46194</v>
      </c>
      <c r="D130" s="8" t="s">
        <v>2191</v>
      </c>
      <c r="E130" s="10" t="str">
        <f>_xlfn.XLOOKUP(Table7912[[#This Row],[Malın kodu]],Filtrasiya!E:E,Filtrasiya!D:D,"xəta",0)</f>
        <v>Texmarker / A178 / narıncı</v>
      </c>
      <c r="F130" s="4">
        <v>1</v>
      </c>
      <c r="G130"/>
      <c r="H130" s="4" t="s">
        <v>1909</v>
      </c>
      <c r="I130" s="4" t="s">
        <v>1897</v>
      </c>
    </row>
    <row r="131" spans="2:9" ht="15.6" x14ac:dyDescent="0.3">
      <c r="B131" s="4">
        <f t="shared" si="1"/>
        <v>128</v>
      </c>
      <c r="C131" s="5">
        <v>46194</v>
      </c>
      <c r="D131" s="8" t="s">
        <v>2192</v>
      </c>
      <c r="E131" s="10" t="str">
        <f>_xlfn.XLOOKUP(Table7912[[#This Row],[Malın kodu]],Filtrasiya!E:E,Filtrasiya!D:D,"xəta",0)</f>
        <v>Texmarker / A178 / mavi</v>
      </c>
      <c r="F131" s="4">
        <v>1</v>
      </c>
      <c r="G131"/>
      <c r="H131" s="4" t="s">
        <v>1909</v>
      </c>
      <c r="I131" s="4" t="s">
        <v>1897</v>
      </c>
    </row>
    <row r="132" spans="2:9" ht="15.6" x14ac:dyDescent="0.3">
      <c r="B132" s="4">
        <f t="shared" ref="B132:B195" si="2">ROW()-3</f>
        <v>129</v>
      </c>
      <c r="C132" s="5">
        <v>46194</v>
      </c>
      <c r="D132" s="8" t="s">
        <v>2193</v>
      </c>
      <c r="E132" s="10" t="str">
        <f>_xlfn.XLOOKUP(Table7912[[#This Row],[Malın kodu]],Filtrasiya!E:E,Filtrasiya!D:D,"xəta",0)</f>
        <v>Texmarker / A178 / yaşıl</v>
      </c>
      <c r="F132" s="4">
        <v>1</v>
      </c>
      <c r="G132"/>
      <c r="H132" s="4" t="s">
        <v>1909</v>
      </c>
      <c r="I132" s="4" t="s">
        <v>1897</v>
      </c>
    </row>
    <row r="133" spans="2:9" ht="15.6" x14ac:dyDescent="0.3">
      <c r="B133" s="4">
        <f t="shared" si="2"/>
        <v>130</v>
      </c>
      <c r="C133" s="5">
        <v>46194</v>
      </c>
      <c r="D133" s="8" t="s">
        <v>2194</v>
      </c>
      <c r="E133" s="10" t="str">
        <f>_xlfn.XLOOKUP(Table7912[[#This Row],[Malın kodu]],Filtrasiya!E:E,Filtrasiya!D:D,"xəta",0)</f>
        <v>Texmarker / A178 / sarı</v>
      </c>
      <c r="F133" s="4">
        <v>1</v>
      </c>
      <c r="G133"/>
      <c r="H133" s="4" t="s">
        <v>1909</v>
      </c>
      <c r="I133" s="4" t="s">
        <v>1897</v>
      </c>
    </row>
    <row r="134" spans="2:9" ht="15.6" x14ac:dyDescent="0.3">
      <c r="B134" s="4">
        <f t="shared" si="2"/>
        <v>131</v>
      </c>
      <c r="C134" s="5">
        <v>46194</v>
      </c>
      <c r="D134" s="8" t="s">
        <v>2195</v>
      </c>
      <c r="E134" s="10" t="str">
        <f>_xlfn.XLOOKUP(Table7912[[#This Row],[Malın kodu]],Filtrasiya!E:E,Filtrasiya!D:D,"xəta",0)</f>
        <v>Delgec / kağızdeşən / A101</v>
      </c>
      <c r="F134" s="4">
        <v>1</v>
      </c>
      <c r="G134"/>
      <c r="H134" s="4" t="s">
        <v>1909</v>
      </c>
      <c r="I134" s="4" t="s">
        <v>1897</v>
      </c>
    </row>
    <row r="135" spans="2:9" ht="15.6" x14ac:dyDescent="0.3">
      <c r="B135" s="4">
        <f t="shared" si="2"/>
        <v>132</v>
      </c>
      <c r="C135" s="5">
        <v>46194</v>
      </c>
      <c r="D135" s="8" t="s">
        <v>2196</v>
      </c>
      <c r="E135" s="10" t="str">
        <f>_xlfn.XLOOKUP(Table7912[[#This Row],[Malın kodu]],Filtrasiya!E:E,Filtrasiya!D:D,"xəta",0)</f>
        <v>Dosya qovluğu / telli / mavi</v>
      </c>
      <c r="F135" s="4">
        <v>3</v>
      </c>
      <c r="G135"/>
      <c r="H135" s="4" t="s">
        <v>1909</v>
      </c>
      <c r="I135" s="4" t="s">
        <v>1897</v>
      </c>
    </row>
    <row r="136" spans="2:9" ht="15.6" x14ac:dyDescent="0.3">
      <c r="B136" s="4">
        <f t="shared" si="2"/>
        <v>133</v>
      </c>
      <c r="C136" s="5">
        <v>46194</v>
      </c>
      <c r="D136" s="8" t="s">
        <v>2197</v>
      </c>
      <c r="E136" s="10" t="str">
        <f>_xlfn.XLOOKUP(Table7912[[#This Row],[Malın kodu]],Filtrasiya!E:E,Filtrasiya!D:D,"xəta",0)</f>
        <v>Qısqac / A182</v>
      </c>
      <c r="F136" s="4">
        <v>3</v>
      </c>
      <c r="G136"/>
      <c r="H136" s="4" t="s">
        <v>1909</v>
      </c>
      <c r="I136" s="4" t="s">
        <v>1897</v>
      </c>
    </row>
    <row r="137" spans="2:9" ht="15.6" x14ac:dyDescent="0.3">
      <c r="B137" s="4">
        <f t="shared" si="2"/>
        <v>134</v>
      </c>
      <c r="C137" s="5">
        <v>46194</v>
      </c>
      <c r="D137" s="8" t="s">
        <v>2198</v>
      </c>
      <c r="E137" s="10" t="str">
        <f>_xlfn.XLOOKUP(Table7912[[#This Row],[Malın kodu]],Filtrasiya!E:E,Filtrasiya!D:D,"xəta",0)</f>
        <v>Burğu / 22</v>
      </c>
      <c r="F137" s="4">
        <v>1</v>
      </c>
      <c r="G137"/>
      <c r="H137" s="4" t="s">
        <v>1909</v>
      </c>
      <c r="I137" s="4" t="s">
        <v>1897</v>
      </c>
    </row>
    <row r="138" spans="2:9" ht="15.6" x14ac:dyDescent="0.3">
      <c r="B138" s="4">
        <f t="shared" si="2"/>
        <v>135</v>
      </c>
      <c r="C138" s="5">
        <v>46194</v>
      </c>
      <c r="D138" s="8" t="s">
        <v>2201</v>
      </c>
      <c r="E138" s="10" t="str">
        <f>_xlfn.XLOOKUP(Table7912[[#This Row],[Malın kodu]],Filtrasiya!E:E,Filtrasiya!D:D,"xəta",0)</f>
        <v>Burğu / 24</v>
      </c>
      <c r="F138" s="4">
        <v>1</v>
      </c>
      <c r="G138"/>
      <c r="H138" s="4" t="s">
        <v>1909</v>
      </c>
      <c r="I138" s="4" t="s">
        <v>1897</v>
      </c>
    </row>
    <row r="139" spans="2:9" ht="15.6" x14ac:dyDescent="0.3">
      <c r="B139" s="4">
        <f t="shared" si="2"/>
        <v>136</v>
      </c>
      <c r="C139" s="5">
        <v>46195</v>
      </c>
      <c r="D139" s="8" t="s">
        <v>2213</v>
      </c>
      <c r="E139" s="10" t="str">
        <f>_xlfn.XLOOKUP(Table7912[[#This Row],[Malın kodu]],Filtrasiya!E:E,Filtrasiya!D:D,"xəta",0)</f>
        <v>Kömür / laqonda üçün / "Bosch"</v>
      </c>
      <c r="F139" s="4">
        <v>1</v>
      </c>
      <c r="G139"/>
      <c r="H139" s="4" t="s">
        <v>1909</v>
      </c>
      <c r="I139" s="4" t="s">
        <v>1897</v>
      </c>
    </row>
    <row r="140" spans="2:9" ht="15.6" x14ac:dyDescent="0.3">
      <c r="B140" s="4">
        <f t="shared" si="2"/>
        <v>137</v>
      </c>
      <c r="C140" s="5">
        <v>46196</v>
      </c>
      <c r="D140" s="8" t="s">
        <v>2087</v>
      </c>
      <c r="E140" s="10" t="str">
        <f>_xlfn.XLOOKUP(Table7912[[#This Row],[Malın kodu]],Filtrasiya!E:E,Filtrasiya!D:D,"xəta",0)</f>
        <v>Taxeometr / geodeziya cihazı</v>
      </c>
      <c r="F140" s="4">
        <v>2</v>
      </c>
      <c r="G140"/>
      <c r="H140" s="4" t="s">
        <v>1901</v>
      </c>
      <c r="I140" s="4" t="s">
        <v>903</v>
      </c>
    </row>
    <row r="141" spans="2:9" ht="15.6" x14ac:dyDescent="0.3">
      <c r="B141" s="4">
        <f t="shared" si="2"/>
        <v>138</v>
      </c>
      <c r="C141" s="5">
        <v>46198</v>
      </c>
      <c r="D141" s="8" t="s">
        <v>1233</v>
      </c>
      <c r="E141" s="10" t="str">
        <f>_xlfn.XLOOKUP(Table7912[[#This Row],[Malın kodu]],Filtrasiya!E:E,Filtrasiya!D:D,"xəta",0)</f>
        <v>Ox / geodezik ştativ üçün</v>
      </c>
      <c r="F141" s="4">
        <v>2</v>
      </c>
      <c r="G141"/>
      <c r="H141" s="4" t="s">
        <v>1901</v>
      </c>
      <c r="I141" s="4" t="s">
        <v>903</v>
      </c>
    </row>
    <row r="142" spans="2:9" ht="15.6" x14ac:dyDescent="0.3">
      <c r="B142" s="4">
        <f t="shared" si="2"/>
        <v>139</v>
      </c>
      <c r="C142" s="5">
        <v>46198</v>
      </c>
      <c r="D142" s="8" t="s">
        <v>1353</v>
      </c>
      <c r="E142" s="10" t="str">
        <f>_xlfn.XLOOKUP(Table7912[[#This Row],[Malın kodu]],Filtrasiya!E:E,Filtrasiya!D:D,"xəta",0)</f>
        <v>Geodezik prizma / d 62 mm / "Leica"</v>
      </c>
      <c r="F142" s="4">
        <v>2</v>
      </c>
      <c r="G142"/>
      <c r="H142" s="4" t="s">
        <v>1901</v>
      </c>
      <c r="I142" s="4" t="s">
        <v>903</v>
      </c>
    </row>
    <row r="143" spans="2:9" ht="15.6" x14ac:dyDescent="0.3">
      <c r="B143" s="4">
        <f t="shared" si="2"/>
        <v>140</v>
      </c>
      <c r="C143" s="5">
        <v>46198</v>
      </c>
      <c r="D143" s="8" t="s">
        <v>1377</v>
      </c>
      <c r="E143" s="10" t="str">
        <f>_xlfn.XLOOKUP(Table7912[[#This Row],[Malın kodu]],Filtrasiya!E:E,Filtrasiya!D:D,"xəta",0)</f>
        <v>Pəstah / rezin</v>
      </c>
      <c r="F143" s="4">
        <v>6</v>
      </c>
      <c r="G143"/>
      <c r="H143" s="4" t="s">
        <v>1901</v>
      </c>
      <c r="I143" s="4" t="s">
        <v>903</v>
      </c>
    </row>
    <row r="144" spans="2:9" ht="15.6" x14ac:dyDescent="0.3">
      <c r="B144" s="4">
        <f t="shared" si="2"/>
        <v>141</v>
      </c>
      <c r="C144" s="5">
        <v>46198</v>
      </c>
      <c r="D144" s="8" t="s">
        <v>1778</v>
      </c>
      <c r="E144" s="10" t="str">
        <f>_xlfn.XLOOKUP(Table7912[[#This Row],[Malın kodu]],Filtrasiya!E:E,Filtrasiya!D:D,"xəta",0)</f>
        <v>Bolt-qayka / M16 / L 100 mm</v>
      </c>
      <c r="F144" s="4">
        <v>5</v>
      </c>
      <c r="G144"/>
      <c r="H144" s="4" t="s">
        <v>1901</v>
      </c>
      <c r="I144" s="4" t="s">
        <v>903</v>
      </c>
    </row>
    <row r="145" spans="2:9" ht="15.6" x14ac:dyDescent="0.3">
      <c r="B145" s="4">
        <f t="shared" si="2"/>
        <v>142</v>
      </c>
      <c r="C145" s="5">
        <v>46198</v>
      </c>
      <c r="D145" s="8" t="s">
        <v>2143</v>
      </c>
      <c r="E145" s="10" t="str">
        <f>_xlfn.XLOOKUP(Table7912[[#This Row],[Malın kodu]],Filtrasiya!E:E,Filtrasiya!D:D,"xəta",0)</f>
        <v>Planşet / taxeometr üçün</v>
      </c>
      <c r="F145" s="4">
        <v>1</v>
      </c>
      <c r="G145"/>
      <c r="H145" s="4" t="s">
        <v>1901</v>
      </c>
      <c r="I145" s="4" t="s">
        <v>903</v>
      </c>
    </row>
    <row r="146" spans="2:9" ht="15.6" x14ac:dyDescent="0.3">
      <c r="B146" s="4">
        <f t="shared" si="2"/>
        <v>143</v>
      </c>
      <c r="C146" s="5">
        <v>46199</v>
      </c>
      <c r="D146" s="8" t="s">
        <v>2219</v>
      </c>
      <c r="E146" s="10" t="str">
        <f>_xlfn.XLOOKUP(Table7912[[#This Row],[Malın kodu]],Filtrasiya!E:E,Filtrasiya!D:D,"xəta",0)</f>
        <v>Disk / kəsici / d 230x1,9 mm</v>
      </c>
      <c r="F146" s="4">
        <v>5</v>
      </c>
      <c r="G146"/>
      <c r="H146" s="4" t="s">
        <v>1909</v>
      </c>
      <c r="I146" s="4" t="s">
        <v>1897</v>
      </c>
    </row>
    <row r="147" spans="2:9" ht="15.6" x14ac:dyDescent="0.3">
      <c r="B147" s="4">
        <f t="shared" si="2"/>
        <v>144</v>
      </c>
      <c r="C147" s="5">
        <v>46199</v>
      </c>
      <c r="D147" s="8" t="s">
        <v>2220</v>
      </c>
      <c r="E147" s="10" t="str">
        <f>_xlfn.XLOOKUP(Table7912[[#This Row],[Malın kodu]],Filtrasiya!E:E,Filtrasiya!D:D,"xəta",0)</f>
        <v>Kəndir / alpenist</v>
      </c>
      <c r="F147" s="4">
        <v>30</v>
      </c>
      <c r="G147"/>
      <c r="H147" s="4" t="s">
        <v>1909</v>
      </c>
      <c r="I147" s="4" t="s">
        <v>1897</v>
      </c>
    </row>
    <row r="148" spans="2:9" ht="15.6" x14ac:dyDescent="0.3">
      <c r="B148" s="4">
        <f t="shared" si="2"/>
        <v>145</v>
      </c>
      <c r="C148" s="5">
        <v>46199</v>
      </c>
      <c r="D148" s="8" t="s">
        <v>2221</v>
      </c>
      <c r="E148" s="10" t="str">
        <f>_xlfn.XLOOKUP(Table7912[[#This Row],[Malın kodu]],Filtrasiya!E:E,Filtrasiya!D:D,"xəta",0)</f>
        <v>İzolent</v>
      </c>
      <c r="F148" s="4">
        <v>3</v>
      </c>
      <c r="G148"/>
      <c r="H148" s="4" t="s">
        <v>1909</v>
      </c>
      <c r="I148" s="4" t="s">
        <v>1897</v>
      </c>
    </row>
    <row r="149" spans="2:9" ht="15.6" x14ac:dyDescent="0.3">
      <c r="B149" s="4">
        <f t="shared" si="2"/>
        <v>146</v>
      </c>
      <c r="C149" s="5">
        <v>46199</v>
      </c>
      <c r="D149" s="8" t="s">
        <v>2222</v>
      </c>
      <c r="E149" s="10" t="str">
        <f>_xlfn.XLOOKUP(Table7912[[#This Row],[Malın kodu]],Filtrasiya!E:E,Filtrasiya!D:D,"xəta",0)</f>
        <v>İp / göy</v>
      </c>
      <c r="F149" s="4">
        <v>2</v>
      </c>
      <c r="G149"/>
      <c r="H149" s="4" t="s">
        <v>1909</v>
      </c>
      <c r="I149" s="4" t="s">
        <v>1897</v>
      </c>
    </row>
    <row r="150" spans="2:9" ht="15.6" x14ac:dyDescent="0.3">
      <c r="B150" s="4">
        <f t="shared" si="2"/>
        <v>147</v>
      </c>
      <c r="C150" s="5">
        <v>46199</v>
      </c>
      <c r="D150" s="8" t="s">
        <v>2223</v>
      </c>
      <c r="E150" s="10" t="str">
        <f>_xlfn.XLOOKUP(Table7912[[#This Row],[Malın kodu]],Filtrasiya!E:E,Filtrasiya!D:D,"xəta",0)</f>
        <v>Çəllək (Boçka) / 200 L</v>
      </c>
      <c r="F150" s="4">
        <v>1</v>
      </c>
      <c r="G150"/>
      <c r="H150" s="4" t="s">
        <v>1909</v>
      </c>
      <c r="I150" s="4" t="s">
        <v>1897</v>
      </c>
    </row>
    <row r="151" spans="2:9" ht="15.6" x14ac:dyDescent="0.3">
      <c r="B151" s="4">
        <f t="shared" si="2"/>
        <v>148</v>
      </c>
      <c r="C151" s="5">
        <v>46199</v>
      </c>
      <c r="D151" s="8" t="s">
        <v>2224</v>
      </c>
      <c r="E151" s="10" t="str">
        <f>_xlfn.XLOOKUP(Table7912[[#This Row],[Malın kodu]],Filtrasiya!E:E,Filtrasiya!D:D,"xəta",0)</f>
        <v>Su pompası / dalğıc / d 76 mm / 1500 Vt / 2860 d/d / 6 metr / "Dingoi" Çin istehsalı</v>
      </c>
      <c r="F151" s="4">
        <v>1</v>
      </c>
      <c r="G151"/>
      <c r="H151" s="4" t="s">
        <v>1909</v>
      </c>
      <c r="I151" s="4" t="s">
        <v>910</v>
      </c>
    </row>
    <row r="152" spans="2:9" ht="15.6" x14ac:dyDescent="0.3">
      <c r="B152" s="4">
        <f t="shared" si="2"/>
        <v>149</v>
      </c>
      <c r="C152" s="5">
        <v>46199</v>
      </c>
      <c r="D152" s="8" t="s">
        <v>2247</v>
      </c>
      <c r="E152" s="10" t="str">
        <f>_xlfn.XLOOKUP(Table7912[[#This Row],[Malın kodu]],Filtrasiya!E:E,Filtrasiya!D:D,"xəta",0)</f>
        <v>Yanğınsöndürmə şlanqı / d 76mm</v>
      </c>
      <c r="F152" s="4">
        <v>1</v>
      </c>
      <c r="G152"/>
      <c r="H152" s="4" t="s">
        <v>1909</v>
      </c>
      <c r="I152" s="4" t="s">
        <v>910</v>
      </c>
    </row>
    <row r="153" spans="2:9" ht="15.6" x14ac:dyDescent="0.3">
      <c r="B153" s="4">
        <f t="shared" si="2"/>
        <v>150</v>
      </c>
      <c r="C153" s="5">
        <v>46199</v>
      </c>
      <c r="D153" s="8" t="s">
        <v>2248</v>
      </c>
      <c r="E153" s="10" t="str">
        <f>_xlfn.XLOOKUP(Table7912[[#This Row],[Malın kodu]],Filtrasiya!E:E,Filtrasiya!D:D,"xəta",0)</f>
        <v>Xomut / plastik / 76x9,2 mm / türk</v>
      </c>
      <c r="F153" s="4">
        <v>2</v>
      </c>
      <c r="G153"/>
      <c r="H153" s="4" t="s">
        <v>1909</v>
      </c>
      <c r="I153" s="4" t="s">
        <v>910</v>
      </c>
    </row>
    <row r="154" spans="2:9" ht="15.6" x14ac:dyDescent="0.3">
      <c r="B154" s="4">
        <f t="shared" si="2"/>
        <v>151</v>
      </c>
      <c r="C154" s="5">
        <v>46203</v>
      </c>
      <c r="D154" s="8" t="s">
        <v>2146</v>
      </c>
      <c r="E154" s="10" t="str">
        <f>_xlfn.XLOOKUP(Table7912[[#This Row],[Malın kodu]],Filtrasiya!E:E,Filtrasiya!D:D,"xəta",0)</f>
        <v>Metal lövhə / 20 mm / 1500x6000 / Cт3сп</v>
      </c>
      <c r="F154" s="4">
        <v>5</v>
      </c>
      <c r="G154"/>
      <c r="H154" s="4" t="s">
        <v>1909</v>
      </c>
      <c r="I154" s="4" t="s">
        <v>910</v>
      </c>
    </row>
    <row r="155" spans="2:9" ht="15.6" x14ac:dyDescent="0.3">
      <c r="B155" s="4">
        <f t="shared" si="2"/>
        <v>152</v>
      </c>
      <c r="C155" s="5">
        <v>46203</v>
      </c>
      <c r="D155" s="8" t="s">
        <v>2146</v>
      </c>
      <c r="E155" s="10" t="str">
        <f>_xlfn.XLOOKUP(Table7912[[#This Row],[Malın kodu]],Filtrasiya!E:E,Filtrasiya!D:D,"xəta",0)</f>
        <v>Metal lövhə / 20 mm / 1500x6000 / Cт3сп</v>
      </c>
      <c r="G155">
        <v>5</v>
      </c>
      <c r="H155" s="4" t="s">
        <v>1923</v>
      </c>
      <c r="I155" s="4" t="s">
        <v>911</v>
      </c>
    </row>
    <row r="156" spans="2:9" ht="15.6" x14ac:dyDescent="0.3">
      <c r="B156" s="4">
        <f t="shared" si="2"/>
        <v>153</v>
      </c>
      <c r="C156" s="5">
        <v>46203</v>
      </c>
      <c r="D156" s="8" t="s">
        <v>2156</v>
      </c>
      <c r="E156" s="10" t="str">
        <f>_xlfn.XLOOKUP(Table7912[[#This Row],[Malın kodu]],Filtrasiya!E:E,Filtrasiya!D:D,"xəta",0)</f>
        <v>Bitum / Azmas</v>
      </c>
      <c r="F156" s="4">
        <v>2</v>
      </c>
      <c r="G156"/>
      <c r="H156" s="4" t="s">
        <v>1909</v>
      </c>
      <c r="I156" s="4" t="s">
        <v>1897</v>
      </c>
    </row>
    <row r="157" spans="2:9" ht="15.6" x14ac:dyDescent="0.3">
      <c r="B157" s="4">
        <f t="shared" si="2"/>
        <v>154</v>
      </c>
      <c r="C157" s="5">
        <v>46203</v>
      </c>
      <c r="D157" s="8" t="s">
        <v>2173</v>
      </c>
      <c r="E157" s="10" t="str">
        <f>_xlfn.XLOOKUP(Table7912[[#This Row],[Malın kodu]],Filtrasiya!E:E,Filtrasiya!D:D,"xəta",0)</f>
        <v>Stepler / 14</v>
      </c>
      <c r="F157" s="4">
        <v>1</v>
      </c>
      <c r="G157"/>
      <c r="H157" s="4" t="s">
        <v>1909</v>
      </c>
      <c r="I157" s="4" t="s">
        <v>1897</v>
      </c>
    </row>
    <row r="158" spans="2:9" ht="15.6" x14ac:dyDescent="0.3">
      <c r="B158" s="4">
        <f t="shared" si="2"/>
        <v>155</v>
      </c>
      <c r="C158" s="5">
        <v>46203</v>
      </c>
      <c r="D158" s="8" t="s">
        <v>2174</v>
      </c>
      <c r="E158" s="10" t="str">
        <f>_xlfn.XLOOKUP(Table7912[[#This Row],[Malın kodu]],Filtrasiya!E:E,Filtrasiya!D:D,"xəta",0)</f>
        <v>Stepler simi / 14</v>
      </c>
      <c r="F158" s="4">
        <v>1</v>
      </c>
      <c r="G158"/>
      <c r="H158" s="4" t="s">
        <v>1909</v>
      </c>
      <c r="I158" s="4" t="s">
        <v>1897</v>
      </c>
    </row>
    <row r="159" spans="2:9" ht="15.6" x14ac:dyDescent="0.3">
      <c r="B159" s="4">
        <f t="shared" si="2"/>
        <v>156</v>
      </c>
      <c r="C159" s="5">
        <v>46203</v>
      </c>
      <c r="D159" s="8" t="s">
        <v>2175</v>
      </c>
      <c r="E159" s="10" t="str">
        <f>_xlfn.XLOOKUP(Table7912[[#This Row],[Malın kodu]],Filtrasiya!E:E,Filtrasiya!D:D,"xəta",0)</f>
        <v>Silikon</v>
      </c>
      <c r="F159" s="4">
        <v>1</v>
      </c>
      <c r="G159"/>
      <c r="H159" s="4" t="s">
        <v>1909</v>
      </c>
      <c r="I159" s="4" t="s">
        <v>1897</v>
      </c>
    </row>
    <row r="160" spans="2:9" ht="15.6" x14ac:dyDescent="0.3">
      <c r="B160" s="4">
        <f t="shared" si="2"/>
        <v>157</v>
      </c>
      <c r="C160" s="5">
        <v>46203</v>
      </c>
      <c r="D160" s="8" t="s">
        <v>2176</v>
      </c>
      <c r="E160" s="10" t="str">
        <f>_xlfn.XLOOKUP(Table7912[[#This Row],[Malın kodu]],Filtrasiya!E:E,Filtrasiya!D:D,"xəta",0)</f>
        <v>Silikon tapancası</v>
      </c>
      <c r="F160" s="4">
        <v>1</v>
      </c>
      <c r="G160"/>
      <c r="H160" s="4" t="s">
        <v>1909</v>
      </c>
      <c r="I160" s="4" t="s">
        <v>1897</v>
      </c>
    </row>
    <row r="161" spans="2:9" ht="15.6" x14ac:dyDescent="0.3">
      <c r="B161" s="4">
        <f t="shared" si="2"/>
        <v>158</v>
      </c>
      <c r="C161" s="5">
        <v>46203</v>
      </c>
      <c r="D161" s="8" t="s">
        <v>2177</v>
      </c>
      <c r="E161" s="10" t="str">
        <f>_xlfn.XLOOKUP(Table7912[[#This Row],[Malın kodu]],Filtrasiya!E:E,Filtrasiya!D:D,"xəta",0)</f>
        <v>Yapışdırıcı / kontakt</v>
      </c>
      <c r="F161" s="4">
        <v>1</v>
      </c>
      <c r="G161"/>
      <c r="H161" s="4" t="s">
        <v>1909</v>
      </c>
      <c r="I161" s="4" t="s">
        <v>1897</v>
      </c>
    </row>
    <row r="162" spans="2:9" ht="15.6" x14ac:dyDescent="0.3">
      <c r="B162" s="4">
        <f t="shared" si="2"/>
        <v>159</v>
      </c>
      <c r="C162" s="5">
        <v>46203</v>
      </c>
      <c r="D162" s="8" t="s">
        <v>2178</v>
      </c>
      <c r="E162" s="10" t="str">
        <f>_xlfn.XLOOKUP(Table7912[[#This Row],[Malın kodu]],Filtrasiya!E:E,Filtrasiya!D:D,"xəta",0)</f>
        <v>Metrə / 3m</v>
      </c>
      <c r="F162" s="4">
        <v>1</v>
      </c>
      <c r="G162"/>
      <c r="H162" s="4" t="s">
        <v>1909</v>
      </c>
      <c r="I162" s="4" t="s">
        <v>1897</v>
      </c>
    </row>
    <row r="163" spans="2:9" ht="15.6" x14ac:dyDescent="0.3">
      <c r="B163" s="4">
        <f t="shared" si="2"/>
        <v>160</v>
      </c>
      <c r="C163" s="5">
        <v>46203</v>
      </c>
      <c r="D163" s="8" t="s">
        <v>2179</v>
      </c>
      <c r="E163" s="10" t="str">
        <f>_xlfn.XLOOKUP(Table7912[[#This Row],[Malın kodu]],Filtrasiya!E:E,Filtrasiya!D:D,"xəta",0)</f>
        <v>Təbaşir</v>
      </c>
      <c r="F163" s="4">
        <v>1</v>
      </c>
      <c r="G163"/>
      <c r="H163" s="4" t="s">
        <v>1909</v>
      </c>
      <c r="I163" s="4" t="s">
        <v>1897</v>
      </c>
    </row>
    <row r="164" spans="2:9" ht="15.6" x14ac:dyDescent="0.3">
      <c r="B164" s="4">
        <f t="shared" si="2"/>
        <v>161</v>
      </c>
      <c r="C164" s="5">
        <v>46209</v>
      </c>
      <c r="D164" s="8" t="s">
        <v>2156</v>
      </c>
      <c r="E164" s="10" t="str">
        <f>_xlfn.XLOOKUP(Table7912[[#This Row],[Malın kodu]],Filtrasiya!E:E,Filtrasiya!D:D,"xəta",0)</f>
        <v>Bitum / Azmas</v>
      </c>
      <c r="F164" s="4">
        <v>1</v>
      </c>
      <c r="G164"/>
      <c r="H164" s="4" t="s">
        <v>1909</v>
      </c>
      <c r="I164" s="4" t="s">
        <v>1897</v>
      </c>
    </row>
    <row r="165" spans="2:9" ht="15.6" x14ac:dyDescent="0.3">
      <c r="B165" s="4">
        <f t="shared" si="2"/>
        <v>162</v>
      </c>
      <c r="C165" s="5">
        <v>46210</v>
      </c>
      <c r="D165" s="8" t="s">
        <v>2284</v>
      </c>
      <c r="E165" s="10" t="str">
        <f>_xlfn.XLOOKUP(Table7912[[#This Row],[Malın kodu]],Filtrasiya!E:E,Filtrasiya!D:D,"xəta",0)</f>
        <v>Sututucu bant / AK 20/2</v>
      </c>
      <c r="F165" s="4">
        <v>80</v>
      </c>
      <c r="G165"/>
      <c r="H165" s="4" t="s">
        <v>1909</v>
      </c>
      <c r="I165" s="4" t="s">
        <v>910</v>
      </c>
    </row>
    <row r="166" spans="2:9" ht="15.6" x14ac:dyDescent="0.3">
      <c r="B166" s="4">
        <f t="shared" si="2"/>
        <v>163</v>
      </c>
      <c r="C166" s="5">
        <v>46211</v>
      </c>
      <c r="D166" s="8" t="s">
        <v>1979</v>
      </c>
      <c r="E166" s="10" t="str">
        <f>_xlfn.XLOOKUP(Table7912[[#This Row],[Malın kodu]],Filtrasiya!E:E,Filtrasiya!D:D,"xəta",0)</f>
        <v>Valik / 20-lik "Defne"</v>
      </c>
      <c r="F166" s="4">
        <v>5</v>
      </c>
      <c r="G166"/>
      <c r="H166" s="4" t="s">
        <v>1909</v>
      </c>
      <c r="I166" s="4" t="s">
        <v>910</v>
      </c>
    </row>
    <row r="167" spans="2:9" ht="15.6" x14ac:dyDescent="0.3">
      <c r="B167" s="4">
        <f t="shared" si="2"/>
        <v>164</v>
      </c>
      <c r="C167" s="5">
        <v>46211</v>
      </c>
      <c r="D167" s="8" t="s">
        <v>1981</v>
      </c>
      <c r="E167" s="10" t="str">
        <f>_xlfn.XLOOKUP(Table7912[[#This Row],[Malın kodu]],Filtrasiya!E:E,Filtrasiya!D:D,"xəta",0)</f>
        <v>Qaynaq çubuğu (elektrod) / 3 / "Azkaynak"</v>
      </c>
      <c r="F167" s="4">
        <v>4</v>
      </c>
      <c r="G167"/>
      <c r="H167" s="4" t="s">
        <v>1909</v>
      </c>
      <c r="I167" s="4" t="s">
        <v>910</v>
      </c>
    </row>
    <row r="168" spans="2:9" ht="15.6" x14ac:dyDescent="0.3">
      <c r="B168" s="4">
        <f t="shared" si="2"/>
        <v>165</v>
      </c>
      <c r="C168" s="5">
        <v>46211</v>
      </c>
      <c r="D168" s="8" t="s">
        <v>1982</v>
      </c>
      <c r="E168" s="10" t="str">
        <f>_xlfn.XLOOKUP(Table7912[[#This Row],[Malın kodu]],Filtrasiya!E:E,Filtrasiya!D:D,"xəta",0)</f>
        <v>Əlcək / sarı</v>
      </c>
      <c r="F168" s="4">
        <v>50</v>
      </c>
      <c r="G168"/>
      <c r="H168" s="4" t="s">
        <v>1909</v>
      </c>
      <c r="I168" s="4" t="s">
        <v>910</v>
      </c>
    </row>
    <row r="169" spans="2:9" ht="15.6" x14ac:dyDescent="0.3">
      <c r="B169" s="4">
        <f t="shared" si="2"/>
        <v>166</v>
      </c>
      <c r="C169" s="5">
        <v>46211</v>
      </c>
      <c r="D169" s="8" t="s">
        <v>2219</v>
      </c>
      <c r="E169" s="10" t="str">
        <f>_xlfn.XLOOKUP(Table7912[[#This Row],[Malın kodu]],Filtrasiya!E:E,Filtrasiya!D:D,"xəta",0)</f>
        <v>Disk / kəsici / d 230x1,9 mm</v>
      </c>
      <c r="F169" s="4">
        <v>40</v>
      </c>
      <c r="G169"/>
      <c r="H169" s="4" t="s">
        <v>1909</v>
      </c>
      <c r="I169" s="4" t="s">
        <v>910</v>
      </c>
    </row>
    <row r="170" spans="2:9" ht="15.6" x14ac:dyDescent="0.3">
      <c r="B170" s="4">
        <f t="shared" si="2"/>
        <v>167</v>
      </c>
      <c r="C170" s="5">
        <v>46211</v>
      </c>
      <c r="D170" s="8" t="s">
        <v>2249</v>
      </c>
      <c r="E170" s="10" t="str">
        <f>_xlfn.XLOOKUP(Table7912[[#This Row],[Malın kodu]],Filtrasiya!E:E,Filtrasiya!D:D,"xəta",0)</f>
        <v>Qaynaq çubuğu (elektrod) / 3 / sabit / "Azkaynak"</v>
      </c>
      <c r="F170" s="4">
        <v>3</v>
      </c>
      <c r="G170"/>
      <c r="H170" s="4" t="s">
        <v>1909</v>
      </c>
      <c r="I170" s="4" t="s">
        <v>910</v>
      </c>
    </row>
    <row r="171" spans="2:9" ht="15.6" x14ac:dyDescent="0.3">
      <c r="B171" s="4">
        <f t="shared" si="2"/>
        <v>168</v>
      </c>
      <c r="C171" s="5">
        <v>46211</v>
      </c>
      <c r="D171" s="8" t="s">
        <v>2251</v>
      </c>
      <c r="E171" s="10" t="str">
        <f>_xlfn.XLOOKUP(Table7912[[#This Row],[Malın kodu]],Filtrasiya!E:E,Filtrasiya!D:D,"xəta",0)</f>
        <v>Disk / cilalayıcı / d 230 mm / lagonda üçün</v>
      </c>
      <c r="F171" s="4">
        <v>5</v>
      </c>
      <c r="G171"/>
      <c r="H171" s="4" t="s">
        <v>1909</v>
      </c>
      <c r="I171" s="4" t="s">
        <v>910</v>
      </c>
    </row>
    <row r="172" spans="2:9" ht="15.6" x14ac:dyDescent="0.3">
      <c r="B172" s="4">
        <f t="shared" si="2"/>
        <v>169</v>
      </c>
      <c r="C172" s="5">
        <v>46211</v>
      </c>
      <c r="D172" s="8" t="s">
        <v>2257</v>
      </c>
      <c r="E172" s="10" t="str">
        <f>_xlfn.XLOOKUP(Table7912[[#This Row],[Malın kodu]],Filtrasiya!E:E,Filtrasiya!D:D,"xəta",0)</f>
        <v>Bel / çalov</v>
      </c>
      <c r="F172" s="4">
        <v>10</v>
      </c>
      <c r="G172"/>
      <c r="H172" s="4" t="s">
        <v>1909</v>
      </c>
      <c r="I172" s="4" t="s">
        <v>910</v>
      </c>
    </row>
    <row r="173" spans="2:9" ht="15.6" x14ac:dyDescent="0.3">
      <c r="B173" s="4">
        <f t="shared" si="2"/>
        <v>170</v>
      </c>
      <c r="C173" s="5">
        <v>46211</v>
      </c>
      <c r="D173" s="8" t="s">
        <v>2258</v>
      </c>
      <c r="E173" s="10" t="str">
        <f>_xlfn.XLOOKUP(Table7912[[#This Row],[Malın kodu]],Filtrasiya!E:E,Filtrasiya!D:D,"xəta",0)</f>
        <v>Bel / düz</v>
      </c>
      <c r="F173" s="4">
        <v>5</v>
      </c>
      <c r="G173"/>
      <c r="H173" s="4" t="s">
        <v>1909</v>
      </c>
      <c r="I173" s="4" t="s">
        <v>910</v>
      </c>
    </row>
    <row r="174" spans="2:9" ht="15.6" x14ac:dyDescent="0.3">
      <c r="B174" s="4">
        <f t="shared" si="2"/>
        <v>171</v>
      </c>
      <c r="C174" s="5">
        <v>46211</v>
      </c>
      <c r="D174" s="8" t="s">
        <v>2259</v>
      </c>
      <c r="E174" s="10" t="str">
        <f>_xlfn.XLOOKUP(Table7912[[#This Row],[Malın kodu]],Filtrasiya!E:E,Filtrasiya!D:D,"xəta",0)</f>
        <v>Bel sapı</v>
      </c>
      <c r="F174" s="4">
        <v>20</v>
      </c>
      <c r="G174"/>
      <c r="H174" s="4" t="s">
        <v>1909</v>
      </c>
      <c r="I174" s="4" t="s">
        <v>910</v>
      </c>
    </row>
    <row r="175" spans="2:9" ht="15.6" x14ac:dyDescent="0.3">
      <c r="B175" s="4">
        <f t="shared" si="2"/>
        <v>172</v>
      </c>
      <c r="C175" s="5">
        <v>46211</v>
      </c>
      <c r="D175" s="8" t="s">
        <v>2260</v>
      </c>
      <c r="E175" s="10" t="str">
        <f>_xlfn.XLOOKUP(Table7912[[#This Row],[Malın kodu]],Filtrasiya!E:E,Filtrasiya!D:D,"xəta",0)</f>
        <v>Çəkic / 1 kq</v>
      </c>
      <c r="F175" s="4">
        <v>1</v>
      </c>
      <c r="G175"/>
      <c r="H175" s="4" t="s">
        <v>1909</v>
      </c>
      <c r="I175" s="4" t="s">
        <v>910</v>
      </c>
    </row>
    <row r="176" spans="2:9" ht="15.6" x14ac:dyDescent="0.3">
      <c r="B176" s="4">
        <f t="shared" si="2"/>
        <v>173</v>
      </c>
      <c r="C176" s="5">
        <v>46211</v>
      </c>
      <c r="D176" s="8" t="s">
        <v>2261</v>
      </c>
      <c r="E176" s="10" t="str">
        <f>_xlfn.XLOOKUP(Table7912[[#This Row],[Malın kodu]],Filtrasiya!E:E,Filtrasiya!D:D,"xəta",0)</f>
        <v>Jilet / fəhlə</v>
      </c>
      <c r="F176" s="4">
        <v>20</v>
      </c>
      <c r="G176"/>
      <c r="H176" s="4" t="s">
        <v>1909</v>
      </c>
      <c r="I176" s="4" t="s">
        <v>910</v>
      </c>
    </row>
    <row r="177" spans="2:9" ht="15.6" x14ac:dyDescent="0.3">
      <c r="B177" s="4">
        <f t="shared" si="2"/>
        <v>174</v>
      </c>
      <c r="C177" s="5">
        <v>46211</v>
      </c>
      <c r="D177" s="8" t="s">
        <v>2267</v>
      </c>
      <c r="E177" s="10" t="str">
        <f>_xlfn.XLOOKUP(Table7912[[#This Row],[Malın kodu]],Filtrasiya!E:E,Filtrasiya!D:D,"xəta",0)</f>
        <v>Projektor / led / 100 Vt</v>
      </c>
      <c r="F177" s="4">
        <v>5</v>
      </c>
      <c r="G177"/>
      <c r="H177" s="4" t="s">
        <v>1909</v>
      </c>
      <c r="I177" s="4" t="s">
        <v>910</v>
      </c>
    </row>
    <row r="178" spans="2:9" ht="15.6" x14ac:dyDescent="0.3">
      <c r="B178" s="4">
        <f t="shared" si="2"/>
        <v>175</v>
      </c>
      <c r="C178" s="5">
        <v>46211</v>
      </c>
      <c r="D178" s="8" t="s">
        <v>2268</v>
      </c>
      <c r="E178" s="10" t="str">
        <f>_xlfn.XLOOKUP(Table7912[[#This Row],[Malın kodu]],Filtrasiya!E:E,Filtrasiya!D:D,"xəta",0)</f>
        <v>Projektor / led / 50 Vt</v>
      </c>
      <c r="F178" s="4">
        <v>2</v>
      </c>
      <c r="G178"/>
      <c r="H178" s="4" t="s">
        <v>1909</v>
      </c>
      <c r="I178" s="4" t="s">
        <v>910</v>
      </c>
    </row>
    <row r="179" spans="2:9" ht="15.6" x14ac:dyDescent="0.3">
      <c r="B179" s="4">
        <f t="shared" si="2"/>
        <v>176</v>
      </c>
      <c r="C179" s="5">
        <v>46211</v>
      </c>
      <c r="D179" s="8" t="s">
        <v>2269</v>
      </c>
      <c r="E179" s="10" t="str">
        <f>_xlfn.XLOOKUP(Table7912[[#This Row],[Malın kodu]],Filtrasiya!E:E,Filtrasiya!D:D,"xəta",0)</f>
        <v>Elektrik üçlük (kalot) / 3 gözlü</v>
      </c>
      <c r="F179" s="4">
        <v>15</v>
      </c>
      <c r="G179"/>
      <c r="H179" s="4" t="s">
        <v>1909</v>
      </c>
      <c r="I179" s="4" t="s">
        <v>910</v>
      </c>
    </row>
    <row r="180" spans="2:9" ht="15.6" x14ac:dyDescent="0.3">
      <c r="B180" s="4">
        <f t="shared" si="2"/>
        <v>177</v>
      </c>
      <c r="C180" s="5">
        <v>46211</v>
      </c>
      <c r="D180" s="8" t="s">
        <v>2270</v>
      </c>
      <c r="E180" s="10" t="str">
        <f>_xlfn.XLOOKUP(Table7912[[#This Row],[Malın kodu]],Filtrasiya!E:E,Filtrasiya!D:D,"xəta",0)</f>
        <v>İzolent / qara</v>
      </c>
      <c r="F180" s="4">
        <v>10</v>
      </c>
      <c r="G180"/>
      <c r="H180" s="4" t="s">
        <v>1909</v>
      </c>
      <c r="I180" s="4" t="s">
        <v>910</v>
      </c>
    </row>
    <row r="181" spans="2:9" ht="15.6" x14ac:dyDescent="0.3">
      <c r="B181" s="4">
        <f t="shared" si="2"/>
        <v>178</v>
      </c>
      <c r="C181" s="5">
        <v>46211</v>
      </c>
      <c r="D181" s="8" t="s">
        <v>2271</v>
      </c>
      <c r="E181" s="10" t="str">
        <f>_xlfn.XLOOKUP(Table7912[[#This Row],[Malın kodu]],Filtrasiya!E:E,Filtrasiya!D:D,"xəta",0)</f>
        <v>Vintaçan dəsti / 4 pcs / N56</v>
      </c>
      <c r="F181" s="4">
        <v>1</v>
      </c>
      <c r="G181"/>
      <c r="H181" s="4" t="s">
        <v>1909</v>
      </c>
      <c r="I181" s="4" t="s">
        <v>910</v>
      </c>
    </row>
    <row r="182" spans="2:9" ht="15.6" x14ac:dyDescent="0.3">
      <c r="B182" s="4">
        <f t="shared" si="2"/>
        <v>179</v>
      </c>
      <c r="C182" s="5">
        <v>46211</v>
      </c>
      <c r="D182" s="8" t="s">
        <v>2273</v>
      </c>
      <c r="E182" s="10" t="str">
        <f>_xlfn.XLOOKUP(Table7912[[#This Row],[Malın kodu]],Filtrasiya!E:E,Filtrasiya!D:D,"xəta",0)</f>
        <v>Elektrik vilka / 702</v>
      </c>
      <c r="F182" s="4">
        <v>15</v>
      </c>
      <c r="G182"/>
      <c r="H182" s="4" t="s">
        <v>1909</v>
      </c>
      <c r="I182" s="4" t="s">
        <v>910</v>
      </c>
    </row>
    <row r="183" spans="2:9" ht="15.6" x14ac:dyDescent="0.3">
      <c r="B183" s="4">
        <f t="shared" si="2"/>
        <v>180</v>
      </c>
      <c r="C183" s="5">
        <v>46211</v>
      </c>
      <c r="D183" s="8" t="s">
        <v>2280</v>
      </c>
      <c r="E183" s="10" t="str">
        <f>_xlfn.XLOOKUP(Table7912[[#This Row],[Malın kodu]],Filtrasiya!E:E,Filtrasiya!D:D,"xəta",0)</f>
        <v>Disk / kəsici / d 230x1,9 mm / "Klingspor"</v>
      </c>
      <c r="F183" s="4">
        <v>3</v>
      </c>
      <c r="G183"/>
      <c r="H183" s="4" t="s">
        <v>1909</v>
      </c>
      <c r="I183" s="4" t="s">
        <v>1897</v>
      </c>
    </row>
    <row r="184" spans="2:9" ht="15.6" x14ac:dyDescent="0.3">
      <c r="B184" s="4">
        <f t="shared" si="2"/>
        <v>181</v>
      </c>
      <c r="C184" s="5">
        <v>46212</v>
      </c>
      <c r="D184" s="8" t="s">
        <v>2328</v>
      </c>
      <c r="E184" s="10" t="str">
        <f>_xlfn.XLOOKUP(Table7912[[#This Row],[Malın kodu]],Filtrasiya!E:E,Filtrasiya!D:D,"xəta",0)</f>
        <v>Bitum</v>
      </c>
      <c r="F184" s="4">
        <v>6</v>
      </c>
      <c r="G184"/>
      <c r="H184" s="4" t="s">
        <v>1909</v>
      </c>
      <c r="I184" s="4" t="s">
        <v>1897</v>
      </c>
    </row>
    <row r="185" spans="2:9" ht="15.6" x14ac:dyDescent="0.3">
      <c r="B185" s="4">
        <f t="shared" si="2"/>
        <v>182</v>
      </c>
      <c r="C185" s="5">
        <v>46213</v>
      </c>
      <c r="D185" s="8" t="s">
        <v>2048</v>
      </c>
      <c r="E185" s="10" t="str">
        <f>_xlfn.XLOOKUP(Table7912[[#This Row],[Malın kodu]],Filtrasiya!E:E,Filtrasiya!D:D,"xəta",0)</f>
        <v>Tiner / 2.5 kq</v>
      </c>
      <c r="F185" s="4">
        <v>1</v>
      </c>
      <c r="G185"/>
      <c r="H185" s="4" t="s">
        <v>1909</v>
      </c>
      <c r="I185" s="4" t="s">
        <v>1897</v>
      </c>
    </row>
    <row r="186" spans="2:9" ht="15.6" x14ac:dyDescent="0.3">
      <c r="B186" s="4">
        <f t="shared" si="2"/>
        <v>183</v>
      </c>
      <c r="C186" s="5">
        <v>46213</v>
      </c>
      <c r="D186" s="8" t="s">
        <v>2311</v>
      </c>
      <c r="E186" s="10" t="str">
        <f>_xlfn.XLOOKUP(Table7912[[#This Row],[Malın kodu]],Filtrasiya!E:E,Filtrasiya!D:D,"xəta",0)</f>
        <v>Kabel / 3*25+1*16 / "NEXANS" H07VV-F / 0.6/1KV</v>
      </c>
      <c r="F186" s="4">
        <v>25</v>
      </c>
      <c r="G186"/>
      <c r="H186" s="4" t="s">
        <v>1909</v>
      </c>
      <c r="I186" s="4" t="s">
        <v>910</v>
      </c>
    </row>
    <row r="187" spans="2:9" ht="15.6" x14ac:dyDescent="0.3">
      <c r="B187" s="4">
        <f t="shared" si="2"/>
        <v>184</v>
      </c>
      <c r="C187" s="5">
        <v>46213</v>
      </c>
      <c r="D187" s="8" t="s">
        <v>2312</v>
      </c>
      <c r="E187" s="10" t="str">
        <f>_xlfn.XLOOKUP(Table7912[[#This Row],[Malın kodu]],Filtrasiya!E:E,Filtrasiya!D:D,"xəta",0)</f>
        <v>Ucluq / mis / DT25</v>
      </c>
      <c r="F187" s="4">
        <v>8</v>
      </c>
      <c r="G187"/>
      <c r="H187" s="4" t="s">
        <v>1909</v>
      </c>
      <c r="I187" s="4" t="s">
        <v>910</v>
      </c>
    </row>
    <row r="188" spans="2:9" ht="15.6" x14ac:dyDescent="0.3">
      <c r="B188" s="4">
        <f t="shared" si="2"/>
        <v>185</v>
      </c>
      <c r="C188" s="5">
        <v>46213</v>
      </c>
      <c r="D188" s="8" t="s">
        <v>2313</v>
      </c>
      <c r="E188" s="10" t="str">
        <f>_xlfn.XLOOKUP(Table7912[[#This Row],[Malın kodu]],Filtrasiya!E:E,Filtrasiya!D:D,"xəta",0)</f>
        <v>Reduktor / oksiqen / "Yıldız" 5401SR</v>
      </c>
      <c r="F188" s="4">
        <v>3</v>
      </c>
      <c r="G188"/>
      <c r="H188" s="4" t="s">
        <v>1909</v>
      </c>
      <c r="I188" s="4" t="s">
        <v>910</v>
      </c>
    </row>
    <row r="189" spans="2:9" ht="15.6" x14ac:dyDescent="0.3">
      <c r="B189" s="4">
        <f t="shared" si="2"/>
        <v>186</v>
      </c>
      <c r="C189" s="5">
        <v>46213</v>
      </c>
      <c r="D189" s="8" t="s">
        <v>2314</v>
      </c>
      <c r="E189" s="10" t="str">
        <f>_xlfn.XLOOKUP(Table7912[[#This Row],[Malın kodu]],Filtrasiya!E:E,Filtrasiya!D:D,"xəta",0)</f>
        <v>Reduktor / propan / "Yıldız" 5120</v>
      </c>
      <c r="F189" s="4">
        <v>3</v>
      </c>
      <c r="G189"/>
      <c r="H189" s="4" t="s">
        <v>1909</v>
      </c>
      <c r="I189" s="4" t="s">
        <v>910</v>
      </c>
    </row>
    <row r="190" spans="2:9" ht="15.6" x14ac:dyDescent="0.3">
      <c r="B190" s="4">
        <f t="shared" si="2"/>
        <v>187</v>
      </c>
      <c r="C190" s="5">
        <v>46213</v>
      </c>
      <c r="D190" s="8" t="s">
        <v>2315</v>
      </c>
      <c r="E190" s="10" t="str">
        <f>_xlfn.XLOOKUP(Table7912[[#This Row],[Malın kodu]],Filtrasiya!E:E,Filtrasiya!D:D,"xəta",0)</f>
        <v>Odla kəsici (Rezak) / "Yıldız" 4512-460</v>
      </c>
      <c r="F190" s="4">
        <v>1</v>
      </c>
      <c r="G190"/>
      <c r="H190" s="4" t="s">
        <v>1909</v>
      </c>
      <c r="I190" s="4" t="s">
        <v>910</v>
      </c>
    </row>
    <row r="191" spans="2:9" ht="15.6" x14ac:dyDescent="0.3">
      <c r="B191" s="4">
        <f t="shared" si="2"/>
        <v>188</v>
      </c>
      <c r="C191" s="5">
        <v>46213</v>
      </c>
      <c r="D191" s="8" t="s">
        <v>2316</v>
      </c>
      <c r="E191" s="10" t="str">
        <f>_xlfn.XLOOKUP(Table7912[[#This Row],[Malın kodu]],Filtrasiya!E:E,Filtrasiya!D:D,"xəta",0)</f>
        <v>Əks klapan / oksiqen / "Yıldız" 1030</v>
      </c>
      <c r="F191" s="4">
        <v>3</v>
      </c>
      <c r="G191"/>
      <c r="H191" s="4" t="s">
        <v>1909</v>
      </c>
      <c r="I191" s="4" t="s">
        <v>910</v>
      </c>
    </row>
    <row r="192" spans="2:9" ht="15.6" x14ac:dyDescent="0.3">
      <c r="B192" s="4">
        <f t="shared" si="2"/>
        <v>189</v>
      </c>
      <c r="C192" s="5">
        <v>46213</v>
      </c>
      <c r="D192" s="8" t="s">
        <v>2317</v>
      </c>
      <c r="E192" s="10" t="str">
        <f>_xlfn.XLOOKUP(Table7912[[#This Row],[Malın kodu]],Filtrasiya!E:E,Filtrasiya!D:D,"xəta",0)</f>
        <v>Əks klapan / propan / "Yıldız" 1130</v>
      </c>
      <c r="F192" s="4">
        <v>3</v>
      </c>
      <c r="G192"/>
      <c r="H192" s="4" t="s">
        <v>1909</v>
      </c>
      <c r="I192" s="4" t="s">
        <v>910</v>
      </c>
    </row>
    <row r="193" spans="2:9" ht="15.6" x14ac:dyDescent="0.3">
      <c r="B193" s="4">
        <f t="shared" si="2"/>
        <v>190</v>
      </c>
      <c r="C193" s="5">
        <v>46213</v>
      </c>
      <c r="D193" s="8" t="s">
        <v>2318</v>
      </c>
      <c r="E193" s="10" t="str">
        <f>_xlfn.XLOOKUP(Table7912[[#This Row],[Malın kodu]],Filtrasiya!E:E,Filtrasiya!D:D,"xəta",0)</f>
        <v>Kıapan / LPG / "Yıldız" 1118</v>
      </c>
      <c r="F193" s="4">
        <v>1</v>
      </c>
      <c r="G193"/>
      <c r="H193" s="4" t="s">
        <v>1909</v>
      </c>
      <c r="I193" s="4" t="s">
        <v>910</v>
      </c>
    </row>
    <row r="194" spans="2:9" ht="15.6" x14ac:dyDescent="0.3">
      <c r="B194" s="4">
        <f t="shared" si="2"/>
        <v>191</v>
      </c>
      <c r="C194" s="5">
        <v>46213</v>
      </c>
      <c r="D194" s="8" t="s">
        <v>2319</v>
      </c>
      <c r="E194" s="10" t="str">
        <f>_xlfn.XLOOKUP(Table7912[[#This Row],[Malın kodu]],Filtrasiya!E:E,Filtrasiya!D:D,"xəta",0)</f>
        <v>Kıapan / oksiqen / "Yıldız" 1128</v>
      </c>
      <c r="F194" s="4">
        <v>1</v>
      </c>
      <c r="G194"/>
      <c r="H194" s="4" t="s">
        <v>1909</v>
      </c>
      <c r="I194" s="4" t="s">
        <v>910</v>
      </c>
    </row>
    <row r="195" spans="2:9" ht="15.6" x14ac:dyDescent="0.3">
      <c r="B195" s="4">
        <f t="shared" si="2"/>
        <v>192</v>
      </c>
      <c r="C195" s="5">
        <v>46213</v>
      </c>
      <c r="D195" s="8" t="s">
        <v>2320</v>
      </c>
      <c r="E195" s="10" t="str">
        <f>_xlfn.XLOOKUP(Table7912[[#This Row],[Malın kodu]],Filtrasiya!E:E,Filtrasiya!D:D,"xəta",0)</f>
        <v>Kabel / 1*35 KQ / H07RR-F /450/750V</v>
      </c>
      <c r="F195" s="4">
        <v>30</v>
      </c>
      <c r="G195"/>
      <c r="H195" s="4" t="s">
        <v>1909</v>
      </c>
      <c r="I195" s="4" t="s">
        <v>910</v>
      </c>
    </row>
    <row r="196" spans="2:9" ht="15.6" x14ac:dyDescent="0.3">
      <c r="B196" s="4">
        <f t="shared" ref="B196:B241" si="3">ROW()-3</f>
        <v>193</v>
      </c>
      <c r="C196" s="5">
        <v>46213</v>
      </c>
      <c r="D196" s="8" t="s">
        <v>2321</v>
      </c>
      <c r="E196" s="10" t="str">
        <f>_xlfn.XLOOKUP(Table7912[[#This Row],[Malın kodu]],Filtrasiya!E:E,Filtrasiya!D:D,"xəta",0)</f>
        <v>Maska / sadə / şüşəli</v>
      </c>
      <c r="F196" s="4">
        <v>1</v>
      </c>
      <c r="G196"/>
      <c r="H196" s="4" t="s">
        <v>1909</v>
      </c>
      <c r="I196" s="4" t="s">
        <v>910</v>
      </c>
    </row>
    <row r="197" spans="2:9" ht="15.6" x14ac:dyDescent="0.3">
      <c r="B197" s="4">
        <f t="shared" si="3"/>
        <v>194</v>
      </c>
      <c r="C197" s="5">
        <v>46213</v>
      </c>
      <c r="D197" s="8" t="s">
        <v>2322</v>
      </c>
      <c r="E197" s="10" t="str">
        <f>_xlfn.XLOOKUP(Table7912[[#This Row],[Malın kodu]],Filtrasiya!E:E,Filtrasiya!D:D,"xəta",0)</f>
        <v>Tutucu (Derjatel) / model : 600A</v>
      </c>
      <c r="F197" s="4">
        <v>1</v>
      </c>
      <c r="G197"/>
      <c r="H197" s="4" t="s">
        <v>1909</v>
      </c>
      <c r="I197" s="4" t="s">
        <v>910</v>
      </c>
    </row>
    <row r="198" spans="2:9" ht="15.6" x14ac:dyDescent="0.3">
      <c r="B198" s="4">
        <f t="shared" si="3"/>
        <v>195</v>
      </c>
      <c r="C198" s="5">
        <v>46213</v>
      </c>
      <c r="D198" s="8" t="s">
        <v>2323</v>
      </c>
      <c r="E198" s="10" t="str">
        <f>_xlfn.XLOOKUP(Table7912[[#This Row],[Malın kodu]],Filtrasiya!E:E,Filtrasiya!D:D,"xəta",0)</f>
        <v>Qaynaq razyomu / 35-50mm</v>
      </c>
      <c r="F198" s="4">
        <v>1</v>
      </c>
      <c r="G198"/>
      <c r="H198" s="4" t="s">
        <v>1909</v>
      </c>
      <c r="I198" s="4" t="s">
        <v>910</v>
      </c>
    </row>
    <row r="199" spans="2:9" ht="15.6" x14ac:dyDescent="0.3">
      <c r="B199" s="4">
        <f t="shared" si="3"/>
        <v>196</v>
      </c>
      <c r="C199" s="5">
        <v>46213</v>
      </c>
      <c r="D199" s="8" t="s">
        <v>2325</v>
      </c>
      <c r="E199" s="10" t="str">
        <f>_xlfn.XLOOKUP(Table7912[[#This Row],[Malın kodu]],Filtrasiya!E:E,Filtrasiya!D:D,"xəta",0)</f>
        <v>Boya / antipas / 1 kq</v>
      </c>
      <c r="F199" s="4">
        <v>2</v>
      </c>
      <c r="G199"/>
      <c r="H199" s="4" t="s">
        <v>1909</v>
      </c>
      <c r="I199" s="4" t="s">
        <v>1897</v>
      </c>
    </row>
    <row r="200" spans="2:9" ht="15.6" x14ac:dyDescent="0.3">
      <c r="B200" s="4">
        <f t="shared" si="3"/>
        <v>197</v>
      </c>
      <c r="C200" s="5">
        <v>46214</v>
      </c>
      <c r="D200" s="8" t="s">
        <v>2090</v>
      </c>
      <c r="E200" s="10" t="str">
        <f>_xlfn.XLOOKUP(Table7912[[#This Row],[Malın kodu]],Filtrasiya!E:E,Filtrasiya!D:D,"xəta",0)</f>
        <v>Bolt-qayka / M 20 / L 70 mm</v>
      </c>
      <c r="F200" s="4">
        <v>6</v>
      </c>
      <c r="G200"/>
      <c r="H200" s="4" t="s">
        <v>1909</v>
      </c>
      <c r="I200" s="4" t="s">
        <v>1897</v>
      </c>
    </row>
    <row r="201" spans="2:9" ht="15.6" x14ac:dyDescent="0.3">
      <c r="B201" s="4">
        <f t="shared" si="3"/>
        <v>198</v>
      </c>
      <c r="C201" s="5">
        <v>46214</v>
      </c>
      <c r="D201" s="8" t="s">
        <v>2427</v>
      </c>
      <c r="E201" s="10" t="str">
        <f>_xlfn.XLOOKUP(Table7912[[#This Row],[Malın kodu]],Filtrasiya!E:E,Filtrasiya!D:D,"xəta",0)</f>
        <v>Diş / orta / JCB mini ekskavator üçün</v>
      </c>
      <c r="F201" s="4">
        <v>3</v>
      </c>
      <c r="G201"/>
      <c r="H201" s="4" t="s">
        <v>1909</v>
      </c>
      <c r="I201" s="4" t="s">
        <v>1897</v>
      </c>
    </row>
    <row r="202" spans="2:9" ht="15.6" x14ac:dyDescent="0.3">
      <c r="B202" s="4">
        <f t="shared" si="3"/>
        <v>199</v>
      </c>
      <c r="C202" s="5">
        <v>46216</v>
      </c>
      <c r="D202" s="8" t="s">
        <v>1083</v>
      </c>
      <c r="E202" s="10" t="str">
        <f>_xlfn.XLOOKUP(Table7912[[#This Row],[Malın kodu]],Filtrasiya!E:E,Filtrasiya!D:D,"xəta",0)</f>
        <v>Lazer nivelyatoru / "AGL" / Almaniya istehsalı</v>
      </c>
      <c r="F202" s="4">
        <v>1</v>
      </c>
      <c r="G202"/>
      <c r="H202" s="4" t="s">
        <v>1901</v>
      </c>
      <c r="I202" s="4" t="s">
        <v>903</v>
      </c>
    </row>
    <row r="203" spans="2:9" ht="15.6" x14ac:dyDescent="0.3">
      <c r="B203" s="4">
        <f t="shared" si="3"/>
        <v>200</v>
      </c>
      <c r="C203" s="5">
        <v>46216</v>
      </c>
      <c r="D203" s="8" t="s">
        <v>1159</v>
      </c>
      <c r="E203" s="10" t="str">
        <f>_xlfn.XLOOKUP(Table7912[[#This Row],[Malın kodu]],Filtrasiya!E:E,Filtrasiya!D:D,"xəta",0)</f>
        <v>Mişar / lobzik üçün / T244D</v>
      </c>
      <c r="F203" s="4">
        <v>4</v>
      </c>
      <c r="G203"/>
      <c r="H203" s="4" t="s">
        <v>1901</v>
      </c>
      <c r="I203" s="4" t="s">
        <v>903</v>
      </c>
    </row>
    <row r="204" spans="2:9" ht="15.6" x14ac:dyDescent="0.3">
      <c r="B204" s="4">
        <f t="shared" si="3"/>
        <v>201</v>
      </c>
      <c r="C204" s="5">
        <v>46216</v>
      </c>
      <c r="D204" s="8" t="s">
        <v>1260</v>
      </c>
      <c r="E204" s="10" t="str">
        <f>_xlfn.XLOOKUP(Table7912[[#This Row],[Malın kodu]],Filtrasiya!E:E,Filtrasiya!D:D,"xəta",0)</f>
        <v>Perforator / "Bosch" / GBH 8-45 D</v>
      </c>
      <c r="F204" s="4">
        <v>1</v>
      </c>
      <c r="G204"/>
      <c r="H204" s="4" t="s">
        <v>1901</v>
      </c>
      <c r="I204" s="4" t="s">
        <v>903</v>
      </c>
    </row>
    <row r="205" spans="2:9" ht="15.6" x14ac:dyDescent="0.3">
      <c r="B205" s="4">
        <f t="shared" si="3"/>
        <v>202</v>
      </c>
      <c r="C205" s="5">
        <v>46216</v>
      </c>
      <c r="D205" s="8" t="s">
        <v>1261</v>
      </c>
      <c r="E205" s="10" t="str">
        <f>_xlfn.XLOOKUP(Table7912[[#This Row],[Malın kodu]],Filtrasiya!E:E,Filtrasiya!D:D,"xəta",0)</f>
        <v>Perforator / "Bosch" / GBH 5-40 D</v>
      </c>
      <c r="F205" s="4">
        <v>1</v>
      </c>
      <c r="G205"/>
      <c r="H205" s="4" t="s">
        <v>1901</v>
      </c>
      <c r="I205" s="4" t="s">
        <v>903</v>
      </c>
    </row>
    <row r="206" spans="2:9" ht="15.6" x14ac:dyDescent="0.3">
      <c r="B206" s="4">
        <f t="shared" si="3"/>
        <v>203</v>
      </c>
      <c r="C206" s="5">
        <v>46216</v>
      </c>
      <c r="D206" s="8" t="s">
        <v>1266</v>
      </c>
      <c r="E206" s="10" t="str">
        <f>_xlfn.XLOOKUP(Table7912[[#This Row],[Malın kodu]],Filtrasiya!E:E,Filtrasiya!D:D,"xəta",0)</f>
        <v>Perforator / "SKOM" / SK-HD1600</v>
      </c>
      <c r="F206" s="4">
        <v>1</v>
      </c>
      <c r="G206"/>
      <c r="H206" s="4" t="s">
        <v>1901</v>
      </c>
      <c r="I206" s="4" t="s">
        <v>903</v>
      </c>
    </row>
    <row r="207" spans="2:9" ht="15.6" x14ac:dyDescent="0.3">
      <c r="B207" s="4">
        <f t="shared" si="3"/>
        <v>204</v>
      </c>
      <c r="C207" s="5">
        <v>46216</v>
      </c>
      <c r="D207" s="8" t="s">
        <v>1280</v>
      </c>
      <c r="E207" s="10" t="str">
        <f>_xlfn.XLOOKUP(Table7912[[#This Row],[Malın kodu]],Filtrasiya!E:E,Filtrasiya!D:D,"xəta",0)</f>
        <v>Lobzik / "Hidroterm"</v>
      </c>
      <c r="F207" s="4">
        <v>1</v>
      </c>
      <c r="G207"/>
      <c r="H207" s="4" t="s">
        <v>1901</v>
      </c>
      <c r="I207" s="4" t="s">
        <v>903</v>
      </c>
    </row>
    <row r="208" spans="2:9" ht="15.6" x14ac:dyDescent="0.3">
      <c r="B208" s="4">
        <f t="shared" si="3"/>
        <v>205</v>
      </c>
      <c r="C208" s="5">
        <v>46216</v>
      </c>
      <c r="D208" s="8" t="s">
        <v>1652</v>
      </c>
      <c r="E208" s="10" t="str">
        <f>_xlfn.XLOOKUP(Table7912[[#This Row],[Malın kodu]],Filtrasiya!E:E,Filtrasiya!D:D,"xəta",0)</f>
        <v>Qaz balonu / farsunka ilə</v>
      </c>
      <c r="F208" s="4">
        <v>1</v>
      </c>
      <c r="G208"/>
      <c r="H208" s="4" t="s">
        <v>1901</v>
      </c>
      <c r="I208" s="4" t="s">
        <v>903</v>
      </c>
    </row>
    <row r="209" spans="2:9" ht="15.6" x14ac:dyDescent="0.3">
      <c r="B209" s="4">
        <f t="shared" si="3"/>
        <v>206</v>
      </c>
      <c r="C209" s="5">
        <v>46216</v>
      </c>
      <c r="D209" s="8" t="s">
        <v>1822</v>
      </c>
      <c r="E209" s="10" t="str">
        <f>_xlfn.XLOOKUP(Table7912[[#This Row],[Malın kodu]],Filtrasiya!E:E,Filtrasiya!D:D,"xəta",0)</f>
        <v>Masa / 695x119mm / ağ</v>
      </c>
      <c r="F209" s="4">
        <v>2</v>
      </c>
      <c r="G209"/>
      <c r="H209" s="4" t="s">
        <v>1901</v>
      </c>
      <c r="I209" s="4" t="s">
        <v>903</v>
      </c>
    </row>
    <row r="210" spans="2:9" ht="15.6" x14ac:dyDescent="0.3">
      <c r="B210" s="4">
        <f t="shared" si="3"/>
        <v>207</v>
      </c>
      <c r="C210" s="5">
        <v>46216</v>
      </c>
      <c r="D210" s="8" t="s">
        <v>1823</v>
      </c>
      <c r="E210" s="10" t="str">
        <f>_xlfn.XLOOKUP(Table7912[[#This Row],[Malın kodu]],Filtrasiya!E:E,Filtrasiya!D:D,"xəta",0)</f>
        <v>Oturacaq / ağ</v>
      </c>
      <c r="F210" s="4">
        <v>10</v>
      </c>
      <c r="G210"/>
      <c r="H210" s="4" t="s">
        <v>1901</v>
      </c>
      <c r="I210" s="4" t="s">
        <v>903</v>
      </c>
    </row>
    <row r="211" spans="2:9" ht="15.6" x14ac:dyDescent="0.3">
      <c r="B211" s="4">
        <f t="shared" si="3"/>
        <v>208</v>
      </c>
      <c r="C211" s="5">
        <v>46216</v>
      </c>
      <c r="D211" s="8" t="s">
        <v>2053</v>
      </c>
      <c r="E211" s="10" t="str">
        <f>_xlfn.XLOOKUP(Table7912[[#This Row],[Malın kodu]],Filtrasiya!E:E,Filtrasiya!D:D,"xəta",0)</f>
        <v>Laqonda / d 115 mm</v>
      </c>
      <c r="F211" s="4">
        <v>1</v>
      </c>
      <c r="G211"/>
      <c r="H211" s="4" t="s">
        <v>1901</v>
      </c>
      <c r="I211" s="4" t="s">
        <v>903</v>
      </c>
    </row>
    <row r="212" spans="2:9" ht="15.6" x14ac:dyDescent="0.3">
      <c r="B212" s="4">
        <f t="shared" si="3"/>
        <v>209</v>
      </c>
      <c r="C212" s="5">
        <v>46216</v>
      </c>
      <c r="D212" s="8" t="s">
        <v>2054</v>
      </c>
      <c r="E212" s="10" t="str">
        <f>_xlfn.XLOOKUP(Table7912[[#This Row],[Malın kodu]],Filtrasiya!E:E,Filtrasiya!D:D,"xəta",0)</f>
        <v>Metrə / 5m</v>
      </c>
      <c r="F212" s="4">
        <v>1</v>
      </c>
      <c r="G212"/>
      <c r="H212" s="4" t="s">
        <v>1901</v>
      </c>
      <c r="I212" s="4" t="s">
        <v>903</v>
      </c>
    </row>
    <row r="213" spans="2:9" ht="15.6" x14ac:dyDescent="0.3">
      <c r="B213" s="4">
        <f t="shared" si="3"/>
        <v>210</v>
      </c>
      <c r="C213" s="5">
        <v>46216</v>
      </c>
      <c r="D213" s="8" t="s">
        <v>2081</v>
      </c>
      <c r="E213" s="10" t="str">
        <f>_xlfn.XLOOKUP(Table7912[[#This Row],[Malın kodu]],Filtrasiya!E:E,Filtrasiya!D:D,"xəta",0)</f>
        <v>Lampa / 12 Vt / ağ / kürəvi</v>
      </c>
      <c r="F213" s="4">
        <v>2</v>
      </c>
      <c r="G213"/>
      <c r="H213" s="4" t="s">
        <v>1901</v>
      </c>
      <c r="I213" s="4" t="s">
        <v>903</v>
      </c>
    </row>
    <row r="214" spans="2:9" ht="15.6" x14ac:dyDescent="0.3">
      <c r="B214" s="4">
        <f t="shared" si="3"/>
        <v>211</v>
      </c>
      <c r="C214" s="5">
        <v>46218</v>
      </c>
      <c r="D214" s="8" t="s">
        <v>988</v>
      </c>
      <c r="E214" s="10" t="str">
        <f>_xlfn.XLOOKUP(Table7912[[#This Row],[Malın kodu]],Filtrasiya!E:E,Filtrasiya!D:D,"xəta",0)</f>
        <v>Filtr/ hava/ SHF 365/ "TUC"/ Çin istehsalı</v>
      </c>
      <c r="F214" s="4">
        <v>1</v>
      </c>
      <c r="G214"/>
      <c r="H214" s="4" t="s">
        <v>1901</v>
      </c>
      <c r="I214" s="4" t="s">
        <v>903</v>
      </c>
    </row>
    <row r="215" spans="2:9" ht="15.6" x14ac:dyDescent="0.3">
      <c r="B215" s="4">
        <f t="shared" si="3"/>
        <v>212</v>
      </c>
      <c r="C215" s="5">
        <v>46218</v>
      </c>
      <c r="D215" s="8" t="s">
        <v>1450</v>
      </c>
      <c r="E215" s="10" t="str">
        <f>_xlfn.XLOOKUP(Table7912[[#This Row],[Malın kodu]],Filtrasiya!E:E,Filtrasiya!D:D,"xəta",0)</f>
        <v>Şlanq / oksiqen</v>
      </c>
      <c r="F215" s="4">
        <v>1</v>
      </c>
      <c r="G215"/>
      <c r="H215" s="4" t="s">
        <v>1901</v>
      </c>
      <c r="I215" s="4" t="s">
        <v>903</v>
      </c>
    </row>
    <row r="216" spans="2:9" ht="15.6" x14ac:dyDescent="0.3">
      <c r="B216" s="4">
        <f t="shared" si="3"/>
        <v>213</v>
      </c>
      <c r="C216" s="5">
        <v>46218</v>
      </c>
      <c r="D216" s="8" t="s">
        <v>1496</v>
      </c>
      <c r="E216" s="10" t="str">
        <f>_xlfn.XLOOKUP(Table7912[[#This Row],[Malın kodu]],Filtrasiya!E:E,Filtrasiya!D:D,"xəta",0)</f>
        <v>Konteyner / 6 metr</v>
      </c>
      <c r="F216" s="4">
        <v>2</v>
      </c>
      <c r="G216"/>
      <c r="H216" s="4" t="s">
        <v>1901</v>
      </c>
      <c r="I216" s="4" t="s">
        <v>903</v>
      </c>
    </row>
    <row r="217" spans="2:9" ht="15.6" x14ac:dyDescent="0.3">
      <c r="B217" s="4">
        <f t="shared" si="3"/>
        <v>214</v>
      </c>
      <c r="C217" s="5">
        <v>46218</v>
      </c>
      <c r="D217" s="8" t="s">
        <v>1572</v>
      </c>
      <c r="E217" s="10" t="str">
        <f>_xlfn.XLOOKUP(Table7912[[#This Row],[Malın kodu]],Filtrasiya!E:E,Filtrasiya!D:D,"xəta",0)</f>
        <v>Boru / koruqe / d 300 mm / 6 metr</v>
      </c>
      <c r="F217" s="4">
        <v>1</v>
      </c>
      <c r="G217"/>
      <c r="H217" s="4" t="s">
        <v>1901</v>
      </c>
      <c r="I217" s="4" t="s">
        <v>903</v>
      </c>
    </row>
    <row r="218" spans="2:9" ht="15.6" x14ac:dyDescent="0.3">
      <c r="B218" s="4">
        <f t="shared" si="3"/>
        <v>215</v>
      </c>
      <c r="C218" s="5">
        <v>46218</v>
      </c>
      <c r="D218" s="8" t="s">
        <v>1722</v>
      </c>
      <c r="E218" s="10" t="str">
        <f>_xlfn.XLOOKUP(Table7912[[#This Row],[Malın kodu]],Filtrasiya!E:E,Filtrasiya!D:D,"xəta",0)</f>
        <v>Burğu / 14-lük</v>
      </c>
      <c r="F218" s="4">
        <v>2</v>
      </c>
      <c r="G218"/>
      <c r="H218" s="4" t="s">
        <v>1901</v>
      </c>
      <c r="I218" s="4" t="s">
        <v>903</v>
      </c>
    </row>
    <row r="219" spans="2:9" ht="15.6" x14ac:dyDescent="0.3">
      <c r="B219" s="4">
        <f t="shared" si="3"/>
        <v>216</v>
      </c>
      <c r="C219" s="5">
        <v>46220</v>
      </c>
      <c r="D219" s="8" t="s">
        <v>1394</v>
      </c>
      <c r="E219" s="10" t="str">
        <f>_xlfn.XLOOKUP(Table7912[[#This Row],[Malın kodu]],Filtrasiya!E:E,Filtrasiya!D:D,"xəta",0)</f>
        <v>Tiner</v>
      </c>
      <c r="F219" s="4">
        <v>5</v>
      </c>
      <c r="G219"/>
      <c r="H219" s="4" t="s">
        <v>1909</v>
      </c>
      <c r="I219" s="4" t="s">
        <v>910</v>
      </c>
    </row>
    <row r="220" spans="2:9" ht="15.6" x14ac:dyDescent="0.3">
      <c r="B220" s="4">
        <f t="shared" si="3"/>
        <v>217</v>
      </c>
      <c r="C220" s="5">
        <v>46220</v>
      </c>
      <c r="D220" s="8" t="s">
        <v>1653</v>
      </c>
      <c r="E220" s="10" t="str">
        <f>_xlfn.XLOOKUP(Table7912[[#This Row],[Malın kodu]],Filtrasiya!E:E,Filtrasiya!D:D,"xəta",0)</f>
        <v>Valik / 10-luq</v>
      </c>
      <c r="F220" s="4">
        <v>5</v>
      </c>
      <c r="G220"/>
      <c r="H220" s="4" t="s">
        <v>1909</v>
      </c>
      <c r="I220" s="4" t="s">
        <v>910</v>
      </c>
    </row>
    <row r="221" spans="2:9" ht="15.6" x14ac:dyDescent="0.3">
      <c r="B221" s="4">
        <f t="shared" si="3"/>
        <v>218</v>
      </c>
      <c r="C221" s="5">
        <v>46220</v>
      </c>
      <c r="D221" s="8" t="s">
        <v>2154</v>
      </c>
      <c r="E221" s="10" t="str">
        <f>_xlfn.XLOOKUP(Table7912[[#This Row],[Malın kodu]],Filtrasiya!E:E,Filtrasiya!D:D,"xəta",0)</f>
        <v>Disc / kəsici / d 230mm</v>
      </c>
      <c r="F221" s="4">
        <v>25</v>
      </c>
      <c r="G221"/>
      <c r="H221" s="4" t="s">
        <v>1909</v>
      </c>
      <c r="I221" s="4" t="s">
        <v>910</v>
      </c>
    </row>
    <row r="222" spans="2:9" ht="15.6" x14ac:dyDescent="0.3">
      <c r="B222" s="4">
        <f t="shared" si="3"/>
        <v>219</v>
      </c>
      <c r="C222" s="5">
        <v>46220</v>
      </c>
      <c r="D222" s="8" t="s">
        <v>2327</v>
      </c>
      <c r="E222" s="10" t="str">
        <f>_xlfn.XLOOKUP(Table7912[[#This Row],[Malın kodu]],Filtrasiya!E:E,Filtrasiya!D:D,"xəta",0)</f>
        <v>Qaynaq çubuğu (elektrod) / 4</v>
      </c>
      <c r="F222" s="4">
        <v>6</v>
      </c>
      <c r="G222"/>
      <c r="H222" s="4" t="s">
        <v>1909</v>
      </c>
      <c r="I222" s="4" t="s">
        <v>910</v>
      </c>
    </row>
    <row r="223" spans="2:9" ht="15.6" x14ac:dyDescent="0.3">
      <c r="B223" s="4">
        <f t="shared" si="3"/>
        <v>220</v>
      </c>
      <c r="C223" s="5">
        <v>46220</v>
      </c>
      <c r="D223" s="8" t="s">
        <v>2432</v>
      </c>
      <c r="E223" s="10" t="str">
        <f>_xlfn.XLOOKUP(Table7912[[#This Row],[Malın kodu]],Filtrasiya!E:E,Filtrasiya!D:D,"xəta",0)</f>
        <v>Köpük / montaj</v>
      </c>
      <c r="F223" s="4">
        <v>3</v>
      </c>
      <c r="G223"/>
      <c r="H223" s="4" t="s">
        <v>1909</v>
      </c>
      <c r="I223" s="4" t="s">
        <v>910</v>
      </c>
    </row>
    <row r="224" spans="2:9" ht="15.6" x14ac:dyDescent="0.3">
      <c r="B224" s="4">
        <f t="shared" si="3"/>
        <v>221</v>
      </c>
      <c r="C224" s="5">
        <v>46220</v>
      </c>
      <c r="D224" s="8" t="s">
        <v>2433</v>
      </c>
      <c r="E224" s="10" t="str">
        <f>_xlfn.XLOOKUP(Table7912[[#This Row],[Malın kodu]],Filtrasiya!E:E,Filtrasiya!D:D,"xəta",0)</f>
        <v>Boya / antipas / ağ</v>
      </c>
      <c r="F224" s="4">
        <v>1</v>
      </c>
      <c r="G224"/>
      <c r="H224" s="4" t="s">
        <v>1909</v>
      </c>
      <c r="I224" s="4" t="s">
        <v>910</v>
      </c>
    </row>
    <row r="225" spans="2:9" ht="15.6" x14ac:dyDescent="0.3">
      <c r="B225" s="4">
        <f t="shared" si="3"/>
        <v>222</v>
      </c>
      <c r="C225" s="5">
        <v>46220</v>
      </c>
      <c r="D225" s="8" t="s">
        <v>2434</v>
      </c>
      <c r="E225" s="10" t="str">
        <f>_xlfn.XLOOKUP(Table7912[[#This Row],[Malın kodu]],Filtrasiya!E:E,Filtrasiya!D:D,"xəta",0)</f>
        <v>Boya / antipas / boz</v>
      </c>
      <c r="F225" s="4">
        <v>1</v>
      </c>
      <c r="G225"/>
      <c r="H225" s="4" t="s">
        <v>1909</v>
      </c>
      <c r="I225" s="4" t="s">
        <v>910</v>
      </c>
    </row>
    <row r="226" spans="2:9" ht="15.6" x14ac:dyDescent="0.3">
      <c r="B226" s="4">
        <f t="shared" si="3"/>
        <v>223</v>
      </c>
      <c r="C226" s="5">
        <v>46220</v>
      </c>
      <c r="D226" s="8" t="s">
        <v>2435</v>
      </c>
      <c r="E226" s="10" t="str">
        <f>_xlfn.XLOOKUP(Table7912[[#This Row],[Malın kodu]],Filtrasiya!E:E,Filtrasiya!D:D,"xəta",0)</f>
        <v>Kəndir</v>
      </c>
      <c r="F226" s="4">
        <v>20</v>
      </c>
      <c r="G226"/>
      <c r="H226" s="4" t="s">
        <v>1909</v>
      </c>
      <c r="I226" s="4" t="s">
        <v>910</v>
      </c>
    </row>
    <row r="227" spans="2:9" ht="15.6" x14ac:dyDescent="0.3">
      <c r="B227" s="4">
        <f t="shared" si="3"/>
        <v>224</v>
      </c>
      <c r="C227" s="5">
        <v>46220</v>
      </c>
      <c r="D227" s="8" t="s">
        <v>2436</v>
      </c>
      <c r="E227" s="10" t="str">
        <f>_xlfn.XLOOKUP(Table7912[[#This Row],[Malın kodu]],Filtrasiya!E:E,Filtrasiya!D:D,"xəta",0)</f>
        <v>Şveller / 80</v>
      </c>
      <c r="F227" s="4">
        <v>6</v>
      </c>
      <c r="G227"/>
      <c r="H227" s="4" t="s">
        <v>1909</v>
      </c>
      <c r="I227" s="4" t="s">
        <v>910</v>
      </c>
    </row>
    <row r="228" spans="2:9" ht="15.6" x14ac:dyDescent="0.3">
      <c r="B228" s="4">
        <f t="shared" si="3"/>
        <v>225</v>
      </c>
      <c r="C228" s="5">
        <v>46222</v>
      </c>
      <c r="D228" s="8" t="s">
        <v>2438</v>
      </c>
      <c r="E228" s="10" t="str">
        <f>_xlfn.XLOOKUP(Table7912[[#This Row],[Malın kodu]],Filtrasiya!E:E,Filtrasiya!D:D,"xəta",0)</f>
        <v>Açar / krokodil tipli</v>
      </c>
      <c r="F228" s="4">
        <v>1</v>
      </c>
      <c r="G228"/>
      <c r="H228" s="4" t="s">
        <v>1909</v>
      </c>
      <c r="I228" s="4" t="s">
        <v>1897</v>
      </c>
    </row>
    <row r="229" spans="2:9" ht="15.6" x14ac:dyDescent="0.3">
      <c r="B229" s="4">
        <f t="shared" si="3"/>
        <v>226</v>
      </c>
      <c r="C229" s="5">
        <v>46222</v>
      </c>
      <c r="D229" s="8" t="s">
        <v>2440</v>
      </c>
      <c r="E229" s="10" t="str">
        <f>_xlfn.XLOOKUP(Table7912[[#This Row],[Malın kodu]],Filtrasiya!E:E,Filtrasiya!D:D,"xəta",0)</f>
        <v>Keçid (perexod)</v>
      </c>
      <c r="F229" s="4">
        <v>3</v>
      </c>
      <c r="G229"/>
      <c r="H229" s="4" t="s">
        <v>1909</v>
      </c>
      <c r="I229" s="4" t="s">
        <v>1897</v>
      </c>
    </row>
    <row r="230" spans="2:9" ht="15.6" x14ac:dyDescent="0.3">
      <c r="B230" s="4">
        <f t="shared" si="3"/>
        <v>227</v>
      </c>
      <c r="C230" s="5">
        <v>46222</v>
      </c>
      <c r="D230" s="8" t="s">
        <v>2442</v>
      </c>
      <c r="E230" s="10" t="str">
        <f>_xlfn.XLOOKUP(Table7912[[#This Row],[Malın kodu]],Filtrasiya!E:E,Filtrasiya!D:D,"xəta",0)</f>
        <v>Ştuser / 32</v>
      </c>
      <c r="F230" s="4">
        <v>3</v>
      </c>
      <c r="G230"/>
      <c r="H230" s="4" t="s">
        <v>1909</v>
      </c>
      <c r="I230" s="4" t="s">
        <v>1897</v>
      </c>
    </row>
    <row r="231" spans="2:9" ht="15.6" x14ac:dyDescent="0.3">
      <c r="B231" s="4">
        <f t="shared" si="3"/>
        <v>228</v>
      </c>
      <c r="C231" s="5">
        <v>46222</v>
      </c>
      <c r="D231" s="8" t="s">
        <v>2443</v>
      </c>
      <c r="E231" s="10" t="str">
        <f>_xlfn.XLOOKUP(Table7912[[#This Row],[Malın kodu]],Filtrasiya!E:E,Filtrasiya!D:D,"xəta",0)</f>
        <v>Künclük (uqolnik)</v>
      </c>
      <c r="F231" s="4">
        <v>8</v>
      </c>
      <c r="G231"/>
      <c r="H231" s="4" t="s">
        <v>1909</v>
      </c>
      <c r="I231" s="4" t="s">
        <v>1897</v>
      </c>
    </row>
    <row r="232" spans="2:9" ht="15.6" x14ac:dyDescent="0.3">
      <c r="B232" s="4">
        <f t="shared" si="3"/>
        <v>229</v>
      </c>
      <c r="C232" s="5">
        <v>46222</v>
      </c>
      <c r="D232" s="8" t="s">
        <v>2444</v>
      </c>
      <c r="E232" s="10" t="str">
        <f>_xlfn.XLOOKUP(Table7912[[#This Row],[Malın kodu]],Filtrasiya!E:E,Filtrasiya!D:D,"xəta",0)</f>
        <v>Ştuser / 19</v>
      </c>
      <c r="F232" s="4">
        <v>8</v>
      </c>
      <c r="G232"/>
      <c r="H232" s="4" t="s">
        <v>1909</v>
      </c>
      <c r="I232" s="4" t="s">
        <v>1897</v>
      </c>
    </row>
    <row r="233" spans="2:9" ht="15.6" x14ac:dyDescent="0.3">
      <c r="B233" s="4">
        <f t="shared" si="3"/>
        <v>230</v>
      </c>
      <c r="C233" s="5">
        <v>46222</v>
      </c>
      <c r="D233" s="8" t="s">
        <v>2445</v>
      </c>
      <c r="E233" s="10" t="str">
        <f>_xlfn.XLOOKUP(Table7912[[#This Row],[Malın kodu]],Filtrasiya!E:E,Filtrasiya!D:D,"xəta",0)</f>
        <v>R15-12 3609M</v>
      </c>
      <c r="F233" s="4">
        <v>165</v>
      </c>
      <c r="G233"/>
      <c r="H233" s="4" t="s">
        <v>1909</v>
      </c>
      <c r="I233" s="4" t="s">
        <v>1897</v>
      </c>
    </row>
    <row r="234" spans="2:9" ht="15.6" x14ac:dyDescent="0.3">
      <c r="B234" s="4">
        <f t="shared" si="3"/>
        <v>231</v>
      </c>
      <c r="C234" s="5">
        <v>46222</v>
      </c>
      <c r="D234" s="8" t="s">
        <v>2447</v>
      </c>
      <c r="E234" s="10" t="str">
        <f>_xlfn.XLOOKUP(Table7912[[#This Row],[Malın kodu]],Filtrasiya!E:E,Filtrasiya!D:D,"xəta",0)</f>
        <v>R15-12 2009M</v>
      </c>
      <c r="F234" s="4">
        <v>110</v>
      </c>
      <c r="G234"/>
      <c r="H234" s="4" t="s">
        <v>1909</v>
      </c>
      <c r="I234" s="4" t="s">
        <v>1897</v>
      </c>
    </row>
    <row r="235" spans="2:9" ht="15.6" x14ac:dyDescent="0.3">
      <c r="B235" s="4">
        <f t="shared" si="3"/>
        <v>232</v>
      </c>
      <c r="C235" s="5">
        <v>46222</v>
      </c>
      <c r="D235" s="8" t="s">
        <v>2448</v>
      </c>
      <c r="E235" s="10" t="str">
        <f>_xlfn.XLOOKUP(Table7912[[#This Row],[Malın kodu]],Filtrasiya!E:E,Filtrasiya!D:D,"xəta",0)</f>
        <v>R15-12 1159M</v>
      </c>
      <c r="F235" s="4">
        <v>80</v>
      </c>
      <c r="G235"/>
      <c r="H235" s="4" t="s">
        <v>1909</v>
      </c>
      <c r="I235" s="4" t="s">
        <v>1897</v>
      </c>
    </row>
    <row r="236" spans="2:9" ht="15.6" x14ac:dyDescent="0.3">
      <c r="B236" s="4">
        <f t="shared" si="3"/>
        <v>233</v>
      </c>
      <c r="C236" s="5">
        <v>46222</v>
      </c>
      <c r="D236" s="8" t="s">
        <v>2449</v>
      </c>
      <c r="E236" s="10" t="str">
        <f>_xlfn.XLOOKUP(Table7912[[#This Row],[Malın kodu]],Filtrasiya!E:E,Filtrasiya!D:D,"xəta",0)</f>
        <v>Boru / d 25 mm</v>
      </c>
      <c r="F236" s="4">
        <v>1.6</v>
      </c>
      <c r="G236"/>
      <c r="H236" s="4" t="s">
        <v>1909</v>
      </c>
      <c r="I236" s="4" t="s">
        <v>1897</v>
      </c>
    </row>
    <row r="237" spans="2:9" ht="15.6" x14ac:dyDescent="0.3">
      <c r="B237" s="4">
        <f t="shared" si="3"/>
        <v>234</v>
      </c>
      <c r="C237" s="5">
        <v>46222</v>
      </c>
      <c r="D237" s="8" t="s">
        <v>2450</v>
      </c>
      <c r="E237" s="10" t="str">
        <f>_xlfn.XLOOKUP(Table7912[[#This Row],[Malın kodu]],Filtrasiya!E:E,Filtrasiya!D:D,"xəta",0)</f>
        <v>S25 mma</v>
      </c>
      <c r="F237" s="4">
        <v>25</v>
      </c>
      <c r="G237"/>
      <c r="H237" s="4" t="s">
        <v>1909</v>
      </c>
      <c r="I237" s="4" t="s">
        <v>1897</v>
      </c>
    </row>
    <row r="238" spans="2:9" ht="15.6" x14ac:dyDescent="0.3">
      <c r="B238" s="4">
        <f t="shared" si="3"/>
        <v>235</v>
      </c>
      <c r="C238" s="5">
        <v>46222</v>
      </c>
      <c r="D238" s="8" t="s">
        <v>2451</v>
      </c>
      <c r="E238" s="10" t="str">
        <f>_xlfn.XLOOKUP(Table7912[[#This Row],[Malın kodu]],Filtrasiya!E:E,Filtrasiya!D:D,"xəta",0)</f>
        <v>Qayka / S25</v>
      </c>
      <c r="F238" s="4">
        <v>10</v>
      </c>
      <c r="G238"/>
      <c r="H238" s="4" t="s">
        <v>1909</v>
      </c>
      <c r="I238" s="4" t="s">
        <v>1897</v>
      </c>
    </row>
    <row r="239" spans="2:9" ht="15.6" x14ac:dyDescent="0.3">
      <c r="B239" s="4">
        <f t="shared" si="3"/>
        <v>236</v>
      </c>
      <c r="C239" s="5">
        <v>46222</v>
      </c>
      <c r="D239" s="8" t="s">
        <v>2452</v>
      </c>
      <c r="E239" s="10" t="str">
        <f>_xlfn.XLOOKUP(Table7912[[#This Row],[Malın kodu]],Filtrasiya!E:E,Filtrasiya!D:D,"xəta",0)</f>
        <v>L12</v>
      </c>
      <c r="F239" s="4">
        <v>12</v>
      </c>
      <c r="G239"/>
      <c r="H239" s="4" t="s">
        <v>1909</v>
      </c>
      <c r="I239" s="4" t="s">
        <v>1897</v>
      </c>
    </row>
    <row r="240" spans="2:9" ht="15.6" x14ac:dyDescent="0.3">
      <c r="B240" s="4">
        <f t="shared" si="3"/>
        <v>237</v>
      </c>
      <c r="C240" s="5">
        <v>46222</v>
      </c>
      <c r="D240" s="8" t="s">
        <v>2453</v>
      </c>
      <c r="E240" s="10" t="str">
        <f>_xlfn.XLOOKUP(Table7912[[#This Row],[Malın kodu]],Filtrasiya!E:E,Filtrasiya!D:D,"xəta",0)</f>
        <v>R15-12 1159M / 2-ci</v>
      </c>
      <c r="F240" s="4">
        <v>80</v>
      </c>
      <c r="G240"/>
      <c r="H240" s="4" t="s">
        <v>1909</v>
      </c>
      <c r="I240" s="4" t="s">
        <v>1897</v>
      </c>
    </row>
    <row r="241" spans="2:9" ht="15.6" x14ac:dyDescent="0.3">
      <c r="B241" s="4">
        <f t="shared" si="3"/>
        <v>238</v>
      </c>
      <c r="C241" s="5">
        <v>46223</v>
      </c>
      <c r="D241" s="8" t="s">
        <v>2454</v>
      </c>
      <c r="E241" s="10" t="str">
        <f>_xlfn.XLOOKUP(Table7912[[#This Row],[Malın kodu]],Filtrasiya!E:E,Filtrasiya!D:D,"xəta",0)</f>
        <v>Açar / qayka / 50 x 55</v>
      </c>
      <c r="F241" s="4">
        <v>2</v>
      </c>
      <c r="G241"/>
      <c r="H241" s="4" t="s">
        <v>1909</v>
      </c>
      <c r="I241" s="4" t="s">
        <v>1897</v>
      </c>
    </row>
    <row r="242" spans="2:9" x14ac:dyDescent="0.25">
      <c r="B242" s="4">
        <f t="shared" ref="B242:B245" si="4">ROW()-3</f>
        <v>239</v>
      </c>
      <c r="C242" s="5">
        <v>46183</v>
      </c>
      <c r="D242" s="8" t="s">
        <v>2599</v>
      </c>
      <c r="E242" s="10" t="str">
        <f>_xlfn.XLOOKUP(Table7912[[#This Row],[Malın kodu]],Filtrasiya!E:E,Filtrasiya!D:D,"xəta",0)</f>
        <v>Fırça / metal / 4 inch / laqonda üçün / saçaq</v>
      </c>
      <c r="F242" s="4">
        <v>3</v>
      </c>
      <c r="H242" s="4" t="s">
        <v>1909</v>
      </c>
      <c r="I242" s="4" t="s">
        <v>910</v>
      </c>
    </row>
    <row r="243" spans="2:9" x14ac:dyDescent="0.25">
      <c r="B243" s="4">
        <f t="shared" si="4"/>
        <v>240</v>
      </c>
      <c r="C243" s="5">
        <v>46181</v>
      </c>
      <c r="D243" s="8" t="s">
        <v>2600</v>
      </c>
      <c r="E243" s="10" t="str">
        <f>_xlfn.XLOOKUP(Table7912[[#This Row],[Malın kodu]],Filtrasiya!E:E,Filtrasiya!D:D,"xəta",0)</f>
        <v>Metrə / 5m / rezin N89</v>
      </c>
      <c r="F243" s="4">
        <v>3</v>
      </c>
      <c r="H243" s="4" t="s">
        <v>1909</v>
      </c>
      <c r="I243" s="4" t="s">
        <v>910</v>
      </c>
    </row>
    <row r="244" spans="2:9" x14ac:dyDescent="0.25">
      <c r="B244" s="4">
        <f t="shared" si="4"/>
        <v>241</v>
      </c>
      <c r="C244" s="5">
        <v>46181</v>
      </c>
      <c r="D244" s="8" t="s">
        <v>2601</v>
      </c>
      <c r="E244" s="10" t="str">
        <f>_xlfn.XLOOKUP(Table7912[[#This Row],[Malın kodu]],Filtrasiya!E:E,Filtrasiya!D:D,"xəta",0)</f>
        <v>Burğu / 8 x 210 mm</v>
      </c>
      <c r="F244" s="4">
        <v>1</v>
      </c>
      <c r="H244" s="4" t="s">
        <v>1909</v>
      </c>
      <c r="I244" s="4" t="s">
        <v>910</v>
      </c>
    </row>
    <row r="245" spans="2:9" x14ac:dyDescent="0.25">
      <c r="B245" s="4">
        <f t="shared" si="4"/>
        <v>242</v>
      </c>
      <c r="C245" s="5">
        <v>46214</v>
      </c>
      <c r="D245" s="8" t="s">
        <v>2602</v>
      </c>
      <c r="E245" s="10" t="str">
        <f>_xlfn.XLOOKUP(Table7912[[#This Row],[Malın kodu]],Filtrasiya!E:E,Filtrasiya!D:D,"xəta",0)</f>
        <v>Bolt-qayka / JCB üçün</v>
      </c>
      <c r="F245" s="4">
        <v>6</v>
      </c>
      <c r="H245" s="4" t="s">
        <v>1909</v>
      </c>
      <c r="I245" s="4" t="s">
        <v>910</v>
      </c>
    </row>
    <row r="246" spans="2:9" x14ac:dyDescent="0.25">
      <c r="B246" s="4">
        <f>ROW()-3</f>
        <v>243</v>
      </c>
      <c r="C246" s="5">
        <v>46223</v>
      </c>
      <c r="D246" s="8" t="s">
        <v>2604</v>
      </c>
      <c r="E246" s="10" t="str">
        <f>_xlfn.XLOOKUP(Table7912[[#This Row],[Malın kodu]],Filtrasiya!E:E,Filtrasiya!D:D,"xəta",0)</f>
        <v>Yağ / hidravlik / HLP68</v>
      </c>
      <c r="F246" s="4">
        <v>390</v>
      </c>
      <c r="H246" s="4" t="s">
        <v>1909</v>
      </c>
      <c r="I246" s="4" t="s">
        <v>910</v>
      </c>
    </row>
    <row r="247" spans="2:9" x14ac:dyDescent="0.25">
      <c r="B247" s="4">
        <f t="shared" ref="B247:B252" si="5">ROW()-3</f>
        <v>244</v>
      </c>
      <c r="C247" s="5">
        <v>46224</v>
      </c>
      <c r="D247" s="8" t="s">
        <v>2612</v>
      </c>
      <c r="E247" s="10" t="str">
        <f>_xlfn.XLOOKUP(Table7912[[#This Row],[Malın kodu]],Filtrasiya!E:E,Filtrasiya!D:D,"xəta",0)</f>
        <v>Klema başlığı / T038</v>
      </c>
      <c r="F247" s="4">
        <v>2</v>
      </c>
      <c r="H247" s="4" t="s">
        <v>1909</v>
      </c>
      <c r="I247" s="4" t="s">
        <v>910</v>
      </c>
    </row>
    <row r="248" spans="2:9" x14ac:dyDescent="0.25">
      <c r="B248" s="4">
        <f t="shared" si="5"/>
        <v>245</v>
      </c>
      <c r="C248" s="5">
        <v>46225</v>
      </c>
      <c r="D248" s="8" t="s">
        <v>2613</v>
      </c>
      <c r="E248" s="10" t="str">
        <f>_xlfn.XLOOKUP(Table7912[[#This Row],[Malın kodu]],Filtrasiya!E:E,Filtrasiya!D:D,"xəta",0)</f>
        <v>Əks klapan / hidravlik</v>
      </c>
      <c r="F248" s="4">
        <v>1</v>
      </c>
      <c r="H248" s="4" t="s">
        <v>1909</v>
      </c>
      <c r="I248" s="4" t="s">
        <v>910</v>
      </c>
    </row>
    <row r="249" spans="2:9" x14ac:dyDescent="0.25">
      <c r="B249" s="4">
        <f t="shared" si="5"/>
        <v>246</v>
      </c>
      <c r="C249" s="5">
        <v>46225</v>
      </c>
      <c r="D249" s="8" t="s">
        <v>2614</v>
      </c>
      <c r="E249" s="10" t="str">
        <f>_xlfn.XLOOKUP(Table7912[[#This Row],[Malın kodu]],Filtrasiya!E:E,Filtrasiya!D:D,"xəta",0)</f>
        <v>Filtr / hidravlik</v>
      </c>
      <c r="F249" s="4">
        <v>1</v>
      </c>
      <c r="H249" s="4" t="s">
        <v>1909</v>
      </c>
      <c r="I249" s="4" t="s">
        <v>910</v>
      </c>
    </row>
    <row r="250" spans="2:9" x14ac:dyDescent="0.25">
      <c r="B250" s="4">
        <f t="shared" si="5"/>
        <v>247</v>
      </c>
      <c r="C250" s="5">
        <v>46225</v>
      </c>
      <c r="D250" s="8" t="s">
        <v>2615</v>
      </c>
      <c r="E250" s="10" t="str">
        <f>_xlfn.XLOOKUP(Table7912[[#This Row],[Malın kodu]],Filtrasiya!E:E,Filtrasiya!D:D,"xəta",0)</f>
        <v>Pəstah / kauçuk</v>
      </c>
      <c r="F250" s="4">
        <v>1</v>
      </c>
      <c r="H250" s="4" t="s">
        <v>1909</v>
      </c>
      <c r="I250" s="4" t="s">
        <v>910</v>
      </c>
    </row>
    <row r="251" spans="2:9" x14ac:dyDescent="0.25">
      <c r="B251" s="4">
        <f t="shared" si="5"/>
        <v>248</v>
      </c>
      <c r="C251" s="5">
        <v>46225</v>
      </c>
      <c r="D251" s="8" t="s">
        <v>2616</v>
      </c>
      <c r="E251" s="10" t="str">
        <f>_xlfn.XLOOKUP(Table7912[[#This Row],[Malın kodu]],Filtrasiya!E:E,Filtrasiya!D:D,"xəta",0)</f>
        <v>Araqatı (salnik)</v>
      </c>
      <c r="F251" s="4">
        <v>1</v>
      </c>
      <c r="H251" s="4" t="s">
        <v>1909</v>
      </c>
      <c r="I251" s="4" t="s">
        <v>910</v>
      </c>
    </row>
    <row r="252" spans="2:9" x14ac:dyDescent="0.25">
      <c r="B252" s="4">
        <f t="shared" si="5"/>
        <v>249</v>
      </c>
      <c r="C252" s="5">
        <v>46225</v>
      </c>
      <c r="D252" s="8" t="s">
        <v>2617</v>
      </c>
      <c r="E252" s="10" t="str">
        <f>_xlfn.XLOOKUP(Table7912[[#This Row],[Malın kodu]],Filtrasiya!E:E,Filtrasiya!D:D,"xəta",0)</f>
        <v>Profil / metal / 2x4mm</v>
      </c>
      <c r="F252" s="4">
        <v>2</v>
      </c>
      <c r="H252" s="4" t="s">
        <v>1909</v>
      </c>
      <c r="I252" s="4" t="s">
        <v>910</v>
      </c>
    </row>
    <row r="253" spans="2:9" x14ac:dyDescent="0.25">
      <c r="B253" s="4">
        <f t="shared" ref="B253:B256" si="6">ROW()-3</f>
        <v>250</v>
      </c>
      <c r="C253" s="5">
        <v>46181</v>
      </c>
      <c r="D253" s="8" t="s">
        <v>2622</v>
      </c>
      <c r="E253" s="10" t="str">
        <f>_xlfn.XLOOKUP(Table7912[[#This Row],[Malın kodu]],Filtrasiya!E:E,Filtrasiya!D:D,"xəta",0)</f>
        <v>Armatur / F10, L-12, A500</v>
      </c>
      <c r="F253" s="4">
        <v>0.5</v>
      </c>
      <c r="H253" s="4" t="s">
        <v>1909</v>
      </c>
      <c r="I253" s="4" t="s">
        <v>910</v>
      </c>
    </row>
    <row r="254" spans="2:9" x14ac:dyDescent="0.25">
      <c r="B254" s="4">
        <f t="shared" si="6"/>
        <v>251</v>
      </c>
      <c r="C254" s="5">
        <v>46181</v>
      </c>
      <c r="D254" s="8" t="s">
        <v>2623</v>
      </c>
      <c r="E254" s="10" t="str">
        <f>_xlfn.XLOOKUP(Table7912[[#This Row],[Malın kodu]],Filtrasiya!E:E,Filtrasiya!D:D,"xəta",0)</f>
        <v>Armatur / F14, L-12, A500</v>
      </c>
      <c r="F254" s="4">
        <v>5.9649999999999999</v>
      </c>
      <c r="H254" s="4" t="s">
        <v>1909</v>
      </c>
      <c r="I254" s="4" t="s">
        <v>910</v>
      </c>
    </row>
    <row r="255" spans="2:9" x14ac:dyDescent="0.25">
      <c r="B255" s="4">
        <f t="shared" si="6"/>
        <v>252</v>
      </c>
      <c r="C255" s="5">
        <v>46181</v>
      </c>
      <c r="D255" s="8" t="s">
        <v>2624</v>
      </c>
      <c r="E255" s="10" t="str">
        <f>_xlfn.XLOOKUP(Table7912[[#This Row],[Malın kodu]],Filtrasiya!E:E,Filtrasiya!D:D,"xəta",0)</f>
        <v>Armatur / F16, L-12, A500</v>
      </c>
      <c r="F255" s="4">
        <v>9.9550000000000001</v>
      </c>
      <c r="H255" s="4" t="s">
        <v>1909</v>
      </c>
      <c r="I255" s="4" t="s">
        <v>910</v>
      </c>
    </row>
    <row r="256" spans="2:9" x14ac:dyDescent="0.25">
      <c r="B256" s="4">
        <f t="shared" si="6"/>
        <v>253</v>
      </c>
      <c r="C256" s="5">
        <v>46181</v>
      </c>
      <c r="D256" s="8" t="s">
        <v>2625</v>
      </c>
      <c r="E256" s="10" t="str">
        <f>_xlfn.XLOOKUP(Table7912[[#This Row],[Malın kodu]],Filtrasiya!E:E,Filtrasiya!D:D,"xəta",0)</f>
        <v>Armatur / F20, L-12, A500</v>
      </c>
      <c r="F256" s="4">
        <v>6.48</v>
      </c>
      <c r="H256" s="4" t="s">
        <v>1909</v>
      </c>
      <c r="I256" s="4" t="s">
        <v>910</v>
      </c>
    </row>
    <row r="257" spans="2:9" x14ac:dyDescent="0.25">
      <c r="B257" s="4">
        <f t="shared" ref="B257:B258" si="7">ROW()-3</f>
        <v>254</v>
      </c>
      <c r="C257" s="5">
        <v>46223</v>
      </c>
      <c r="D257" s="8" t="s">
        <v>2631</v>
      </c>
      <c r="E257" s="10" t="str">
        <f>_xlfn.XLOOKUP(Table7912[[#This Row],[Malın kodu]],Filtrasiya!E:E,Filtrasiya!D:D,"xəta",0)</f>
        <v>Metrik / TE-O.B</v>
      </c>
      <c r="F257" s="4">
        <v>7</v>
      </c>
      <c r="H257" s="4" t="s">
        <v>1909</v>
      </c>
      <c r="I257" s="4" t="s">
        <v>1897</v>
      </c>
    </row>
    <row r="258" spans="2:9" x14ac:dyDescent="0.25">
      <c r="B258" s="4">
        <f t="shared" si="7"/>
        <v>255</v>
      </c>
      <c r="C258" s="5">
        <v>46223</v>
      </c>
      <c r="D258" s="8" t="s">
        <v>2632</v>
      </c>
      <c r="E258" s="10" t="str">
        <f>_xlfn.XLOOKUP(Table7912[[#This Row],[Malın kodu]],Filtrasiya!E:E,Filtrasiya!D:D,"xəta",0)</f>
        <v>Metrik / BSP</v>
      </c>
      <c r="F258" s="4">
        <v>1</v>
      </c>
      <c r="H258" s="4" t="s">
        <v>1909</v>
      </c>
      <c r="I258" s="4" t="s">
        <v>1897</v>
      </c>
    </row>
    <row r="259" spans="2:9" x14ac:dyDescent="0.25">
      <c r="B259" s="4">
        <f>ROW()-3</f>
        <v>256</v>
      </c>
      <c r="C259" s="5">
        <v>46198</v>
      </c>
      <c r="D259" s="8" t="s">
        <v>1539</v>
      </c>
      <c r="E259" s="10" t="str">
        <f>_xlfn.XLOOKUP(Table7912[[#This Row],[Malın kodu]],Filtrasiya!E:E,Filtrasiya!D:D,"xəta",0)</f>
        <v>Generator / 7.5 kvt / benzin / 220-230V / "KEMAN" / Çin istehsalı</v>
      </c>
      <c r="F259" s="4">
        <v>1</v>
      </c>
      <c r="H259" s="4" t="s">
        <v>1901</v>
      </c>
      <c r="I259" s="4" t="s">
        <v>915</v>
      </c>
    </row>
  </sheetData>
  <phoneticPr fontId="3" type="noConversion"/>
  <dataValidations count="3">
    <dataValidation type="list" allowBlank="1" showInputMessage="1" showErrorMessage="1" sqref="D50:D52 D61 D80:D81 D84:D85 D136:D137 D156:D172 D4:D38 D259" xr:uid="{FC735018-87ED-4755-B264-4F0C39DE39D9}">
      <formula1>INDIRECT("Table4[Malın kodu]")</formula1>
    </dataValidation>
    <dataValidation type="list" allowBlank="1" showInputMessage="1" showErrorMessage="1" sqref="H4:H172" xr:uid="{C98EE5C9-0BB1-4FAF-A71D-25AF9FCE0371}">
      <formula1>"Əvvələ qalıq, Yerdəyişmə, Satınalma, Sahəyə, Silinmə"</formula1>
    </dataValidation>
    <dataValidation type="list" allowBlank="1" showInputMessage="1" showErrorMessage="1" sqref="I4:I172" xr:uid="{A409D15A-7B17-483C-906D-E3929499B2BD}">
      <formula1>INDIRECT("Table6[Anbar / Şirkət]")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1255-9D42-43A6-AAD7-14D8D6493727}">
  <sheetPr>
    <tabColor rgb="FFFF0000"/>
  </sheetPr>
  <dimension ref="B2:E1233"/>
  <sheetViews>
    <sheetView topLeftCell="C1127" workbookViewId="0">
      <selection activeCell="C1233" sqref="C1233"/>
    </sheetView>
  </sheetViews>
  <sheetFormatPr defaultColWidth="9.109375" defaultRowHeight="15" x14ac:dyDescent="0.3"/>
  <cols>
    <col min="1" max="1" width="9.109375" style="4"/>
    <col min="2" max="2" width="5.88671875" style="4" customWidth="1"/>
    <col min="3" max="3" width="73.33203125" style="10" customWidth="1"/>
    <col min="4" max="4" width="22.6640625" style="4" customWidth="1"/>
    <col min="5" max="5" width="15.109375" style="4" customWidth="1"/>
    <col min="6" max="16384" width="9.109375" style="4"/>
  </cols>
  <sheetData>
    <row r="2" spans="2:5" ht="15.6" x14ac:dyDescent="0.3">
      <c r="B2" s="2" t="s">
        <v>0</v>
      </c>
      <c r="C2" s="9" t="s">
        <v>1</v>
      </c>
      <c r="D2" s="2" t="s">
        <v>2</v>
      </c>
      <c r="E2" s="2" t="s">
        <v>3</v>
      </c>
    </row>
    <row r="3" spans="2:5" x14ac:dyDescent="0.3">
      <c r="B3" s="4">
        <f t="shared" ref="B3:B66" si="0">ROW()-2</f>
        <v>1</v>
      </c>
      <c r="C3" s="10" t="s">
        <v>4</v>
      </c>
      <c r="D3" s="4" t="str">
        <f t="shared" ref="D3:D66" si="1">TEXT(ROW()-2,"0000000")</f>
        <v>0000001</v>
      </c>
      <c r="E3" s="4">
        <f>COUNTIF(Table1[Malın adı],Table1[[#This Row],[Malın adı]])</f>
        <v>1</v>
      </c>
    </row>
    <row r="4" spans="2:5" x14ac:dyDescent="0.3">
      <c r="B4" s="4">
        <f t="shared" si="0"/>
        <v>2</v>
      </c>
      <c r="C4" s="10" t="s">
        <v>5</v>
      </c>
      <c r="D4" s="4" t="str">
        <f t="shared" si="1"/>
        <v>0000002</v>
      </c>
      <c r="E4" s="4">
        <f>COUNTIF(Table1[Malın adı],Table1[[#This Row],[Malın adı]])</f>
        <v>1</v>
      </c>
    </row>
    <row r="5" spans="2:5" x14ac:dyDescent="0.3">
      <c r="B5" s="4">
        <f t="shared" si="0"/>
        <v>3</v>
      </c>
      <c r="C5" s="10" t="s">
        <v>6</v>
      </c>
      <c r="D5" s="4" t="str">
        <f t="shared" si="1"/>
        <v>0000003</v>
      </c>
      <c r="E5" s="4">
        <f>COUNTIF(Table1[Malın adı],Table1[[#This Row],[Malın adı]])</f>
        <v>1</v>
      </c>
    </row>
    <row r="6" spans="2:5" x14ac:dyDescent="0.3">
      <c r="B6" s="4">
        <f t="shared" si="0"/>
        <v>4</v>
      </c>
      <c r="C6" s="10" t="s">
        <v>7</v>
      </c>
      <c r="D6" s="4" t="str">
        <f t="shared" si="1"/>
        <v>0000004</v>
      </c>
      <c r="E6" s="4">
        <f>COUNTIF(Table1[Malın adı],Table1[[#This Row],[Malın adı]])</f>
        <v>1</v>
      </c>
    </row>
    <row r="7" spans="2:5" x14ac:dyDescent="0.3">
      <c r="B7" s="4">
        <f t="shared" si="0"/>
        <v>5</v>
      </c>
      <c r="C7" s="10" t="s">
        <v>2455</v>
      </c>
      <c r="D7" s="4" t="str">
        <f t="shared" si="1"/>
        <v>0000005</v>
      </c>
      <c r="E7" s="4">
        <f>COUNTIF(Table1[Malın adı],Table1[[#This Row],[Malın adı]])</f>
        <v>1</v>
      </c>
    </row>
    <row r="8" spans="2:5" x14ac:dyDescent="0.3">
      <c r="B8" s="4">
        <f t="shared" si="0"/>
        <v>6</v>
      </c>
      <c r="C8" s="10" t="s">
        <v>8</v>
      </c>
      <c r="D8" s="4" t="str">
        <f t="shared" si="1"/>
        <v>0000006</v>
      </c>
      <c r="E8" s="4">
        <f>COUNTIF(Table1[Malın adı],Table1[[#This Row],[Malın adı]])</f>
        <v>1</v>
      </c>
    </row>
    <row r="9" spans="2:5" x14ac:dyDescent="0.3">
      <c r="B9" s="4">
        <f t="shared" si="0"/>
        <v>7</v>
      </c>
      <c r="C9" s="10" t="s">
        <v>9</v>
      </c>
      <c r="D9" s="4" t="str">
        <f t="shared" si="1"/>
        <v>0000007</v>
      </c>
      <c r="E9" s="4">
        <f>COUNTIF(Table1[Malın adı],Table1[[#This Row],[Malın adı]])</f>
        <v>1</v>
      </c>
    </row>
    <row r="10" spans="2:5" x14ac:dyDescent="0.3">
      <c r="B10" s="4">
        <f t="shared" si="0"/>
        <v>8</v>
      </c>
      <c r="C10" s="10" t="s">
        <v>10</v>
      </c>
      <c r="D10" s="4" t="str">
        <f t="shared" si="1"/>
        <v>0000008</v>
      </c>
      <c r="E10" s="4">
        <f>COUNTIF(Table1[Malın adı],Table1[[#This Row],[Malın adı]])</f>
        <v>1</v>
      </c>
    </row>
    <row r="11" spans="2:5" x14ac:dyDescent="0.3">
      <c r="B11" s="4">
        <f t="shared" si="0"/>
        <v>9</v>
      </c>
      <c r="C11" s="10" t="s">
        <v>2456</v>
      </c>
      <c r="D11" s="4" t="str">
        <f t="shared" si="1"/>
        <v>0000009</v>
      </c>
      <c r="E11" s="4">
        <f>COUNTIF(Table1[Malın adı],Table1[[#This Row],[Malın adı]])</f>
        <v>1</v>
      </c>
    </row>
    <row r="12" spans="2:5" x14ac:dyDescent="0.3">
      <c r="B12" s="4">
        <f t="shared" si="0"/>
        <v>10</v>
      </c>
      <c r="C12" s="10" t="s">
        <v>11</v>
      </c>
      <c r="D12" s="4" t="str">
        <f t="shared" si="1"/>
        <v>0000010</v>
      </c>
      <c r="E12" s="4">
        <f>COUNTIF(Table1[Malın adı],Table1[[#This Row],[Malın adı]])</f>
        <v>1</v>
      </c>
    </row>
    <row r="13" spans="2:5" x14ac:dyDescent="0.3">
      <c r="B13" s="4">
        <f t="shared" si="0"/>
        <v>11</v>
      </c>
      <c r="C13" s="10" t="s">
        <v>12</v>
      </c>
      <c r="D13" s="4" t="str">
        <f t="shared" si="1"/>
        <v>0000011</v>
      </c>
      <c r="E13" s="4">
        <f>COUNTIF(Table1[Malın adı],Table1[[#This Row],[Malın adı]])</f>
        <v>1</v>
      </c>
    </row>
    <row r="14" spans="2:5" x14ac:dyDescent="0.3">
      <c r="B14" s="4">
        <f t="shared" si="0"/>
        <v>12</v>
      </c>
      <c r="C14" s="10" t="s">
        <v>13</v>
      </c>
      <c r="D14" s="4" t="str">
        <f t="shared" si="1"/>
        <v>0000012</v>
      </c>
      <c r="E14" s="4">
        <f>COUNTIF(Table1[Malın adı],Table1[[#This Row],[Malın adı]])</f>
        <v>1</v>
      </c>
    </row>
    <row r="15" spans="2:5" x14ac:dyDescent="0.3">
      <c r="B15" s="4">
        <f t="shared" si="0"/>
        <v>13</v>
      </c>
      <c r="C15" s="10" t="s">
        <v>14</v>
      </c>
      <c r="D15" s="4" t="str">
        <f t="shared" si="1"/>
        <v>0000013</v>
      </c>
      <c r="E15" s="4">
        <f>COUNTIF(Table1[Malın adı],Table1[[#This Row],[Malın adı]])</f>
        <v>1</v>
      </c>
    </row>
    <row r="16" spans="2:5" x14ac:dyDescent="0.3">
      <c r="B16" s="4">
        <f t="shared" si="0"/>
        <v>14</v>
      </c>
      <c r="C16" s="10" t="s">
        <v>15</v>
      </c>
      <c r="D16" s="4" t="str">
        <f t="shared" si="1"/>
        <v>0000014</v>
      </c>
      <c r="E16" s="4">
        <f>COUNTIF(Table1[Malın adı],Table1[[#This Row],[Malın adı]])</f>
        <v>1</v>
      </c>
    </row>
    <row r="17" spans="2:5" x14ac:dyDescent="0.3">
      <c r="B17" s="4">
        <f t="shared" si="0"/>
        <v>15</v>
      </c>
      <c r="C17" s="10" t="s">
        <v>16</v>
      </c>
      <c r="D17" s="4" t="str">
        <f t="shared" si="1"/>
        <v>0000015</v>
      </c>
      <c r="E17" s="4">
        <f>COUNTIF(Table1[Malın adı],Table1[[#This Row],[Malın adı]])</f>
        <v>1</v>
      </c>
    </row>
    <row r="18" spans="2:5" x14ac:dyDescent="0.3">
      <c r="B18" s="4">
        <f t="shared" si="0"/>
        <v>16</v>
      </c>
      <c r="C18" s="10" t="s">
        <v>17</v>
      </c>
      <c r="D18" s="4" t="str">
        <f t="shared" si="1"/>
        <v>0000016</v>
      </c>
      <c r="E18" s="4">
        <f>COUNTIF(Table1[Malın adı],Table1[[#This Row],[Malın adı]])</f>
        <v>1</v>
      </c>
    </row>
    <row r="19" spans="2:5" x14ac:dyDescent="0.3">
      <c r="B19" s="4">
        <f t="shared" si="0"/>
        <v>17</v>
      </c>
      <c r="C19" s="10" t="s">
        <v>18</v>
      </c>
      <c r="D19" s="4" t="str">
        <f t="shared" si="1"/>
        <v>0000017</v>
      </c>
      <c r="E19" s="4">
        <f>COUNTIF(Table1[Malın adı],Table1[[#This Row],[Malın adı]])</f>
        <v>1</v>
      </c>
    </row>
    <row r="20" spans="2:5" x14ac:dyDescent="0.3">
      <c r="B20" s="4">
        <f t="shared" si="0"/>
        <v>18</v>
      </c>
      <c r="C20" s="10" t="s">
        <v>19</v>
      </c>
      <c r="D20" s="4" t="str">
        <f t="shared" si="1"/>
        <v>0000018</v>
      </c>
      <c r="E20" s="4">
        <f>COUNTIF(Table1[Malın adı],Table1[[#This Row],[Malın adı]])</f>
        <v>1</v>
      </c>
    </row>
    <row r="21" spans="2:5" x14ac:dyDescent="0.3">
      <c r="B21" s="4">
        <f t="shared" si="0"/>
        <v>19</v>
      </c>
      <c r="C21" s="10" t="s">
        <v>20</v>
      </c>
      <c r="D21" s="4" t="str">
        <f t="shared" si="1"/>
        <v>0000019</v>
      </c>
      <c r="E21" s="4">
        <f>COUNTIF(Table1[Malın adı],Table1[[#This Row],[Malın adı]])</f>
        <v>1</v>
      </c>
    </row>
    <row r="22" spans="2:5" x14ac:dyDescent="0.3">
      <c r="B22" s="4">
        <f t="shared" si="0"/>
        <v>20</v>
      </c>
      <c r="C22" s="10" t="s">
        <v>21</v>
      </c>
      <c r="D22" s="4" t="str">
        <f t="shared" si="1"/>
        <v>0000020</v>
      </c>
      <c r="E22" s="4">
        <f>COUNTIF(Table1[Malın adı],Table1[[#This Row],[Malın adı]])</f>
        <v>1</v>
      </c>
    </row>
    <row r="23" spans="2:5" x14ac:dyDescent="0.3">
      <c r="B23" s="4">
        <f t="shared" si="0"/>
        <v>21</v>
      </c>
      <c r="C23" s="10" t="s">
        <v>22</v>
      </c>
      <c r="D23" s="4" t="str">
        <f t="shared" si="1"/>
        <v>0000021</v>
      </c>
      <c r="E23" s="4">
        <f>COUNTIF(Table1[Malın adı],Table1[[#This Row],[Malın adı]])</f>
        <v>1</v>
      </c>
    </row>
    <row r="24" spans="2:5" x14ac:dyDescent="0.3">
      <c r="B24" s="4">
        <f t="shared" si="0"/>
        <v>22</v>
      </c>
      <c r="C24" s="10" t="s">
        <v>23</v>
      </c>
      <c r="D24" s="4" t="str">
        <f t="shared" si="1"/>
        <v>0000022</v>
      </c>
      <c r="E24" s="4">
        <f>COUNTIF(Table1[Malın adı],Table1[[#This Row],[Malın adı]])</f>
        <v>1</v>
      </c>
    </row>
    <row r="25" spans="2:5" x14ac:dyDescent="0.3">
      <c r="B25" s="4">
        <f t="shared" si="0"/>
        <v>23</v>
      </c>
      <c r="C25" s="10" t="s">
        <v>24</v>
      </c>
      <c r="D25" s="4" t="str">
        <f t="shared" si="1"/>
        <v>0000023</v>
      </c>
      <c r="E25" s="4">
        <f>COUNTIF(Table1[Malın adı],Table1[[#This Row],[Malın adı]])</f>
        <v>1</v>
      </c>
    </row>
    <row r="26" spans="2:5" x14ac:dyDescent="0.3">
      <c r="B26" s="4">
        <f t="shared" si="0"/>
        <v>24</v>
      </c>
      <c r="C26" s="10" t="s">
        <v>25</v>
      </c>
      <c r="D26" s="4" t="str">
        <f t="shared" si="1"/>
        <v>0000024</v>
      </c>
      <c r="E26" s="4">
        <f>COUNTIF(Table1[Malın adı],Table1[[#This Row],[Malın adı]])</f>
        <v>1</v>
      </c>
    </row>
    <row r="27" spans="2:5" x14ac:dyDescent="0.3">
      <c r="B27" s="4">
        <f t="shared" si="0"/>
        <v>25</v>
      </c>
      <c r="C27" s="10" t="s">
        <v>26</v>
      </c>
      <c r="D27" s="4" t="str">
        <f t="shared" si="1"/>
        <v>0000025</v>
      </c>
      <c r="E27" s="4">
        <f>COUNTIF(Table1[Malın adı],Table1[[#This Row],[Malın adı]])</f>
        <v>1</v>
      </c>
    </row>
    <row r="28" spans="2:5" x14ac:dyDescent="0.3">
      <c r="B28" s="4">
        <f t="shared" si="0"/>
        <v>26</v>
      </c>
      <c r="C28" s="10" t="s">
        <v>27</v>
      </c>
      <c r="D28" s="4" t="str">
        <f t="shared" si="1"/>
        <v>0000026</v>
      </c>
      <c r="E28" s="4">
        <f>COUNTIF(Table1[Malın adı],Table1[[#This Row],[Malın adı]])</f>
        <v>1</v>
      </c>
    </row>
    <row r="29" spans="2:5" x14ac:dyDescent="0.3">
      <c r="B29" s="4">
        <f t="shared" si="0"/>
        <v>27</v>
      </c>
      <c r="C29" s="10" t="s">
        <v>28</v>
      </c>
      <c r="D29" s="4" t="str">
        <f t="shared" si="1"/>
        <v>0000027</v>
      </c>
      <c r="E29" s="4">
        <f>COUNTIF(Table1[Malın adı],Table1[[#This Row],[Malın adı]])</f>
        <v>1</v>
      </c>
    </row>
    <row r="30" spans="2:5" x14ac:dyDescent="0.3">
      <c r="B30" s="4">
        <f t="shared" si="0"/>
        <v>28</v>
      </c>
      <c r="C30" s="10" t="s">
        <v>29</v>
      </c>
      <c r="D30" s="4" t="str">
        <f t="shared" si="1"/>
        <v>0000028</v>
      </c>
      <c r="E30" s="4">
        <f>COUNTIF(Table1[Malın adı],Table1[[#This Row],[Malın adı]])</f>
        <v>1</v>
      </c>
    </row>
    <row r="31" spans="2:5" x14ac:dyDescent="0.3">
      <c r="B31" s="4">
        <f t="shared" si="0"/>
        <v>29</v>
      </c>
      <c r="C31" s="10" t="s">
        <v>30</v>
      </c>
      <c r="D31" s="4" t="str">
        <f t="shared" si="1"/>
        <v>0000029</v>
      </c>
      <c r="E31" s="4">
        <f>COUNTIF(Table1[Malın adı],Table1[[#This Row],[Malın adı]])</f>
        <v>1</v>
      </c>
    </row>
    <row r="32" spans="2:5" x14ac:dyDescent="0.3">
      <c r="B32" s="4">
        <f t="shared" si="0"/>
        <v>30</v>
      </c>
      <c r="C32" s="10" t="s">
        <v>31</v>
      </c>
      <c r="D32" s="4" t="str">
        <f t="shared" si="1"/>
        <v>0000030</v>
      </c>
      <c r="E32" s="4">
        <f>COUNTIF(Table1[Malın adı],Table1[[#This Row],[Malın adı]])</f>
        <v>1</v>
      </c>
    </row>
    <row r="33" spans="2:5" x14ac:dyDescent="0.3">
      <c r="B33" s="4">
        <f t="shared" si="0"/>
        <v>31</v>
      </c>
      <c r="C33" s="10" t="s">
        <v>32</v>
      </c>
      <c r="D33" s="4" t="str">
        <f t="shared" si="1"/>
        <v>0000031</v>
      </c>
      <c r="E33" s="4">
        <f>COUNTIF(Table1[Malın adı],Table1[[#This Row],[Malın adı]])</f>
        <v>1</v>
      </c>
    </row>
    <row r="34" spans="2:5" x14ac:dyDescent="0.3">
      <c r="B34" s="4">
        <f t="shared" si="0"/>
        <v>32</v>
      </c>
      <c r="C34" s="10" t="s">
        <v>33</v>
      </c>
      <c r="D34" s="4" t="str">
        <f t="shared" si="1"/>
        <v>0000032</v>
      </c>
      <c r="E34" s="4">
        <f>COUNTIF(Table1[Malın adı],Table1[[#This Row],[Malın adı]])</f>
        <v>1</v>
      </c>
    </row>
    <row r="35" spans="2:5" x14ac:dyDescent="0.3">
      <c r="B35" s="4">
        <f t="shared" si="0"/>
        <v>33</v>
      </c>
      <c r="C35" s="10" t="s">
        <v>34</v>
      </c>
      <c r="D35" s="4" t="str">
        <f t="shared" si="1"/>
        <v>0000033</v>
      </c>
      <c r="E35" s="4">
        <f>COUNTIF(Table1[Malın adı],Table1[[#This Row],[Malın adı]])</f>
        <v>1</v>
      </c>
    </row>
    <row r="36" spans="2:5" x14ac:dyDescent="0.3">
      <c r="B36" s="4">
        <f t="shared" si="0"/>
        <v>34</v>
      </c>
      <c r="C36" s="10" t="s">
        <v>35</v>
      </c>
      <c r="D36" s="4" t="str">
        <f t="shared" si="1"/>
        <v>0000034</v>
      </c>
      <c r="E36" s="4">
        <f>COUNTIF(Table1[Malın adı],Table1[[#This Row],[Malın adı]])</f>
        <v>1</v>
      </c>
    </row>
    <row r="37" spans="2:5" x14ac:dyDescent="0.3">
      <c r="B37" s="4">
        <f t="shared" si="0"/>
        <v>35</v>
      </c>
      <c r="C37" s="10" t="s">
        <v>36</v>
      </c>
      <c r="D37" s="4" t="str">
        <f t="shared" si="1"/>
        <v>0000035</v>
      </c>
      <c r="E37" s="4">
        <f>COUNTIF(Table1[Malın adı],Table1[[#This Row],[Malın adı]])</f>
        <v>1</v>
      </c>
    </row>
    <row r="38" spans="2:5" x14ac:dyDescent="0.3">
      <c r="B38" s="4">
        <f t="shared" si="0"/>
        <v>36</v>
      </c>
      <c r="C38" s="10" t="s">
        <v>37</v>
      </c>
      <c r="D38" s="4" t="str">
        <f t="shared" si="1"/>
        <v>0000036</v>
      </c>
      <c r="E38" s="4">
        <f>COUNTIF(Table1[Malın adı],Table1[[#This Row],[Malın adı]])</f>
        <v>1</v>
      </c>
    </row>
    <row r="39" spans="2:5" x14ac:dyDescent="0.3">
      <c r="B39" s="4">
        <f t="shared" si="0"/>
        <v>37</v>
      </c>
      <c r="C39" s="10" t="s">
        <v>38</v>
      </c>
      <c r="D39" s="4" t="str">
        <f t="shared" si="1"/>
        <v>0000037</v>
      </c>
      <c r="E39" s="4">
        <f>COUNTIF(Table1[Malın adı],Table1[[#This Row],[Malın adı]])</f>
        <v>1</v>
      </c>
    </row>
    <row r="40" spans="2:5" x14ac:dyDescent="0.3">
      <c r="B40" s="4">
        <f t="shared" si="0"/>
        <v>38</v>
      </c>
      <c r="C40" s="10" t="s">
        <v>39</v>
      </c>
      <c r="D40" s="4" t="str">
        <f t="shared" si="1"/>
        <v>0000038</v>
      </c>
      <c r="E40" s="4">
        <f>COUNTIF(Table1[Malın adı],Table1[[#This Row],[Malın adı]])</f>
        <v>1</v>
      </c>
    </row>
    <row r="41" spans="2:5" x14ac:dyDescent="0.3">
      <c r="B41" s="4">
        <f t="shared" si="0"/>
        <v>39</v>
      </c>
      <c r="C41" s="10" t="s">
        <v>40</v>
      </c>
      <c r="D41" s="4" t="str">
        <f t="shared" si="1"/>
        <v>0000039</v>
      </c>
      <c r="E41" s="4">
        <f>COUNTIF(Table1[Malın adı],Table1[[#This Row],[Malın adı]])</f>
        <v>1</v>
      </c>
    </row>
    <row r="42" spans="2:5" x14ac:dyDescent="0.3">
      <c r="B42" s="4">
        <f t="shared" si="0"/>
        <v>40</v>
      </c>
      <c r="C42" s="10" t="s">
        <v>41</v>
      </c>
      <c r="D42" s="4" t="str">
        <f t="shared" si="1"/>
        <v>0000040</v>
      </c>
      <c r="E42" s="4">
        <f>COUNTIF(Table1[Malın adı],Table1[[#This Row],[Malın adı]])</f>
        <v>1</v>
      </c>
    </row>
    <row r="43" spans="2:5" x14ac:dyDescent="0.3">
      <c r="B43" s="4">
        <f t="shared" si="0"/>
        <v>41</v>
      </c>
      <c r="C43" s="10" t="s">
        <v>42</v>
      </c>
      <c r="D43" s="4" t="str">
        <f t="shared" si="1"/>
        <v>0000041</v>
      </c>
      <c r="E43" s="4">
        <f>COUNTIF(Table1[Malın adı],Table1[[#This Row],[Malın adı]])</f>
        <v>1</v>
      </c>
    </row>
    <row r="44" spans="2:5" x14ac:dyDescent="0.3">
      <c r="B44" s="4">
        <f t="shared" si="0"/>
        <v>42</v>
      </c>
      <c r="C44" s="10" t="s">
        <v>43</v>
      </c>
      <c r="D44" s="4" t="str">
        <f t="shared" si="1"/>
        <v>0000042</v>
      </c>
      <c r="E44" s="4">
        <f>COUNTIF(Table1[Malın adı],Table1[[#This Row],[Malın adı]])</f>
        <v>1</v>
      </c>
    </row>
    <row r="45" spans="2:5" x14ac:dyDescent="0.3">
      <c r="B45" s="4">
        <f t="shared" si="0"/>
        <v>43</v>
      </c>
      <c r="C45" s="10" t="s">
        <v>44</v>
      </c>
      <c r="D45" s="4" t="str">
        <f t="shared" si="1"/>
        <v>0000043</v>
      </c>
      <c r="E45" s="4">
        <f>COUNTIF(Table1[Malın adı],Table1[[#This Row],[Malın adı]])</f>
        <v>1</v>
      </c>
    </row>
    <row r="46" spans="2:5" x14ac:dyDescent="0.3">
      <c r="B46" s="4">
        <f t="shared" si="0"/>
        <v>44</v>
      </c>
      <c r="C46" s="10" t="s">
        <v>45</v>
      </c>
      <c r="D46" s="4" t="str">
        <f t="shared" si="1"/>
        <v>0000044</v>
      </c>
      <c r="E46" s="4">
        <f>COUNTIF(Table1[Malın adı],Table1[[#This Row],[Malın adı]])</f>
        <v>1</v>
      </c>
    </row>
    <row r="47" spans="2:5" x14ac:dyDescent="0.3">
      <c r="B47" s="4">
        <f t="shared" si="0"/>
        <v>45</v>
      </c>
      <c r="C47" s="10" t="s">
        <v>46</v>
      </c>
      <c r="D47" s="4" t="str">
        <f t="shared" si="1"/>
        <v>0000045</v>
      </c>
      <c r="E47" s="4">
        <f>COUNTIF(Table1[Malın adı],Table1[[#This Row],[Malın adı]])</f>
        <v>1</v>
      </c>
    </row>
    <row r="48" spans="2:5" x14ac:dyDescent="0.3">
      <c r="B48" s="4">
        <f t="shared" si="0"/>
        <v>46</v>
      </c>
      <c r="C48" s="10" t="s">
        <v>47</v>
      </c>
      <c r="D48" s="4" t="str">
        <f t="shared" si="1"/>
        <v>0000046</v>
      </c>
      <c r="E48" s="4">
        <f>COUNTIF(Table1[Malın adı],Table1[[#This Row],[Malın adı]])</f>
        <v>1</v>
      </c>
    </row>
    <row r="49" spans="2:5" x14ac:dyDescent="0.3">
      <c r="B49" s="4">
        <f t="shared" si="0"/>
        <v>47</v>
      </c>
      <c r="C49" s="10" t="s">
        <v>48</v>
      </c>
      <c r="D49" s="4" t="str">
        <f t="shared" si="1"/>
        <v>0000047</v>
      </c>
      <c r="E49" s="4">
        <f>COUNTIF(Table1[Malın adı],Table1[[#This Row],[Malın adı]])</f>
        <v>1</v>
      </c>
    </row>
    <row r="50" spans="2:5" x14ac:dyDescent="0.3">
      <c r="B50" s="4">
        <f t="shared" si="0"/>
        <v>48</v>
      </c>
      <c r="C50" s="10" t="s">
        <v>2457</v>
      </c>
      <c r="D50" s="4" t="str">
        <f t="shared" si="1"/>
        <v>0000048</v>
      </c>
      <c r="E50" s="4">
        <f>COUNTIF(Table1[Malın adı],Table1[[#This Row],[Malın adı]])</f>
        <v>1</v>
      </c>
    </row>
    <row r="51" spans="2:5" x14ac:dyDescent="0.3">
      <c r="B51" s="4">
        <f t="shared" si="0"/>
        <v>49</v>
      </c>
      <c r="C51" s="10" t="s">
        <v>49</v>
      </c>
      <c r="D51" s="4" t="str">
        <f t="shared" si="1"/>
        <v>0000049</v>
      </c>
      <c r="E51" s="4">
        <f>COUNTIF(Table1[Malın adı],Table1[[#This Row],[Malın adı]])</f>
        <v>1</v>
      </c>
    </row>
    <row r="52" spans="2:5" x14ac:dyDescent="0.3">
      <c r="B52" s="4">
        <f t="shared" si="0"/>
        <v>50</v>
      </c>
      <c r="C52" s="10" t="s">
        <v>50</v>
      </c>
      <c r="D52" s="4" t="str">
        <f t="shared" si="1"/>
        <v>0000050</v>
      </c>
      <c r="E52" s="4">
        <f>COUNTIF(Table1[Malın adı],Table1[[#This Row],[Malın adı]])</f>
        <v>1</v>
      </c>
    </row>
    <row r="53" spans="2:5" x14ac:dyDescent="0.3">
      <c r="B53" s="4">
        <f t="shared" si="0"/>
        <v>51</v>
      </c>
      <c r="C53" s="10" t="s">
        <v>51</v>
      </c>
      <c r="D53" s="4" t="str">
        <f t="shared" si="1"/>
        <v>0000051</v>
      </c>
      <c r="E53" s="4">
        <f>COUNTIF(Table1[Malın adı],Table1[[#This Row],[Malın adı]])</f>
        <v>1</v>
      </c>
    </row>
    <row r="54" spans="2:5" x14ac:dyDescent="0.3">
      <c r="B54" s="4">
        <f t="shared" si="0"/>
        <v>52</v>
      </c>
      <c r="C54" s="10" t="s">
        <v>52</v>
      </c>
      <c r="D54" s="4" t="str">
        <f t="shared" si="1"/>
        <v>0000052</v>
      </c>
      <c r="E54" s="4">
        <f>COUNTIF(Table1[Malın adı],Table1[[#This Row],[Malın adı]])</f>
        <v>1</v>
      </c>
    </row>
    <row r="55" spans="2:5" x14ac:dyDescent="0.3">
      <c r="B55" s="4">
        <f t="shared" si="0"/>
        <v>53</v>
      </c>
      <c r="C55" s="10" t="s">
        <v>53</v>
      </c>
      <c r="D55" s="4" t="str">
        <f t="shared" si="1"/>
        <v>0000053</v>
      </c>
      <c r="E55" s="4">
        <f>COUNTIF(Table1[Malın adı],Table1[[#This Row],[Malın adı]])</f>
        <v>1</v>
      </c>
    </row>
    <row r="56" spans="2:5" x14ac:dyDescent="0.3">
      <c r="B56" s="4">
        <f t="shared" si="0"/>
        <v>54</v>
      </c>
      <c r="C56" s="10" t="s">
        <v>54</v>
      </c>
      <c r="D56" s="4" t="str">
        <f t="shared" si="1"/>
        <v>0000054</v>
      </c>
      <c r="E56" s="4">
        <f>COUNTIF(Table1[Malın adı],Table1[[#This Row],[Malın adı]])</f>
        <v>1</v>
      </c>
    </row>
    <row r="57" spans="2:5" x14ac:dyDescent="0.3">
      <c r="B57" s="4">
        <f t="shared" si="0"/>
        <v>55</v>
      </c>
      <c r="C57" s="10" t="s">
        <v>55</v>
      </c>
      <c r="D57" s="4" t="str">
        <f t="shared" si="1"/>
        <v>0000055</v>
      </c>
      <c r="E57" s="4">
        <f>COUNTIF(Table1[Malın adı],Table1[[#This Row],[Malın adı]])</f>
        <v>1</v>
      </c>
    </row>
    <row r="58" spans="2:5" x14ac:dyDescent="0.3">
      <c r="B58" s="4">
        <f t="shared" si="0"/>
        <v>56</v>
      </c>
      <c r="C58" s="10" t="s">
        <v>56</v>
      </c>
      <c r="D58" s="4" t="str">
        <f t="shared" si="1"/>
        <v>0000056</v>
      </c>
      <c r="E58" s="4">
        <f>COUNTIF(Table1[Malın adı],Table1[[#This Row],[Malın adı]])</f>
        <v>1</v>
      </c>
    </row>
    <row r="59" spans="2:5" x14ac:dyDescent="0.3">
      <c r="B59" s="4">
        <f t="shared" si="0"/>
        <v>57</v>
      </c>
      <c r="C59" s="10" t="s">
        <v>57</v>
      </c>
      <c r="D59" s="4" t="str">
        <f t="shared" si="1"/>
        <v>0000057</v>
      </c>
      <c r="E59" s="4">
        <f>COUNTIF(Table1[Malın adı],Table1[[#This Row],[Malın adı]])</f>
        <v>1</v>
      </c>
    </row>
    <row r="60" spans="2:5" x14ac:dyDescent="0.3">
      <c r="B60" s="4">
        <f t="shared" si="0"/>
        <v>58</v>
      </c>
      <c r="C60" s="10" t="s">
        <v>58</v>
      </c>
      <c r="D60" s="4" t="str">
        <f t="shared" si="1"/>
        <v>0000058</v>
      </c>
      <c r="E60" s="4">
        <f>COUNTIF(Table1[Malın adı],Table1[[#This Row],[Malın adı]])</f>
        <v>1</v>
      </c>
    </row>
    <row r="61" spans="2:5" x14ac:dyDescent="0.3">
      <c r="B61" s="4">
        <f t="shared" si="0"/>
        <v>59</v>
      </c>
      <c r="C61" s="10" t="s">
        <v>59</v>
      </c>
      <c r="D61" s="4" t="str">
        <f t="shared" si="1"/>
        <v>0000059</v>
      </c>
      <c r="E61" s="4">
        <f>COUNTIF(Table1[Malın adı],Table1[[#This Row],[Malın adı]])</f>
        <v>1</v>
      </c>
    </row>
    <row r="62" spans="2:5" x14ac:dyDescent="0.3">
      <c r="B62" s="4">
        <f t="shared" si="0"/>
        <v>60</v>
      </c>
      <c r="C62" s="10" t="s">
        <v>60</v>
      </c>
      <c r="D62" s="4" t="str">
        <f t="shared" si="1"/>
        <v>0000060</v>
      </c>
      <c r="E62" s="4">
        <f>COUNTIF(Table1[Malın adı],Table1[[#This Row],[Malın adı]])</f>
        <v>1</v>
      </c>
    </row>
    <row r="63" spans="2:5" x14ac:dyDescent="0.3">
      <c r="B63" s="4">
        <f t="shared" si="0"/>
        <v>61</v>
      </c>
      <c r="C63" s="10" t="s">
        <v>61</v>
      </c>
      <c r="D63" s="4" t="str">
        <f t="shared" si="1"/>
        <v>0000061</v>
      </c>
      <c r="E63" s="4">
        <f>COUNTIF(Table1[Malın adı],Table1[[#This Row],[Malın adı]])</f>
        <v>1</v>
      </c>
    </row>
    <row r="64" spans="2:5" x14ac:dyDescent="0.3">
      <c r="B64" s="4">
        <f t="shared" si="0"/>
        <v>62</v>
      </c>
      <c r="C64" s="10" t="s">
        <v>62</v>
      </c>
      <c r="D64" s="4" t="str">
        <f t="shared" si="1"/>
        <v>0000062</v>
      </c>
      <c r="E64" s="4">
        <f>COUNTIF(Table1[Malın adı],Table1[[#This Row],[Malın adı]])</f>
        <v>1</v>
      </c>
    </row>
    <row r="65" spans="2:5" x14ac:dyDescent="0.3">
      <c r="B65" s="4">
        <f t="shared" si="0"/>
        <v>63</v>
      </c>
      <c r="C65" s="10" t="s">
        <v>63</v>
      </c>
      <c r="D65" s="4" t="str">
        <f t="shared" si="1"/>
        <v>0000063</v>
      </c>
      <c r="E65" s="4">
        <f>COUNTIF(Table1[Malın adı],Table1[[#This Row],[Malın adı]])</f>
        <v>1</v>
      </c>
    </row>
    <row r="66" spans="2:5" x14ac:dyDescent="0.3">
      <c r="B66" s="4">
        <f t="shared" si="0"/>
        <v>64</v>
      </c>
      <c r="C66" s="10" t="s">
        <v>64</v>
      </c>
      <c r="D66" s="4" t="str">
        <f t="shared" si="1"/>
        <v>0000064</v>
      </c>
      <c r="E66" s="4">
        <f>COUNTIF(Table1[Malın adı],Table1[[#This Row],[Malın adı]])</f>
        <v>1</v>
      </c>
    </row>
    <row r="67" spans="2:5" x14ac:dyDescent="0.3">
      <c r="B67" s="4">
        <f t="shared" ref="B67:B130" si="2">ROW()-2</f>
        <v>65</v>
      </c>
      <c r="C67" s="10" t="s">
        <v>65</v>
      </c>
      <c r="D67" s="4" t="str">
        <f t="shared" ref="D67:D130" si="3">TEXT(ROW()-2,"0000000")</f>
        <v>0000065</v>
      </c>
      <c r="E67" s="4">
        <f>COUNTIF(Table1[Malın adı],Table1[[#This Row],[Malın adı]])</f>
        <v>1</v>
      </c>
    </row>
    <row r="68" spans="2:5" x14ac:dyDescent="0.3">
      <c r="B68" s="4">
        <f t="shared" si="2"/>
        <v>66</v>
      </c>
      <c r="C68" s="10" t="s">
        <v>66</v>
      </c>
      <c r="D68" s="4" t="str">
        <f t="shared" si="3"/>
        <v>0000066</v>
      </c>
      <c r="E68" s="4">
        <f>COUNTIF(Table1[Malın adı],Table1[[#This Row],[Malın adı]])</f>
        <v>1</v>
      </c>
    </row>
    <row r="69" spans="2:5" x14ac:dyDescent="0.3">
      <c r="B69" s="4">
        <f t="shared" si="2"/>
        <v>67</v>
      </c>
      <c r="C69" s="10" t="s">
        <v>67</v>
      </c>
      <c r="D69" s="4" t="str">
        <f t="shared" si="3"/>
        <v>0000067</v>
      </c>
      <c r="E69" s="4">
        <f>COUNTIF(Table1[Malın adı],Table1[[#This Row],[Malın adı]])</f>
        <v>1</v>
      </c>
    </row>
    <row r="70" spans="2:5" x14ac:dyDescent="0.3">
      <c r="B70" s="4">
        <f t="shared" si="2"/>
        <v>68</v>
      </c>
      <c r="C70" s="10" t="s">
        <v>68</v>
      </c>
      <c r="D70" s="4" t="str">
        <f t="shared" si="3"/>
        <v>0000068</v>
      </c>
      <c r="E70" s="4">
        <f>COUNTIF(Table1[Malın adı],Table1[[#This Row],[Malın adı]])</f>
        <v>1</v>
      </c>
    </row>
    <row r="71" spans="2:5" x14ac:dyDescent="0.3">
      <c r="B71" s="4">
        <f t="shared" si="2"/>
        <v>69</v>
      </c>
      <c r="C71" s="10" t="s">
        <v>69</v>
      </c>
      <c r="D71" s="4" t="str">
        <f t="shared" si="3"/>
        <v>0000069</v>
      </c>
      <c r="E71" s="4">
        <f>COUNTIF(Table1[Malın adı],Table1[[#This Row],[Malın adı]])</f>
        <v>1</v>
      </c>
    </row>
    <row r="72" spans="2:5" x14ac:dyDescent="0.3">
      <c r="B72" s="4">
        <f t="shared" si="2"/>
        <v>70</v>
      </c>
      <c r="C72" s="10" t="s">
        <v>70</v>
      </c>
      <c r="D72" s="4" t="str">
        <f t="shared" si="3"/>
        <v>0000070</v>
      </c>
      <c r="E72" s="4">
        <f>COUNTIF(Table1[Malın adı],Table1[[#This Row],[Malın adı]])</f>
        <v>1</v>
      </c>
    </row>
    <row r="73" spans="2:5" x14ac:dyDescent="0.3">
      <c r="B73" s="4">
        <f t="shared" si="2"/>
        <v>71</v>
      </c>
      <c r="C73" s="10" t="s">
        <v>71</v>
      </c>
      <c r="D73" s="4" t="str">
        <f t="shared" si="3"/>
        <v>0000071</v>
      </c>
      <c r="E73" s="4">
        <f>COUNTIF(Table1[Malın adı],Table1[[#This Row],[Malın adı]])</f>
        <v>1</v>
      </c>
    </row>
    <row r="74" spans="2:5" x14ac:dyDescent="0.3">
      <c r="B74" s="4">
        <f t="shared" si="2"/>
        <v>72</v>
      </c>
      <c r="C74" s="10" t="s">
        <v>72</v>
      </c>
      <c r="D74" s="4" t="str">
        <f t="shared" si="3"/>
        <v>0000072</v>
      </c>
      <c r="E74" s="4">
        <f>COUNTIF(Table1[Malın adı],Table1[[#This Row],[Malın adı]])</f>
        <v>1</v>
      </c>
    </row>
    <row r="75" spans="2:5" x14ac:dyDescent="0.3">
      <c r="B75" s="4">
        <f t="shared" si="2"/>
        <v>73</v>
      </c>
      <c r="C75" s="10" t="s">
        <v>73</v>
      </c>
      <c r="D75" s="4" t="str">
        <f t="shared" si="3"/>
        <v>0000073</v>
      </c>
      <c r="E75" s="4">
        <f>COUNTIF(Table1[Malın adı],Table1[[#This Row],[Malın adı]])</f>
        <v>1</v>
      </c>
    </row>
    <row r="76" spans="2:5" x14ac:dyDescent="0.3">
      <c r="B76" s="4">
        <f t="shared" si="2"/>
        <v>74</v>
      </c>
      <c r="C76" s="10" t="s">
        <v>74</v>
      </c>
      <c r="D76" s="4" t="str">
        <f t="shared" si="3"/>
        <v>0000074</v>
      </c>
      <c r="E76" s="4">
        <f>COUNTIF(Table1[Malın adı],Table1[[#This Row],[Malın adı]])</f>
        <v>1</v>
      </c>
    </row>
    <row r="77" spans="2:5" x14ac:dyDescent="0.3">
      <c r="B77" s="4">
        <f t="shared" si="2"/>
        <v>75</v>
      </c>
      <c r="C77" s="10" t="s">
        <v>75</v>
      </c>
      <c r="D77" s="4" t="str">
        <f t="shared" si="3"/>
        <v>0000075</v>
      </c>
      <c r="E77" s="4">
        <f>COUNTIF(Table1[Malın adı],Table1[[#This Row],[Malın adı]])</f>
        <v>1</v>
      </c>
    </row>
    <row r="78" spans="2:5" x14ac:dyDescent="0.3">
      <c r="B78" s="4">
        <f t="shared" si="2"/>
        <v>76</v>
      </c>
      <c r="C78" s="10" t="s">
        <v>76</v>
      </c>
      <c r="D78" s="4" t="str">
        <f t="shared" si="3"/>
        <v>0000076</v>
      </c>
      <c r="E78" s="4">
        <f>COUNTIF(Table1[Malın adı],Table1[[#This Row],[Malın adı]])</f>
        <v>1</v>
      </c>
    </row>
    <row r="79" spans="2:5" x14ac:dyDescent="0.3">
      <c r="B79" s="4">
        <f t="shared" si="2"/>
        <v>77</v>
      </c>
      <c r="C79" s="10" t="s">
        <v>77</v>
      </c>
      <c r="D79" s="4" t="str">
        <f t="shared" si="3"/>
        <v>0000077</v>
      </c>
      <c r="E79" s="4">
        <f>COUNTIF(Table1[Malın adı],Table1[[#This Row],[Malın adı]])</f>
        <v>1</v>
      </c>
    </row>
    <row r="80" spans="2:5" x14ac:dyDescent="0.3">
      <c r="B80" s="4">
        <f t="shared" si="2"/>
        <v>78</v>
      </c>
      <c r="C80" s="10" t="s">
        <v>78</v>
      </c>
      <c r="D80" s="4" t="str">
        <f t="shared" si="3"/>
        <v>0000078</v>
      </c>
      <c r="E80" s="4">
        <f>COUNTIF(Table1[Malın adı],Table1[[#This Row],[Malın adı]])</f>
        <v>1</v>
      </c>
    </row>
    <row r="81" spans="2:5" x14ac:dyDescent="0.3">
      <c r="B81" s="4">
        <f t="shared" si="2"/>
        <v>79</v>
      </c>
      <c r="C81" s="10" t="s">
        <v>79</v>
      </c>
      <c r="D81" s="4" t="str">
        <f t="shared" si="3"/>
        <v>0000079</v>
      </c>
      <c r="E81" s="4">
        <f>COUNTIF(Table1[Malın adı],Table1[[#This Row],[Malın adı]])</f>
        <v>1</v>
      </c>
    </row>
    <row r="82" spans="2:5" x14ac:dyDescent="0.3">
      <c r="B82" s="4">
        <f t="shared" si="2"/>
        <v>80</v>
      </c>
      <c r="C82" s="10" t="s">
        <v>80</v>
      </c>
      <c r="D82" s="4" t="str">
        <f t="shared" si="3"/>
        <v>0000080</v>
      </c>
      <c r="E82" s="4">
        <f>COUNTIF(Table1[Malın adı],Table1[[#This Row],[Malın adı]])</f>
        <v>1</v>
      </c>
    </row>
    <row r="83" spans="2:5" x14ac:dyDescent="0.3">
      <c r="B83" s="4">
        <f t="shared" si="2"/>
        <v>81</v>
      </c>
      <c r="C83" s="10" t="s">
        <v>81</v>
      </c>
      <c r="D83" s="4" t="str">
        <f t="shared" si="3"/>
        <v>0000081</v>
      </c>
      <c r="E83" s="4">
        <f>COUNTIF(Table1[Malın adı],Table1[[#This Row],[Malın adı]])</f>
        <v>1</v>
      </c>
    </row>
    <row r="84" spans="2:5" x14ac:dyDescent="0.3">
      <c r="B84" s="4">
        <f t="shared" si="2"/>
        <v>82</v>
      </c>
      <c r="C84" s="10" t="s">
        <v>82</v>
      </c>
      <c r="D84" s="4" t="str">
        <f t="shared" si="3"/>
        <v>0000082</v>
      </c>
      <c r="E84" s="4">
        <f>COUNTIF(Table1[Malın adı],Table1[[#This Row],[Malın adı]])</f>
        <v>1</v>
      </c>
    </row>
    <row r="85" spans="2:5" x14ac:dyDescent="0.3">
      <c r="B85" s="4">
        <f t="shared" si="2"/>
        <v>83</v>
      </c>
      <c r="C85" s="10" t="s">
        <v>83</v>
      </c>
      <c r="D85" s="4" t="str">
        <f t="shared" si="3"/>
        <v>0000083</v>
      </c>
      <c r="E85" s="4">
        <f>COUNTIF(Table1[Malın adı],Table1[[#This Row],[Malın adı]])</f>
        <v>1</v>
      </c>
    </row>
    <row r="86" spans="2:5" x14ac:dyDescent="0.3">
      <c r="B86" s="4">
        <f t="shared" si="2"/>
        <v>84</v>
      </c>
      <c r="C86" s="10" t="s">
        <v>84</v>
      </c>
      <c r="D86" s="4" t="str">
        <f t="shared" si="3"/>
        <v>0000084</v>
      </c>
      <c r="E86" s="4">
        <f>COUNTIF(Table1[Malın adı],Table1[[#This Row],[Malın adı]])</f>
        <v>1</v>
      </c>
    </row>
    <row r="87" spans="2:5" x14ac:dyDescent="0.3">
      <c r="B87" s="4">
        <f t="shared" si="2"/>
        <v>85</v>
      </c>
      <c r="C87" s="10" t="s">
        <v>85</v>
      </c>
      <c r="D87" s="4" t="str">
        <f t="shared" si="3"/>
        <v>0000085</v>
      </c>
      <c r="E87" s="4">
        <f>COUNTIF(Table1[Malın adı],Table1[[#This Row],[Malın adı]])</f>
        <v>1</v>
      </c>
    </row>
    <row r="88" spans="2:5" x14ac:dyDescent="0.3">
      <c r="B88" s="4">
        <f t="shared" si="2"/>
        <v>86</v>
      </c>
      <c r="C88" s="10" t="s">
        <v>86</v>
      </c>
      <c r="D88" s="4" t="str">
        <f t="shared" si="3"/>
        <v>0000086</v>
      </c>
      <c r="E88" s="4">
        <f>COUNTIF(Table1[Malın adı],Table1[[#This Row],[Malın adı]])</f>
        <v>1</v>
      </c>
    </row>
    <row r="89" spans="2:5" x14ac:dyDescent="0.3">
      <c r="B89" s="4">
        <f t="shared" si="2"/>
        <v>87</v>
      </c>
      <c r="C89" s="10" t="s">
        <v>87</v>
      </c>
      <c r="D89" s="4" t="str">
        <f t="shared" si="3"/>
        <v>0000087</v>
      </c>
      <c r="E89" s="4">
        <f>COUNTIF(Table1[Malın adı],Table1[[#This Row],[Malın adı]])</f>
        <v>1</v>
      </c>
    </row>
    <row r="90" spans="2:5" x14ac:dyDescent="0.3">
      <c r="B90" s="4">
        <f t="shared" si="2"/>
        <v>88</v>
      </c>
      <c r="C90" s="10" t="s">
        <v>88</v>
      </c>
      <c r="D90" s="4" t="str">
        <f t="shared" si="3"/>
        <v>0000088</v>
      </c>
      <c r="E90" s="4">
        <f>COUNTIF(Table1[Malın adı],Table1[[#This Row],[Malın adı]])</f>
        <v>1</v>
      </c>
    </row>
    <row r="91" spans="2:5" x14ac:dyDescent="0.3">
      <c r="B91" s="4">
        <f t="shared" si="2"/>
        <v>89</v>
      </c>
      <c r="C91" s="10" t="s">
        <v>89</v>
      </c>
      <c r="D91" s="4" t="str">
        <f t="shared" si="3"/>
        <v>0000089</v>
      </c>
      <c r="E91" s="4">
        <f>COUNTIF(Table1[Malın adı],Table1[[#This Row],[Malın adı]])</f>
        <v>1</v>
      </c>
    </row>
    <row r="92" spans="2:5" x14ac:dyDescent="0.3">
      <c r="B92" s="4">
        <f t="shared" si="2"/>
        <v>90</v>
      </c>
      <c r="C92" s="10" t="s">
        <v>90</v>
      </c>
      <c r="D92" s="4" t="str">
        <f t="shared" si="3"/>
        <v>0000090</v>
      </c>
      <c r="E92" s="4">
        <f>COUNTIF(Table1[Malın adı],Table1[[#This Row],[Malın adı]])</f>
        <v>1</v>
      </c>
    </row>
    <row r="93" spans="2:5" x14ac:dyDescent="0.3">
      <c r="B93" s="4">
        <f t="shared" si="2"/>
        <v>91</v>
      </c>
      <c r="C93" s="10" t="s">
        <v>91</v>
      </c>
      <c r="D93" s="4" t="str">
        <f t="shared" si="3"/>
        <v>0000091</v>
      </c>
      <c r="E93" s="4">
        <f>COUNTIF(Table1[Malın adı],Table1[[#This Row],[Malın adı]])</f>
        <v>1</v>
      </c>
    </row>
    <row r="94" spans="2:5" x14ac:dyDescent="0.3">
      <c r="B94" s="4">
        <f t="shared" si="2"/>
        <v>92</v>
      </c>
      <c r="C94" s="10" t="s">
        <v>92</v>
      </c>
      <c r="D94" s="4" t="str">
        <f t="shared" si="3"/>
        <v>0000092</v>
      </c>
      <c r="E94" s="4">
        <f>COUNTIF(Table1[Malın adı],Table1[[#This Row],[Malın adı]])</f>
        <v>1</v>
      </c>
    </row>
    <row r="95" spans="2:5" x14ac:dyDescent="0.3">
      <c r="B95" s="4">
        <f t="shared" si="2"/>
        <v>93</v>
      </c>
      <c r="C95" s="10" t="s">
        <v>93</v>
      </c>
      <c r="D95" s="4" t="str">
        <f t="shared" si="3"/>
        <v>0000093</v>
      </c>
      <c r="E95" s="4">
        <f>COUNTIF(Table1[Malın adı],Table1[[#This Row],[Malın adı]])</f>
        <v>1</v>
      </c>
    </row>
    <row r="96" spans="2:5" x14ac:dyDescent="0.3">
      <c r="B96" s="4">
        <f t="shared" si="2"/>
        <v>94</v>
      </c>
      <c r="C96" s="10" t="s">
        <v>94</v>
      </c>
      <c r="D96" s="4" t="str">
        <f t="shared" si="3"/>
        <v>0000094</v>
      </c>
      <c r="E96" s="4">
        <f>COUNTIF(Table1[Malın adı],Table1[[#This Row],[Malın adı]])</f>
        <v>1</v>
      </c>
    </row>
    <row r="97" spans="2:5" x14ac:dyDescent="0.3">
      <c r="B97" s="4">
        <f t="shared" si="2"/>
        <v>95</v>
      </c>
      <c r="C97" s="10" t="s">
        <v>95</v>
      </c>
      <c r="D97" s="4" t="str">
        <f t="shared" si="3"/>
        <v>0000095</v>
      </c>
      <c r="E97" s="4">
        <f>COUNTIF(Table1[Malın adı],Table1[[#This Row],[Malın adı]])</f>
        <v>1</v>
      </c>
    </row>
    <row r="98" spans="2:5" x14ac:dyDescent="0.3">
      <c r="B98" s="4">
        <f t="shared" si="2"/>
        <v>96</v>
      </c>
      <c r="C98" s="10" t="s">
        <v>96</v>
      </c>
      <c r="D98" s="4" t="str">
        <f t="shared" si="3"/>
        <v>0000096</v>
      </c>
      <c r="E98" s="4">
        <f>COUNTIF(Table1[Malın adı],Table1[[#This Row],[Malın adı]])</f>
        <v>1</v>
      </c>
    </row>
    <row r="99" spans="2:5" x14ac:dyDescent="0.3">
      <c r="B99" s="4">
        <f t="shared" si="2"/>
        <v>97</v>
      </c>
      <c r="C99" s="10" t="s">
        <v>97</v>
      </c>
      <c r="D99" s="4" t="str">
        <f t="shared" si="3"/>
        <v>0000097</v>
      </c>
      <c r="E99" s="4">
        <f>COUNTIF(Table1[Malın adı],Table1[[#This Row],[Malın adı]])</f>
        <v>1</v>
      </c>
    </row>
    <row r="100" spans="2:5" x14ac:dyDescent="0.3">
      <c r="B100" s="4">
        <f t="shared" si="2"/>
        <v>98</v>
      </c>
      <c r="C100" s="10" t="s">
        <v>98</v>
      </c>
      <c r="D100" s="4" t="str">
        <f t="shared" si="3"/>
        <v>0000098</v>
      </c>
      <c r="E100" s="4">
        <f>COUNTIF(Table1[Malın adı],Table1[[#This Row],[Malın adı]])</f>
        <v>1</v>
      </c>
    </row>
    <row r="101" spans="2:5" x14ac:dyDescent="0.3">
      <c r="B101" s="4">
        <f t="shared" si="2"/>
        <v>99</v>
      </c>
      <c r="C101" s="10" t="s">
        <v>99</v>
      </c>
      <c r="D101" s="4" t="str">
        <f t="shared" si="3"/>
        <v>0000099</v>
      </c>
      <c r="E101" s="4">
        <f>COUNTIF(Table1[Malın adı],Table1[[#This Row],[Malın adı]])</f>
        <v>1</v>
      </c>
    </row>
    <row r="102" spans="2:5" x14ac:dyDescent="0.3">
      <c r="B102" s="4">
        <f t="shared" si="2"/>
        <v>100</v>
      </c>
      <c r="C102" s="10" t="s">
        <v>100</v>
      </c>
      <c r="D102" s="4" t="str">
        <f t="shared" si="3"/>
        <v>0000100</v>
      </c>
      <c r="E102" s="4">
        <f>COUNTIF(Table1[Malın adı],Table1[[#This Row],[Malın adı]])</f>
        <v>1</v>
      </c>
    </row>
    <row r="103" spans="2:5" x14ac:dyDescent="0.3">
      <c r="B103" s="4">
        <f t="shared" si="2"/>
        <v>101</v>
      </c>
      <c r="C103" s="10" t="s">
        <v>101</v>
      </c>
      <c r="D103" s="4" t="str">
        <f t="shared" si="3"/>
        <v>0000101</v>
      </c>
      <c r="E103" s="4">
        <f>COUNTIF(Table1[Malın adı],Table1[[#This Row],[Malın adı]])</f>
        <v>1</v>
      </c>
    </row>
    <row r="104" spans="2:5" x14ac:dyDescent="0.3">
      <c r="B104" s="4">
        <f t="shared" si="2"/>
        <v>102</v>
      </c>
      <c r="C104" s="10" t="s">
        <v>2458</v>
      </c>
      <c r="D104" s="4" t="str">
        <f t="shared" si="3"/>
        <v>0000102</v>
      </c>
      <c r="E104" s="4">
        <f>COUNTIF(Table1[Malın adı],Table1[[#This Row],[Malın adı]])</f>
        <v>1</v>
      </c>
    </row>
    <row r="105" spans="2:5" x14ac:dyDescent="0.3">
      <c r="B105" s="4">
        <f t="shared" si="2"/>
        <v>103</v>
      </c>
      <c r="C105" s="10" t="s">
        <v>102</v>
      </c>
      <c r="D105" s="4" t="str">
        <f t="shared" si="3"/>
        <v>0000103</v>
      </c>
      <c r="E105" s="4">
        <f>COUNTIF(Table1[Malın adı],Table1[[#This Row],[Malın adı]])</f>
        <v>1</v>
      </c>
    </row>
    <row r="106" spans="2:5" x14ac:dyDescent="0.3">
      <c r="B106" s="4">
        <f t="shared" si="2"/>
        <v>104</v>
      </c>
      <c r="C106" s="10" t="s">
        <v>2338</v>
      </c>
      <c r="D106" s="4" t="str">
        <f t="shared" si="3"/>
        <v>0000104</v>
      </c>
      <c r="E106" s="4">
        <f>COUNTIF(Table1[Malın adı],Table1[[#This Row],[Malın adı]])</f>
        <v>1</v>
      </c>
    </row>
    <row r="107" spans="2:5" x14ac:dyDescent="0.3">
      <c r="B107" s="4">
        <f t="shared" si="2"/>
        <v>105</v>
      </c>
      <c r="C107" s="10" t="s">
        <v>103</v>
      </c>
      <c r="D107" s="4" t="str">
        <f t="shared" si="3"/>
        <v>0000105</v>
      </c>
      <c r="E107" s="4">
        <f>COUNTIF(Table1[Malın adı],Table1[[#This Row],[Malın adı]])</f>
        <v>1</v>
      </c>
    </row>
    <row r="108" spans="2:5" x14ac:dyDescent="0.3">
      <c r="B108" s="4">
        <f t="shared" si="2"/>
        <v>106</v>
      </c>
      <c r="C108" s="10" t="s">
        <v>2340</v>
      </c>
      <c r="D108" s="4" t="str">
        <f t="shared" si="3"/>
        <v>0000106</v>
      </c>
      <c r="E108" s="4">
        <f>COUNTIF(Table1[Malın adı],Table1[[#This Row],[Malın adı]])</f>
        <v>1</v>
      </c>
    </row>
    <row r="109" spans="2:5" x14ac:dyDescent="0.3">
      <c r="B109" s="4">
        <f t="shared" si="2"/>
        <v>107</v>
      </c>
      <c r="C109" s="10" t="s">
        <v>2459</v>
      </c>
      <c r="D109" s="4" t="str">
        <f t="shared" si="3"/>
        <v>0000107</v>
      </c>
      <c r="E109" s="4">
        <f>COUNTIF(Table1[Malın adı],Table1[[#This Row],[Malın adı]])</f>
        <v>1</v>
      </c>
    </row>
    <row r="110" spans="2:5" x14ac:dyDescent="0.3">
      <c r="B110" s="4">
        <f t="shared" si="2"/>
        <v>108</v>
      </c>
      <c r="C110" s="10" t="s">
        <v>2460</v>
      </c>
      <c r="D110" s="4" t="str">
        <f t="shared" si="3"/>
        <v>0000108</v>
      </c>
      <c r="E110" s="4">
        <f>COUNTIF(Table1[Malın adı],Table1[[#This Row],[Malın adı]])</f>
        <v>1</v>
      </c>
    </row>
    <row r="111" spans="2:5" x14ac:dyDescent="0.3">
      <c r="B111" s="4">
        <f t="shared" si="2"/>
        <v>109</v>
      </c>
      <c r="C111" s="10" t="s">
        <v>104</v>
      </c>
      <c r="D111" s="4" t="str">
        <f t="shared" si="3"/>
        <v>0000109</v>
      </c>
      <c r="E111" s="4">
        <f>COUNTIF(Table1[Malın adı],Table1[[#This Row],[Malın adı]])</f>
        <v>1</v>
      </c>
    </row>
    <row r="112" spans="2:5" x14ac:dyDescent="0.3">
      <c r="B112" s="4">
        <f t="shared" si="2"/>
        <v>110</v>
      </c>
      <c r="C112" s="10" t="s">
        <v>105</v>
      </c>
      <c r="D112" s="4" t="str">
        <f t="shared" si="3"/>
        <v>0000110</v>
      </c>
      <c r="E112" s="4">
        <f>COUNTIF(Table1[Malın adı],Table1[[#This Row],[Malın adı]])</f>
        <v>1</v>
      </c>
    </row>
    <row r="113" spans="2:5" x14ac:dyDescent="0.3">
      <c r="B113" s="4">
        <f t="shared" si="2"/>
        <v>111</v>
      </c>
      <c r="C113" s="10" t="s">
        <v>106</v>
      </c>
      <c r="D113" s="4" t="str">
        <f t="shared" si="3"/>
        <v>0000111</v>
      </c>
      <c r="E113" s="4">
        <f>COUNTIF(Table1[Malın adı],Table1[[#This Row],[Malın adı]])</f>
        <v>1</v>
      </c>
    </row>
    <row r="114" spans="2:5" x14ac:dyDescent="0.3">
      <c r="B114" s="4">
        <f t="shared" si="2"/>
        <v>112</v>
      </c>
      <c r="C114" s="10" t="s">
        <v>107</v>
      </c>
      <c r="D114" s="4" t="str">
        <f t="shared" si="3"/>
        <v>0000112</v>
      </c>
      <c r="E114" s="4">
        <f>COUNTIF(Table1[Malın adı],Table1[[#This Row],[Malın adı]])</f>
        <v>1</v>
      </c>
    </row>
    <row r="115" spans="2:5" x14ac:dyDescent="0.3">
      <c r="B115" s="4">
        <f t="shared" si="2"/>
        <v>113</v>
      </c>
      <c r="C115" s="10" t="s">
        <v>108</v>
      </c>
      <c r="D115" s="4" t="str">
        <f t="shared" si="3"/>
        <v>0000113</v>
      </c>
      <c r="E115" s="4">
        <f>COUNTIF(Table1[Malın adı],Table1[[#This Row],[Malın adı]])</f>
        <v>1</v>
      </c>
    </row>
    <row r="116" spans="2:5" x14ac:dyDescent="0.3">
      <c r="B116" s="4">
        <f t="shared" si="2"/>
        <v>114</v>
      </c>
      <c r="C116" s="10" t="s">
        <v>109</v>
      </c>
      <c r="D116" s="4" t="str">
        <f t="shared" si="3"/>
        <v>0000114</v>
      </c>
      <c r="E116" s="4">
        <f>COUNTIF(Table1[Malın adı],Table1[[#This Row],[Malın adı]])</f>
        <v>1</v>
      </c>
    </row>
    <row r="117" spans="2:5" x14ac:dyDescent="0.3">
      <c r="B117" s="4">
        <f t="shared" si="2"/>
        <v>115</v>
      </c>
      <c r="C117" s="10" t="s">
        <v>110</v>
      </c>
      <c r="D117" s="4" t="str">
        <f t="shared" si="3"/>
        <v>0000115</v>
      </c>
      <c r="E117" s="4">
        <f>COUNTIF(Table1[Malın adı],Table1[[#This Row],[Malın adı]])</f>
        <v>1</v>
      </c>
    </row>
    <row r="118" spans="2:5" x14ac:dyDescent="0.3">
      <c r="B118" s="4">
        <f t="shared" si="2"/>
        <v>116</v>
      </c>
      <c r="C118" s="10" t="s">
        <v>111</v>
      </c>
      <c r="D118" s="4" t="str">
        <f t="shared" si="3"/>
        <v>0000116</v>
      </c>
      <c r="E118" s="4">
        <f>COUNTIF(Table1[Malın adı],Table1[[#This Row],[Malın adı]])</f>
        <v>1</v>
      </c>
    </row>
    <row r="119" spans="2:5" x14ac:dyDescent="0.3">
      <c r="B119" s="4">
        <f t="shared" si="2"/>
        <v>117</v>
      </c>
      <c r="C119" s="10" t="s">
        <v>112</v>
      </c>
      <c r="D119" s="4" t="str">
        <f t="shared" si="3"/>
        <v>0000117</v>
      </c>
      <c r="E119" s="4">
        <f>COUNTIF(Table1[Malın adı],Table1[[#This Row],[Malın adı]])</f>
        <v>1</v>
      </c>
    </row>
    <row r="120" spans="2:5" x14ac:dyDescent="0.3">
      <c r="B120" s="4">
        <f t="shared" si="2"/>
        <v>118</v>
      </c>
      <c r="C120" s="10" t="s">
        <v>113</v>
      </c>
      <c r="D120" s="4" t="str">
        <f t="shared" si="3"/>
        <v>0000118</v>
      </c>
      <c r="E120" s="4">
        <f>COUNTIF(Table1[Malın adı],Table1[[#This Row],[Malın adı]])</f>
        <v>1</v>
      </c>
    </row>
    <row r="121" spans="2:5" x14ac:dyDescent="0.3">
      <c r="B121" s="4">
        <f t="shared" si="2"/>
        <v>119</v>
      </c>
      <c r="C121" s="10" t="s">
        <v>114</v>
      </c>
      <c r="D121" s="4" t="str">
        <f t="shared" si="3"/>
        <v>0000119</v>
      </c>
      <c r="E121" s="4">
        <f>COUNTIF(Table1[Malın adı],Table1[[#This Row],[Malın adı]])</f>
        <v>1</v>
      </c>
    </row>
    <row r="122" spans="2:5" x14ac:dyDescent="0.3">
      <c r="B122" s="4">
        <f t="shared" si="2"/>
        <v>120</v>
      </c>
      <c r="C122" s="10" t="s">
        <v>115</v>
      </c>
      <c r="D122" s="4" t="str">
        <f t="shared" si="3"/>
        <v>0000120</v>
      </c>
      <c r="E122" s="4">
        <f>COUNTIF(Table1[Malın adı],Table1[[#This Row],[Malın adı]])</f>
        <v>1</v>
      </c>
    </row>
    <row r="123" spans="2:5" x14ac:dyDescent="0.3">
      <c r="B123" s="4">
        <f t="shared" si="2"/>
        <v>121</v>
      </c>
      <c r="C123" s="10" t="s">
        <v>116</v>
      </c>
      <c r="D123" s="4" t="str">
        <f t="shared" si="3"/>
        <v>0000121</v>
      </c>
      <c r="E123" s="4">
        <f>COUNTIF(Table1[Malın adı],Table1[[#This Row],[Malın adı]])</f>
        <v>1</v>
      </c>
    </row>
    <row r="124" spans="2:5" x14ac:dyDescent="0.3">
      <c r="B124" s="4">
        <f t="shared" si="2"/>
        <v>122</v>
      </c>
      <c r="C124" s="10" t="s">
        <v>117</v>
      </c>
      <c r="D124" s="4" t="str">
        <f t="shared" si="3"/>
        <v>0000122</v>
      </c>
      <c r="E124" s="4">
        <f>COUNTIF(Table1[Malın adı],Table1[[#This Row],[Malın adı]])</f>
        <v>1</v>
      </c>
    </row>
    <row r="125" spans="2:5" x14ac:dyDescent="0.3">
      <c r="B125" s="4">
        <f t="shared" si="2"/>
        <v>123</v>
      </c>
      <c r="C125" s="10" t="s">
        <v>118</v>
      </c>
      <c r="D125" s="4" t="str">
        <f t="shared" si="3"/>
        <v>0000123</v>
      </c>
      <c r="E125" s="4">
        <f>COUNTIF(Table1[Malın adı],Table1[[#This Row],[Malın adı]])</f>
        <v>1</v>
      </c>
    </row>
    <row r="126" spans="2:5" x14ac:dyDescent="0.3">
      <c r="B126" s="4">
        <f t="shared" si="2"/>
        <v>124</v>
      </c>
      <c r="C126" s="10" t="s">
        <v>119</v>
      </c>
      <c r="D126" s="4" t="str">
        <f t="shared" si="3"/>
        <v>0000124</v>
      </c>
      <c r="E126" s="4">
        <f>COUNTIF(Table1[Malın adı],Table1[[#This Row],[Malın adı]])</f>
        <v>1</v>
      </c>
    </row>
    <row r="127" spans="2:5" x14ac:dyDescent="0.3">
      <c r="B127" s="4">
        <f t="shared" si="2"/>
        <v>125</v>
      </c>
      <c r="C127" s="10" t="s">
        <v>120</v>
      </c>
      <c r="D127" s="4" t="str">
        <f t="shared" si="3"/>
        <v>0000125</v>
      </c>
      <c r="E127" s="4">
        <f>COUNTIF(Table1[Malın adı],Table1[[#This Row],[Malın adı]])</f>
        <v>1</v>
      </c>
    </row>
    <row r="128" spans="2:5" x14ac:dyDescent="0.3">
      <c r="B128" s="4">
        <f t="shared" si="2"/>
        <v>126</v>
      </c>
      <c r="C128" s="10" t="s">
        <v>121</v>
      </c>
      <c r="D128" s="4" t="str">
        <f t="shared" si="3"/>
        <v>0000126</v>
      </c>
      <c r="E128" s="4">
        <f>COUNTIF(Table1[Malın adı],Table1[[#This Row],[Malın adı]])</f>
        <v>1</v>
      </c>
    </row>
    <row r="129" spans="2:5" x14ac:dyDescent="0.3">
      <c r="B129" s="4">
        <f t="shared" si="2"/>
        <v>127</v>
      </c>
      <c r="C129" s="10" t="s">
        <v>122</v>
      </c>
      <c r="D129" s="4" t="str">
        <f t="shared" si="3"/>
        <v>0000127</v>
      </c>
      <c r="E129" s="4">
        <f>COUNTIF(Table1[Malın adı],Table1[[#This Row],[Malın adı]])</f>
        <v>1</v>
      </c>
    </row>
    <row r="130" spans="2:5" x14ac:dyDescent="0.3">
      <c r="B130" s="4">
        <f t="shared" si="2"/>
        <v>128</v>
      </c>
      <c r="C130" s="10" t="s">
        <v>123</v>
      </c>
      <c r="D130" s="4" t="str">
        <f t="shared" si="3"/>
        <v>0000128</v>
      </c>
      <c r="E130" s="4">
        <f>COUNTIF(Table1[Malın adı],Table1[[#This Row],[Malın adı]])</f>
        <v>1</v>
      </c>
    </row>
    <row r="131" spans="2:5" x14ac:dyDescent="0.3">
      <c r="B131" s="4">
        <f t="shared" ref="B131:B194" si="4">ROW()-2</f>
        <v>129</v>
      </c>
      <c r="C131" s="10" t="s">
        <v>124</v>
      </c>
      <c r="D131" s="4" t="str">
        <f t="shared" ref="D131:D194" si="5">TEXT(ROW()-2,"0000000")</f>
        <v>0000129</v>
      </c>
      <c r="E131" s="4">
        <f>COUNTIF(Table1[Malın adı],Table1[[#This Row],[Malın adı]])</f>
        <v>1</v>
      </c>
    </row>
    <row r="132" spans="2:5" x14ac:dyDescent="0.3">
      <c r="B132" s="4">
        <f t="shared" si="4"/>
        <v>130</v>
      </c>
      <c r="C132" s="10" t="s">
        <v>125</v>
      </c>
      <c r="D132" s="4" t="str">
        <f t="shared" si="5"/>
        <v>0000130</v>
      </c>
      <c r="E132" s="4">
        <f>COUNTIF(Table1[Malın adı],Table1[[#This Row],[Malın adı]])</f>
        <v>1</v>
      </c>
    </row>
    <row r="133" spans="2:5" x14ac:dyDescent="0.3">
      <c r="B133" s="4">
        <f t="shared" si="4"/>
        <v>131</v>
      </c>
      <c r="C133" s="10" t="s">
        <v>126</v>
      </c>
      <c r="D133" s="4" t="str">
        <f t="shared" si="5"/>
        <v>0000131</v>
      </c>
      <c r="E133" s="4">
        <f>COUNTIF(Table1[Malın adı],Table1[[#This Row],[Malın adı]])</f>
        <v>1</v>
      </c>
    </row>
    <row r="134" spans="2:5" x14ac:dyDescent="0.3">
      <c r="B134" s="4">
        <f t="shared" si="4"/>
        <v>132</v>
      </c>
      <c r="C134" s="10" t="s">
        <v>127</v>
      </c>
      <c r="D134" s="4" t="str">
        <f t="shared" si="5"/>
        <v>0000132</v>
      </c>
      <c r="E134" s="4">
        <f>COUNTIF(Table1[Malın adı],Table1[[#This Row],[Malın adı]])</f>
        <v>1</v>
      </c>
    </row>
    <row r="135" spans="2:5" x14ac:dyDescent="0.3">
      <c r="B135" s="4">
        <f t="shared" si="4"/>
        <v>133</v>
      </c>
      <c r="C135" s="10" t="s">
        <v>128</v>
      </c>
      <c r="D135" s="4" t="str">
        <f t="shared" si="5"/>
        <v>0000133</v>
      </c>
      <c r="E135" s="4">
        <f>COUNTIF(Table1[Malın adı],Table1[[#This Row],[Malın adı]])</f>
        <v>1</v>
      </c>
    </row>
    <row r="136" spans="2:5" x14ac:dyDescent="0.3">
      <c r="B136" s="4">
        <f t="shared" si="4"/>
        <v>134</v>
      </c>
      <c r="C136" s="10" t="s">
        <v>129</v>
      </c>
      <c r="D136" s="4" t="str">
        <f t="shared" si="5"/>
        <v>0000134</v>
      </c>
      <c r="E136" s="4">
        <f>COUNTIF(Table1[Malın adı],Table1[[#This Row],[Malın adı]])</f>
        <v>1</v>
      </c>
    </row>
    <row r="137" spans="2:5" x14ac:dyDescent="0.3">
      <c r="B137" s="4">
        <f t="shared" si="4"/>
        <v>135</v>
      </c>
      <c r="C137" s="10" t="s">
        <v>130</v>
      </c>
      <c r="D137" s="4" t="str">
        <f t="shared" si="5"/>
        <v>0000135</v>
      </c>
      <c r="E137" s="4">
        <f>COUNTIF(Table1[Malın adı],Table1[[#This Row],[Malın adı]])</f>
        <v>1</v>
      </c>
    </row>
    <row r="138" spans="2:5" x14ac:dyDescent="0.3">
      <c r="B138" s="4">
        <f t="shared" si="4"/>
        <v>136</v>
      </c>
      <c r="C138" s="10" t="s">
        <v>131</v>
      </c>
      <c r="D138" s="4" t="str">
        <f t="shared" si="5"/>
        <v>0000136</v>
      </c>
      <c r="E138" s="4">
        <f>COUNTIF(Table1[Malın adı],Table1[[#This Row],[Malın adı]])</f>
        <v>1</v>
      </c>
    </row>
    <row r="139" spans="2:5" x14ac:dyDescent="0.3">
      <c r="B139" s="4">
        <f t="shared" si="4"/>
        <v>137</v>
      </c>
      <c r="C139" s="10" t="s">
        <v>132</v>
      </c>
      <c r="D139" s="4" t="str">
        <f t="shared" si="5"/>
        <v>0000137</v>
      </c>
      <c r="E139" s="4">
        <f>COUNTIF(Table1[Malın adı],Table1[[#This Row],[Malın adı]])</f>
        <v>1</v>
      </c>
    </row>
    <row r="140" spans="2:5" x14ac:dyDescent="0.3">
      <c r="B140" s="4">
        <f t="shared" si="4"/>
        <v>138</v>
      </c>
      <c r="C140" s="10" t="s">
        <v>133</v>
      </c>
      <c r="D140" s="4" t="str">
        <f t="shared" si="5"/>
        <v>0000138</v>
      </c>
      <c r="E140" s="4">
        <f>COUNTIF(Table1[Malın adı],Table1[[#This Row],[Malın adı]])</f>
        <v>1</v>
      </c>
    </row>
    <row r="141" spans="2:5" x14ac:dyDescent="0.3">
      <c r="B141" s="4">
        <f t="shared" si="4"/>
        <v>139</v>
      </c>
      <c r="C141" s="10" t="s">
        <v>134</v>
      </c>
      <c r="D141" s="4" t="str">
        <f t="shared" si="5"/>
        <v>0000139</v>
      </c>
      <c r="E141" s="4">
        <f>COUNTIF(Table1[Malın adı],Table1[[#This Row],[Malın adı]])</f>
        <v>1</v>
      </c>
    </row>
    <row r="142" spans="2:5" x14ac:dyDescent="0.3">
      <c r="B142" s="4">
        <f t="shared" si="4"/>
        <v>140</v>
      </c>
      <c r="C142" s="10" t="s">
        <v>135</v>
      </c>
      <c r="D142" s="4" t="str">
        <f t="shared" si="5"/>
        <v>0000140</v>
      </c>
      <c r="E142" s="4">
        <f>COUNTIF(Table1[Malın adı],Table1[[#This Row],[Malın adı]])</f>
        <v>1</v>
      </c>
    </row>
    <row r="143" spans="2:5" x14ac:dyDescent="0.3">
      <c r="B143" s="4">
        <f t="shared" si="4"/>
        <v>141</v>
      </c>
      <c r="C143" s="10" t="s">
        <v>136</v>
      </c>
      <c r="D143" s="4" t="str">
        <f t="shared" si="5"/>
        <v>0000141</v>
      </c>
      <c r="E143" s="4">
        <f>COUNTIF(Table1[Malın adı],Table1[[#This Row],[Malın adı]])</f>
        <v>1</v>
      </c>
    </row>
    <row r="144" spans="2:5" x14ac:dyDescent="0.3">
      <c r="B144" s="4">
        <f t="shared" si="4"/>
        <v>142</v>
      </c>
      <c r="C144" s="10" t="s">
        <v>137</v>
      </c>
      <c r="D144" s="4" t="str">
        <f t="shared" si="5"/>
        <v>0000142</v>
      </c>
      <c r="E144" s="4">
        <f>COUNTIF(Table1[Malın adı],Table1[[#This Row],[Malın adı]])</f>
        <v>1</v>
      </c>
    </row>
    <row r="145" spans="2:5" x14ac:dyDescent="0.3">
      <c r="B145" s="4">
        <f t="shared" si="4"/>
        <v>143</v>
      </c>
      <c r="C145" s="10" t="s">
        <v>138</v>
      </c>
      <c r="D145" s="4" t="str">
        <f t="shared" si="5"/>
        <v>0000143</v>
      </c>
      <c r="E145" s="4">
        <f>COUNTIF(Table1[Malın adı],Table1[[#This Row],[Malın adı]])</f>
        <v>1</v>
      </c>
    </row>
    <row r="146" spans="2:5" x14ac:dyDescent="0.3">
      <c r="B146" s="4">
        <f t="shared" si="4"/>
        <v>144</v>
      </c>
      <c r="C146" s="10" t="s">
        <v>139</v>
      </c>
      <c r="D146" s="4" t="str">
        <f t="shared" si="5"/>
        <v>0000144</v>
      </c>
      <c r="E146" s="4">
        <f>COUNTIF(Table1[Malın adı],Table1[[#This Row],[Malın adı]])</f>
        <v>1</v>
      </c>
    </row>
    <row r="147" spans="2:5" x14ac:dyDescent="0.3">
      <c r="B147" s="4">
        <f t="shared" si="4"/>
        <v>145</v>
      </c>
      <c r="C147" s="10" t="s">
        <v>140</v>
      </c>
      <c r="D147" s="4" t="str">
        <f t="shared" si="5"/>
        <v>0000145</v>
      </c>
      <c r="E147" s="4">
        <f>COUNTIF(Table1[Malın adı],Table1[[#This Row],[Malın adı]])</f>
        <v>1</v>
      </c>
    </row>
    <row r="148" spans="2:5" x14ac:dyDescent="0.3">
      <c r="B148" s="4">
        <f t="shared" si="4"/>
        <v>146</v>
      </c>
      <c r="C148" s="10" t="s">
        <v>141</v>
      </c>
      <c r="D148" s="4" t="str">
        <f t="shared" si="5"/>
        <v>0000146</v>
      </c>
      <c r="E148" s="4">
        <f>COUNTIF(Table1[Malın adı],Table1[[#This Row],[Malın adı]])</f>
        <v>1</v>
      </c>
    </row>
    <row r="149" spans="2:5" x14ac:dyDescent="0.3">
      <c r="B149" s="4">
        <f t="shared" si="4"/>
        <v>147</v>
      </c>
      <c r="C149" s="10" t="s">
        <v>142</v>
      </c>
      <c r="D149" s="4" t="str">
        <f t="shared" si="5"/>
        <v>0000147</v>
      </c>
      <c r="E149" s="4">
        <f>COUNTIF(Table1[Malın adı],Table1[[#This Row],[Malın adı]])</f>
        <v>1</v>
      </c>
    </row>
    <row r="150" spans="2:5" x14ac:dyDescent="0.3">
      <c r="B150" s="4">
        <f t="shared" si="4"/>
        <v>148</v>
      </c>
      <c r="C150" s="10" t="s">
        <v>143</v>
      </c>
      <c r="D150" s="4" t="str">
        <f t="shared" si="5"/>
        <v>0000148</v>
      </c>
      <c r="E150" s="4">
        <f>COUNTIF(Table1[Malın adı],Table1[[#This Row],[Malın adı]])</f>
        <v>1</v>
      </c>
    </row>
    <row r="151" spans="2:5" x14ac:dyDescent="0.3">
      <c r="B151" s="4">
        <f t="shared" si="4"/>
        <v>149</v>
      </c>
      <c r="C151" s="10" t="s">
        <v>144</v>
      </c>
      <c r="D151" s="4" t="str">
        <f t="shared" si="5"/>
        <v>0000149</v>
      </c>
      <c r="E151" s="4">
        <f>COUNTIF(Table1[Malın adı],Table1[[#This Row],[Malın adı]])</f>
        <v>1</v>
      </c>
    </row>
    <row r="152" spans="2:5" x14ac:dyDescent="0.3">
      <c r="B152" s="4">
        <f t="shared" si="4"/>
        <v>150</v>
      </c>
      <c r="C152" s="10" t="s">
        <v>145</v>
      </c>
      <c r="D152" s="4" t="str">
        <f t="shared" si="5"/>
        <v>0000150</v>
      </c>
      <c r="E152" s="4">
        <f>COUNTIF(Table1[Malın adı],Table1[[#This Row],[Malın adı]])</f>
        <v>1</v>
      </c>
    </row>
    <row r="153" spans="2:5" x14ac:dyDescent="0.3">
      <c r="B153" s="4">
        <f t="shared" si="4"/>
        <v>151</v>
      </c>
      <c r="C153" s="10" t="s">
        <v>146</v>
      </c>
      <c r="D153" s="4" t="str">
        <f t="shared" si="5"/>
        <v>0000151</v>
      </c>
      <c r="E153" s="4">
        <f>COUNTIF(Table1[Malın adı],Table1[[#This Row],[Malın adı]])</f>
        <v>1</v>
      </c>
    </row>
    <row r="154" spans="2:5" x14ac:dyDescent="0.3">
      <c r="B154" s="4">
        <f t="shared" si="4"/>
        <v>152</v>
      </c>
      <c r="C154" s="10" t="s">
        <v>147</v>
      </c>
      <c r="D154" s="4" t="str">
        <f t="shared" si="5"/>
        <v>0000152</v>
      </c>
      <c r="E154" s="4">
        <f>COUNTIF(Table1[Malın adı],Table1[[#This Row],[Malın adı]])</f>
        <v>1</v>
      </c>
    </row>
    <row r="155" spans="2:5" x14ac:dyDescent="0.3">
      <c r="B155" s="4">
        <f t="shared" si="4"/>
        <v>153</v>
      </c>
      <c r="C155" s="10" t="s">
        <v>148</v>
      </c>
      <c r="D155" s="4" t="str">
        <f t="shared" si="5"/>
        <v>0000153</v>
      </c>
      <c r="E155" s="4">
        <f>COUNTIF(Table1[Malın adı],Table1[[#This Row],[Malın adı]])</f>
        <v>1</v>
      </c>
    </row>
    <row r="156" spans="2:5" x14ac:dyDescent="0.3">
      <c r="B156" s="4">
        <f t="shared" si="4"/>
        <v>154</v>
      </c>
      <c r="C156" s="10" t="s">
        <v>149</v>
      </c>
      <c r="D156" s="4" t="str">
        <f t="shared" si="5"/>
        <v>0000154</v>
      </c>
      <c r="E156" s="4">
        <f>COUNTIF(Table1[Malın adı],Table1[[#This Row],[Malın adı]])</f>
        <v>1</v>
      </c>
    </row>
    <row r="157" spans="2:5" x14ac:dyDescent="0.3">
      <c r="B157" s="4">
        <f t="shared" si="4"/>
        <v>155</v>
      </c>
      <c r="C157" s="10" t="s">
        <v>150</v>
      </c>
      <c r="D157" s="4" t="str">
        <f t="shared" si="5"/>
        <v>0000155</v>
      </c>
      <c r="E157" s="4">
        <f>COUNTIF(Table1[Malın adı],Table1[[#This Row],[Malın adı]])</f>
        <v>1</v>
      </c>
    </row>
    <row r="158" spans="2:5" x14ac:dyDescent="0.3">
      <c r="B158" s="4">
        <f t="shared" si="4"/>
        <v>156</v>
      </c>
      <c r="C158" s="10" t="s">
        <v>151</v>
      </c>
      <c r="D158" s="4" t="str">
        <f t="shared" si="5"/>
        <v>0000156</v>
      </c>
      <c r="E158" s="4">
        <f>COUNTIF(Table1[Malın adı],Table1[[#This Row],[Malın adı]])</f>
        <v>1</v>
      </c>
    </row>
    <row r="159" spans="2:5" x14ac:dyDescent="0.3">
      <c r="B159" s="4">
        <f t="shared" si="4"/>
        <v>157</v>
      </c>
      <c r="C159" s="10" t="s">
        <v>152</v>
      </c>
      <c r="D159" s="4" t="str">
        <f t="shared" si="5"/>
        <v>0000157</v>
      </c>
      <c r="E159" s="4">
        <f>COUNTIF(Table1[Malın adı],Table1[[#This Row],[Malın adı]])</f>
        <v>1</v>
      </c>
    </row>
    <row r="160" spans="2:5" x14ac:dyDescent="0.3">
      <c r="B160" s="4">
        <f t="shared" si="4"/>
        <v>158</v>
      </c>
      <c r="C160" s="10" t="s">
        <v>153</v>
      </c>
      <c r="D160" s="4" t="str">
        <f t="shared" si="5"/>
        <v>0000158</v>
      </c>
      <c r="E160" s="4">
        <f>COUNTIF(Table1[Malın adı],Table1[[#This Row],[Malın adı]])</f>
        <v>1</v>
      </c>
    </row>
    <row r="161" spans="2:5" x14ac:dyDescent="0.3">
      <c r="B161" s="4">
        <f t="shared" si="4"/>
        <v>159</v>
      </c>
      <c r="C161" s="10" t="s">
        <v>154</v>
      </c>
      <c r="D161" s="4" t="str">
        <f t="shared" si="5"/>
        <v>0000159</v>
      </c>
      <c r="E161" s="4">
        <f>COUNTIF(Table1[Malın adı],Table1[[#This Row],[Malın adı]])</f>
        <v>1</v>
      </c>
    </row>
    <row r="162" spans="2:5" x14ac:dyDescent="0.3">
      <c r="B162" s="4">
        <f t="shared" si="4"/>
        <v>160</v>
      </c>
      <c r="C162" s="10" t="s">
        <v>155</v>
      </c>
      <c r="D162" s="4" t="str">
        <f t="shared" si="5"/>
        <v>0000160</v>
      </c>
      <c r="E162" s="4">
        <f>COUNTIF(Table1[Malın adı],Table1[[#This Row],[Malın adı]])</f>
        <v>1</v>
      </c>
    </row>
    <row r="163" spans="2:5" x14ac:dyDescent="0.3">
      <c r="B163" s="4">
        <f t="shared" si="4"/>
        <v>161</v>
      </c>
      <c r="C163" s="10" t="s">
        <v>2461</v>
      </c>
      <c r="D163" s="4" t="str">
        <f t="shared" si="5"/>
        <v>0000161</v>
      </c>
      <c r="E163" s="4">
        <f>COUNTIF(Table1[Malın adı],Table1[[#This Row],[Malın adı]])</f>
        <v>1</v>
      </c>
    </row>
    <row r="164" spans="2:5" x14ac:dyDescent="0.3">
      <c r="B164" s="4">
        <f t="shared" si="4"/>
        <v>162</v>
      </c>
      <c r="C164" s="10" t="s">
        <v>156</v>
      </c>
      <c r="D164" s="4" t="str">
        <f t="shared" si="5"/>
        <v>0000162</v>
      </c>
      <c r="E164" s="4">
        <f>COUNTIF(Table1[Malın adı],Table1[[#This Row],[Malın adı]])</f>
        <v>1</v>
      </c>
    </row>
    <row r="165" spans="2:5" x14ac:dyDescent="0.3">
      <c r="B165" s="4">
        <f t="shared" si="4"/>
        <v>163</v>
      </c>
      <c r="C165" s="10" t="s">
        <v>157</v>
      </c>
      <c r="D165" s="4" t="str">
        <f t="shared" si="5"/>
        <v>0000163</v>
      </c>
      <c r="E165" s="4">
        <f>COUNTIF(Table1[Malın adı],Table1[[#This Row],[Malın adı]])</f>
        <v>1</v>
      </c>
    </row>
    <row r="166" spans="2:5" x14ac:dyDescent="0.3">
      <c r="B166" s="4">
        <f t="shared" si="4"/>
        <v>164</v>
      </c>
      <c r="C166" s="10" t="s">
        <v>158</v>
      </c>
      <c r="D166" s="4" t="str">
        <f t="shared" si="5"/>
        <v>0000164</v>
      </c>
      <c r="E166" s="4">
        <f>COUNTIF(Table1[Malın adı],Table1[[#This Row],[Malın adı]])</f>
        <v>1</v>
      </c>
    </row>
    <row r="167" spans="2:5" x14ac:dyDescent="0.3">
      <c r="B167" s="4">
        <f t="shared" si="4"/>
        <v>165</v>
      </c>
      <c r="C167" s="10" t="s">
        <v>159</v>
      </c>
      <c r="D167" s="4" t="str">
        <f t="shared" si="5"/>
        <v>0000165</v>
      </c>
      <c r="E167" s="4">
        <f>COUNTIF(Table1[Malın adı],Table1[[#This Row],[Malın adı]])</f>
        <v>1</v>
      </c>
    </row>
    <row r="168" spans="2:5" x14ac:dyDescent="0.3">
      <c r="B168" s="4">
        <f t="shared" si="4"/>
        <v>166</v>
      </c>
      <c r="C168" s="10" t="s">
        <v>160</v>
      </c>
      <c r="D168" s="4" t="str">
        <f t="shared" si="5"/>
        <v>0000166</v>
      </c>
      <c r="E168" s="4">
        <f>COUNTIF(Table1[Malın adı],Table1[[#This Row],[Malın adı]])</f>
        <v>1</v>
      </c>
    </row>
    <row r="169" spans="2:5" x14ac:dyDescent="0.3">
      <c r="B169" s="4">
        <f t="shared" si="4"/>
        <v>167</v>
      </c>
      <c r="C169" s="10" t="s">
        <v>161</v>
      </c>
      <c r="D169" s="4" t="str">
        <f t="shared" si="5"/>
        <v>0000167</v>
      </c>
      <c r="E169" s="4">
        <f>COUNTIF(Table1[Malın adı],Table1[[#This Row],[Malın adı]])</f>
        <v>1</v>
      </c>
    </row>
    <row r="170" spans="2:5" x14ac:dyDescent="0.3">
      <c r="B170" s="4">
        <f t="shared" si="4"/>
        <v>168</v>
      </c>
      <c r="C170" s="10" t="s">
        <v>162</v>
      </c>
      <c r="D170" s="4" t="str">
        <f t="shared" si="5"/>
        <v>0000168</v>
      </c>
      <c r="E170" s="4">
        <f>COUNTIF(Table1[Malın adı],Table1[[#This Row],[Malın adı]])</f>
        <v>1</v>
      </c>
    </row>
    <row r="171" spans="2:5" x14ac:dyDescent="0.3">
      <c r="B171" s="4">
        <f t="shared" si="4"/>
        <v>169</v>
      </c>
      <c r="C171" s="10" t="s">
        <v>163</v>
      </c>
      <c r="D171" s="4" t="str">
        <f t="shared" si="5"/>
        <v>0000169</v>
      </c>
      <c r="E171" s="4">
        <f>COUNTIF(Table1[Malın adı],Table1[[#This Row],[Malın adı]])</f>
        <v>1</v>
      </c>
    </row>
    <row r="172" spans="2:5" x14ac:dyDescent="0.3">
      <c r="B172" s="4">
        <f t="shared" si="4"/>
        <v>170</v>
      </c>
      <c r="C172" s="10" t="s">
        <v>164</v>
      </c>
      <c r="D172" s="4" t="str">
        <f t="shared" si="5"/>
        <v>0000170</v>
      </c>
      <c r="E172" s="4">
        <f>COUNTIF(Table1[Malın adı],Table1[[#This Row],[Malın adı]])</f>
        <v>1</v>
      </c>
    </row>
    <row r="173" spans="2:5" x14ac:dyDescent="0.3">
      <c r="B173" s="4">
        <f t="shared" si="4"/>
        <v>171</v>
      </c>
      <c r="C173" s="10" t="s">
        <v>165</v>
      </c>
      <c r="D173" s="4" t="str">
        <f t="shared" si="5"/>
        <v>0000171</v>
      </c>
      <c r="E173" s="4">
        <f>COUNTIF(Table1[Malın adı],Table1[[#This Row],[Malın adı]])</f>
        <v>1</v>
      </c>
    </row>
    <row r="174" spans="2:5" x14ac:dyDescent="0.3">
      <c r="B174" s="4">
        <f t="shared" si="4"/>
        <v>172</v>
      </c>
      <c r="C174" s="10" t="s">
        <v>166</v>
      </c>
      <c r="D174" s="4" t="str">
        <f t="shared" si="5"/>
        <v>0000172</v>
      </c>
      <c r="E174" s="4">
        <f>COUNTIF(Table1[Malın adı],Table1[[#This Row],[Malın adı]])</f>
        <v>1</v>
      </c>
    </row>
    <row r="175" spans="2:5" x14ac:dyDescent="0.3">
      <c r="B175" s="4">
        <f t="shared" si="4"/>
        <v>173</v>
      </c>
      <c r="C175" s="10" t="s">
        <v>167</v>
      </c>
      <c r="D175" s="4" t="str">
        <f t="shared" si="5"/>
        <v>0000173</v>
      </c>
      <c r="E175" s="4">
        <f>COUNTIF(Table1[Malın adı],Table1[[#This Row],[Malın adı]])</f>
        <v>1</v>
      </c>
    </row>
    <row r="176" spans="2:5" x14ac:dyDescent="0.3">
      <c r="B176" s="4">
        <f t="shared" si="4"/>
        <v>174</v>
      </c>
      <c r="C176" s="10" t="s">
        <v>168</v>
      </c>
      <c r="D176" s="4" t="str">
        <f t="shared" si="5"/>
        <v>0000174</v>
      </c>
      <c r="E176" s="4">
        <f>COUNTIF(Table1[Malın adı],Table1[[#This Row],[Malın adı]])</f>
        <v>1</v>
      </c>
    </row>
    <row r="177" spans="2:5" x14ac:dyDescent="0.3">
      <c r="B177" s="4">
        <f t="shared" si="4"/>
        <v>175</v>
      </c>
      <c r="C177" s="10" t="s">
        <v>2462</v>
      </c>
      <c r="D177" s="4" t="str">
        <f t="shared" si="5"/>
        <v>0000175</v>
      </c>
      <c r="E177" s="4">
        <f>COUNTIF(Table1[Malın adı],Table1[[#This Row],[Malın adı]])</f>
        <v>1</v>
      </c>
    </row>
    <row r="178" spans="2:5" x14ac:dyDescent="0.3">
      <c r="B178" s="4">
        <f t="shared" si="4"/>
        <v>176</v>
      </c>
      <c r="C178" s="10" t="s">
        <v>169</v>
      </c>
      <c r="D178" s="4" t="str">
        <f t="shared" si="5"/>
        <v>0000176</v>
      </c>
      <c r="E178" s="4">
        <f>COUNTIF(Table1[Malın adı],Table1[[#This Row],[Malın adı]])</f>
        <v>1</v>
      </c>
    </row>
    <row r="179" spans="2:5" x14ac:dyDescent="0.3">
      <c r="B179" s="4">
        <f t="shared" si="4"/>
        <v>177</v>
      </c>
      <c r="C179" s="10" t="s">
        <v>170</v>
      </c>
      <c r="D179" s="4" t="str">
        <f t="shared" si="5"/>
        <v>0000177</v>
      </c>
      <c r="E179" s="4">
        <f>COUNTIF(Table1[Malın adı],Table1[[#This Row],[Malın adı]])</f>
        <v>1</v>
      </c>
    </row>
    <row r="180" spans="2:5" x14ac:dyDescent="0.3">
      <c r="B180" s="4">
        <f t="shared" si="4"/>
        <v>178</v>
      </c>
      <c r="C180" s="10" t="s">
        <v>171</v>
      </c>
      <c r="D180" s="4" t="str">
        <f t="shared" si="5"/>
        <v>0000178</v>
      </c>
      <c r="E180" s="4">
        <f>COUNTIF(Table1[Malın adı],Table1[[#This Row],[Malın adı]])</f>
        <v>1</v>
      </c>
    </row>
    <row r="181" spans="2:5" x14ac:dyDescent="0.3">
      <c r="B181" s="4">
        <f t="shared" si="4"/>
        <v>179</v>
      </c>
      <c r="C181" s="10" t="s">
        <v>2463</v>
      </c>
      <c r="D181" s="4" t="str">
        <f t="shared" si="5"/>
        <v>0000179</v>
      </c>
      <c r="E181" s="4">
        <f>COUNTIF(Table1[Malın adı],Table1[[#This Row],[Malın adı]])</f>
        <v>1</v>
      </c>
    </row>
    <row r="182" spans="2:5" x14ac:dyDescent="0.3">
      <c r="B182" s="4">
        <f t="shared" si="4"/>
        <v>180</v>
      </c>
      <c r="C182" s="10" t="s">
        <v>172</v>
      </c>
      <c r="D182" s="4" t="str">
        <f t="shared" si="5"/>
        <v>0000180</v>
      </c>
      <c r="E182" s="4">
        <f>COUNTIF(Table1[Malın adı],Table1[[#This Row],[Malın adı]])</f>
        <v>1</v>
      </c>
    </row>
    <row r="183" spans="2:5" x14ac:dyDescent="0.3">
      <c r="B183" s="4">
        <f t="shared" si="4"/>
        <v>181</v>
      </c>
      <c r="C183" s="10" t="s">
        <v>173</v>
      </c>
      <c r="D183" s="4" t="str">
        <f t="shared" si="5"/>
        <v>0000181</v>
      </c>
      <c r="E183" s="4">
        <f>COUNTIF(Table1[Malın adı],Table1[[#This Row],[Malın adı]])</f>
        <v>1</v>
      </c>
    </row>
    <row r="184" spans="2:5" x14ac:dyDescent="0.3">
      <c r="B184" s="4">
        <f t="shared" si="4"/>
        <v>182</v>
      </c>
      <c r="C184" s="10" t="s">
        <v>174</v>
      </c>
      <c r="D184" s="4" t="str">
        <f t="shared" si="5"/>
        <v>0000182</v>
      </c>
      <c r="E184" s="4">
        <f>COUNTIF(Table1[Malın adı],Table1[[#This Row],[Malın adı]])</f>
        <v>1</v>
      </c>
    </row>
    <row r="185" spans="2:5" x14ac:dyDescent="0.3">
      <c r="B185" s="4">
        <f t="shared" si="4"/>
        <v>183</v>
      </c>
      <c r="C185" s="10" t="s">
        <v>175</v>
      </c>
      <c r="D185" s="4" t="str">
        <f t="shared" si="5"/>
        <v>0000183</v>
      </c>
      <c r="E185" s="4">
        <f>COUNTIF(Table1[Malın adı],Table1[[#This Row],[Malın adı]])</f>
        <v>1</v>
      </c>
    </row>
    <row r="186" spans="2:5" x14ac:dyDescent="0.3">
      <c r="B186" s="4">
        <f t="shared" si="4"/>
        <v>184</v>
      </c>
      <c r="C186" s="10" t="s">
        <v>176</v>
      </c>
      <c r="D186" s="4" t="str">
        <f t="shared" si="5"/>
        <v>0000184</v>
      </c>
      <c r="E186" s="4">
        <f>COUNTIF(Table1[Malın adı],Table1[[#This Row],[Malın adı]])</f>
        <v>1</v>
      </c>
    </row>
    <row r="187" spans="2:5" x14ac:dyDescent="0.3">
      <c r="B187" s="4">
        <f t="shared" si="4"/>
        <v>185</v>
      </c>
      <c r="C187" s="10" t="s">
        <v>177</v>
      </c>
      <c r="D187" s="4" t="str">
        <f t="shared" si="5"/>
        <v>0000185</v>
      </c>
      <c r="E187" s="4">
        <f>COUNTIF(Table1[Malın adı],Table1[[#This Row],[Malın adı]])</f>
        <v>1</v>
      </c>
    </row>
    <row r="188" spans="2:5" x14ac:dyDescent="0.3">
      <c r="B188" s="4">
        <f t="shared" si="4"/>
        <v>186</v>
      </c>
      <c r="C188" s="10" t="s">
        <v>178</v>
      </c>
      <c r="D188" s="4" t="str">
        <f t="shared" si="5"/>
        <v>0000186</v>
      </c>
      <c r="E188" s="4">
        <f>COUNTIF(Table1[Malın adı],Table1[[#This Row],[Malın adı]])</f>
        <v>1</v>
      </c>
    </row>
    <row r="189" spans="2:5" x14ac:dyDescent="0.3">
      <c r="B189" s="4">
        <f t="shared" si="4"/>
        <v>187</v>
      </c>
      <c r="C189" s="10" t="s">
        <v>179</v>
      </c>
      <c r="D189" s="4" t="str">
        <f t="shared" si="5"/>
        <v>0000187</v>
      </c>
      <c r="E189" s="4">
        <f>COUNTIF(Table1[Malın adı],Table1[[#This Row],[Malın adı]])</f>
        <v>1</v>
      </c>
    </row>
    <row r="190" spans="2:5" x14ac:dyDescent="0.3">
      <c r="B190" s="4">
        <f t="shared" si="4"/>
        <v>188</v>
      </c>
      <c r="C190" s="10" t="s">
        <v>180</v>
      </c>
      <c r="D190" s="4" t="str">
        <f t="shared" si="5"/>
        <v>0000188</v>
      </c>
      <c r="E190" s="4">
        <f>COUNTIF(Table1[Malın adı],Table1[[#This Row],[Malın adı]])</f>
        <v>1</v>
      </c>
    </row>
    <row r="191" spans="2:5" x14ac:dyDescent="0.3">
      <c r="B191" s="4">
        <f t="shared" si="4"/>
        <v>189</v>
      </c>
      <c r="C191" s="10" t="s">
        <v>181</v>
      </c>
      <c r="D191" s="4" t="str">
        <f t="shared" si="5"/>
        <v>0000189</v>
      </c>
      <c r="E191" s="4">
        <f>COUNTIF(Table1[Malın adı],Table1[[#This Row],[Malın adı]])</f>
        <v>1</v>
      </c>
    </row>
    <row r="192" spans="2:5" x14ac:dyDescent="0.3">
      <c r="B192" s="4">
        <f t="shared" si="4"/>
        <v>190</v>
      </c>
      <c r="C192" s="10" t="s">
        <v>182</v>
      </c>
      <c r="D192" s="4" t="str">
        <f t="shared" si="5"/>
        <v>0000190</v>
      </c>
      <c r="E192" s="4">
        <f>COUNTIF(Table1[Malın adı],Table1[[#This Row],[Malın adı]])</f>
        <v>1</v>
      </c>
    </row>
    <row r="193" spans="2:5" x14ac:dyDescent="0.3">
      <c r="B193" s="4">
        <f t="shared" si="4"/>
        <v>191</v>
      </c>
      <c r="C193" s="10" t="s">
        <v>183</v>
      </c>
      <c r="D193" s="4" t="str">
        <f t="shared" si="5"/>
        <v>0000191</v>
      </c>
      <c r="E193" s="4">
        <f>COUNTIF(Table1[Malın adı],Table1[[#This Row],[Malın adı]])</f>
        <v>1</v>
      </c>
    </row>
    <row r="194" spans="2:5" x14ac:dyDescent="0.3">
      <c r="B194" s="4">
        <f t="shared" si="4"/>
        <v>192</v>
      </c>
      <c r="C194" s="10" t="s">
        <v>184</v>
      </c>
      <c r="D194" s="4" t="str">
        <f t="shared" si="5"/>
        <v>0000192</v>
      </c>
      <c r="E194" s="4">
        <f>COUNTIF(Table1[Malın adı],Table1[[#This Row],[Malın adı]])</f>
        <v>1</v>
      </c>
    </row>
    <row r="195" spans="2:5" x14ac:dyDescent="0.3">
      <c r="B195" s="4">
        <f t="shared" ref="B195:B258" si="6">ROW()-2</f>
        <v>193</v>
      </c>
      <c r="C195" s="10" t="s">
        <v>185</v>
      </c>
      <c r="D195" s="4" t="str">
        <f t="shared" ref="D195:D258" si="7">TEXT(ROW()-2,"0000000")</f>
        <v>0000193</v>
      </c>
      <c r="E195" s="4">
        <f>COUNTIF(Table1[Malın adı],Table1[[#This Row],[Malın adı]])</f>
        <v>1</v>
      </c>
    </row>
    <row r="196" spans="2:5" x14ac:dyDescent="0.3">
      <c r="B196" s="4">
        <f t="shared" si="6"/>
        <v>194</v>
      </c>
      <c r="C196" s="10" t="s">
        <v>186</v>
      </c>
      <c r="D196" s="4" t="str">
        <f t="shared" si="7"/>
        <v>0000194</v>
      </c>
      <c r="E196" s="4">
        <f>COUNTIF(Table1[Malın adı],Table1[[#This Row],[Malın adı]])</f>
        <v>1</v>
      </c>
    </row>
    <row r="197" spans="2:5" x14ac:dyDescent="0.3">
      <c r="B197" s="4">
        <f t="shared" si="6"/>
        <v>195</v>
      </c>
      <c r="C197" s="10" t="s">
        <v>187</v>
      </c>
      <c r="D197" s="4" t="str">
        <f t="shared" si="7"/>
        <v>0000195</v>
      </c>
      <c r="E197" s="4">
        <f>COUNTIF(Table1[Malın adı],Table1[[#This Row],[Malın adı]])</f>
        <v>1</v>
      </c>
    </row>
    <row r="198" spans="2:5" x14ac:dyDescent="0.3">
      <c r="B198" s="4">
        <f t="shared" si="6"/>
        <v>196</v>
      </c>
      <c r="C198" s="10" t="s">
        <v>188</v>
      </c>
      <c r="D198" s="4" t="str">
        <f t="shared" si="7"/>
        <v>0000196</v>
      </c>
      <c r="E198" s="4">
        <f>COUNTIF(Table1[Malın adı],Table1[[#This Row],[Malın adı]])</f>
        <v>1</v>
      </c>
    </row>
    <row r="199" spans="2:5" x14ac:dyDescent="0.3">
      <c r="B199" s="4">
        <f t="shared" si="6"/>
        <v>197</v>
      </c>
      <c r="C199" s="10" t="s">
        <v>189</v>
      </c>
      <c r="D199" s="4" t="str">
        <f t="shared" si="7"/>
        <v>0000197</v>
      </c>
      <c r="E199" s="4">
        <f>COUNTIF(Table1[Malın adı],Table1[[#This Row],[Malın adı]])</f>
        <v>1</v>
      </c>
    </row>
    <row r="200" spans="2:5" x14ac:dyDescent="0.3">
      <c r="B200" s="4">
        <f t="shared" si="6"/>
        <v>198</v>
      </c>
      <c r="C200" s="10" t="s">
        <v>190</v>
      </c>
      <c r="D200" s="4" t="str">
        <f t="shared" si="7"/>
        <v>0000198</v>
      </c>
      <c r="E200" s="4">
        <f>COUNTIF(Table1[Malın adı],Table1[[#This Row],[Malın adı]])</f>
        <v>1</v>
      </c>
    </row>
    <row r="201" spans="2:5" x14ac:dyDescent="0.3">
      <c r="B201" s="4">
        <f t="shared" si="6"/>
        <v>199</v>
      </c>
      <c r="C201" s="10" t="s">
        <v>191</v>
      </c>
      <c r="D201" s="4" t="str">
        <f t="shared" si="7"/>
        <v>0000199</v>
      </c>
      <c r="E201" s="4">
        <f>COUNTIF(Table1[Malın adı],Table1[[#This Row],[Malın adı]])</f>
        <v>1</v>
      </c>
    </row>
    <row r="202" spans="2:5" x14ac:dyDescent="0.3">
      <c r="B202" s="4">
        <f t="shared" si="6"/>
        <v>200</v>
      </c>
      <c r="C202" s="10" t="s">
        <v>2159</v>
      </c>
      <c r="D202" s="4" t="str">
        <f t="shared" si="7"/>
        <v>0000200</v>
      </c>
      <c r="E202" s="4">
        <f>COUNTIF(Table1[Malın adı],Table1[[#This Row],[Malın adı]])</f>
        <v>1</v>
      </c>
    </row>
    <row r="203" spans="2:5" x14ac:dyDescent="0.3">
      <c r="B203" s="4">
        <f t="shared" si="6"/>
        <v>201</v>
      </c>
      <c r="C203" s="10" t="s">
        <v>192</v>
      </c>
      <c r="D203" s="4" t="str">
        <f t="shared" si="7"/>
        <v>0000201</v>
      </c>
      <c r="E203" s="4">
        <f>COUNTIF(Table1[Malın adı],Table1[[#This Row],[Malın adı]])</f>
        <v>1</v>
      </c>
    </row>
    <row r="204" spans="2:5" x14ac:dyDescent="0.3">
      <c r="B204" s="4">
        <f t="shared" si="6"/>
        <v>202</v>
      </c>
      <c r="C204" s="10" t="s">
        <v>193</v>
      </c>
      <c r="D204" s="4" t="str">
        <f t="shared" si="7"/>
        <v>0000202</v>
      </c>
      <c r="E204" s="4">
        <f>COUNTIF(Table1[Malın adı],Table1[[#This Row],[Malın adı]])</f>
        <v>1</v>
      </c>
    </row>
    <row r="205" spans="2:5" x14ac:dyDescent="0.3">
      <c r="B205" s="4">
        <f t="shared" si="6"/>
        <v>203</v>
      </c>
      <c r="C205" s="10" t="s">
        <v>194</v>
      </c>
      <c r="D205" s="4" t="str">
        <f t="shared" si="7"/>
        <v>0000203</v>
      </c>
      <c r="E205" s="4">
        <f>COUNTIF(Table1[Malın adı],Table1[[#This Row],[Malın adı]])</f>
        <v>1</v>
      </c>
    </row>
    <row r="206" spans="2:5" x14ac:dyDescent="0.3">
      <c r="B206" s="4">
        <f t="shared" si="6"/>
        <v>204</v>
      </c>
      <c r="C206" s="10" t="s">
        <v>195</v>
      </c>
      <c r="D206" s="4" t="str">
        <f t="shared" si="7"/>
        <v>0000204</v>
      </c>
      <c r="E206" s="4">
        <f>COUNTIF(Table1[Malın adı],Table1[[#This Row],[Malın adı]])</f>
        <v>1</v>
      </c>
    </row>
    <row r="207" spans="2:5" x14ac:dyDescent="0.3">
      <c r="B207" s="4">
        <f t="shared" si="6"/>
        <v>205</v>
      </c>
      <c r="C207" s="10" t="s">
        <v>196</v>
      </c>
      <c r="D207" s="4" t="str">
        <f t="shared" si="7"/>
        <v>0000205</v>
      </c>
      <c r="E207" s="4">
        <f>COUNTIF(Table1[Malın adı],Table1[[#This Row],[Malın adı]])</f>
        <v>1</v>
      </c>
    </row>
    <row r="208" spans="2:5" x14ac:dyDescent="0.3">
      <c r="B208" s="4">
        <f t="shared" si="6"/>
        <v>206</v>
      </c>
      <c r="C208" s="10" t="s">
        <v>197</v>
      </c>
      <c r="D208" s="4" t="str">
        <f t="shared" si="7"/>
        <v>0000206</v>
      </c>
      <c r="E208" s="4">
        <f>COUNTIF(Table1[Malın adı],Table1[[#This Row],[Malın adı]])</f>
        <v>1</v>
      </c>
    </row>
    <row r="209" spans="2:5" x14ac:dyDescent="0.3">
      <c r="B209" s="4">
        <f t="shared" si="6"/>
        <v>207</v>
      </c>
      <c r="C209" s="10" t="s">
        <v>198</v>
      </c>
      <c r="D209" s="4" t="str">
        <f t="shared" si="7"/>
        <v>0000207</v>
      </c>
      <c r="E209" s="4">
        <f>COUNTIF(Table1[Malın adı],Table1[[#This Row],[Malın adı]])</f>
        <v>1</v>
      </c>
    </row>
    <row r="210" spans="2:5" x14ac:dyDescent="0.3">
      <c r="B210" s="4">
        <f t="shared" si="6"/>
        <v>208</v>
      </c>
      <c r="C210" s="10" t="s">
        <v>199</v>
      </c>
      <c r="D210" s="4" t="str">
        <f t="shared" si="7"/>
        <v>0000208</v>
      </c>
      <c r="E210" s="4">
        <f>COUNTIF(Table1[Malın adı],Table1[[#This Row],[Malın adı]])</f>
        <v>1</v>
      </c>
    </row>
    <row r="211" spans="2:5" x14ac:dyDescent="0.3">
      <c r="B211" s="4">
        <f t="shared" si="6"/>
        <v>209</v>
      </c>
      <c r="C211" s="10" t="s">
        <v>200</v>
      </c>
      <c r="D211" s="4" t="str">
        <f t="shared" si="7"/>
        <v>0000209</v>
      </c>
      <c r="E211" s="4">
        <f>COUNTIF(Table1[Malın adı],Table1[[#This Row],[Malın adı]])</f>
        <v>1</v>
      </c>
    </row>
    <row r="212" spans="2:5" x14ac:dyDescent="0.3">
      <c r="B212" s="4">
        <f t="shared" si="6"/>
        <v>210</v>
      </c>
      <c r="C212" s="10" t="s">
        <v>201</v>
      </c>
      <c r="D212" s="4" t="str">
        <f t="shared" si="7"/>
        <v>0000210</v>
      </c>
      <c r="E212" s="4">
        <f>COUNTIF(Table1[Malın adı],Table1[[#This Row],[Malın adı]])</f>
        <v>1</v>
      </c>
    </row>
    <row r="213" spans="2:5" x14ac:dyDescent="0.3">
      <c r="B213" s="4">
        <f t="shared" si="6"/>
        <v>211</v>
      </c>
      <c r="C213" s="10" t="s">
        <v>202</v>
      </c>
      <c r="D213" s="4" t="str">
        <f t="shared" si="7"/>
        <v>0000211</v>
      </c>
      <c r="E213" s="4">
        <f>COUNTIF(Table1[Malın adı],Table1[[#This Row],[Malın adı]])</f>
        <v>1</v>
      </c>
    </row>
    <row r="214" spans="2:5" x14ac:dyDescent="0.3">
      <c r="B214" s="4">
        <f t="shared" si="6"/>
        <v>212</v>
      </c>
      <c r="C214" s="10" t="s">
        <v>203</v>
      </c>
      <c r="D214" s="4" t="str">
        <f t="shared" si="7"/>
        <v>0000212</v>
      </c>
      <c r="E214" s="4">
        <f>COUNTIF(Table1[Malın adı],Table1[[#This Row],[Malın adı]])</f>
        <v>1</v>
      </c>
    </row>
    <row r="215" spans="2:5" x14ac:dyDescent="0.3">
      <c r="B215" s="4">
        <f t="shared" si="6"/>
        <v>213</v>
      </c>
      <c r="C215" s="10" t="s">
        <v>204</v>
      </c>
      <c r="D215" s="4" t="str">
        <f t="shared" si="7"/>
        <v>0000213</v>
      </c>
      <c r="E215" s="4">
        <f>COUNTIF(Table1[Malın adı],Table1[[#This Row],[Malın adı]])</f>
        <v>1</v>
      </c>
    </row>
    <row r="216" spans="2:5" x14ac:dyDescent="0.3">
      <c r="B216" s="4">
        <f t="shared" si="6"/>
        <v>214</v>
      </c>
      <c r="C216" s="10" t="s">
        <v>205</v>
      </c>
      <c r="D216" s="4" t="str">
        <f t="shared" si="7"/>
        <v>0000214</v>
      </c>
      <c r="E216" s="4">
        <f>COUNTIF(Table1[Malın adı],Table1[[#This Row],[Malın adı]])</f>
        <v>1</v>
      </c>
    </row>
    <row r="217" spans="2:5" x14ac:dyDescent="0.3">
      <c r="B217" s="4">
        <f t="shared" si="6"/>
        <v>215</v>
      </c>
      <c r="C217" s="10" t="s">
        <v>206</v>
      </c>
      <c r="D217" s="4" t="str">
        <f t="shared" si="7"/>
        <v>0000215</v>
      </c>
      <c r="E217" s="4">
        <f>COUNTIF(Table1[Malın adı],Table1[[#This Row],[Malın adı]])</f>
        <v>1</v>
      </c>
    </row>
    <row r="218" spans="2:5" x14ac:dyDescent="0.3">
      <c r="B218" s="4">
        <f t="shared" si="6"/>
        <v>216</v>
      </c>
      <c r="C218" s="10" t="s">
        <v>207</v>
      </c>
      <c r="D218" s="4" t="str">
        <f t="shared" si="7"/>
        <v>0000216</v>
      </c>
      <c r="E218" s="4">
        <f>COUNTIF(Table1[Malın adı],Table1[[#This Row],[Malın adı]])</f>
        <v>1</v>
      </c>
    </row>
    <row r="219" spans="2:5" x14ac:dyDescent="0.3">
      <c r="B219" s="4">
        <f t="shared" si="6"/>
        <v>217</v>
      </c>
      <c r="C219" s="10" t="s">
        <v>208</v>
      </c>
      <c r="D219" s="4" t="str">
        <f t="shared" si="7"/>
        <v>0000217</v>
      </c>
      <c r="E219" s="4">
        <f>COUNTIF(Table1[Malın adı],Table1[[#This Row],[Malın adı]])</f>
        <v>1</v>
      </c>
    </row>
    <row r="220" spans="2:5" x14ac:dyDescent="0.3">
      <c r="B220" s="4">
        <f t="shared" si="6"/>
        <v>218</v>
      </c>
      <c r="C220" s="10" t="s">
        <v>209</v>
      </c>
      <c r="D220" s="4" t="str">
        <f t="shared" si="7"/>
        <v>0000218</v>
      </c>
      <c r="E220" s="4">
        <f>COUNTIF(Table1[Malın adı],Table1[[#This Row],[Malın adı]])</f>
        <v>1</v>
      </c>
    </row>
    <row r="221" spans="2:5" x14ac:dyDescent="0.3">
      <c r="B221" s="4">
        <f t="shared" si="6"/>
        <v>219</v>
      </c>
      <c r="C221" s="10" t="s">
        <v>210</v>
      </c>
      <c r="D221" s="4" t="str">
        <f t="shared" si="7"/>
        <v>0000219</v>
      </c>
      <c r="E221" s="4">
        <f>COUNTIF(Table1[Malın adı],Table1[[#This Row],[Malın adı]])</f>
        <v>1</v>
      </c>
    </row>
    <row r="222" spans="2:5" x14ac:dyDescent="0.3">
      <c r="B222" s="4">
        <f t="shared" si="6"/>
        <v>220</v>
      </c>
      <c r="C222" s="10" t="s">
        <v>211</v>
      </c>
      <c r="D222" s="4" t="str">
        <f t="shared" si="7"/>
        <v>0000220</v>
      </c>
      <c r="E222" s="4">
        <f>COUNTIF(Table1[Malın adı],Table1[[#This Row],[Malın adı]])</f>
        <v>1</v>
      </c>
    </row>
    <row r="223" spans="2:5" x14ac:dyDescent="0.3">
      <c r="B223" s="4">
        <f t="shared" si="6"/>
        <v>221</v>
      </c>
      <c r="C223" s="10" t="s">
        <v>212</v>
      </c>
      <c r="D223" s="4" t="str">
        <f t="shared" si="7"/>
        <v>0000221</v>
      </c>
      <c r="E223" s="4">
        <f>COUNTIF(Table1[Malın adı],Table1[[#This Row],[Malın adı]])</f>
        <v>1</v>
      </c>
    </row>
    <row r="224" spans="2:5" x14ac:dyDescent="0.3">
      <c r="B224" s="4">
        <f t="shared" si="6"/>
        <v>222</v>
      </c>
      <c r="C224" s="10" t="s">
        <v>213</v>
      </c>
      <c r="D224" s="4" t="str">
        <f t="shared" si="7"/>
        <v>0000222</v>
      </c>
      <c r="E224" s="4">
        <f>COUNTIF(Table1[Malın adı],Table1[[#This Row],[Malın adı]])</f>
        <v>1</v>
      </c>
    </row>
    <row r="225" spans="2:5" x14ac:dyDescent="0.3">
      <c r="B225" s="4">
        <f t="shared" si="6"/>
        <v>223</v>
      </c>
      <c r="C225" s="10" t="s">
        <v>214</v>
      </c>
      <c r="D225" s="4" t="str">
        <f t="shared" si="7"/>
        <v>0000223</v>
      </c>
      <c r="E225" s="4">
        <f>COUNTIF(Table1[Malın adı],Table1[[#This Row],[Malın adı]])</f>
        <v>1</v>
      </c>
    </row>
    <row r="226" spans="2:5" x14ac:dyDescent="0.3">
      <c r="B226" s="4">
        <f t="shared" si="6"/>
        <v>224</v>
      </c>
      <c r="C226" s="10" t="s">
        <v>215</v>
      </c>
      <c r="D226" s="4" t="str">
        <f t="shared" si="7"/>
        <v>0000224</v>
      </c>
      <c r="E226" s="4">
        <f>COUNTIF(Table1[Malın adı],Table1[[#This Row],[Malın adı]])</f>
        <v>1</v>
      </c>
    </row>
    <row r="227" spans="2:5" x14ac:dyDescent="0.3">
      <c r="B227" s="4">
        <f t="shared" si="6"/>
        <v>225</v>
      </c>
      <c r="C227" s="10" t="s">
        <v>216</v>
      </c>
      <c r="D227" s="4" t="str">
        <f t="shared" si="7"/>
        <v>0000225</v>
      </c>
      <c r="E227" s="4">
        <f>COUNTIF(Table1[Malın adı],Table1[[#This Row],[Malın adı]])</f>
        <v>1</v>
      </c>
    </row>
    <row r="228" spans="2:5" x14ac:dyDescent="0.3">
      <c r="B228" s="4">
        <f t="shared" si="6"/>
        <v>226</v>
      </c>
      <c r="C228" s="10" t="s">
        <v>217</v>
      </c>
      <c r="D228" s="4" t="str">
        <f t="shared" si="7"/>
        <v>0000226</v>
      </c>
      <c r="E228" s="4">
        <f>COUNTIF(Table1[Malın adı],Table1[[#This Row],[Malın adı]])</f>
        <v>1</v>
      </c>
    </row>
    <row r="229" spans="2:5" x14ac:dyDescent="0.3">
      <c r="B229" s="4">
        <f t="shared" si="6"/>
        <v>227</v>
      </c>
      <c r="C229" s="10" t="s">
        <v>218</v>
      </c>
      <c r="D229" s="4" t="str">
        <f t="shared" si="7"/>
        <v>0000227</v>
      </c>
      <c r="E229" s="4">
        <f>COUNTIF(Table1[Malın adı],Table1[[#This Row],[Malın adı]])</f>
        <v>1</v>
      </c>
    </row>
    <row r="230" spans="2:5" x14ac:dyDescent="0.3">
      <c r="B230" s="4">
        <f t="shared" si="6"/>
        <v>228</v>
      </c>
      <c r="C230" s="10" t="s">
        <v>219</v>
      </c>
      <c r="D230" s="4" t="str">
        <f t="shared" si="7"/>
        <v>0000228</v>
      </c>
      <c r="E230" s="4">
        <f>COUNTIF(Table1[Malın adı],Table1[[#This Row],[Malın adı]])</f>
        <v>1</v>
      </c>
    </row>
    <row r="231" spans="2:5" x14ac:dyDescent="0.3">
      <c r="B231" s="4">
        <f t="shared" si="6"/>
        <v>229</v>
      </c>
      <c r="C231" s="10" t="s">
        <v>220</v>
      </c>
      <c r="D231" s="4" t="str">
        <f t="shared" si="7"/>
        <v>0000229</v>
      </c>
      <c r="E231" s="4">
        <f>COUNTIF(Table1[Malın adı],Table1[[#This Row],[Malın adı]])</f>
        <v>1</v>
      </c>
    </row>
    <row r="232" spans="2:5" x14ac:dyDescent="0.3">
      <c r="B232" s="4">
        <f t="shared" si="6"/>
        <v>230</v>
      </c>
      <c r="C232" s="10" t="s">
        <v>221</v>
      </c>
      <c r="D232" s="4" t="str">
        <f t="shared" si="7"/>
        <v>0000230</v>
      </c>
      <c r="E232" s="4">
        <f>COUNTIF(Table1[Malın adı],Table1[[#This Row],[Malın adı]])</f>
        <v>1</v>
      </c>
    </row>
    <row r="233" spans="2:5" x14ac:dyDescent="0.3">
      <c r="B233" s="4">
        <f t="shared" si="6"/>
        <v>231</v>
      </c>
      <c r="C233" s="10" t="s">
        <v>2464</v>
      </c>
      <c r="D233" s="4" t="str">
        <f t="shared" si="7"/>
        <v>0000231</v>
      </c>
      <c r="E233" s="4">
        <f>COUNTIF(Table1[Malın adı],Table1[[#This Row],[Malın adı]])</f>
        <v>1</v>
      </c>
    </row>
    <row r="234" spans="2:5" x14ac:dyDescent="0.3">
      <c r="B234" s="4">
        <f t="shared" si="6"/>
        <v>232</v>
      </c>
      <c r="C234" s="10" t="s">
        <v>222</v>
      </c>
      <c r="D234" s="4" t="str">
        <f t="shared" si="7"/>
        <v>0000232</v>
      </c>
      <c r="E234" s="4">
        <f>COUNTIF(Table1[Malın adı],Table1[[#This Row],[Malın adı]])</f>
        <v>1</v>
      </c>
    </row>
    <row r="235" spans="2:5" x14ac:dyDescent="0.3">
      <c r="B235" s="4">
        <f t="shared" si="6"/>
        <v>233</v>
      </c>
      <c r="C235" s="10" t="s">
        <v>223</v>
      </c>
      <c r="D235" s="4" t="str">
        <f t="shared" si="7"/>
        <v>0000233</v>
      </c>
      <c r="E235" s="4">
        <f>COUNTIF(Table1[Malın adı],Table1[[#This Row],[Malın adı]])</f>
        <v>1</v>
      </c>
    </row>
    <row r="236" spans="2:5" x14ac:dyDescent="0.3">
      <c r="B236" s="4">
        <f t="shared" si="6"/>
        <v>234</v>
      </c>
      <c r="C236" s="10" t="s">
        <v>224</v>
      </c>
      <c r="D236" s="4" t="str">
        <f t="shared" si="7"/>
        <v>0000234</v>
      </c>
      <c r="E236" s="4">
        <f>COUNTIF(Table1[Malın adı],Table1[[#This Row],[Malın adı]])</f>
        <v>1</v>
      </c>
    </row>
    <row r="237" spans="2:5" x14ac:dyDescent="0.3">
      <c r="B237" s="4">
        <f t="shared" si="6"/>
        <v>235</v>
      </c>
      <c r="C237" s="10" t="s">
        <v>225</v>
      </c>
      <c r="D237" s="4" t="str">
        <f t="shared" si="7"/>
        <v>0000235</v>
      </c>
      <c r="E237" s="4">
        <f>COUNTIF(Table1[Malın adı],Table1[[#This Row],[Malın adı]])</f>
        <v>1</v>
      </c>
    </row>
    <row r="238" spans="2:5" x14ac:dyDescent="0.3">
      <c r="B238" s="4">
        <f t="shared" si="6"/>
        <v>236</v>
      </c>
      <c r="C238" s="10" t="s">
        <v>226</v>
      </c>
      <c r="D238" s="4" t="str">
        <f t="shared" si="7"/>
        <v>0000236</v>
      </c>
      <c r="E238" s="4">
        <f>COUNTIF(Table1[Malın adı],Table1[[#This Row],[Malın adı]])</f>
        <v>1</v>
      </c>
    </row>
    <row r="239" spans="2:5" x14ac:dyDescent="0.3">
      <c r="B239" s="4">
        <f t="shared" si="6"/>
        <v>237</v>
      </c>
      <c r="C239" s="10" t="s">
        <v>227</v>
      </c>
      <c r="D239" s="4" t="str">
        <f t="shared" si="7"/>
        <v>0000237</v>
      </c>
      <c r="E239" s="4">
        <f>COUNTIF(Table1[Malın adı],Table1[[#This Row],[Malın adı]])</f>
        <v>1</v>
      </c>
    </row>
    <row r="240" spans="2:5" x14ac:dyDescent="0.3">
      <c r="B240" s="4">
        <f t="shared" si="6"/>
        <v>238</v>
      </c>
      <c r="C240" s="10" t="s">
        <v>228</v>
      </c>
      <c r="D240" s="4" t="str">
        <f t="shared" si="7"/>
        <v>0000238</v>
      </c>
      <c r="E240" s="4">
        <f>COUNTIF(Table1[Malın adı],Table1[[#This Row],[Malın adı]])</f>
        <v>1</v>
      </c>
    </row>
    <row r="241" spans="2:5" x14ac:dyDescent="0.3">
      <c r="B241" s="4">
        <f t="shared" si="6"/>
        <v>239</v>
      </c>
      <c r="C241" s="10" t="s">
        <v>229</v>
      </c>
      <c r="D241" s="4" t="str">
        <f t="shared" si="7"/>
        <v>0000239</v>
      </c>
      <c r="E241" s="4">
        <f>COUNTIF(Table1[Malın adı],Table1[[#This Row],[Malın adı]])</f>
        <v>1</v>
      </c>
    </row>
    <row r="242" spans="2:5" x14ac:dyDescent="0.3">
      <c r="B242" s="4">
        <f t="shared" si="6"/>
        <v>240</v>
      </c>
      <c r="C242" s="10" t="s">
        <v>230</v>
      </c>
      <c r="D242" s="4" t="str">
        <f t="shared" si="7"/>
        <v>0000240</v>
      </c>
      <c r="E242" s="4">
        <f>COUNTIF(Table1[Malın adı],Table1[[#This Row],[Malın adı]])</f>
        <v>1</v>
      </c>
    </row>
    <row r="243" spans="2:5" x14ac:dyDescent="0.3">
      <c r="B243" s="4">
        <f t="shared" si="6"/>
        <v>241</v>
      </c>
      <c r="C243" s="10" t="s">
        <v>231</v>
      </c>
      <c r="D243" s="4" t="str">
        <f t="shared" si="7"/>
        <v>0000241</v>
      </c>
      <c r="E243" s="4">
        <f>COUNTIF(Table1[Malın adı],Table1[[#This Row],[Malın adı]])</f>
        <v>1</v>
      </c>
    </row>
    <row r="244" spans="2:5" x14ac:dyDescent="0.3">
      <c r="B244" s="4">
        <f t="shared" si="6"/>
        <v>242</v>
      </c>
      <c r="C244" s="10" t="s">
        <v>232</v>
      </c>
      <c r="D244" s="4" t="str">
        <f t="shared" si="7"/>
        <v>0000242</v>
      </c>
      <c r="E244" s="4">
        <f>COUNTIF(Table1[Malın adı],Table1[[#This Row],[Malın adı]])</f>
        <v>1</v>
      </c>
    </row>
    <row r="245" spans="2:5" x14ac:dyDescent="0.3">
      <c r="B245" s="4">
        <f t="shared" si="6"/>
        <v>243</v>
      </c>
      <c r="C245" s="10" t="s">
        <v>233</v>
      </c>
      <c r="D245" s="4" t="str">
        <f t="shared" si="7"/>
        <v>0000243</v>
      </c>
      <c r="E245" s="4">
        <f>COUNTIF(Table1[Malın adı],Table1[[#This Row],[Malın adı]])</f>
        <v>1</v>
      </c>
    </row>
    <row r="246" spans="2:5" x14ac:dyDescent="0.3">
      <c r="B246" s="4">
        <f t="shared" si="6"/>
        <v>244</v>
      </c>
      <c r="C246" s="10" t="s">
        <v>234</v>
      </c>
      <c r="D246" s="4" t="str">
        <f t="shared" si="7"/>
        <v>0000244</v>
      </c>
      <c r="E246" s="4">
        <f>COUNTIF(Table1[Malın adı],Table1[[#This Row],[Malın adı]])</f>
        <v>1</v>
      </c>
    </row>
    <row r="247" spans="2:5" x14ac:dyDescent="0.3">
      <c r="B247" s="4">
        <f t="shared" si="6"/>
        <v>245</v>
      </c>
      <c r="C247" s="10" t="s">
        <v>235</v>
      </c>
      <c r="D247" s="4" t="str">
        <f t="shared" si="7"/>
        <v>0000245</v>
      </c>
      <c r="E247" s="4">
        <f>COUNTIF(Table1[Malın adı],Table1[[#This Row],[Malın adı]])</f>
        <v>1</v>
      </c>
    </row>
    <row r="248" spans="2:5" x14ac:dyDescent="0.3">
      <c r="B248" s="4">
        <f t="shared" si="6"/>
        <v>246</v>
      </c>
      <c r="C248" s="10" t="s">
        <v>236</v>
      </c>
      <c r="D248" s="4" t="str">
        <f t="shared" si="7"/>
        <v>0000246</v>
      </c>
      <c r="E248" s="4">
        <f>COUNTIF(Table1[Malın adı],Table1[[#This Row],[Malın adı]])</f>
        <v>1</v>
      </c>
    </row>
    <row r="249" spans="2:5" x14ac:dyDescent="0.3">
      <c r="B249" s="4">
        <f t="shared" si="6"/>
        <v>247</v>
      </c>
      <c r="C249" s="10" t="s">
        <v>237</v>
      </c>
      <c r="D249" s="4" t="str">
        <f t="shared" si="7"/>
        <v>0000247</v>
      </c>
      <c r="E249" s="4">
        <f>COUNTIF(Table1[Malın adı],Table1[[#This Row],[Malın adı]])</f>
        <v>1</v>
      </c>
    </row>
    <row r="250" spans="2:5" x14ac:dyDescent="0.3">
      <c r="B250" s="4">
        <f t="shared" si="6"/>
        <v>248</v>
      </c>
      <c r="C250" s="10" t="s">
        <v>238</v>
      </c>
      <c r="D250" s="4" t="str">
        <f t="shared" si="7"/>
        <v>0000248</v>
      </c>
      <c r="E250" s="4">
        <f>COUNTIF(Table1[Malın adı],Table1[[#This Row],[Malın adı]])</f>
        <v>1</v>
      </c>
    </row>
    <row r="251" spans="2:5" x14ac:dyDescent="0.3">
      <c r="B251" s="4">
        <f t="shared" si="6"/>
        <v>249</v>
      </c>
      <c r="C251" s="10" t="s">
        <v>239</v>
      </c>
      <c r="D251" s="4" t="str">
        <f t="shared" si="7"/>
        <v>0000249</v>
      </c>
      <c r="E251" s="4">
        <f>COUNTIF(Table1[Malın adı],Table1[[#This Row],[Malın adı]])</f>
        <v>1</v>
      </c>
    </row>
    <row r="252" spans="2:5" x14ac:dyDescent="0.3">
      <c r="B252" s="4">
        <f t="shared" si="6"/>
        <v>250</v>
      </c>
      <c r="C252" s="10" t="s">
        <v>240</v>
      </c>
      <c r="D252" s="4" t="str">
        <f t="shared" si="7"/>
        <v>0000250</v>
      </c>
      <c r="E252" s="4">
        <f>COUNTIF(Table1[Malın adı],Table1[[#This Row],[Malın adı]])</f>
        <v>1</v>
      </c>
    </row>
    <row r="253" spans="2:5" x14ac:dyDescent="0.3">
      <c r="B253" s="4">
        <f t="shared" si="6"/>
        <v>251</v>
      </c>
      <c r="C253" s="10" t="s">
        <v>241</v>
      </c>
      <c r="D253" s="4" t="str">
        <f t="shared" si="7"/>
        <v>0000251</v>
      </c>
      <c r="E253" s="4">
        <f>COUNTIF(Table1[Malın adı],Table1[[#This Row],[Malın adı]])</f>
        <v>1</v>
      </c>
    </row>
    <row r="254" spans="2:5" x14ac:dyDescent="0.3">
      <c r="B254" s="4">
        <f t="shared" si="6"/>
        <v>252</v>
      </c>
      <c r="C254" s="10" t="s">
        <v>242</v>
      </c>
      <c r="D254" s="4" t="str">
        <f t="shared" si="7"/>
        <v>0000252</v>
      </c>
      <c r="E254" s="4">
        <f>COUNTIF(Table1[Malın adı],Table1[[#This Row],[Malın adı]])</f>
        <v>1</v>
      </c>
    </row>
    <row r="255" spans="2:5" x14ac:dyDescent="0.3">
      <c r="B255" s="4">
        <f t="shared" si="6"/>
        <v>253</v>
      </c>
      <c r="C255" s="10" t="s">
        <v>243</v>
      </c>
      <c r="D255" s="4" t="str">
        <f t="shared" si="7"/>
        <v>0000253</v>
      </c>
      <c r="E255" s="4">
        <f>COUNTIF(Table1[Malın adı],Table1[[#This Row],[Malın adı]])</f>
        <v>1</v>
      </c>
    </row>
    <row r="256" spans="2:5" x14ac:dyDescent="0.3">
      <c r="B256" s="4">
        <f t="shared" si="6"/>
        <v>254</v>
      </c>
      <c r="C256" s="10" t="s">
        <v>244</v>
      </c>
      <c r="D256" s="4" t="str">
        <f t="shared" si="7"/>
        <v>0000254</v>
      </c>
      <c r="E256" s="4">
        <f>COUNTIF(Table1[Malın adı],Table1[[#This Row],[Malın adı]])</f>
        <v>1</v>
      </c>
    </row>
    <row r="257" spans="2:5" x14ac:dyDescent="0.3">
      <c r="B257" s="4">
        <f t="shared" si="6"/>
        <v>255</v>
      </c>
      <c r="C257" s="10" t="s">
        <v>245</v>
      </c>
      <c r="D257" s="4" t="str">
        <f t="shared" si="7"/>
        <v>0000255</v>
      </c>
      <c r="E257" s="4">
        <f>COUNTIF(Table1[Malın adı],Table1[[#This Row],[Malın adı]])</f>
        <v>1</v>
      </c>
    </row>
    <row r="258" spans="2:5" x14ac:dyDescent="0.3">
      <c r="B258" s="4">
        <f t="shared" si="6"/>
        <v>256</v>
      </c>
      <c r="C258" s="10" t="s">
        <v>246</v>
      </c>
      <c r="D258" s="4" t="str">
        <f t="shared" si="7"/>
        <v>0000256</v>
      </c>
      <c r="E258" s="4">
        <f>COUNTIF(Table1[Malın adı],Table1[[#This Row],[Malın adı]])</f>
        <v>1</v>
      </c>
    </row>
    <row r="259" spans="2:5" x14ac:dyDescent="0.3">
      <c r="B259" s="4">
        <f t="shared" ref="B259:B322" si="8">ROW()-2</f>
        <v>257</v>
      </c>
      <c r="C259" s="10" t="s">
        <v>247</v>
      </c>
      <c r="D259" s="4" t="str">
        <f t="shared" ref="D259:D322" si="9">TEXT(ROW()-2,"0000000")</f>
        <v>0000257</v>
      </c>
      <c r="E259" s="4">
        <f>COUNTIF(Table1[Malın adı],Table1[[#This Row],[Malın adı]])</f>
        <v>1</v>
      </c>
    </row>
    <row r="260" spans="2:5" x14ac:dyDescent="0.3">
      <c r="B260" s="4">
        <f t="shared" si="8"/>
        <v>258</v>
      </c>
      <c r="C260" s="10" t="s">
        <v>248</v>
      </c>
      <c r="D260" s="4" t="str">
        <f t="shared" si="9"/>
        <v>0000258</v>
      </c>
      <c r="E260" s="4">
        <f>COUNTIF(Table1[Malın adı],Table1[[#This Row],[Malın adı]])</f>
        <v>1</v>
      </c>
    </row>
    <row r="261" spans="2:5" x14ac:dyDescent="0.3">
      <c r="B261" s="4">
        <f t="shared" si="8"/>
        <v>259</v>
      </c>
      <c r="C261" s="10" t="s">
        <v>249</v>
      </c>
      <c r="D261" s="4" t="str">
        <f t="shared" si="9"/>
        <v>0000259</v>
      </c>
      <c r="E261" s="4">
        <f>COUNTIF(Table1[Malın adı],Table1[[#This Row],[Malın adı]])</f>
        <v>1</v>
      </c>
    </row>
    <row r="262" spans="2:5" x14ac:dyDescent="0.3">
      <c r="B262" s="4">
        <f t="shared" si="8"/>
        <v>260</v>
      </c>
      <c r="C262" s="10" t="s">
        <v>250</v>
      </c>
      <c r="D262" s="4" t="str">
        <f t="shared" si="9"/>
        <v>0000260</v>
      </c>
      <c r="E262" s="4">
        <f>COUNTIF(Table1[Malın adı],Table1[[#This Row],[Malın adı]])</f>
        <v>1</v>
      </c>
    </row>
    <row r="263" spans="2:5" x14ac:dyDescent="0.3">
      <c r="B263" s="4">
        <f t="shared" si="8"/>
        <v>261</v>
      </c>
      <c r="C263" s="10" t="s">
        <v>251</v>
      </c>
      <c r="D263" s="4" t="str">
        <f t="shared" si="9"/>
        <v>0000261</v>
      </c>
      <c r="E263" s="4">
        <f>COUNTIF(Table1[Malın adı],Table1[[#This Row],[Malın adı]])</f>
        <v>1</v>
      </c>
    </row>
    <row r="264" spans="2:5" x14ac:dyDescent="0.3">
      <c r="B264" s="4">
        <f t="shared" si="8"/>
        <v>262</v>
      </c>
      <c r="C264" s="10" t="s">
        <v>252</v>
      </c>
      <c r="D264" s="4" t="str">
        <f t="shared" si="9"/>
        <v>0000262</v>
      </c>
      <c r="E264" s="4">
        <f>COUNTIF(Table1[Malın adı],Table1[[#This Row],[Malın adı]])</f>
        <v>1</v>
      </c>
    </row>
    <row r="265" spans="2:5" x14ac:dyDescent="0.3">
      <c r="B265" s="4">
        <f t="shared" si="8"/>
        <v>263</v>
      </c>
      <c r="C265" s="10" t="s">
        <v>253</v>
      </c>
      <c r="D265" s="4" t="str">
        <f t="shared" si="9"/>
        <v>0000263</v>
      </c>
      <c r="E265" s="4">
        <f>COUNTIF(Table1[Malın adı],Table1[[#This Row],[Malın adı]])</f>
        <v>1</v>
      </c>
    </row>
    <row r="266" spans="2:5" x14ac:dyDescent="0.3">
      <c r="B266" s="4">
        <f t="shared" si="8"/>
        <v>264</v>
      </c>
      <c r="C266" s="10" t="s">
        <v>254</v>
      </c>
      <c r="D266" s="4" t="str">
        <f t="shared" si="9"/>
        <v>0000264</v>
      </c>
      <c r="E266" s="4">
        <f>COUNTIF(Table1[Malın adı],Table1[[#This Row],[Malın adı]])</f>
        <v>1</v>
      </c>
    </row>
    <row r="267" spans="2:5" x14ac:dyDescent="0.3">
      <c r="B267" s="4">
        <f t="shared" si="8"/>
        <v>265</v>
      </c>
      <c r="C267" s="10" t="s">
        <v>255</v>
      </c>
      <c r="D267" s="4" t="str">
        <f t="shared" si="9"/>
        <v>0000265</v>
      </c>
      <c r="E267" s="4">
        <f>COUNTIF(Table1[Malın adı],Table1[[#This Row],[Malın adı]])</f>
        <v>1</v>
      </c>
    </row>
    <row r="268" spans="2:5" x14ac:dyDescent="0.3">
      <c r="B268" s="4">
        <f t="shared" si="8"/>
        <v>266</v>
      </c>
      <c r="C268" s="10" t="s">
        <v>256</v>
      </c>
      <c r="D268" s="4" t="str">
        <f t="shared" si="9"/>
        <v>0000266</v>
      </c>
      <c r="E268" s="4">
        <f>COUNTIF(Table1[Malın adı],Table1[[#This Row],[Malın adı]])</f>
        <v>1</v>
      </c>
    </row>
    <row r="269" spans="2:5" x14ac:dyDescent="0.3">
      <c r="B269" s="4">
        <f t="shared" si="8"/>
        <v>267</v>
      </c>
      <c r="C269" s="10" t="s">
        <v>257</v>
      </c>
      <c r="D269" s="4" t="str">
        <f t="shared" si="9"/>
        <v>0000267</v>
      </c>
      <c r="E269" s="4">
        <f>COUNTIF(Table1[Malın adı],Table1[[#This Row],[Malın adı]])</f>
        <v>1</v>
      </c>
    </row>
    <row r="270" spans="2:5" x14ac:dyDescent="0.3">
      <c r="B270" s="4">
        <f t="shared" si="8"/>
        <v>268</v>
      </c>
      <c r="C270" s="10" t="s">
        <v>258</v>
      </c>
      <c r="D270" s="4" t="str">
        <f t="shared" si="9"/>
        <v>0000268</v>
      </c>
      <c r="E270" s="4">
        <f>COUNTIF(Table1[Malın adı],Table1[[#This Row],[Malın adı]])</f>
        <v>1</v>
      </c>
    </row>
    <row r="271" spans="2:5" x14ac:dyDescent="0.3">
      <c r="B271" s="4">
        <f t="shared" si="8"/>
        <v>269</v>
      </c>
      <c r="C271" s="10" t="s">
        <v>259</v>
      </c>
      <c r="D271" s="4" t="str">
        <f t="shared" si="9"/>
        <v>0000269</v>
      </c>
      <c r="E271" s="4">
        <f>COUNTIF(Table1[Malın adı],Table1[[#This Row],[Malın adı]])</f>
        <v>1</v>
      </c>
    </row>
    <row r="272" spans="2:5" x14ac:dyDescent="0.3">
      <c r="B272" s="4">
        <f t="shared" si="8"/>
        <v>270</v>
      </c>
      <c r="C272" s="10" t="s">
        <v>260</v>
      </c>
      <c r="D272" s="4" t="str">
        <f t="shared" si="9"/>
        <v>0000270</v>
      </c>
      <c r="E272" s="4">
        <f>COUNTIF(Table1[Malın adı],Table1[[#This Row],[Malın adı]])</f>
        <v>1</v>
      </c>
    </row>
    <row r="273" spans="2:5" x14ac:dyDescent="0.3">
      <c r="B273" s="4">
        <f t="shared" si="8"/>
        <v>271</v>
      </c>
      <c r="C273" s="10" t="s">
        <v>261</v>
      </c>
      <c r="D273" s="4" t="str">
        <f t="shared" si="9"/>
        <v>0000271</v>
      </c>
      <c r="E273" s="4">
        <f>COUNTIF(Table1[Malın adı],Table1[[#This Row],[Malın adı]])</f>
        <v>1</v>
      </c>
    </row>
    <row r="274" spans="2:5" x14ac:dyDescent="0.3">
      <c r="B274" s="4">
        <f t="shared" si="8"/>
        <v>272</v>
      </c>
      <c r="C274" s="10" t="s">
        <v>262</v>
      </c>
      <c r="D274" s="4" t="str">
        <f t="shared" si="9"/>
        <v>0000272</v>
      </c>
      <c r="E274" s="4">
        <f>COUNTIF(Table1[Malın adı],Table1[[#This Row],[Malın adı]])</f>
        <v>1</v>
      </c>
    </row>
    <row r="275" spans="2:5" x14ac:dyDescent="0.3">
      <c r="B275" s="4">
        <f t="shared" si="8"/>
        <v>273</v>
      </c>
      <c r="C275" s="10" t="s">
        <v>263</v>
      </c>
      <c r="D275" s="4" t="str">
        <f t="shared" si="9"/>
        <v>0000273</v>
      </c>
      <c r="E275" s="4">
        <f>COUNTIF(Table1[Malın adı],Table1[[#This Row],[Malın adı]])</f>
        <v>1</v>
      </c>
    </row>
    <row r="276" spans="2:5" x14ac:dyDescent="0.3">
      <c r="B276" s="4">
        <f t="shared" si="8"/>
        <v>274</v>
      </c>
      <c r="C276" s="10" t="s">
        <v>2465</v>
      </c>
      <c r="D276" s="4" t="str">
        <f t="shared" si="9"/>
        <v>0000274</v>
      </c>
      <c r="E276" s="4">
        <f>COUNTIF(Table1[Malın adı],Table1[[#This Row],[Malın adı]])</f>
        <v>1</v>
      </c>
    </row>
    <row r="277" spans="2:5" x14ac:dyDescent="0.3">
      <c r="B277" s="4">
        <f t="shared" si="8"/>
        <v>275</v>
      </c>
      <c r="C277" s="10" t="s">
        <v>264</v>
      </c>
      <c r="D277" s="4" t="str">
        <f t="shared" si="9"/>
        <v>0000275</v>
      </c>
      <c r="E277" s="4">
        <f>COUNTIF(Table1[Malın adı],Table1[[#This Row],[Malın adı]])</f>
        <v>1</v>
      </c>
    </row>
    <row r="278" spans="2:5" x14ac:dyDescent="0.3">
      <c r="B278" s="4">
        <f t="shared" si="8"/>
        <v>276</v>
      </c>
      <c r="C278" s="10" t="s">
        <v>265</v>
      </c>
      <c r="D278" s="4" t="str">
        <f t="shared" si="9"/>
        <v>0000276</v>
      </c>
      <c r="E278" s="4">
        <f>COUNTIF(Table1[Malın adı],Table1[[#This Row],[Malın adı]])</f>
        <v>1</v>
      </c>
    </row>
    <row r="279" spans="2:5" x14ac:dyDescent="0.3">
      <c r="B279" s="4">
        <f t="shared" si="8"/>
        <v>277</v>
      </c>
      <c r="C279" s="10" t="s">
        <v>266</v>
      </c>
      <c r="D279" s="4" t="str">
        <f t="shared" si="9"/>
        <v>0000277</v>
      </c>
      <c r="E279" s="4">
        <f>COUNTIF(Table1[Malın adı],Table1[[#This Row],[Malın adı]])</f>
        <v>1</v>
      </c>
    </row>
    <row r="280" spans="2:5" x14ac:dyDescent="0.3">
      <c r="B280" s="4">
        <f t="shared" si="8"/>
        <v>278</v>
      </c>
      <c r="C280" s="10" t="s">
        <v>267</v>
      </c>
      <c r="D280" s="4" t="str">
        <f t="shared" si="9"/>
        <v>0000278</v>
      </c>
      <c r="E280" s="4">
        <f>COUNTIF(Table1[Malın adı],Table1[[#This Row],[Malın adı]])</f>
        <v>1</v>
      </c>
    </row>
    <row r="281" spans="2:5" x14ac:dyDescent="0.3">
      <c r="B281" s="4">
        <f t="shared" si="8"/>
        <v>279</v>
      </c>
      <c r="C281" s="10" t="s">
        <v>268</v>
      </c>
      <c r="D281" s="4" t="str">
        <f t="shared" si="9"/>
        <v>0000279</v>
      </c>
      <c r="E281" s="4">
        <f>COUNTIF(Table1[Malın adı],Table1[[#This Row],[Malın adı]])</f>
        <v>1</v>
      </c>
    </row>
    <row r="282" spans="2:5" x14ac:dyDescent="0.3">
      <c r="B282" s="4">
        <f t="shared" si="8"/>
        <v>280</v>
      </c>
      <c r="C282" s="10" t="s">
        <v>2342</v>
      </c>
      <c r="D282" s="4" t="str">
        <f t="shared" si="9"/>
        <v>0000280</v>
      </c>
      <c r="E282" s="4">
        <f>COUNTIF(Table1[Malın adı],Table1[[#This Row],[Malın adı]])</f>
        <v>1</v>
      </c>
    </row>
    <row r="283" spans="2:5" x14ac:dyDescent="0.3">
      <c r="B283" s="4">
        <f t="shared" si="8"/>
        <v>281</v>
      </c>
      <c r="C283" s="10" t="s">
        <v>269</v>
      </c>
      <c r="D283" s="4" t="str">
        <f t="shared" si="9"/>
        <v>0000281</v>
      </c>
      <c r="E283" s="4">
        <f>COUNTIF(Table1[Malın adı],Table1[[#This Row],[Malın adı]])</f>
        <v>1</v>
      </c>
    </row>
    <row r="284" spans="2:5" x14ac:dyDescent="0.3">
      <c r="B284" s="4">
        <f t="shared" si="8"/>
        <v>282</v>
      </c>
      <c r="C284" s="10" t="s">
        <v>270</v>
      </c>
      <c r="D284" s="4" t="str">
        <f t="shared" si="9"/>
        <v>0000282</v>
      </c>
      <c r="E284" s="4">
        <f>COUNTIF(Table1[Malın adı],Table1[[#This Row],[Malın adı]])</f>
        <v>1</v>
      </c>
    </row>
    <row r="285" spans="2:5" x14ac:dyDescent="0.3">
      <c r="B285" s="4">
        <f t="shared" si="8"/>
        <v>283</v>
      </c>
      <c r="C285" s="10" t="s">
        <v>271</v>
      </c>
      <c r="D285" s="4" t="str">
        <f t="shared" si="9"/>
        <v>0000283</v>
      </c>
      <c r="E285" s="4">
        <f>COUNTIF(Table1[Malın adı],Table1[[#This Row],[Malın adı]])</f>
        <v>1</v>
      </c>
    </row>
    <row r="286" spans="2:5" x14ac:dyDescent="0.3">
      <c r="B286" s="4">
        <f t="shared" si="8"/>
        <v>284</v>
      </c>
      <c r="C286" s="10" t="s">
        <v>2466</v>
      </c>
      <c r="D286" s="4" t="str">
        <f t="shared" si="9"/>
        <v>0000284</v>
      </c>
      <c r="E286" s="4">
        <f>COUNTIF(Table1[Malın adı],Table1[[#This Row],[Malın adı]])</f>
        <v>1</v>
      </c>
    </row>
    <row r="287" spans="2:5" x14ac:dyDescent="0.3">
      <c r="B287" s="4">
        <f t="shared" si="8"/>
        <v>285</v>
      </c>
      <c r="C287" s="10" t="s">
        <v>272</v>
      </c>
      <c r="D287" s="4" t="str">
        <f t="shared" si="9"/>
        <v>0000285</v>
      </c>
      <c r="E287" s="4">
        <f>COUNTIF(Table1[Malın adı],Table1[[#This Row],[Malın adı]])</f>
        <v>1</v>
      </c>
    </row>
    <row r="288" spans="2:5" x14ac:dyDescent="0.3">
      <c r="B288" s="4">
        <f t="shared" si="8"/>
        <v>286</v>
      </c>
      <c r="C288" s="10" t="s">
        <v>273</v>
      </c>
      <c r="D288" s="4" t="str">
        <f t="shared" si="9"/>
        <v>0000286</v>
      </c>
      <c r="E288" s="4">
        <f>COUNTIF(Table1[Malın adı],Table1[[#This Row],[Malın adı]])</f>
        <v>1</v>
      </c>
    </row>
    <row r="289" spans="2:5" x14ac:dyDescent="0.3">
      <c r="B289" s="4">
        <f t="shared" si="8"/>
        <v>287</v>
      </c>
      <c r="C289" s="10" t="s">
        <v>274</v>
      </c>
      <c r="D289" s="4" t="str">
        <f t="shared" si="9"/>
        <v>0000287</v>
      </c>
      <c r="E289" s="4">
        <f>COUNTIF(Table1[Malın adı],Table1[[#This Row],[Malın adı]])</f>
        <v>1</v>
      </c>
    </row>
    <row r="290" spans="2:5" x14ac:dyDescent="0.3">
      <c r="B290" s="4">
        <f t="shared" si="8"/>
        <v>288</v>
      </c>
      <c r="C290" s="10" t="s">
        <v>275</v>
      </c>
      <c r="D290" s="4" t="str">
        <f t="shared" si="9"/>
        <v>0000288</v>
      </c>
      <c r="E290" s="4">
        <f>COUNTIF(Table1[Malın adı],Table1[[#This Row],[Malın adı]])</f>
        <v>1</v>
      </c>
    </row>
    <row r="291" spans="2:5" x14ac:dyDescent="0.3">
      <c r="B291" s="4">
        <f t="shared" si="8"/>
        <v>289</v>
      </c>
      <c r="C291" s="10" t="s">
        <v>276</v>
      </c>
      <c r="D291" s="4" t="str">
        <f t="shared" si="9"/>
        <v>0000289</v>
      </c>
      <c r="E291" s="4">
        <f>COUNTIF(Table1[Malın adı],Table1[[#This Row],[Malın adı]])</f>
        <v>1</v>
      </c>
    </row>
    <row r="292" spans="2:5" x14ac:dyDescent="0.3">
      <c r="B292" s="4">
        <f t="shared" si="8"/>
        <v>290</v>
      </c>
      <c r="C292" s="10" t="s">
        <v>277</v>
      </c>
      <c r="D292" s="4" t="str">
        <f t="shared" si="9"/>
        <v>0000290</v>
      </c>
      <c r="E292" s="4">
        <f>COUNTIF(Table1[Malın adı],Table1[[#This Row],[Malın adı]])</f>
        <v>1</v>
      </c>
    </row>
    <row r="293" spans="2:5" x14ac:dyDescent="0.3">
      <c r="B293" s="4">
        <f t="shared" si="8"/>
        <v>291</v>
      </c>
      <c r="C293" s="10" t="s">
        <v>278</v>
      </c>
      <c r="D293" s="4" t="str">
        <f t="shared" si="9"/>
        <v>0000291</v>
      </c>
      <c r="E293" s="4">
        <f>COUNTIF(Table1[Malın adı],Table1[[#This Row],[Malın adı]])</f>
        <v>1</v>
      </c>
    </row>
    <row r="294" spans="2:5" x14ac:dyDescent="0.3">
      <c r="B294" s="4">
        <f t="shared" si="8"/>
        <v>292</v>
      </c>
      <c r="C294" s="10" t="s">
        <v>279</v>
      </c>
      <c r="D294" s="4" t="str">
        <f t="shared" si="9"/>
        <v>0000292</v>
      </c>
      <c r="E294" s="4">
        <f>COUNTIF(Table1[Malın adı],Table1[[#This Row],[Malın adı]])</f>
        <v>1</v>
      </c>
    </row>
    <row r="295" spans="2:5" x14ac:dyDescent="0.3">
      <c r="B295" s="4">
        <f t="shared" si="8"/>
        <v>293</v>
      </c>
      <c r="C295" s="10" t="s">
        <v>280</v>
      </c>
      <c r="D295" s="4" t="str">
        <f t="shared" si="9"/>
        <v>0000293</v>
      </c>
      <c r="E295" s="4">
        <f>COUNTIF(Table1[Malın adı],Table1[[#This Row],[Malın adı]])</f>
        <v>1</v>
      </c>
    </row>
    <row r="296" spans="2:5" x14ac:dyDescent="0.3">
      <c r="B296" s="4">
        <f t="shared" si="8"/>
        <v>294</v>
      </c>
      <c r="C296" s="10" t="s">
        <v>281</v>
      </c>
      <c r="D296" s="4" t="str">
        <f t="shared" si="9"/>
        <v>0000294</v>
      </c>
      <c r="E296" s="4">
        <f>COUNTIF(Table1[Malın adı],Table1[[#This Row],[Malın adı]])</f>
        <v>1</v>
      </c>
    </row>
    <row r="297" spans="2:5" x14ac:dyDescent="0.3">
      <c r="B297" s="4">
        <f t="shared" si="8"/>
        <v>295</v>
      </c>
      <c r="C297" s="10" t="s">
        <v>282</v>
      </c>
      <c r="D297" s="4" t="str">
        <f t="shared" si="9"/>
        <v>0000295</v>
      </c>
      <c r="E297" s="4">
        <f>COUNTIF(Table1[Malın adı],Table1[[#This Row],[Malın adı]])</f>
        <v>1</v>
      </c>
    </row>
    <row r="298" spans="2:5" x14ac:dyDescent="0.3">
      <c r="B298" s="4">
        <f t="shared" si="8"/>
        <v>296</v>
      </c>
      <c r="C298" s="10" t="s">
        <v>283</v>
      </c>
      <c r="D298" s="4" t="str">
        <f t="shared" si="9"/>
        <v>0000296</v>
      </c>
      <c r="E298" s="4">
        <f>COUNTIF(Table1[Malın adı],Table1[[#This Row],[Malın adı]])</f>
        <v>1</v>
      </c>
    </row>
    <row r="299" spans="2:5" x14ac:dyDescent="0.3">
      <c r="B299" s="4">
        <f t="shared" si="8"/>
        <v>297</v>
      </c>
      <c r="C299" s="10" t="s">
        <v>284</v>
      </c>
      <c r="D299" s="4" t="str">
        <f t="shared" si="9"/>
        <v>0000297</v>
      </c>
      <c r="E299" s="4">
        <f>COUNTIF(Table1[Malın adı],Table1[[#This Row],[Malın adı]])</f>
        <v>1</v>
      </c>
    </row>
    <row r="300" spans="2:5" x14ac:dyDescent="0.3">
      <c r="B300" s="4">
        <f t="shared" si="8"/>
        <v>298</v>
      </c>
      <c r="C300" s="10" t="s">
        <v>285</v>
      </c>
      <c r="D300" s="4" t="str">
        <f t="shared" si="9"/>
        <v>0000298</v>
      </c>
      <c r="E300" s="4">
        <f>COUNTIF(Table1[Malın adı],Table1[[#This Row],[Malın adı]])</f>
        <v>1</v>
      </c>
    </row>
    <row r="301" spans="2:5" x14ac:dyDescent="0.3">
      <c r="B301" s="4">
        <f t="shared" si="8"/>
        <v>299</v>
      </c>
      <c r="C301" s="10" t="s">
        <v>286</v>
      </c>
      <c r="D301" s="4" t="str">
        <f t="shared" si="9"/>
        <v>0000299</v>
      </c>
      <c r="E301" s="4">
        <f>COUNTIF(Table1[Malın adı],Table1[[#This Row],[Malın adı]])</f>
        <v>1</v>
      </c>
    </row>
    <row r="302" spans="2:5" x14ac:dyDescent="0.3">
      <c r="B302" s="4">
        <f t="shared" si="8"/>
        <v>300</v>
      </c>
      <c r="C302" s="10" t="s">
        <v>287</v>
      </c>
      <c r="D302" s="4" t="str">
        <f t="shared" si="9"/>
        <v>0000300</v>
      </c>
      <c r="E302" s="4">
        <f>COUNTIF(Table1[Malın adı],Table1[[#This Row],[Malın adı]])</f>
        <v>1</v>
      </c>
    </row>
    <row r="303" spans="2:5" x14ac:dyDescent="0.3">
      <c r="B303" s="4">
        <f t="shared" si="8"/>
        <v>301</v>
      </c>
      <c r="C303" s="10" t="s">
        <v>288</v>
      </c>
      <c r="D303" s="4" t="str">
        <f t="shared" si="9"/>
        <v>0000301</v>
      </c>
      <c r="E303" s="4">
        <f>COUNTIF(Table1[Malın adı],Table1[[#This Row],[Malın adı]])</f>
        <v>1</v>
      </c>
    </row>
    <row r="304" spans="2:5" x14ac:dyDescent="0.3">
      <c r="B304" s="4">
        <f t="shared" si="8"/>
        <v>302</v>
      </c>
      <c r="C304" s="10" t="s">
        <v>289</v>
      </c>
      <c r="D304" s="4" t="str">
        <f t="shared" si="9"/>
        <v>0000302</v>
      </c>
      <c r="E304" s="4">
        <f>COUNTIF(Table1[Malın adı],Table1[[#This Row],[Malın adı]])</f>
        <v>1</v>
      </c>
    </row>
    <row r="305" spans="2:5" x14ac:dyDescent="0.3">
      <c r="B305" s="4">
        <f t="shared" si="8"/>
        <v>303</v>
      </c>
      <c r="C305" s="10" t="s">
        <v>290</v>
      </c>
      <c r="D305" s="4" t="str">
        <f t="shared" si="9"/>
        <v>0000303</v>
      </c>
      <c r="E305" s="4">
        <f>COUNTIF(Table1[Malın adı],Table1[[#This Row],[Malın adı]])</f>
        <v>1</v>
      </c>
    </row>
    <row r="306" spans="2:5" x14ac:dyDescent="0.3">
      <c r="B306" s="4">
        <f t="shared" si="8"/>
        <v>304</v>
      </c>
      <c r="C306" s="10" t="s">
        <v>291</v>
      </c>
      <c r="D306" s="4" t="str">
        <f t="shared" si="9"/>
        <v>0000304</v>
      </c>
      <c r="E306" s="4">
        <f>COUNTIF(Table1[Malın adı],Table1[[#This Row],[Malın adı]])</f>
        <v>1</v>
      </c>
    </row>
    <row r="307" spans="2:5" x14ac:dyDescent="0.3">
      <c r="B307" s="4">
        <f t="shared" si="8"/>
        <v>305</v>
      </c>
      <c r="C307" s="10" t="s">
        <v>292</v>
      </c>
      <c r="D307" s="4" t="str">
        <f t="shared" si="9"/>
        <v>0000305</v>
      </c>
      <c r="E307" s="4">
        <f>COUNTIF(Table1[Malın adı],Table1[[#This Row],[Malın adı]])</f>
        <v>1</v>
      </c>
    </row>
    <row r="308" spans="2:5" x14ac:dyDescent="0.3">
      <c r="B308" s="4">
        <f t="shared" si="8"/>
        <v>306</v>
      </c>
      <c r="C308" s="10" t="s">
        <v>2467</v>
      </c>
      <c r="D308" s="4" t="str">
        <f t="shared" si="9"/>
        <v>0000306</v>
      </c>
      <c r="E308" s="4">
        <f>COUNTIF(Table1[Malın adı],Table1[[#This Row],[Malın adı]])</f>
        <v>1</v>
      </c>
    </row>
    <row r="309" spans="2:5" x14ac:dyDescent="0.3">
      <c r="B309" s="4">
        <f t="shared" si="8"/>
        <v>307</v>
      </c>
      <c r="C309" s="10" t="s">
        <v>293</v>
      </c>
      <c r="D309" s="4" t="str">
        <f t="shared" si="9"/>
        <v>0000307</v>
      </c>
      <c r="E309" s="4">
        <f>COUNTIF(Table1[Malın adı],Table1[[#This Row],[Malın adı]])</f>
        <v>1</v>
      </c>
    </row>
    <row r="310" spans="2:5" x14ac:dyDescent="0.3">
      <c r="B310" s="4">
        <f t="shared" si="8"/>
        <v>308</v>
      </c>
      <c r="C310" s="10" t="s">
        <v>294</v>
      </c>
      <c r="D310" s="4" t="str">
        <f t="shared" si="9"/>
        <v>0000308</v>
      </c>
      <c r="E310" s="4">
        <f>COUNTIF(Table1[Malın adı],Table1[[#This Row],[Malın adı]])</f>
        <v>1</v>
      </c>
    </row>
    <row r="311" spans="2:5" x14ac:dyDescent="0.3">
      <c r="B311" s="4">
        <f t="shared" si="8"/>
        <v>309</v>
      </c>
      <c r="C311" s="10" t="s">
        <v>295</v>
      </c>
      <c r="D311" s="4" t="str">
        <f t="shared" si="9"/>
        <v>0000309</v>
      </c>
      <c r="E311" s="4">
        <f>COUNTIF(Table1[Malın adı],Table1[[#This Row],[Malın adı]])</f>
        <v>1</v>
      </c>
    </row>
    <row r="312" spans="2:5" x14ac:dyDescent="0.3">
      <c r="B312" s="4">
        <f t="shared" si="8"/>
        <v>310</v>
      </c>
      <c r="C312" s="10" t="s">
        <v>296</v>
      </c>
      <c r="D312" s="4" t="str">
        <f t="shared" si="9"/>
        <v>0000310</v>
      </c>
      <c r="E312" s="4">
        <f>COUNTIF(Table1[Malın adı],Table1[[#This Row],[Malın adı]])</f>
        <v>1</v>
      </c>
    </row>
    <row r="313" spans="2:5" x14ac:dyDescent="0.3">
      <c r="B313" s="4">
        <f t="shared" si="8"/>
        <v>311</v>
      </c>
      <c r="C313" s="10" t="s">
        <v>297</v>
      </c>
      <c r="D313" s="4" t="str">
        <f t="shared" si="9"/>
        <v>0000311</v>
      </c>
      <c r="E313" s="4">
        <f>COUNTIF(Table1[Malın adı],Table1[[#This Row],[Malın adı]])</f>
        <v>1</v>
      </c>
    </row>
    <row r="314" spans="2:5" x14ac:dyDescent="0.3">
      <c r="B314" s="4">
        <f t="shared" si="8"/>
        <v>312</v>
      </c>
      <c r="C314" s="10" t="s">
        <v>298</v>
      </c>
      <c r="D314" s="4" t="str">
        <f t="shared" si="9"/>
        <v>0000312</v>
      </c>
      <c r="E314" s="4">
        <f>COUNTIF(Table1[Malın adı],Table1[[#This Row],[Malın adı]])</f>
        <v>1</v>
      </c>
    </row>
    <row r="315" spans="2:5" x14ac:dyDescent="0.3">
      <c r="B315" s="4">
        <f t="shared" si="8"/>
        <v>313</v>
      </c>
      <c r="C315" s="10" t="s">
        <v>299</v>
      </c>
      <c r="D315" s="4" t="str">
        <f t="shared" si="9"/>
        <v>0000313</v>
      </c>
      <c r="E315" s="4">
        <f>COUNTIF(Table1[Malın adı],Table1[[#This Row],[Malın adı]])</f>
        <v>1</v>
      </c>
    </row>
    <row r="316" spans="2:5" x14ac:dyDescent="0.3">
      <c r="B316" s="4">
        <f t="shared" si="8"/>
        <v>314</v>
      </c>
      <c r="C316" s="10" t="s">
        <v>2468</v>
      </c>
      <c r="D316" s="4" t="str">
        <f t="shared" si="9"/>
        <v>0000314</v>
      </c>
      <c r="E316" s="4">
        <f>COUNTIF(Table1[Malın adı],Table1[[#This Row],[Malın adı]])</f>
        <v>1</v>
      </c>
    </row>
    <row r="317" spans="2:5" x14ac:dyDescent="0.3">
      <c r="B317" s="4">
        <f t="shared" si="8"/>
        <v>315</v>
      </c>
      <c r="C317" s="10" t="s">
        <v>300</v>
      </c>
      <c r="D317" s="4" t="str">
        <f t="shared" si="9"/>
        <v>0000315</v>
      </c>
      <c r="E317" s="4">
        <f>COUNTIF(Table1[Malın adı],Table1[[#This Row],[Malın adı]])</f>
        <v>1</v>
      </c>
    </row>
    <row r="318" spans="2:5" x14ac:dyDescent="0.3">
      <c r="B318" s="4">
        <f t="shared" si="8"/>
        <v>316</v>
      </c>
      <c r="C318" s="10" t="s">
        <v>301</v>
      </c>
      <c r="D318" s="4" t="str">
        <f t="shared" si="9"/>
        <v>0000316</v>
      </c>
      <c r="E318" s="4">
        <f>COUNTIF(Table1[Malın adı],Table1[[#This Row],[Malın adı]])</f>
        <v>1</v>
      </c>
    </row>
    <row r="319" spans="2:5" x14ac:dyDescent="0.3">
      <c r="B319" s="4">
        <f t="shared" si="8"/>
        <v>317</v>
      </c>
      <c r="C319" s="10" t="s">
        <v>302</v>
      </c>
      <c r="D319" s="4" t="str">
        <f t="shared" si="9"/>
        <v>0000317</v>
      </c>
      <c r="E319" s="4">
        <f>COUNTIF(Table1[Malın adı],Table1[[#This Row],[Malın adı]])</f>
        <v>1</v>
      </c>
    </row>
    <row r="320" spans="2:5" x14ac:dyDescent="0.3">
      <c r="B320" s="4">
        <f t="shared" si="8"/>
        <v>318</v>
      </c>
      <c r="C320" s="10" t="s">
        <v>303</v>
      </c>
      <c r="D320" s="4" t="str">
        <f t="shared" si="9"/>
        <v>0000318</v>
      </c>
      <c r="E320" s="4">
        <f>COUNTIF(Table1[Malın adı],Table1[[#This Row],[Malın adı]])</f>
        <v>1</v>
      </c>
    </row>
    <row r="321" spans="2:5" x14ac:dyDescent="0.3">
      <c r="B321" s="4">
        <f t="shared" si="8"/>
        <v>319</v>
      </c>
      <c r="C321" s="10" t="s">
        <v>304</v>
      </c>
      <c r="D321" s="4" t="str">
        <f t="shared" si="9"/>
        <v>0000319</v>
      </c>
      <c r="E321" s="4">
        <f>COUNTIF(Table1[Malın adı],Table1[[#This Row],[Malın adı]])</f>
        <v>1</v>
      </c>
    </row>
    <row r="322" spans="2:5" x14ac:dyDescent="0.3">
      <c r="B322" s="4">
        <f t="shared" si="8"/>
        <v>320</v>
      </c>
      <c r="C322" s="10" t="s">
        <v>305</v>
      </c>
      <c r="D322" s="4" t="str">
        <f t="shared" si="9"/>
        <v>0000320</v>
      </c>
      <c r="E322" s="4">
        <f>COUNTIF(Table1[Malın adı],Table1[[#This Row],[Malın adı]])</f>
        <v>1</v>
      </c>
    </row>
    <row r="323" spans="2:5" x14ac:dyDescent="0.3">
      <c r="B323" s="4">
        <f t="shared" ref="B323:B386" si="10">ROW()-2</f>
        <v>321</v>
      </c>
      <c r="C323" s="10" t="s">
        <v>306</v>
      </c>
      <c r="D323" s="4" t="str">
        <f t="shared" ref="D323:D386" si="11">TEXT(ROW()-2,"0000000")</f>
        <v>0000321</v>
      </c>
      <c r="E323" s="4">
        <f>COUNTIF(Table1[Malın adı],Table1[[#This Row],[Malın adı]])</f>
        <v>1</v>
      </c>
    </row>
    <row r="324" spans="2:5" x14ac:dyDescent="0.3">
      <c r="B324" s="4">
        <f t="shared" si="10"/>
        <v>322</v>
      </c>
      <c r="C324" s="10" t="s">
        <v>307</v>
      </c>
      <c r="D324" s="4" t="str">
        <f t="shared" si="11"/>
        <v>0000322</v>
      </c>
      <c r="E324" s="4">
        <f>COUNTIF(Table1[Malın adı],Table1[[#This Row],[Malın adı]])</f>
        <v>1</v>
      </c>
    </row>
    <row r="325" spans="2:5" x14ac:dyDescent="0.3">
      <c r="B325" s="4">
        <f t="shared" si="10"/>
        <v>323</v>
      </c>
      <c r="C325" s="10" t="s">
        <v>308</v>
      </c>
      <c r="D325" s="4" t="str">
        <f t="shared" si="11"/>
        <v>0000323</v>
      </c>
      <c r="E325" s="4">
        <f>COUNTIF(Table1[Malın adı],Table1[[#This Row],[Malın adı]])</f>
        <v>1</v>
      </c>
    </row>
    <row r="326" spans="2:5" x14ac:dyDescent="0.3">
      <c r="B326" s="4">
        <f t="shared" si="10"/>
        <v>324</v>
      </c>
      <c r="C326" s="10" t="s">
        <v>309</v>
      </c>
      <c r="D326" s="4" t="str">
        <f t="shared" si="11"/>
        <v>0000324</v>
      </c>
      <c r="E326" s="4">
        <f>COUNTIF(Table1[Malın adı],Table1[[#This Row],[Malın adı]])</f>
        <v>1</v>
      </c>
    </row>
    <row r="327" spans="2:5" x14ac:dyDescent="0.3">
      <c r="B327" s="4">
        <f t="shared" si="10"/>
        <v>325</v>
      </c>
      <c r="C327" s="10" t="s">
        <v>310</v>
      </c>
      <c r="D327" s="4" t="str">
        <f t="shared" si="11"/>
        <v>0000325</v>
      </c>
      <c r="E327" s="4">
        <f>COUNTIF(Table1[Malın adı],Table1[[#This Row],[Malın adı]])</f>
        <v>1</v>
      </c>
    </row>
    <row r="328" spans="2:5" x14ac:dyDescent="0.3">
      <c r="B328" s="4">
        <f t="shared" si="10"/>
        <v>326</v>
      </c>
      <c r="C328" s="10" t="s">
        <v>311</v>
      </c>
      <c r="D328" s="4" t="str">
        <f t="shared" si="11"/>
        <v>0000326</v>
      </c>
      <c r="E328" s="4">
        <f>COUNTIF(Table1[Malın adı],Table1[[#This Row],[Malın adı]])</f>
        <v>1</v>
      </c>
    </row>
    <row r="329" spans="2:5" x14ac:dyDescent="0.3">
      <c r="B329" s="4">
        <f t="shared" si="10"/>
        <v>327</v>
      </c>
      <c r="C329" s="10" t="s">
        <v>312</v>
      </c>
      <c r="D329" s="4" t="str">
        <f t="shared" si="11"/>
        <v>0000327</v>
      </c>
      <c r="E329" s="4">
        <f>COUNTIF(Table1[Malın adı],Table1[[#This Row],[Malın adı]])</f>
        <v>1</v>
      </c>
    </row>
    <row r="330" spans="2:5" x14ac:dyDescent="0.3">
      <c r="B330" s="4">
        <f t="shared" si="10"/>
        <v>328</v>
      </c>
      <c r="C330" s="10" t="s">
        <v>313</v>
      </c>
      <c r="D330" s="4" t="str">
        <f t="shared" si="11"/>
        <v>0000328</v>
      </c>
      <c r="E330" s="4">
        <f>COUNTIF(Table1[Malın adı],Table1[[#This Row],[Malın adı]])</f>
        <v>1</v>
      </c>
    </row>
    <row r="331" spans="2:5" x14ac:dyDescent="0.3">
      <c r="B331" s="4">
        <f t="shared" si="10"/>
        <v>329</v>
      </c>
      <c r="C331" s="10" t="s">
        <v>314</v>
      </c>
      <c r="D331" s="4" t="str">
        <f t="shared" si="11"/>
        <v>0000329</v>
      </c>
      <c r="E331" s="4">
        <f>COUNTIF(Table1[Malın adı],Table1[[#This Row],[Malın adı]])</f>
        <v>1</v>
      </c>
    </row>
    <row r="332" spans="2:5" x14ac:dyDescent="0.3">
      <c r="B332" s="4">
        <f t="shared" si="10"/>
        <v>330</v>
      </c>
      <c r="C332" s="10" t="s">
        <v>315</v>
      </c>
      <c r="D332" s="4" t="str">
        <f t="shared" si="11"/>
        <v>0000330</v>
      </c>
      <c r="E332" s="4">
        <f>COUNTIF(Table1[Malın adı],Table1[[#This Row],[Malın adı]])</f>
        <v>1</v>
      </c>
    </row>
    <row r="333" spans="2:5" x14ac:dyDescent="0.3">
      <c r="B333" s="4">
        <f t="shared" si="10"/>
        <v>331</v>
      </c>
      <c r="C333" s="10" t="s">
        <v>316</v>
      </c>
      <c r="D333" s="4" t="str">
        <f t="shared" si="11"/>
        <v>0000331</v>
      </c>
      <c r="E333" s="4">
        <f>COUNTIF(Table1[Malın adı],Table1[[#This Row],[Malın adı]])</f>
        <v>1</v>
      </c>
    </row>
    <row r="334" spans="2:5" x14ac:dyDescent="0.3">
      <c r="B334" s="4">
        <f t="shared" si="10"/>
        <v>332</v>
      </c>
      <c r="C334" s="10" t="s">
        <v>317</v>
      </c>
      <c r="D334" s="4" t="str">
        <f t="shared" si="11"/>
        <v>0000332</v>
      </c>
      <c r="E334" s="4">
        <f>COUNTIF(Table1[Malın adı],Table1[[#This Row],[Malın adı]])</f>
        <v>1</v>
      </c>
    </row>
    <row r="335" spans="2:5" x14ac:dyDescent="0.3">
      <c r="B335" s="4">
        <f t="shared" si="10"/>
        <v>333</v>
      </c>
      <c r="C335" s="10" t="s">
        <v>318</v>
      </c>
      <c r="D335" s="4" t="str">
        <f t="shared" si="11"/>
        <v>0000333</v>
      </c>
      <c r="E335" s="4">
        <f>COUNTIF(Table1[Malın adı],Table1[[#This Row],[Malın adı]])</f>
        <v>1</v>
      </c>
    </row>
    <row r="336" spans="2:5" x14ac:dyDescent="0.3">
      <c r="B336" s="4">
        <f t="shared" si="10"/>
        <v>334</v>
      </c>
      <c r="C336" s="10" t="s">
        <v>319</v>
      </c>
      <c r="D336" s="4" t="str">
        <f t="shared" si="11"/>
        <v>0000334</v>
      </c>
      <c r="E336" s="4">
        <f>COUNTIF(Table1[Malın adı],Table1[[#This Row],[Malın adı]])</f>
        <v>1</v>
      </c>
    </row>
    <row r="337" spans="2:5" x14ac:dyDescent="0.3">
      <c r="B337" s="4">
        <f t="shared" si="10"/>
        <v>335</v>
      </c>
      <c r="C337" s="10" t="s">
        <v>320</v>
      </c>
      <c r="D337" s="4" t="str">
        <f t="shared" si="11"/>
        <v>0000335</v>
      </c>
      <c r="E337" s="4">
        <f>COUNTIF(Table1[Malın adı],Table1[[#This Row],[Malın adı]])</f>
        <v>1</v>
      </c>
    </row>
    <row r="338" spans="2:5" x14ac:dyDescent="0.3">
      <c r="B338" s="4">
        <f t="shared" si="10"/>
        <v>336</v>
      </c>
      <c r="C338" s="10" t="s">
        <v>2469</v>
      </c>
      <c r="D338" s="4" t="str">
        <f t="shared" si="11"/>
        <v>0000336</v>
      </c>
      <c r="E338" s="4">
        <f>COUNTIF(Table1[Malın adı],Table1[[#This Row],[Malın adı]])</f>
        <v>1</v>
      </c>
    </row>
    <row r="339" spans="2:5" x14ac:dyDescent="0.3">
      <c r="B339" s="4">
        <f t="shared" si="10"/>
        <v>337</v>
      </c>
      <c r="C339" s="10" t="s">
        <v>321</v>
      </c>
      <c r="D339" s="4" t="str">
        <f t="shared" si="11"/>
        <v>0000337</v>
      </c>
      <c r="E339" s="4">
        <f>COUNTIF(Table1[Malın adı],Table1[[#This Row],[Malın adı]])</f>
        <v>1</v>
      </c>
    </row>
    <row r="340" spans="2:5" x14ac:dyDescent="0.3">
      <c r="B340" s="4">
        <f t="shared" si="10"/>
        <v>338</v>
      </c>
      <c r="C340" s="10" t="s">
        <v>322</v>
      </c>
      <c r="D340" s="4" t="str">
        <f t="shared" si="11"/>
        <v>0000338</v>
      </c>
      <c r="E340" s="4">
        <f>COUNTIF(Table1[Malın adı],Table1[[#This Row],[Malın adı]])</f>
        <v>1</v>
      </c>
    </row>
    <row r="341" spans="2:5" x14ac:dyDescent="0.3">
      <c r="B341" s="4">
        <f t="shared" si="10"/>
        <v>339</v>
      </c>
      <c r="C341" s="10" t="s">
        <v>323</v>
      </c>
      <c r="D341" s="4" t="str">
        <f t="shared" si="11"/>
        <v>0000339</v>
      </c>
      <c r="E341" s="4">
        <f>COUNTIF(Table1[Malın adı],Table1[[#This Row],[Malın adı]])</f>
        <v>1</v>
      </c>
    </row>
    <row r="342" spans="2:5" x14ac:dyDescent="0.3">
      <c r="B342" s="4">
        <f t="shared" si="10"/>
        <v>340</v>
      </c>
      <c r="C342" s="10" t="s">
        <v>324</v>
      </c>
      <c r="D342" s="4" t="str">
        <f t="shared" si="11"/>
        <v>0000340</v>
      </c>
      <c r="E342" s="4">
        <f>COUNTIF(Table1[Malın adı],Table1[[#This Row],[Malın adı]])</f>
        <v>1</v>
      </c>
    </row>
    <row r="343" spans="2:5" x14ac:dyDescent="0.3">
      <c r="B343" s="4">
        <f t="shared" si="10"/>
        <v>341</v>
      </c>
      <c r="C343" s="10" t="s">
        <v>325</v>
      </c>
      <c r="D343" s="4" t="str">
        <f t="shared" si="11"/>
        <v>0000341</v>
      </c>
      <c r="E343" s="4">
        <f>COUNTIF(Table1[Malın adı],Table1[[#This Row],[Malın adı]])</f>
        <v>1</v>
      </c>
    </row>
    <row r="344" spans="2:5" x14ac:dyDescent="0.3">
      <c r="B344" s="4">
        <f t="shared" si="10"/>
        <v>342</v>
      </c>
      <c r="C344" s="10" t="s">
        <v>326</v>
      </c>
      <c r="D344" s="4" t="str">
        <f t="shared" si="11"/>
        <v>0000342</v>
      </c>
      <c r="E344" s="4">
        <f>COUNTIF(Table1[Malın adı],Table1[[#This Row],[Malın adı]])</f>
        <v>1</v>
      </c>
    </row>
    <row r="345" spans="2:5" x14ac:dyDescent="0.3">
      <c r="B345" s="4">
        <f t="shared" si="10"/>
        <v>343</v>
      </c>
      <c r="C345" s="10" t="s">
        <v>327</v>
      </c>
      <c r="D345" s="4" t="str">
        <f t="shared" si="11"/>
        <v>0000343</v>
      </c>
      <c r="E345" s="4">
        <f>COUNTIF(Table1[Malın adı],Table1[[#This Row],[Malın adı]])</f>
        <v>1</v>
      </c>
    </row>
    <row r="346" spans="2:5" x14ac:dyDescent="0.3">
      <c r="B346" s="4">
        <f t="shared" si="10"/>
        <v>344</v>
      </c>
      <c r="C346" s="10" t="s">
        <v>328</v>
      </c>
      <c r="D346" s="4" t="str">
        <f t="shared" si="11"/>
        <v>0000344</v>
      </c>
      <c r="E346" s="4">
        <f>COUNTIF(Table1[Malın adı],Table1[[#This Row],[Malın adı]])</f>
        <v>1</v>
      </c>
    </row>
    <row r="347" spans="2:5" x14ac:dyDescent="0.3">
      <c r="B347" s="4">
        <f t="shared" si="10"/>
        <v>345</v>
      </c>
      <c r="C347" s="10" t="s">
        <v>329</v>
      </c>
      <c r="D347" s="4" t="str">
        <f t="shared" si="11"/>
        <v>0000345</v>
      </c>
      <c r="E347" s="4">
        <f>COUNTIF(Table1[Malın adı],Table1[[#This Row],[Malın adı]])</f>
        <v>1</v>
      </c>
    </row>
    <row r="348" spans="2:5" x14ac:dyDescent="0.3">
      <c r="B348" s="4">
        <f t="shared" si="10"/>
        <v>346</v>
      </c>
      <c r="C348" s="10" t="s">
        <v>330</v>
      </c>
      <c r="D348" s="4" t="str">
        <f t="shared" si="11"/>
        <v>0000346</v>
      </c>
      <c r="E348" s="4">
        <f>COUNTIF(Table1[Malın adı],Table1[[#This Row],[Malın adı]])</f>
        <v>1</v>
      </c>
    </row>
    <row r="349" spans="2:5" x14ac:dyDescent="0.3">
      <c r="B349" s="4">
        <f t="shared" si="10"/>
        <v>347</v>
      </c>
      <c r="C349" s="10" t="s">
        <v>331</v>
      </c>
      <c r="D349" s="4" t="str">
        <f t="shared" si="11"/>
        <v>0000347</v>
      </c>
      <c r="E349" s="4">
        <f>COUNTIF(Table1[Malın adı],Table1[[#This Row],[Malın adı]])</f>
        <v>1</v>
      </c>
    </row>
    <row r="350" spans="2:5" x14ac:dyDescent="0.3">
      <c r="B350" s="4">
        <f t="shared" si="10"/>
        <v>348</v>
      </c>
      <c r="C350" s="10" t="s">
        <v>332</v>
      </c>
      <c r="D350" s="4" t="str">
        <f t="shared" si="11"/>
        <v>0000348</v>
      </c>
      <c r="E350" s="4">
        <f>COUNTIF(Table1[Malın adı],Table1[[#This Row],[Malın adı]])</f>
        <v>1</v>
      </c>
    </row>
    <row r="351" spans="2:5" x14ac:dyDescent="0.3">
      <c r="B351" s="4">
        <f t="shared" si="10"/>
        <v>349</v>
      </c>
      <c r="C351" s="10" t="s">
        <v>333</v>
      </c>
      <c r="D351" s="4" t="str">
        <f t="shared" si="11"/>
        <v>0000349</v>
      </c>
      <c r="E351" s="4">
        <f>COUNTIF(Table1[Malın adı],Table1[[#This Row],[Malın adı]])</f>
        <v>1</v>
      </c>
    </row>
    <row r="352" spans="2:5" x14ac:dyDescent="0.3">
      <c r="B352" s="4">
        <f t="shared" si="10"/>
        <v>350</v>
      </c>
      <c r="C352" s="10" t="s">
        <v>334</v>
      </c>
      <c r="D352" s="4" t="str">
        <f t="shared" si="11"/>
        <v>0000350</v>
      </c>
      <c r="E352" s="4">
        <f>COUNTIF(Table1[Malın adı],Table1[[#This Row],[Malın adı]])</f>
        <v>1</v>
      </c>
    </row>
    <row r="353" spans="2:5" x14ac:dyDescent="0.3">
      <c r="B353" s="4">
        <f t="shared" si="10"/>
        <v>351</v>
      </c>
      <c r="C353" s="10" t="s">
        <v>335</v>
      </c>
      <c r="D353" s="4" t="str">
        <f t="shared" si="11"/>
        <v>0000351</v>
      </c>
      <c r="E353" s="4">
        <f>COUNTIF(Table1[Malın adı],Table1[[#This Row],[Malın adı]])</f>
        <v>1</v>
      </c>
    </row>
    <row r="354" spans="2:5" x14ac:dyDescent="0.3">
      <c r="B354" s="4">
        <f t="shared" si="10"/>
        <v>352</v>
      </c>
      <c r="C354" s="10" t="s">
        <v>2470</v>
      </c>
      <c r="D354" s="4" t="str">
        <f t="shared" si="11"/>
        <v>0000352</v>
      </c>
      <c r="E354" s="4">
        <f>COUNTIF(Table1[Malın adı],Table1[[#This Row],[Malın adı]])</f>
        <v>1</v>
      </c>
    </row>
    <row r="355" spans="2:5" x14ac:dyDescent="0.3">
      <c r="B355" s="4">
        <f t="shared" si="10"/>
        <v>353</v>
      </c>
      <c r="C355" s="10" t="s">
        <v>336</v>
      </c>
      <c r="D355" s="4" t="str">
        <f t="shared" si="11"/>
        <v>0000353</v>
      </c>
      <c r="E355" s="4">
        <f>COUNTIF(Table1[Malın adı],Table1[[#This Row],[Malın adı]])</f>
        <v>1</v>
      </c>
    </row>
    <row r="356" spans="2:5" x14ac:dyDescent="0.3">
      <c r="B356" s="4">
        <f t="shared" si="10"/>
        <v>354</v>
      </c>
      <c r="C356" s="10" t="s">
        <v>337</v>
      </c>
      <c r="D356" s="4" t="str">
        <f t="shared" si="11"/>
        <v>0000354</v>
      </c>
      <c r="E356" s="4">
        <f>COUNTIF(Table1[Malın adı],Table1[[#This Row],[Malın adı]])</f>
        <v>1</v>
      </c>
    </row>
    <row r="357" spans="2:5" x14ac:dyDescent="0.3">
      <c r="B357" s="4">
        <f t="shared" si="10"/>
        <v>355</v>
      </c>
      <c r="C357" s="10" t="s">
        <v>338</v>
      </c>
      <c r="D357" s="4" t="str">
        <f t="shared" si="11"/>
        <v>0000355</v>
      </c>
      <c r="E357" s="4">
        <f>COUNTIF(Table1[Malın adı],Table1[[#This Row],[Malın adı]])</f>
        <v>1</v>
      </c>
    </row>
    <row r="358" spans="2:5" x14ac:dyDescent="0.3">
      <c r="B358" s="4">
        <f t="shared" si="10"/>
        <v>356</v>
      </c>
      <c r="C358" s="10" t="s">
        <v>2343</v>
      </c>
      <c r="D358" s="4" t="str">
        <f t="shared" si="11"/>
        <v>0000356</v>
      </c>
      <c r="E358" s="4">
        <f>COUNTIF(Table1[Malın adı],Table1[[#This Row],[Malın adı]])</f>
        <v>1</v>
      </c>
    </row>
    <row r="359" spans="2:5" x14ac:dyDescent="0.3">
      <c r="B359" s="4">
        <f t="shared" si="10"/>
        <v>357</v>
      </c>
      <c r="C359" s="10" t="s">
        <v>2471</v>
      </c>
      <c r="D359" s="4" t="str">
        <f t="shared" si="11"/>
        <v>0000357</v>
      </c>
      <c r="E359" s="4">
        <f>COUNTIF(Table1[Malın adı],Table1[[#This Row],[Malın adı]])</f>
        <v>1</v>
      </c>
    </row>
    <row r="360" spans="2:5" x14ac:dyDescent="0.3">
      <c r="B360" s="4">
        <f t="shared" si="10"/>
        <v>358</v>
      </c>
      <c r="C360" s="10" t="s">
        <v>339</v>
      </c>
      <c r="D360" s="4" t="str">
        <f t="shared" si="11"/>
        <v>0000358</v>
      </c>
      <c r="E360" s="4">
        <f>COUNTIF(Table1[Malın adı],Table1[[#This Row],[Malın adı]])</f>
        <v>1</v>
      </c>
    </row>
    <row r="361" spans="2:5" x14ac:dyDescent="0.3">
      <c r="B361" s="4">
        <f t="shared" si="10"/>
        <v>359</v>
      </c>
      <c r="C361" s="10" t="s">
        <v>340</v>
      </c>
      <c r="D361" s="4" t="str">
        <f t="shared" si="11"/>
        <v>0000359</v>
      </c>
      <c r="E361" s="4">
        <f>COUNTIF(Table1[Malın adı],Table1[[#This Row],[Malın adı]])</f>
        <v>1</v>
      </c>
    </row>
    <row r="362" spans="2:5" x14ac:dyDescent="0.3">
      <c r="B362" s="4">
        <f t="shared" si="10"/>
        <v>360</v>
      </c>
      <c r="C362" s="10" t="s">
        <v>341</v>
      </c>
      <c r="D362" s="4" t="str">
        <f t="shared" si="11"/>
        <v>0000360</v>
      </c>
      <c r="E362" s="4">
        <f>COUNTIF(Table1[Malın adı],Table1[[#This Row],[Malın adı]])</f>
        <v>1</v>
      </c>
    </row>
    <row r="363" spans="2:5" x14ac:dyDescent="0.3">
      <c r="B363" s="4">
        <f t="shared" si="10"/>
        <v>361</v>
      </c>
      <c r="C363" s="10" t="s">
        <v>342</v>
      </c>
      <c r="D363" s="4" t="str">
        <f t="shared" si="11"/>
        <v>0000361</v>
      </c>
      <c r="E363" s="4">
        <f>COUNTIF(Table1[Malın adı],Table1[[#This Row],[Malın adı]])</f>
        <v>1</v>
      </c>
    </row>
    <row r="364" spans="2:5" x14ac:dyDescent="0.3">
      <c r="B364" s="4">
        <f t="shared" si="10"/>
        <v>362</v>
      </c>
      <c r="C364" s="10" t="s">
        <v>343</v>
      </c>
      <c r="D364" s="4" t="str">
        <f t="shared" si="11"/>
        <v>0000362</v>
      </c>
      <c r="E364" s="4">
        <f>COUNTIF(Table1[Malın adı],Table1[[#This Row],[Malın adı]])</f>
        <v>1</v>
      </c>
    </row>
    <row r="365" spans="2:5" x14ac:dyDescent="0.3">
      <c r="B365" s="4">
        <f t="shared" si="10"/>
        <v>363</v>
      </c>
      <c r="C365" s="10" t="s">
        <v>2144</v>
      </c>
      <c r="D365" s="4" t="str">
        <f t="shared" si="11"/>
        <v>0000363</v>
      </c>
      <c r="E365" s="4">
        <f>COUNTIF(Table1[Malın adı],Table1[[#This Row],[Malın adı]])</f>
        <v>1</v>
      </c>
    </row>
    <row r="366" spans="2:5" x14ac:dyDescent="0.3">
      <c r="B366" s="4">
        <f t="shared" si="10"/>
        <v>364</v>
      </c>
      <c r="C366" s="10" t="s">
        <v>344</v>
      </c>
      <c r="D366" s="4" t="str">
        <f t="shared" si="11"/>
        <v>0000364</v>
      </c>
      <c r="E366" s="4">
        <f>COUNTIF(Table1[Malın adı],Table1[[#This Row],[Malın adı]])</f>
        <v>1</v>
      </c>
    </row>
    <row r="367" spans="2:5" x14ac:dyDescent="0.3">
      <c r="B367" s="4">
        <f t="shared" si="10"/>
        <v>365</v>
      </c>
      <c r="C367" s="10" t="s">
        <v>345</v>
      </c>
      <c r="D367" s="4" t="str">
        <f t="shared" si="11"/>
        <v>0000365</v>
      </c>
      <c r="E367" s="4">
        <f>COUNTIF(Table1[Malın adı],Table1[[#This Row],[Malın adı]])</f>
        <v>1</v>
      </c>
    </row>
    <row r="368" spans="2:5" x14ac:dyDescent="0.3">
      <c r="B368" s="4">
        <f t="shared" si="10"/>
        <v>366</v>
      </c>
      <c r="C368" s="10" t="s">
        <v>346</v>
      </c>
      <c r="D368" s="4" t="str">
        <f t="shared" si="11"/>
        <v>0000366</v>
      </c>
      <c r="E368" s="4">
        <f>COUNTIF(Table1[Malın adı],Table1[[#This Row],[Malın adı]])</f>
        <v>1</v>
      </c>
    </row>
    <row r="369" spans="2:5" x14ac:dyDescent="0.3">
      <c r="B369" s="4">
        <f t="shared" si="10"/>
        <v>367</v>
      </c>
      <c r="C369" s="10" t="s">
        <v>347</v>
      </c>
      <c r="D369" s="4" t="str">
        <f t="shared" si="11"/>
        <v>0000367</v>
      </c>
      <c r="E369" s="4">
        <f>COUNTIF(Table1[Malın adı],Table1[[#This Row],[Malın adı]])</f>
        <v>1</v>
      </c>
    </row>
    <row r="370" spans="2:5" x14ac:dyDescent="0.3">
      <c r="B370" s="4">
        <f t="shared" si="10"/>
        <v>368</v>
      </c>
      <c r="C370" s="10" t="s">
        <v>348</v>
      </c>
      <c r="D370" s="4" t="str">
        <f t="shared" si="11"/>
        <v>0000368</v>
      </c>
      <c r="E370" s="4">
        <f>COUNTIF(Table1[Malın adı],Table1[[#This Row],[Malın adı]])</f>
        <v>1</v>
      </c>
    </row>
    <row r="371" spans="2:5" x14ac:dyDescent="0.3">
      <c r="B371" s="4">
        <f t="shared" si="10"/>
        <v>369</v>
      </c>
      <c r="C371" s="10" t="s">
        <v>349</v>
      </c>
      <c r="D371" s="4" t="str">
        <f t="shared" si="11"/>
        <v>0000369</v>
      </c>
      <c r="E371" s="4">
        <f>COUNTIF(Table1[Malın adı],Table1[[#This Row],[Malın adı]])</f>
        <v>1</v>
      </c>
    </row>
    <row r="372" spans="2:5" x14ac:dyDescent="0.3">
      <c r="B372" s="4">
        <f t="shared" si="10"/>
        <v>370</v>
      </c>
      <c r="C372" s="10" t="s">
        <v>350</v>
      </c>
      <c r="D372" s="4" t="str">
        <f t="shared" si="11"/>
        <v>0000370</v>
      </c>
      <c r="E372" s="4">
        <f>COUNTIF(Table1[Malın adı],Table1[[#This Row],[Malın adı]])</f>
        <v>1</v>
      </c>
    </row>
    <row r="373" spans="2:5" x14ac:dyDescent="0.3">
      <c r="B373" s="4">
        <f t="shared" si="10"/>
        <v>371</v>
      </c>
      <c r="C373" s="10" t="s">
        <v>351</v>
      </c>
      <c r="D373" s="4" t="str">
        <f t="shared" si="11"/>
        <v>0000371</v>
      </c>
      <c r="E373" s="4">
        <f>COUNTIF(Table1[Malın adı],Table1[[#This Row],[Malın adı]])</f>
        <v>1</v>
      </c>
    </row>
    <row r="374" spans="2:5" x14ac:dyDescent="0.3">
      <c r="B374" s="4">
        <f t="shared" si="10"/>
        <v>372</v>
      </c>
      <c r="C374" s="10" t="s">
        <v>352</v>
      </c>
      <c r="D374" s="4" t="str">
        <f t="shared" si="11"/>
        <v>0000372</v>
      </c>
      <c r="E374" s="4">
        <f>COUNTIF(Table1[Malın adı],Table1[[#This Row],[Malın adı]])</f>
        <v>1</v>
      </c>
    </row>
    <row r="375" spans="2:5" x14ac:dyDescent="0.3">
      <c r="B375" s="4">
        <f t="shared" si="10"/>
        <v>373</v>
      </c>
      <c r="C375" s="10" t="s">
        <v>353</v>
      </c>
      <c r="D375" s="4" t="str">
        <f t="shared" si="11"/>
        <v>0000373</v>
      </c>
      <c r="E375" s="4">
        <f>COUNTIF(Table1[Malın adı],Table1[[#This Row],[Malın adı]])</f>
        <v>1</v>
      </c>
    </row>
    <row r="376" spans="2:5" x14ac:dyDescent="0.3">
      <c r="B376" s="4">
        <f t="shared" si="10"/>
        <v>374</v>
      </c>
      <c r="C376" s="10" t="s">
        <v>354</v>
      </c>
      <c r="D376" s="4" t="str">
        <f t="shared" si="11"/>
        <v>0000374</v>
      </c>
      <c r="E376" s="4">
        <f>COUNTIF(Table1[Malın adı],Table1[[#This Row],[Malın adı]])</f>
        <v>1</v>
      </c>
    </row>
    <row r="377" spans="2:5" x14ac:dyDescent="0.3">
      <c r="B377" s="4">
        <f t="shared" si="10"/>
        <v>375</v>
      </c>
      <c r="C377" s="10" t="s">
        <v>355</v>
      </c>
      <c r="D377" s="4" t="str">
        <f t="shared" si="11"/>
        <v>0000375</v>
      </c>
      <c r="E377" s="4">
        <f>COUNTIF(Table1[Malın adı],Table1[[#This Row],[Malın adı]])</f>
        <v>1</v>
      </c>
    </row>
    <row r="378" spans="2:5" x14ac:dyDescent="0.3">
      <c r="B378" s="4">
        <f t="shared" si="10"/>
        <v>376</v>
      </c>
      <c r="C378" s="10" t="s">
        <v>356</v>
      </c>
      <c r="D378" s="4" t="str">
        <f t="shared" si="11"/>
        <v>0000376</v>
      </c>
      <c r="E378" s="4">
        <f>COUNTIF(Table1[Malın adı],Table1[[#This Row],[Malın adı]])</f>
        <v>1</v>
      </c>
    </row>
    <row r="379" spans="2:5" x14ac:dyDescent="0.3">
      <c r="B379" s="4">
        <f t="shared" si="10"/>
        <v>377</v>
      </c>
      <c r="C379" s="10" t="s">
        <v>357</v>
      </c>
      <c r="D379" s="4" t="str">
        <f t="shared" si="11"/>
        <v>0000377</v>
      </c>
      <c r="E379" s="4">
        <f>COUNTIF(Table1[Malın adı],Table1[[#This Row],[Malın adı]])</f>
        <v>1</v>
      </c>
    </row>
    <row r="380" spans="2:5" x14ac:dyDescent="0.3">
      <c r="B380" s="4">
        <f t="shared" si="10"/>
        <v>378</v>
      </c>
      <c r="C380" s="10" t="s">
        <v>358</v>
      </c>
      <c r="D380" s="4" t="str">
        <f t="shared" si="11"/>
        <v>0000378</v>
      </c>
      <c r="E380" s="4">
        <f>COUNTIF(Table1[Malın adı],Table1[[#This Row],[Malın adı]])</f>
        <v>1</v>
      </c>
    </row>
    <row r="381" spans="2:5" x14ac:dyDescent="0.3">
      <c r="B381" s="4">
        <f t="shared" si="10"/>
        <v>379</v>
      </c>
      <c r="C381" s="10" t="s">
        <v>359</v>
      </c>
      <c r="D381" s="4" t="str">
        <f t="shared" si="11"/>
        <v>0000379</v>
      </c>
      <c r="E381" s="4">
        <f>COUNTIF(Table1[Malın adı],Table1[[#This Row],[Malın adı]])</f>
        <v>1</v>
      </c>
    </row>
    <row r="382" spans="2:5" x14ac:dyDescent="0.3">
      <c r="B382" s="4">
        <f t="shared" si="10"/>
        <v>380</v>
      </c>
      <c r="C382" s="10" t="s">
        <v>360</v>
      </c>
      <c r="D382" s="4" t="str">
        <f t="shared" si="11"/>
        <v>0000380</v>
      </c>
      <c r="E382" s="4">
        <f>COUNTIF(Table1[Malın adı],Table1[[#This Row],[Malın adı]])</f>
        <v>1</v>
      </c>
    </row>
    <row r="383" spans="2:5" x14ac:dyDescent="0.3">
      <c r="B383" s="4">
        <f t="shared" si="10"/>
        <v>381</v>
      </c>
      <c r="C383" s="10" t="s">
        <v>361</v>
      </c>
      <c r="D383" s="4" t="str">
        <f t="shared" si="11"/>
        <v>0000381</v>
      </c>
      <c r="E383" s="4">
        <f>COUNTIF(Table1[Malın adı],Table1[[#This Row],[Malın adı]])</f>
        <v>1</v>
      </c>
    </row>
    <row r="384" spans="2:5" x14ac:dyDescent="0.3">
      <c r="B384" s="4">
        <f t="shared" si="10"/>
        <v>382</v>
      </c>
      <c r="C384" s="10" t="s">
        <v>2339</v>
      </c>
      <c r="D384" s="4" t="str">
        <f t="shared" si="11"/>
        <v>0000382</v>
      </c>
      <c r="E384" s="4">
        <f>COUNTIF(Table1[Malın adı],Table1[[#This Row],[Malın adı]])</f>
        <v>1</v>
      </c>
    </row>
    <row r="385" spans="2:5" x14ac:dyDescent="0.3">
      <c r="B385" s="4">
        <f t="shared" si="10"/>
        <v>383</v>
      </c>
      <c r="C385" s="10" t="s">
        <v>362</v>
      </c>
      <c r="D385" s="4" t="str">
        <f t="shared" si="11"/>
        <v>0000383</v>
      </c>
      <c r="E385" s="4">
        <f>COUNTIF(Table1[Malın adı],Table1[[#This Row],[Malın adı]])</f>
        <v>1</v>
      </c>
    </row>
    <row r="386" spans="2:5" x14ac:dyDescent="0.3">
      <c r="B386" s="4">
        <f t="shared" si="10"/>
        <v>384</v>
      </c>
      <c r="C386" s="10" t="s">
        <v>363</v>
      </c>
      <c r="D386" s="4" t="str">
        <f t="shared" si="11"/>
        <v>0000384</v>
      </c>
      <c r="E386" s="4">
        <f>COUNTIF(Table1[Malın adı],Table1[[#This Row],[Malın adı]])</f>
        <v>1</v>
      </c>
    </row>
    <row r="387" spans="2:5" x14ac:dyDescent="0.3">
      <c r="B387" s="4">
        <f t="shared" ref="B387:B450" si="12">ROW()-2</f>
        <v>385</v>
      </c>
      <c r="C387" s="10" t="s">
        <v>364</v>
      </c>
      <c r="D387" s="4" t="str">
        <f t="shared" ref="D387:D450" si="13">TEXT(ROW()-2,"0000000")</f>
        <v>0000385</v>
      </c>
      <c r="E387" s="4">
        <f>COUNTIF(Table1[Malın adı],Table1[[#This Row],[Malın adı]])</f>
        <v>1</v>
      </c>
    </row>
    <row r="388" spans="2:5" x14ac:dyDescent="0.3">
      <c r="B388" s="4">
        <f t="shared" si="12"/>
        <v>386</v>
      </c>
      <c r="C388" s="10" t="s">
        <v>365</v>
      </c>
      <c r="D388" s="4" t="str">
        <f t="shared" si="13"/>
        <v>0000386</v>
      </c>
      <c r="E388" s="4">
        <f>COUNTIF(Table1[Malın adı],Table1[[#This Row],[Malın adı]])</f>
        <v>1</v>
      </c>
    </row>
    <row r="389" spans="2:5" x14ac:dyDescent="0.3">
      <c r="B389" s="4">
        <f t="shared" si="12"/>
        <v>387</v>
      </c>
      <c r="C389" s="10" t="s">
        <v>366</v>
      </c>
      <c r="D389" s="4" t="str">
        <f t="shared" si="13"/>
        <v>0000387</v>
      </c>
      <c r="E389" s="4">
        <f>COUNTIF(Table1[Malın adı],Table1[[#This Row],[Malın adı]])</f>
        <v>1</v>
      </c>
    </row>
    <row r="390" spans="2:5" x14ac:dyDescent="0.3">
      <c r="B390" s="4">
        <f t="shared" si="12"/>
        <v>388</v>
      </c>
      <c r="C390" s="10" t="s">
        <v>367</v>
      </c>
      <c r="D390" s="4" t="str">
        <f t="shared" si="13"/>
        <v>0000388</v>
      </c>
      <c r="E390" s="4">
        <f>COUNTIF(Table1[Malın adı],Table1[[#This Row],[Malın adı]])</f>
        <v>1</v>
      </c>
    </row>
    <row r="391" spans="2:5" x14ac:dyDescent="0.3">
      <c r="B391" s="4">
        <f t="shared" si="12"/>
        <v>389</v>
      </c>
      <c r="C391" s="10" t="s">
        <v>368</v>
      </c>
      <c r="D391" s="4" t="str">
        <f t="shared" si="13"/>
        <v>0000389</v>
      </c>
      <c r="E391" s="4">
        <f>COUNTIF(Table1[Malın adı],Table1[[#This Row],[Malın adı]])</f>
        <v>1</v>
      </c>
    </row>
    <row r="392" spans="2:5" x14ac:dyDescent="0.3">
      <c r="B392" s="4">
        <f t="shared" si="12"/>
        <v>390</v>
      </c>
      <c r="C392" s="10" t="s">
        <v>369</v>
      </c>
      <c r="D392" s="4" t="str">
        <f t="shared" si="13"/>
        <v>0000390</v>
      </c>
      <c r="E392" s="4">
        <f>COUNTIF(Table1[Malın adı],Table1[[#This Row],[Malın adı]])</f>
        <v>1</v>
      </c>
    </row>
    <row r="393" spans="2:5" x14ac:dyDescent="0.3">
      <c r="B393" s="4">
        <f t="shared" si="12"/>
        <v>391</v>
      </c>
      <c r="C393" s="10" t="s">
        <v>370</v>
      </c>
      <c r="D393" s="4" t="str">
        <f t="shared" si="13"/>
        <v>0000391</v>
      </c>
      <c r="E393" s="4">
        <f>COUNTIF(Table1[Malın adı],Table1[[#This Row],[Malın adı]])</f>
        <v>1</v>
      </c>
    </row>
    <row r="394" spans="2:5" x14ac:dyDescent="0.3">
      <c r="B394" s="4">
        <f t="shared" si="12"/>
        <v>392</v>
      </c>
      <c r="C394" s="10" t="s">
        <v>371</v>
      </c>
      <c r="D394" s="4" t="str">
        <f t="shared" si="13"/>
        <v>0000392</v>
      </c>
      <c r="E394" s="4">
        <f>COUNTIF(Table1[Malın adı],Table1[[#This Row],[Malın adı]])</f>
        <v>1</v>
      </c>
    </row>
    <row r="395" spans="2:5" x14ac:dyDescent="0.3">
      <c r="B395" s="4">
        <f t="shared" si="12"/>
        <v>393</v>
      </c>
      <c r="C395" s="10" t="s">
        <v>372</v>
      </c>
      <c r="D395" s="4" t="str">
        <f t="shared" si="13"/>
        <v>0000393</v>
      </c>
      <c r="E395" s="4">
        <f>COUNTIF(Table1[Malın adı],Table1[[#This Row],[Malın adı]])</f>
        <v>1</v>
      </c>
    </row>
    <row r="396" spans="2:5" x14ac:dyDescent="0.3">
      <c r="B396" s="4">
        <f t="shared" si="12"/>
        <v>394</v>
      </c>
      <c r="C396" s="10" t="s">
        <v>373</v>
      </c>
      <c r="D396" s="4" t="str">
        <f t="shared" si="13"/>
        <v>0000394</v>
      </c>
      <c r="E396" s="4">
        <f>COUNTIF(Table1[Malın adı],Table1[[#This Row],[Malın adı]])</f>
        <v>1</v>
      </c>
    </row>
    <row r="397" spans="2:5" x14ac:dyDescent="0.3">
      <c r="B397" s="4">
        <f t="shared" si="12"/>
        <v>395</v>
      </c>
      <c r="C397" s="10" t="s">
        <v>374</v>
      </c>
      <c r="D397" s="4" t="str">
        <f t="shared" si="13"/>
        <v>0000395</v>
      </c>
      <c r="E397" s="4">
        <f>COUNTIF(Table1[Malın adı],Table1[[#This Row],[Malın adı]])</f>
        <v>1</v>
      </c>
    </row>
    <row r="398" spans="2:5" x14ac:dyDescent="0.3">
      <c r="B398" s="4">
        <f t="shared" si="12"/>
        <v>396</v>
      </c>
      <c r="C398" s="10" t="s">
        <v>375</v>
      </c>
      <c r="D398" s="4" t="str">
        <f t="shared" si="13"/>
        <v>0000396</v>
      </c>
      <c r="E398" s="4">
        <f>COUNTIF(Table1[Malın adı],Table1[[#This Row],[Malın adı]])</f>
        <v>1</v>
      </c>
    </row>
    <row r="399" spans="2:5" x14ac:dyDescent="0.3">
      <c r="B399" s="4">
        <f t="shared" si="12"/>
        <v>397</v>
      </c>
      <c r="C399" s="10" t="s">
        <v>376</v>
      </c>
      <c r="D399" s="4" t="str">
        <f t="shared" si="13"/>
        <v>0000397</v>
      </c>
      <c r="E399" s="4">
        <f>COUNTIF(Table1[Malın adı],Table1[[#This Row],[Malın adı]])</f>
        <v>1</v>
      </c>
    </row>
    <row r="400" spans="2:5" x14ac:dyDescent="0.3">
      <c r="B400" s="4">
        <f t="shared" si="12"/>
        <v>398</v>
      </c>
      <c r="C400" s="10" t="s">
        <v>377</v>
      </c>
      <c r="D400" s="4" t="str">
        <f t="shared" si="13"/>
        <v>0000398</v>
      </c>
      <c r="E400" s="4">
        <f>COUNTIF(Table1[Malın adı],Table1[[#This Row],[Malın adı]])</f>
        <v>1</v>
      </c>
    </row>
    <row r="401" spans="2:5" x14ac:dyDescent="0.3">
      <c r="B401" s="4">
        <f t="shared" si="12"/>
        <v>399</v>
      </c>
      <c r="C401" s="10" t="s">
        <v>378</v>
      </c>
      <c r="D401" s="4" t="str">
        <f t="shared" si="13"/>
        <v>0000399</v>
      </c>
      <c r="E401" s="4">
        <f>COUNTIF(Table1[Malın adı],Table1[[#This Row],[Malın adı]])</f>
        <v>1</v>
      </c>
    </row>
    <row r="402" spans="2:5" x14ac:dyDescent="0.3">
      <c r="B402" s="4">
        <f t="shared" si="12"/>
        <v>400</v>
      </c>
      <c r="C402" s="10" t="s">
        <v>379</v>
      </c>
      <c r="D402" s="4" t="str">
        <f t="shared" si="13"/>
        <v>0000400</v>
      </c>
      <c r="E402" s="4">
        <f>COUNTIF(Table1[Malın adı],Table1[[#This Row],[Malın adı]])</f>
        <v>1</v>
      </c>
    </row>
    <row r="403" spans="2:5" x14ac:dyDescent="0.3">
      <c r="B403" s="4">
        <f t="shared" si="12"/>
        <v>401</v>
      </c>
      <c r="C403" s="10" t="s">
        <v>380</v>
      </c>
      <c r="D403" s="4" t="str">
        <f t="shared" si="13"/>
        <v>0000401</v>
      </c>
      <c r="E403" s="4">
        <f>COUNTIF(Table1[Malın adı],Table1[[#This Row],[Malın adı]])</f>
        <v>1</v>
      </c>
    </row>
    <row r="404" spans="2:5" x14ac:dyDescent="0.3">
      <c r="B404" s="4">
        <f t="shared" si="12"/>
        <v>402</v>
      </c>
      <c r="C404" s="10" t="s">
        <v>381</v>
      </c>
      <c r="D404" s="4" t="str">
        <f t="shared" si="13"/>
        <v>0000402</v>
      </c>
      <c r="E404" s="4">
        <f>COUNTIF(Table1[Malın adı],Table1[[#This Row],[Malın adı]])</f>
        <v>1</v>
      </c>
    </row>
    <row r="405" spans="2:5" x14ac:dyDescent="0.3">
      <c r="B405" s="4">
        <f t="shared" si="12"/>
        <v>403</v>
      </c>
      <c r="C405" s="10" t="s">
        <v>2335</v>
      </c>
      <c r="D405" s="4" t="str">
        <f t="shared" si="13"/>
        <v>0000403</v>
      </c>
      <c r="E405" s="4">
        <f>COUNTIF(Table1[Malın adı],Table1[[#This Row],[Malın adı]])</f>
        <v>1</v>
      </c>
    </row>
    <row r="406" spans="2:5" x14ac:dyDescent="0.3">
      <c r="B406" s="4">
        <f t="shared" si="12"/>
        <v>404</v>
      </c>
      <c r="C406" s="10" t="s">
        <v>382</v>
      </c>
      <c r="D406" s="4" t="str">
        <f t="shared" si="13"/>
        <v>0000404</v>
      </c>
      <c r="E406" s="4">
        <f>COUNTIF(Table1[Malın adı],Table1[[#This Row],[Malın adı]])</f>
        <v>1</v>
      </c>
    </row>
    <row r="407" spans="2:5" x14ac:dyDescent="0.3">
      <c r="B407" s="4">
        <f t="shared" si="12"/>
        <v>405</v>
      </c>
      <c r="C407" s="10" t="s">
        <v>383</v>
      </c>
      <c r="D407" s="4" t="str">
        <f t="shared" si="13"/>
        <v>0000405</v>
      </c>
      <c r="E407" s="4">
        <f>COUNTIF(Table1[Malın adı],Table1[[#This Row],[Malın adı]])</f>
        <v>1</v>
      </c>
    </row>
    <row r="408" spans="2:5" x14ac:dyDescent="0.3">
      <c r="B408" s="4">
        <f t="shared" si="12"/>
        <v>406</v>
      </c>
      <c r="C408" s="10" t="s">
        <v>2472</v>
      </c>
      <c r="D408" s="4" t="str">
        <f t="shared" si="13"/>
        <v>0000406</v>
      </c>
      <c r="E408" s="4">
        <f>COUNTIF(Table1[Malın adı],Table1[[#This Row],[Malın adı]])</f>
        <v>1</v>
      </c>
    </row>
    <row r="409" spans="2:5" x14ac:dyDescent="0.3">
      <c r="B409" s="4">
        <f t="shared" si="12"/>
        <v>407</v>
      </c>
      <c r="C409" s="10" t="s">
        <v>384</v>
      </c>
      <c r="D409" s="4" t="str">
        <f t="shared" si="13"/>
        <v>0000407</v>
      </c>
      <c r="E409" s="4">
        <f>COUNTIF(Table1[Malın adı],Table1[[#This Row],[Malın adı]])</f>
        <v>1</v>
      </c>
    </row>
    <row r="410" spans="2:5" x14ac:dyDescent="0.3">
      <c r="B410" s="4">
        <f t="shared" si="12"/>
        <v>408</v>
      </c>
      <c r="C410" s="10" t="s">
        <v>385</v>
      </c>
      <c r="D410" s="4" t="str">
        <f t="shared" si="13"/>
        <v>0000408</v>
      </c>
      <c r="E410" s="4">
        <f>COUNTIF(Table1[Malın adı],Table1[[#This Row],[Malın adı]])</f>
        <v>1</v>
      </c>
    </row>
    <row r="411" spans="2:5" x14ac:dyDescent="0.3">
      <c r="B411" s="4">
        <f t="shared" si="12"/>
        <v>409</v>
      </c>
      <c r="C411" s="10" t="s">
        <v>386</v>
      </c>
      <c r="D411" s="4" t="str">
        <f t="shared" si="13"/>
        <v>0000409</v>
      </c>
      <c r="E411" s="4">
        <f>COUNTIF(Table1[Malın adı],Table1[[#This Row],[Malın adı]])</f>
        <v>1</v>
      </c>
    </row>
    <row r="412" spans="2:5" x14ac:dyDescent="0.3">
      <c r="B412" s="4">
        <f t="shared" si="12"/>
        <v>410</v>
      </c>
      <c r="C412" s="10" t="s">
        <v>387</v>
      </c>
      <c r="D412" s="4" t="str">
        <f t="shared" si="13"/>
        <v>0000410</v>
      </c>
      <c r="E412" s="4">
        <f>COUNTIF(Table1[Malın adı],Table1[[#This Row],[Malın adı]])</f>
        <v>1</v>
      </c>
    </row>
    <row r="413" spans="2:5" x14ac:dyDescent="0.3">
      <c r="B413" s="4">
        <f t="shared" si="12"/>
        <v>411</v>
      </c>
      <c r="C413" s="10" t="s">
        <v>2344</v>
      </c>
      <c r="D413" s="4" t="str">
        <f t="shared" si="13"/>
        <v>0000411</v>
      </c>
      <c r="E413" s="4">
        <f>COUNTIF(Table1[Malın adı],Table1[[#This Row],[Malın adı]])</f>
        <v>1</v>
      </c>
    </row>
    <row r="414" spans="2:5" x14ac:dyDescent="0.3">
      <c r="B414" s="4">
        <f t="shared" si="12"/>
        <v>412</v>
      </c>
      <c r="C414" s="10" t="s">
        <v>388</v>
      </c>
      <c r="D414" s="4" t="str">
        <f t="shared" si="13"/>
        <v>0000412</v>
      </c>
      <c r="E414" s="4">
        <f>COUNTIF(Table1[Malın adı],Table1[[#This Row],[Malın adı]])</f>
        <v>1</v>
      </c>
    </row>
    <row r="415" spans="2:5" x14ac:dyDescent="0.3">
      <c r="B415" s="4">
        <f t="shared" si="12"/>
        <v>413</v>
      </c>
      <c r="C415" s="10" t="s">
        <v>389</v>
      </c>
      <c r="D415" s="4" t="str">
        <f t="shared" si="13"/>
        <v>0000413</v>
      </c>
      <c r="E415" s="4">
        <f>COUNTIF(Table1[Malın adı],Table1[[#This Row],[Malın adı]])</f>
        <v>1</v>
      </c>
    </row>
    <row r="416" spans="2:5" x14ac:dyDescent="0.3">
      <c r="B416" s="4">
        <f t="shared" si="12"/>
        <v>414</v>
      </c>
      <c r="C416" s="10" t="s">
        <v>390</v>
      </c>
      <c r="D416" s="4" t="str">
        <f t="shared" si="13"/>
        <v>0000414</v>
      </c>
      <c r="E416" s="4">
        <f>COUNTIF(Table1[Malın adı],Table1[[#This Row],[Malın adı]])</f>
        <v>1</v>
      </c>
    </row>
    <row r="417" spans="2:5" x14ac:dyDescent="0.3">
      <c r="B417" s="4">
        <f t="shared" si="12"/>
        <v>415</v>
      </c>
      <c r="C417" s="10" t="s">
        <v>391</v>
      </c>
      <c r="D417" s="4" t="str">
        <f t="shared" si="13"/>
        <v>0000415</v>
      </c>
      <c r="E417" s="4">
        <f>COUNTIF(Table1[Malın adı],Table1[[#This Row],[Malın adı]])</f>
        <v>1</v>
      </c>
    </row>
    <row r="418" spans="2:5" x14ac:dyDescent="0.3">
      <c r="B418" s="4">
        <f t="shared" si="12"/>
        <v>416</v>
      </c>
      <c r="C418" s="10" t="s">
        <v>392</v>
      </c>
      <c r="D418" s="4" t="str">
        <f t="shared" si="13"/>
        <v>0000416</v>
      </c>
      <c r="E418" s="4">
        <f>COUNTIF(Table1[Malın adı],Table1[[#This Row],[Malın adı]])</f>
        <v>1</v>
      </c>
    </row>
    <row r="419" spans="2:5" x14ac:dyDescent="0.3">
      <c r="B419" s="4">
        <f t="shared" si="12"/>
        <v>417</v>
      </c>
      <c r="C419" s="10" t="s">
        <v>393</v>
      </c>
      <c r="D419" s="4" t="str">
        <f t="shared" si="13"/>
        <v>0000417</v>
      </c>
      <c r="E419" s="4">
        <f>COUNTIF(Table1[Malın adı],Table1[[#This Row],[Malın adı]])</f>
        <v>1</v>
      </c>
    </row>
    <row r="420" spans="2:5" x14ac:dyDescent="0.3">
      <c r="B420" s="4">
        <f t="shared" si="12"/>
        <v>418</v>
      </c>
      <c r="C420" s="10" t="s">
        <v>394</v>
      </c>
      <c r="D420" s="4" t="str">
        <f t="shared" si="13"/>
        <v>0000418</v>
      </c>
      <c r="E420" s="4">
        <f>COUNTIF(Table1[Malın adı],Table1[[#This Row],[Malın adı]])</f>
        <v>1</v>
      </c>
    </row>
    <row r="421" spans="2:5" x14ac:dyDescent="0.3">
      <c r="B421" s="4">
        <f t="shared" si="12"/>
        <v>419</v>
      </c>
      <c r="C421" s="10" t="s">
        <v>2473</v>
      </c>
      <c r="D421" s="4" t="str">
        <f t="shared" si="13"/>
        <v>0000419</v>
      </c>
      <c r="E421" s="4">
        <f>COUNTIF(Table1[Malın adı],Table1[[#This Row],[Malın adı]])</f>
        <v>1</v>
      </c>
    </row>
    <row r="422" spans="2:5" x14ac:dyDescent="0.3">
      <c r="B422" s="4">
        <f t="shared" si="12"/>
        <v>420</v>
      </c>
      <c r="C422" s="10" t="s">
        <v>395</v>
      </c>
      <c r="D422" s="4" t="str">
        <f t="shared" si="13"/>
        <v>0000420</v>
      </c>
      <c r="E422" s="4">
        <f>COUNTIF(Table1[Malın adı],Table1[[#This Row],[Malın adı]])</f>
        <v>1</v>
      </c>
    </row>
    <row r="423" spans="2:5" x14ac:dyDescent="0.3">
      <c r="B423" s="4">
        <f t="shared" si="12"/>
        <v>421</v>
      </c>
      <c r="C423" s="10" t="s">
        <v>396</v>
      </c>
      <c r="D423" s="4" t="str">
        <f t="shared" si="13"/>
        <v>0000421</v>
      </c>
      <c r="E423" s="4">
        <f>COUNTIF(Table1[Malın adı],Table1[[#This Row],[Malın adı]])</f>
        <v>1</v>
      </c>
    </row>
    <row r="424" spans="2:5" x14ac:dyDescent="0.3">
      <c r="B424" s="4">
        <f t="shared" si="12"/>
        <v>422</v>
      </c>
      <c r="C424" s="10" t="s">
        <v>397</v>
      </c>
      <c r="D424" s="4" t="str">
        <f t="shared" si="13"/>
        <v>0000422</v>
      </c>
      <c r="E424" s="4">
        <f>COUNTIF(Table1[Malın adı],Table1[[#This Row],[Malın adı]])</f>
        <v>1</v>
      </c>
    </row>
    <row r="425" spans="2:5" x14ac:dyDescent="0.3">
      <c r="B425" s="4">
        <f t="shared" si="12"/>
        <v>423</v>
      </c>
      <c r="C425" s="10" t="s">
        <v>2346</v>
      </c>
      <c r="D425" s="4" t="str">
        <f t="shared" si="13"/>
        <v>0000423</v>
      </c>
      <c r="E425" s="4">
        <f>COUNTIF(Table1[Malın adı],Table1[[#This Row],[Malın adı]])</f>
        <v>1</v>
      </c>
    </row>
    <row r="426" spans="2:5" x14ac:dyDescent="0.3">
      <c r="B426" s="4">
        <f t="shared" si="12"/>
        <v>424</v>
      </c>
      <c r="C426" s="10" t="s">
        <v>398</v>
      </c>
      <c r="D426" s="4" t="str">
        <f t="shared" si="13"/>
        <v>0000424</v>
      </c>
      <c r="E426" s="4">
        <f>COUNTIF(Table1[Malın adı],Table1[[#This Row],[Malın adı]])</f>
        <v>1</v>
      </c>
    </row>
    <row r="427" spans="2:5" x14ac:dyDescent="0.3">
      <c r="B427" s="4">
        <f t="shared" si="12"/>
        <v>425</v>
      </c>
      <c r="C427" s="10" t="s">
        <v>399</v>
      </c>
      <c r="D427" s="4" t="str">
        <f t="shared" si="13"/>
        <v>0000425</v>
      </c>
      <c r="E427" s="4">
        <f>COUNTIF(Table1[Malın adı],Table1[[#This Row],[Malın adı]])</f>
        <v>1</v>
      </c>
    </row>
    <row r="428" spans="2:5" x14ac:dyDescent="0.3">
      <c r="B428" s="4">
        <f t="shared" si="12"/>
        <v>426</v>
      </c>
      <c r="C428" s="10" t="s">
        <v>400</v>
      </c>
      <c r="D428" s="4" t="str">
        <f t="shared" si="13"/>
        <v>0000426</v>
      </c>
      <c r="E428" s="4">
        <f>COUNTIF(Table1[Malın adı],Table1[[#This Row],[Malın adı]])</f>
        <v>1</v>
      </c>
    </row>
    <row r="429" spans="2:5" x14ac:dyDescent="0.3">
      <c r="B429" s="4">
        <f t="shared" si="12"/>
        <v>427</v>
      </c>
      <c r="C429" s="10" t="s">
        <v>401</v>
      </c>
      <c r="D429" s="4" t="str">
        <f t="shared" si="13"/>
        <v>0000427</v>
      </c>
      <c r="E429" s="4">
        <f>COUNTIF(Table1[Malın adı],Table1[[#This Row],[Malın adı]])</f>
        <v>1</v>
      </c>
    </row>
    <row r="430" spans="2:5" x14ac:dyDescent="0.3">
      <c r="B430" s="4">
        <f t="shared" si="12"/>
        <v>428</v>
      </c>
      <c r="C430" s="10" t="s">
        <v>402</v>
      </c>
      <c r="D430" s="4" t="str">
        <f t="shared" si="13"/>
        <v>0000428</v>
      </c>
      <c r="E430" s="4">
        <f>COUNTIF(Table1[Malın adı],Table1[[#This Row],[Malın adı]])</f>
        <v>1</v>
      </c>
    </row>
    <row r="431" spans="2:5" x14ac:dyDescent="0.3">
      <c r="B431" s="4">
        <f t="shared" si="12"/>
        <v>429</v>
      </c>
      <c r="C431" s="10" t="s">
        <v>403</v>
      </c>
      <c r="D431" s="4" t="str">
        <f t="shared" si="13"/>
        <v>0000429</v>
      </c>
      <c r="E431" s="4">
        <f>COUNTIF(Table1[Malın adı],Table1[[#This Row],[Malın adı]])</f>
        <v>1</v>
      </c>
    </row>
    <row r="432" spans="2:5" x14ac:dyDescent="0.3">
      <c r="B432" s="4">
        <f t="shared" si="12"/>
        <v>430</v>
      </c>
      <c r="C432" s="10" t="s">
        <v>404</v>
      </c>
      <c r="D432" s="4" t="str">
        <f t="shared" si="13"/>
        <v>0000430</v>
      </c>
      <c r="E432" s="4">
        <f>COUNTIF(Table1[Malın adı],Table1[[#This Row],[Malın adı]])</f>
        <v>1</v>
      </c>
    </row>
    <row r="433" spans="2:5" x14ac:dyDescent="0.3">
      <c r="B433" s="4">
        <f t="shared" si="12"/>
        <v>431</v>
      </c>
      <c r="C433" s="10" t="s">
        <v>405</v>
      </c>
      <c r="D433" s="4" t="str">
        <f t="shared" si="13"/>
        <v>0000431</v>
      </c>
      <c r="E433" s="4">
        <f>COUNTIF(Table1[Malın adı],Table1[[#This Row],[Malın adı]])</f>
        <v>1</v>
      </c>
    </row>
    <row r="434" spans="2:5" x14ac:dyDescent="0.3">
      <c r="B434" s="4">
        <f t="shared" si="12"/>
        <v>432</v>
      </c>
      <c r="C434" s="10" t="s">
        <v>2474</v>
      </c>
      <c r="D434" s="4" t="str">
        <f t="shared" si="13"/>
        <v>0000432</v>
      </c>
      <c r="E434" s="4">
        <f>COUNTIF(Table1[Malın adı],Table1[[#This Row],[Malın adı]])</f>
        <v>1</v>
      </c>
    </row>
    <row r="435" spans="2:5" x14ac:dyDescent="0.3">
      <c r="B435" s="4">
        <f t="shared" si="12"/>
        <v>433</v>
      </c>
      <c r="C435" s="10" t="s">
        <v>406</v>
      </c>
      <c r="D435" s="4" t="str">
        <f t="shared" si="13"/>
        <v>0000433</v>
      </c>
      <c r="E435" s="4">
        <f>COUNTIF(Table1[Malın adı],Table1[[#This Row],[Malın adı]])</f>
        <v>1</v>
      </c>
    </row>
    <row r="436" spans="2:5" x14ac:dyDescent="0.3">
      <c r="B436" s="4">
        <f t="shared" si="12"/>
        <v>434</v>
      </c>
      <c r="C436" s="10" t="s">
        <v>407</v>
      </c>
      <c r="D436" s="4" t="str">
        <f t="shared" si="13"/>
        <v>0000434</v>
      </c>
      <c r="E436" s="4">
        <f>COUNTIF(Table1[Malın adı],Table1[[#This Row],[Malın adı]])</f>
        <v>1</v>
      </c>
    </row>
    <row r="437" spans="2:5" x14ac:dyDescent="0.3">
      <c r="B437" s="4">
        <f t="shared" si="12"/>
        <v>435</v>
      </c>
      <c r="C437" s="10" t="s">
        <v>408</v>
      </c>
      <c r="D437" s="4" t="str">
        <f t="shared" si="13"/>
        <v>0000435</v>
      </c>
      <c r="E437" s="4">
        <f>COUNTIF(Table1[Malın adı],Table1[[#This Row],[Malın adı]])</f>
        <v>1</v>
      </c>
    </row>
    <row r="438" spans="2:5" x14ac:dyDescent="0.3">
      <c r="B438" s="4">
        <f t="shared" si="12"/>
        <v>436</v>
      </c>
      <c r="C438" s="10" t="s">
        <v>409</v>
      </c>
      <c r="D438" s="4" t="str">
        <f t="shared" si="13"/>
        <v>0000436</v>
      </c>
      <c r="E438" s="4">
        <f>COUNTIF(Table1[Malın adı],Table1[[#This Row],[Malın adı]])</f>
        <v>1</v>
      </c>
    </row>
    <row r="439" spans="2:5" x14ac:dyDescent="0.3">
      <c r="B439" s="4">
        <f t="shared" si="12"/>
        <v>437</v>
      </c>
      <c r="C439" s="10" t="s">
        <v>410</v>
      </c>
      <c r="D439" s="4" t="str">
        <f t="shared" si="13"/>
        <v>0000437</v>
      </c>
      <c r="E439" s="4">
        <f>COUNTIF(Table1[Malın adı],Table1[[#This Row],[Malın adı]])</f>
        <v>1</v>
      </c>
    </row>
    <row r="440" spans="2:5" x14ac:dyDescent="0.3">
      <c r="B440" s="4">
        <f t="shared" si="12"/>
        <v>438</v>
      </c>
      <c r="C440" s="10" t="s">
        <v>411</v>
      </c>
      <c r="D440" s="4" t="str">
        <f t="shared" si="13"/>
        <v>0000438</v>
      </c>
      <c r="E440" s="4">
        <f>COUNTIF(Table1[Malın adı],Table1[[#This Row],[Malın adı]])</f>
        <v>1</v>
      </c>
    </row>
    <row r="441" spans="2:5" x14ac:dyDescent="0.3">
      <c r="B441" s="4">
        <f t="shared" si="12"/>
        <v>439</v>
      </c>
      <c r="C441" s="10" t="s">
        <v>412</v>
      </c>
      <c r="D441" s="4" t="str">
        <f t="shared" si="13"/>
        <v>0000439</v>
      </c>
      <c r="E441" s="4">
        <f>COUNTIF(Table1[Malın adı],Table1[[#This Row],[Malın adı]])</f>
        <v>1</v>
      </c>
    </row>
    <row r="442" spans="2:5" x14ac:dyDescent="0.3">
      <c r="B442" s="4">
        <f t="shared" si="12"/>
        <v>440</v>
      </c>
      <c r="C442" s="10" t="s">
        <v>413</v>
      </c>
      <c r="D442" s="4" t="str">
        <f t="shared" si="13"/>
        <v>0000440</v>
      </c>
      <c r="E442" s="4">
        <f>COUNTIF(Table1[Malın adı],Table1[[#This Row],[Malın adı]])</f>
        <v>1</v>
      </c>
    </row>
    <row r="443" spans="2:5" x14ac:dyDescent="0.3">
      <c r="B443" s="4">
        <f t="shared" si="12"/>
        <v>441</v>
      </c>
      <c r="C443" s="10" t="s">
        <v>414</v>
      </c>
      <c r="D443" s="4" t="str">
        <f t="shared" si="13"/>
        <v>0000441</v>
      </c>
      <c r="E443" s="4">
        <f>COUNTIF(Table1[Malın adı],Table1[[#This Row],[Malın adı]])</f>
        <v>1</v>
      </c>
    </row>
    <row r="444" spans="2:5" x14ac:dyDescent="0.3">
      <c r="B444" s="4">
        <f t="shared" si="12"/>
        <v>442</v>
      </c>
      <c r="C444" s="10" t="s">
        <v>415</v>
      </c>
      <c r="D444" s="4" t="str">
        <f t="shared" si="13"/>
        <v>0000442</v>
      </c>
      <c r="E444" s="4">
        <f>COUNTIF(Table1[Malın adı],Table1[[#This Row],[Malın adı]])</f>
        <v>1</v>
      </c>
    </row>
    <row r="445" spans="2:5" x14ac:dyDescent="0.3">
      <c r="B445" s="4">
        <f t="shared" si="12"/>
        <v>443</v>
      </c>
      <c r="C445" s="10" t="s">
        <v>416</v>
      </c>
      <c r="D445" s="4" t="str">
        <f t="shared" si="13"/>
        <v>0000443</v>
      </c>
      <c r="E445" s="4">
        <f>COUNTIF(Table1[Malın adı],Table1[[#This Row],[Malın adı]])</f>
        <v>1</v>
      </c>
    </row>
    <row r="446" spans="2:5" x14ac:dyDescent="0.3">
      <c r="B446" s="4">
        <f t="shared" si="12"/>
        <v>444</v>
      </c>
      <c r="C446" s="10" t="s">
        <v>417</v>
      </c>
      <c r="D446" s="4" t="str">
        <f t="shared" si="13"/>
        <v>0000444</v>
      </c>
      <c r="E446" s="4">
        <f>COUNTIF(Table1[Malın adı],Table1[[#This Row],[Malın adı]])</f>
        <v>1</v>
      </c>
    </row>
    <row r="447" spans="2:5" x14ac:dyDescent="0.3">
      <c r="B447" s="4">
        <f t="shared" si="12"/>
        <v>445</v>
      </c>
      <c r="C447" s="10" t="s">
        <v>418</v>
      </c>
      <c r="D447" s="4" t="str">
        <f t="shared" si="13"/>
        <v>0000445</v>
      </c>
      <c r="E447" s="4">
        <f>COUNTIF(Table1[Malın adı],Table1[[#This Row],[Malın adı]])</f>
        <v>1</v>
      </c>
    </row>
    <row r="448" spans="2:5" x14ac:dyDescent="0.3">
      <c r="B448" s="4">
        <f t="shared" si="12"/>
        <v>446</v>
      </c>
      <c r="C448" s="10" t="s">
        <v>419</v>
      </c>
      <c r="D448" s="4" t="str">
        <f t="shared" si="13"/>
        <v>0000446</v>
      </c>
      <c r="E448" s="4">
        <f>COUNTIF(Table1[Malın adı],Table1[[#This Row],[Malın adı]])</f>
        <v>1</v>
      </c>
    </row>
    <row r="449" spans="2:5" x14ac:dyDescent="0.3">
      <c r="B449" s="4">
        <f t="shared" si="12"/>
        <v>447</v>
      </c>
      <c r="C449" s="10" t="s">
        <v>420</v>
      </c>
      <c r="D449" s="4" t="str">
        <f t="shared" si="13"/>
        <v>0000447</v>
      </c>
      <c r="E449" s="4">
        <f>COUNTIF(Table1[Malın adı],Table1[[#This Row],[Malın adı]])</f>
        <v>1</v>
      </c>
    </row>
    <row r="450" spans="2:5" x14ac:dyDescent="0.3">
      <c r="B450" s="4">
        <f t="shared" si="12"/>
        <v>448</v>
      </c>
      <c r="C450" s="10" t="s">
        <v>2141</v>
      </c>
      <c r="D450" s="4" t="str">
        <f t="shared" si="13"/>
        <v>0000448</v>
      </c>
      <c r="E450" s="4">
        <f>COUNTIF(Table1[Malın adı],Table1[[#This Row],[Malın adı]])</f>
        <v>1</v>
      </c>
    </row>
    <row r="451" spans="2:5" x14ac:dyDescent="0.3">
      <c r="B451" s="4">
        <f t="shared" ref="B451:B514" si="14">ROW()-2</f>
        <v>449</v>
      </c>
      <c r="C451" s="10" t="s">
        <v>421</v>
      </c>
      <c r="D451" s="4" t="str">
        <f t="shared" ref="D451:D514" si="15">TEXT(ROW()-2,"0000000")</f>
        <v>0000449</v>
      </c>
      <c r="E451" s="4">
        <f>COUNTIF(Table1[Malın adı],Table1[[#This Row],[Malın adı]])</f>
        <v>1</v>
      </c>
    </row>
    <row r="452" spans="2:5" x14ac:dyDescent="0.3">
      <c r="B452" s="4">
        <f t="shared" si="14"/>
        <v>450</v>
      </c>
      <c r="C452" s="10" t="s">
        <v>422</v>
      </c>
      <c r="D452" s="4" t="str">
        <f t="shared" si="15"/>
        <v>0000450</v>
      </c>
      <c r="E452" s="4">
        <f>COUNTIF(Table1[Malın adı],Table1[[#This Row],[Malın adı]])</f>
        <v>1</v>
      </c>
    </row>
    <row r="453" spans="2:5" x14ac:dyDescent="0.3">
      <c r="B453" s="4">
        <f t="shared" si="14"/>
        <v>451</v>
      </c>
      <c r="C453" s="10" t="s">
        <v>423</v>
      </c>
      <c r="D453" s="4" t="str">
        <f t="shared" si="15"/>
        <v>0000451</v>
      </c>
      <c r="E453" s="4">
        <f>COUNTIF(Table1[Malın adı],Table1[[#This Row],[Malın adı]])</f>
        <v>1</v>
      </c>
    </row>
    <row r="454" spans="2:5" x14ac:dyDescent="0.3">
      <c r="B454" s="4">
        <f t="shared" si="14"/>
        <v>452</v>
      </c>
      <c r="C454" s="10" t="s">
        <v>424</v>
      </c>
      <c r="D454" s="4" t="str">
        <f t="shared" si="15"/>
        <v>0000452</v>
      </c>
      <c r="E454" s="4">
        <f>COUNTIF(Table1[Malın adı],Table1[[#This Row],[Malın adı]])</f>
        <v>1</v>
      </c>
    </row>
    <row r="455" spans="2:5" x14ac:dyDescent="0.3">
      <c r="B455" s="4">
        <f t="shared" si="14"/>
        <v>453</v>
      </c>
      <c r="C455" s="10" t="s">
        <v>425</v>
      </c>
      <c r="D455" s="4" t="str">
        <f t="shared" si="15"/>
        <v>0000453</v>
      </c>
      <c r="E455" s="4">
        <f>COUNTIF(Table1[Malın adı],Table1[[#This Row],[Malın adı]])</f>
        <v>1</v>
      </c>
    </row>
    <row r="456" spans="2:5" x14ac:dyDescent="0.3">
      <c r="B456" s="4">
        <f t="shared" si="14"/>
        <v>454</v>
      </c>
      <c r="C456" s="10" t="s">
        <v>426</v>
      </c>
      <c r="D456" s="4" t="str">
        <f t="shared" si="15"/>
        <v>0000454</v>
      </c>
      <c r="E456" s="4">
        <f>COUNTIF(Table1[Malın adı],Table1[[#This Row],[Malın adı]])</f>
        <v>1</v>
      </c>
    </row>
    <row r="457" spans="2:5" x14ac:dyDescent="0.3">
      <c r="B457" s="4">
        <f t="shared" si="14"/>
        <v>455</v>
      </c>
      <c r="C457" s="10" t="s">
        <v>427</v>
      </c>
      <c r="D457" s="4" t="str">
        <f t="shared" si="15"/>
        <v>0000455</v>
      </c>
      <c r="E457" s="4">
        <f>COUNTIF(Table1[Malın adı],Table1[[#This Row],[Malın adı]])</f>
        <v>1</v>
      </c>
    </row>
    <row r="458" spans="2:5" x14ac:dyDescent="0.3">
      <c r="B458" s="4">
        <f t="shared" si="14"/>
        <v>456</v>
      </c>
      <c r="C458" s="10" t="s">
        <v>428</v>
      </c>
      <c r="D458" s="4" t="str">
        <f t="shared" si="15"/>
        <v>0000456</v>
      </c>
      <c r="E458" s="4">
        <f>COUNTIF(Table1[Malın adı],Table1[[#This Row],[Malın adı]])</f>
        <v>1</v>
      </c>
    </row>
    <row r="459" spans="2:5" x14ac:dyDescent="0.3">
      <c r="B459" s="4">
        <f t="shared" si="14"/>
        <v>457</v>
      </c>
      <c r="C459" s="10" t="s">
        <v>429</v>
      </c>
      <c r="D459" s="4" t="str">
        <f t="shared" si="15"/>
        <v>0000457</v>
      </c>
      <c r="E459" s="4">
        <f>COUNTIF(Table1[Malın adı],Table1[[#This Row],[Malın adı]])</f>
        <v>1</v>
      </c>
    </row>
    <row r="460" spans="2:5" x14ac:dyDescent="0.3">
      <c r="B460" s="4">
        <f t="shared" si="14"/>
        <v>458</v>
      </c>
      <c r="C460" s="10" t="s">
        <v>430</v>
      </c>
      <c r="D460" s="4" t="str">
        <f t="shared" si="15"/>
        <v>0000458</v>
      </c>
      <c r="E460" s="4">
        <f>COUNTIF(Table1[Malın adı],Table1[[#This Row],[Malın adı]])</f>
        <v>1</v>
      </c>
    </row>
    <row r="461" spans="2:5" x14ac:dyDescent="0.3">
      <c r="B461" s="4">
        <f t="shared" si="14"/>
        <v>459</v>
      </c>
      <c r="C461" s="10" t="s">
        <v>431</v>
      </c>
      <c r="D461" s="4" t="str">
        <f t="shared" si="15"/>
        <v>0000459</v>
      </c>
      <c r="E461" s="4">
        <f>COUNTIF(Table1[Malın adı],Table1[[#This Row],[Malın adı]])</f>
        <v>1</v>
      </c>
    </row>
    <row r="462" spans="2:5" x14ac:dyDescent="0.3">
      <c r="B462" s="4">
        <f t="shared" si="14"/>
        <v>460</v>
      </c>
      <c r="C462" s="10" t="s">
        <v>432</v>
      </c>
      <c r="D462" s="4" t="str">
        <f t="shared" si="15"/>
        <v>0000460</v>
      </c>
      <c r="E462" s="4">
        <f>COUNTIF(Table1[Malın adı],Table1[[#This Row],[Malın adı]])</f>
        <v>1</v>
      </c>
    </row>
    <row r="463" spans="2:5" x14ac:dyDescent="0.3">
      <c r="B463" s="4">
        <f t="shared" si="14"/>
        <v>461</v>
      </c>
      <c r="C463" s="10" t="s">
        <v>433</v>
      </c>
      <c r="D463" s="4" t="str">
        <f t="shared" si="15"/>
        <v>0000461</v>
      </c>
      <c r="E463" s="4">
        <f>COUNTIF(Table1[Malın adı],Table1[[#This Row],[Malın adı]])</f>
        <v>1</v>
      </c>
    </row>
    <row r="464" spans="2:5" x14ac:dyDescent="0.3">
      <c r="B464" s="4">
        <f t="shared" si="14"/>
        <v>462</v>
      </c>
      <c r="C464" s="10" t="s">
        <v>434</v>
      </c>
      <c r="D464" s="4" t="str">
        <f t="shared" si="15"/>
        <v>0000462</v>
      </c>
      <c r="E464" s="4">
        <f>COUNTIF(Table1[Malın adı],Table1[[#This Row],[Malın adı]])</f>
        <v>1</v>
      </c>
    </row>
    <row r="465" spans="2:5" x14ac:dyDescent="0.3">
      <c r="B465" s="4">
        <f t="shared" si="14"/>
        <v>463</v>
      </c>
      <c r="C465" s="10" t="s">
        <v>435</v>
      </c>
      <c r="D465" s="4" t="str">
        <f t="shared" si="15"/>
        <v>0000463</v>
      </c>
      <c r="E465" s="4">
        <f>COUNTIF(Table1[Malın adı],Table1[[#This Row],[Malın adı]])</f>
        <v>1</v>
      </c>
    </row>
    <row r="466" spans="2:5" x14ac:dyDescent="0.3">
      <c r="B466" s="4">
        <f t="shared" si="14"/>
        <v>464</v>
      </c>
      <c r="C466" s="10" t="s">
        <v>436</v>
      </c>
      <c r="D466" s="4" t="str">
        <f t="shared" si="15"/>
        <v>0000464</v>
      </c>
      <c r="E466" s="4">
        <f>COUNTIF(Table1[Malın adı],Table1[[#This Row],[Malın adı]])</f>
        <v>1</v>
      </c>
    </row>
    <row r="467" spans="2:5" x14ac:dyDescent="0.3">
      <c r="B467" s="4">
        <f t="shared" si="14"/>
        <v>465</v>
      </c>
      <c r="C467" s="10" t="s">
        <v>437</v>
      </c>
      <c r="D467" s="4" t="str">
        <f t="shared" si="15"/>
        <v>0000465</v>
      </c>
      <c r="E467" s="4">
        <f>COUNTIF(Table1[Malın adı],Table1[[#This Row],[Malın adı]])</f>
        <v>1</v>
      </c>
    </row>
    <row r="468" spans="2:5" x14ac:dyDescent="0.3">
      <c r="B468" s="4">
        <f t="shared" si="14"/>
        <v>466</v>
      </c>
      <c r="C468" s="10" t="s">
        <v>438</v>
      </c>
      <c r="D468" s="4" t="str">
        <f t="shared" si="15"/>
        <v>0000466</v>
      </c>
      <c r="E468" s="4">
        <f>COUNTIF(Table1[Malın adı],Table1[[#This Row],[Malın adı]])</f>
        <v>1</v>
      </c>
    </row>
    <row r="469" spans="2:5" x14ac:dyDescent="0.3">
      <c r="B469" s="4">
        <f t="shared" si="14"/>
        <v>467</v>
      </c>
      <c r="C469" s="10" t="s">
        <v>439</v>
      </c>
      <c r="D469" s="4" t="str">
        <f t="shared" si="15"/>
        <v>0000467</v>
      </c>
      <c r="E469" s="4">
        <f>COUNTIF(Table1[Malın adı],Table1[[#This Row],[Malın adı]])</f>
        <v>1</v>
      </c>
    </row>
    <row r="470" spans="2:5" x14ac:dyDescent="0.3">
      <c r="B470" s="4">
        <f t="shared" si="14"/>
        <v>468</v>
      </c>
      <c r="C470" s="10" t="s">
        <v>440</v>
      </c>
      <c r="D470" s="4" t="str">
        <f t="shared" si="15"/>
        <v>0000468</v>
      </c>
      <c r="E470" s="4">
        <f>COUNTIF(Table1[Malın adı],Table1[[#This Row],[Malın adı]])</f>
        <v>1</v>
      </c>
    </row>
    <row r="471" spans="2:5" x14ac:dyDescent="0.3">
      <c r="B471" s="4">
        <f t="shared" si="14"/>
        <v>469</v>
      </c>
      <c r="C471" s="10" t="s">
        <v>441</v>
      </c>
      <c r="D471" s="4" t="str">
        <f t="shared" si="15"/>
        <v>0000469</v>
      </c>
      <c r="E471" s="4">
        <f>COUNTIF(Table1[Malın adı],Table1[[#This Row],[Malın adı]])</f>
        <v>1</v>
      </c>
    </row>
    <row r="472" spans="2:5" x14ac:dyDescent="0.3">
      <c r="B472" s="4">
        <f t="shared" si="14"/>
        <v>470</v>
      </c>
      <c r="C472" s="10" t="s">
        <v>442</v>
      </c>
      <c r="D472" s="4" t="str">
        <f t="shared" si="15"/>
        <v>0000470</v>
      </c>
      <c r="E472" s="4">
        <f>COUNTIF(Table1[Malın adı],Table1[[#This Row],[Malın adı]])</f>
        <v>1</v>
      </c>
    </row>
    <row r="473" spans="2:5" x14ac:dyDescent="0.3">
      <c r="B473" s="4">
        <f t="shared" si="14"/>
        <v>471</v>
      </c>
      <c r="C473" s="10" t="s">
        <v>443</v>
      </c>
      <c r="D473" s="4" t="str">
        <f t="shared" si="15"/>
        <v>0000471</v>
      </c>
      <c r="E473" s="4">
        <f>COUNTIF(Table1[Malın adı],Table1[[#This Row],[Malın adı]])</f>
        <v>1</v>
      </c>
    </row>
    <row r="474" spans="2:5" x14ac:dyDescent="0.3">
      <c r="B474" s="4">
        <f t="shared" si="14"/>
        <v>472</v>
      </c>
      <c r="C474" s="10" t="s">
        <v>444</v>
      </c>
      <c r="D474" s="4" t="str">
        <f t="shared" si="15"/>
        <v>0000472</v>
      </c>
      <c r="E474" s="4">
        <f>COUNTIF(Table1[Malın adı],Table1[[#This Row],[Malın adı]])</f>
        <v>1</v>
      </c>
    </row>
    <row r="475" spans="2:5" x14ac:dyDescent="0.3">
      <c r="B475" s="4">
        <f t="shared" si="14"/>
        <v>473</v>
      </c>
      <c r="C475" s="10" t="s">
        <v>445</v>
      </c>
      <c r="D475" s="4" t="str">
        <f t="shared" si="15"/>
        <v>0000473</v>
      </c>
      <c r="E475" s="4">
        <f>COUNTIF(Table1[Malın adı],Table1[[#This Row],[Malın adı]])</f>
        <v>1</v>
      </c>
    </row>
    <row r="476" spans="2:5" x14ac:dyDescent="0.3">
      <c r="B476" s="4">
        <f t="shared" si="14"/>
        <v>474</v>
      </c>
      <c r="C476" s="10" t="s">
        <v>446</v>
      </c>
      <c r="D476" s="4" t="str">
        <f t="shared" si="15"/>
        <v>0000474</v>
      </c>
      <c r="E476" s="4">
        <f>COUNTIF(Table1[Malın adı],Table1[[#This Row],[Malın adı]])</f>
        <v>1</v>
      </c>
    </row>
    <row r="477" spans="2:5" x14ac:dyDescent="0.3">
      <c r="B477" s="4">
        <f t="shared" si="14"/>
        <v>475</v>
      </c>
      <c r="C477" s="10" t="s">
        <v>447</v>
      </c>
      <c r="D477" s="4" t="str">
        <f t="shared" si="15"/>
        <v>0000475</v>
      </c>
      <c r="E477" s="4">
        <f>COUNTIF(Table1[Malın adı],Table1[[#This Row],[Malın adı]])</f>
        <v>1</v>
      </c>
    </row>
    <row r="478" spans="2:5" x14ac:dyDescent="0.3">
      <c r="B478" s="4">
        <f t="shared" si="14"/>
        <v>476</v>
      </c>
      <c r="C478" s="10" t="s">
        <v>448</v>
      </c>
      <c r="D478" s="4" t="str">
        <f t="shared" si="15"/>
        <v>0000476</v>
      </c>
      <c r="E478" s="4">
        <f>COUNTIF(Table1[Malın adı],Table1[[#This Row],[Malın adı]])</f>
        <v>1</v>
      </c>
    </row>
    <row r="479" spans="2:5" x14ac:dyDescent="0.3">
      <c r="B479" s="4">
        <f t="shared" si="14"/>
        <v>477</v>
      </c>
      <c r="C479" s="10" t="s">
        <v>449</v>
      </c>
      <c r="D479" s="4" t="str">
        <f t="shared" si="15"/>
        <v>0000477</v>
      </c>
      <c r="E479" s="4">
        <f>COUNTIF(Table1[Malın adı],Table1[[#This Row],[Malın adı]])</f>
        <v>1</v>
      </c>
    </row>
    <row r="480" spans="2:5" x14ac:dyDescent="0.3">
      <c r="B480" s="4">
        <f t="shared" si="14"/>
        <v>478</v>
      </c>
      <c r="C480" s="10" t="s">
        <v>450</v>
      </c>
      <c r="D480" s="4" t="str">
        <f t="shared" si="15"/>
        <v>0000478</v>
      </c>
      <c r="E480" s="4">
        <f>COUNTIF(Table1[Malın adı],Table1[[#This Row],[Malın adı]])</f>
        <v>1</v>
      </c>
    </row>
    <row r="481" spans="2:5" x14ac:dyDescent="0.3">
      <c r="B481" s="4">
        <f t="shared" si="14"/>
        <v>479</v>
      </c>
      <c r="C481" s="10" t="s">
        <v>451</v>
      </c>
      <c r="D481" s="4" t="str">
        <f t="shared" si="15"/>
        <v>0000479</v>
      </c>
      <c r="E481" s="4">
        <f>COUNTIF(Table1[Malın adı],Table1[[#This Row],[Malın adı]])</f>
        <v>1</v>
      </c>
    </row>
    <row r="482" spans="2:5" x14ac:dyDescent="0.3">
      <c r="B482" s="4">
        <f t="shared" si="14"/>
        <v>480</v>
      </c>
      <c r="C482" s="10" t="s">
        <v>452</v>
      </c>
      <c r="D482" s="4" t="str">
        <f t="shared" si="15"/>
        <v>0000480</v>
      </c>
      <c r="E482" s="4">
        <f>COUNTIF(Table1[Malın adı],Table1[[#This Row],[Malın adı]])</f>
        <v>1</v>
      </c>
    </row>
    <row r="483" spans="2:5" x14ac:dyDescent="0.3">
      <c r="B483" s="4">
        <f t="shared" si="14"/>
        <v>481</v>
      </c>
      <c r="C483" s="10" t="s">
        <v>453</v>
      </c>
      <c r="D483" s="4" t="str">
        <f t="shared" si="15"/>
        <v>0000481</v>
      </c>
      <c r="E483" s="4">
        <f>COUNTIF(Table1[Malın adı],Table1[[#This Row],[Malın adı]])</f>
        <v>1</v>
      </c>
    </row>
    <row r="484" spans="2:5" x14ac:dyDescent="0.3">
      <c r="B484" s="4">
        <f t="shared" si="14"/>
        <v>482</v>
      </c>
      <c r="C484" s="10" t="s">
        <v>454</v>
      </c>
      <c r="D484" s="4" t="str">
        <f t="shared" si="15"/>
        <v>0000482</v>
      </c>
      <c r="E484" s="4">
        <f>COUNTIF(Table1[Malın adı],Table1[[#This Row],[Malın adı]])</f>
        <v>1</v>
      </c>
    </row>
    <row r="485" spans="2:5" x14ac:dyDescent="0.3">
      <c r="B485" s="4">
        <f t="shared" si="14"/>
        <v>483</v>
      </c>
      <c r="C485" s="10" t="s">
        <v>455</v>
      </c>
      <c r="D485" s="4" t="str">
        <f t="shared" si="15"/>
        <v>0000483</v>
      </c>
      <c r="E485" s="4">
        <f>COUNTIF(Table1[Malın adı],Table1[[#This Row],[Malın adı]])</f>
        <v>1</v>
      </c>
    </row>
    <row r="486" spans="2:5" x14ac:dyDescent="0.3">
      <c r="B486" s="4">
        <f t="shared" si="14"/>
        <v>484</v>
      </c>
      <c r="C486" s="10" t="s">
        <v>456</v>
      </c>
      <c r="D486" s="4" t="str">
        <f t="shared" si="15"/>
        <v>0000484</v>
      </c>
      <c r="E486" s="4">
        <f>COUNTIF(Table1[Malın adı],Table1[[#This Row],[Malın adı]])</f>
        <v>1</v>
      </c>
    </row>
    <row r="487" spans="2:5" x14ac:dyDescent="0.3">
      <c r="B487" s="4">
        <f t="shared" si="14"/>
        <v>485</v>
      </c>
      <c r="C487" s="10" t="s">
        <v>457</v>
      </c>
      <c r="D487" s="4" t="str">
        <f t="shared" si="15"/>
        <v>0000485</v>
      </c>
      <c r="E487" s="4">
        <f>COUNTIF(Table1[Malın adı],Table1[[#This Row],[Malın adı]])</f>
        <v>1</v>
      </c>
    </row>
    <row r="488" spans="2:5" x14ac:dyDescent="0.3">
      <c r="B488" s="4">
        <f t="shared" si="14"/>
        <v>486</v>
      </c>
      <c r="C488" s="10" t="s">
        <v>458</v>
      </c>
      <c r="D488" s="4" t="str">
        <f t="shared" si="15"/>
        <v>0000486</v>
      </c>
      <c r="E488" s="4">
        <f>COUNTIF(Table1[Malın adı],Table1[[#This Row],[Malın adı]])</f>
        <v>1</v>
      </c>
    </row>
    <row r="489" spans="2:5" x14ac:dyDescent="0.3">
      <c r="B489" s="4">
        <f t="shared" si="14"/>
        <v>487</v>
      </c>
      <c r="C489" s="10" t="s">
        <v>459</v>
      </c>
      <c r="D489" s="4" t="str">
        <f t="shared" si="15"/>
        <v>0000487</v>
      </c>
      <c r="E489" s="4">
        <f>COUNTIF(Table1[Malın adı],Table1[[#This Row],[Malın adı]])</f>
        <v>1</v>
      </c>
    </row>
    <row r="490" spans="2:5" x14ac:dyDescent="0.3">
      <c r="B490" s="4">
        <f t="shared" si="14"/>
        <v>488</v>
      </c>
      <c r="C490" s="10" t="s">
        <v>460</v>
      </c>
      <c r="D490" s="4" t="str">
        <f t="shared" si="15"/>
        <v>0000488</v>
      </c>
      <c r="E490" s="4">
        <f>COUNTIF(Table1[Malın adı],Table1[[#This Row],[Malın adı]])</f>
        <v>1</v>
      </c>
    </row>
    <row r="491" spans="2:5" x14ac:dyDescent="0.3">
      <c r="B491" s="4">
        <f t="shared" si="14"/>
        <v>489</v>
      </c>
      <c r="C491" s="10" t="s">
        <v>461</v>
      </c>
      <c r="D491" s="4" t="str">
        <f t="shared" si="15"/>
        <v>0000489</v>
      </c>
      <c r="E491" s="4">
        <f>COUNTIF(Table1[Malın adı],Table1[[#This Row],[Malın adı]])</f>
        <v>1</v>
      </c>
    </row>
    <row r="492" spans="2:5" x14ac:dyDescent="0.3">
      <c r="B492" s="4">
        <f t="shared" si="14"/>
        <v>490</v>
      </c>
      <c r="C492" s="10" t="s">
        <v>462</v>
      </c>
      <c r="D492" s="4" t="str">
        <f t="shared" si="15"/>
        <v>0000490</v>
      </c>
      <c r="E492" s="4">
        <f>COUNTIF(Table1[Malın adı],Table1[[#This Row],[Malın adı]])</f>
        <v>1</v>
      </c>
    </row>
    <row r="493" spans="2:5" x14ac:dyDescent="0.3">
      <c r="B493" s="4">
        <f t="shared" si="14"/>
        <v>491</v>
      </c>
      <c r="C493" s="10" t="s">
        <v>463</v>
      </c>
      <c r="D493" s="4" t="str">
        <f t="shared" si="15"/>
        <v>0000491</v>
      </c>
      <c r="E493" s="4">
        <f>COUNTIF(Table1[Malın adı],Table1[[#This Row],[Malın adı]])</f>
        <v>1</v>
      </c>
    </row>
    <row r="494" spans="2:5" x14ac:dyDescent="0.3">
      <c r="B494" s="4">
        <f t="shared" si="14"/>
        <v>492</v>
      </c>
      <c r="C494" s="10" t="s">
        <v>464</v>
      </c>
      <c r="D494" s="4" t="str">
        <f t="shared" si="15"/>
        <v>0000492</v>
      </c>
      <c r="E494" s="4">
        <f>COUNTIF(Table1[Malın adı],Table1[[#This Row],[Malın adı]])</f>
        <v>1</v>
      </c>
    </row>
    <row r="495" spans="2:5" x14ac:dyDescent="0.3">
      <c r="B495" s="4">
        <f t="shared" si="14"/>
        <v>493</v>
      </c>
      <c r="C495" s="10" t="s">
        <v>465</v>
      </c>
      <c r="D495" s="4" t="str">
        <f t="shared" si="15"/>
        <v>0000493</v>
      </c>
      <c r="E495" s="4">
        <f>COUNTIF(Table1[Malın adı],Table1[[#This Row],[Malın adı]])</f>
        <v>1</v>
      </c>
    </row>
    <row r="496" spans="2:5" x14ac:dyDescent="0.3">
      <c r="B496" s="4">
        <f t="shared" si="14"/>
        <v>494</v>
      </c>
      <c r="C496" s="10" t="s">
        <v>466</v>
      </c>
      <c r="D496" s="4" t="str">
        <f t="shared" si="15"/>
        <v>0000494</v>
      </c>
      <c r="E496" s="4">
        <f>COUNTIF(Table1[Malın adı],Table1[[#This Row],[Malın adı]])</f>
        <v>1</v>
      </c>
    </row>
    <row r="497" spans="2:5" x14ac:dyDescent="0.3">
      <c r="B497" s="4">
        <f t="shared" si="14"/>
        <v>495</v>
      </c>
      <c r="C497" s="10" t="s">
        <v>467</v>
      </c>
      <c r="D497" s="4" t="str">
        <f t="shared" si="15"/>
        <v>0000495</v>
      </c>
      <c r="E497" s="4">
        <f>COUNTIF(Table1[Malın adı],Table1[[#This Row],[Malın adı]])</f>
        <v>1</v>
      </c>
    </row>
    <row r="498" spans="2:5" x14ac:dyDescent="0.3">
      <c r="B498" s="4">
        <f t="shared" si="14"/>
        <v>496</v>
      </c>
      <c r="C498" s="10" t="s">
        <v>468</v>
      </c>
      <c r="D498" s="4" t="str">
        <f t="shared" si="15"/>
        <v>0000496</v>
      </c>
      <c r="E498" s="4">
        <f>COUNTIF(Table1[Malın adı],Table1[[#This Row],[Malın adı]])</f>
        <v>1</v>
      </c>
    </row>
    <row r="499" spans="2:5" x14ac:dyDescent="0.3">
      <c r="B499" s="4">
        <f t="shared" si="14"/>
        <v>497</v>
      </c>
      <c r="C499" s="10" t="s">
        <v>469</v>
      </c>
      <c r="D499" s="4" t="str">
        <f t="shared" si="15"/>
        <v>0000497</v>
      </c>
      <c r="E499" s="4">
        <f>COUNTIF(Table1[Malın adı],Table1[[#This Row],[Malın adı]])</f>
        <v>1</v>
      </c>
    </row>
    <row r="500" spans="2:5" x14ac:dyDescent="0.3">
      <c r="B500" s="4">
        <f t="shared" si="14"/>
        <v>498</v>
      </c>
      <c r="C500" s="10" t="s">
        <v>470</v>
      </c>
      <c r="D500" s="4" t="str">
        <f t="shared" si="15"/>
        <v>0000498</v>
      </c>
      <c r="E500" s="4">
        <f>COUNTIF(Table1[Malın adı],Table1[[#This Row],[Malın adı]])</f>
        <v>1</v>
      </c>
    </row>
    <row r="501" spans="2:5" x14ac:dyDescent="0.3">
      <c r="B501" s="4">
        <f t="shared" si="14"/>
        <v>499</v>
      </c>
      <c r="C501" s="10" t="s">
        <v>471</v>
      </c>
      <c r="D501" s="4" t="str">
        <f t="shared" si="15"/>
        <v>0000499</v>
      </c>
      <c r="E501" s="4">
        <f>COUNTIF(Table1[Malın adı],Table1[[#This Row],[Malın adı]])</f>
        <v>1</v>
      </c>
    </row>
    <row r="502" spans="2:5" x14ac:dyDescent="0.3">
      <c r="B502" s="4">
        <f t="shared" si="14"/>
        <v>500</v>
      </c>
      <c r="C502" s="10" t="s">
        <v>472</v>
      </c>
      <c r="D502" s="4" t="str">
        <f t="shared" si="15"/>
        <v>0000500</v>
      </c>
      <c r="E502" s="4">
        <f>COUNTIF(Table1[Malın adı],Table1[[#This Row],[Malın adı]])</f>
        <v>1</v>
      </c>
    </row>
    <row r="503" spans="2:5" x14ac:dyDescent="0.3">
      <c r="B503" s="4">
        <f t="shared" si="14"/>
        <v>501</v>
      </c>
      <c r="C503" s="10" t="s">
        <v>473</v>
      </c>
      <c r="D503" s="4" t="str">
        <f t="shared" si="15"/>
        <v>0000501</v>
      </c>
      <c r="E503" s="4">
        <f>COUNTIF(Table1[Malın adı],Table1[[#This Row],[Malın adı]])</f>
        <v>1</v>
      </c>
    </row>
    <row r="504" spans="2:5" x14ac:dyDescent="0.3">
      <c r="B504" s="4">
        <f t="shared" si="14"/>
        <v>502</v>
      </c>
      <c r="C504" s="10" t="s">
        <v>474</v>
      </c>
      <c r="D504" s="4" t="str">
        <f t="shared" si="15"/>
        <v>0000502</v>
      </c>
      <c r="E504" s="4">
        <f>COUNTIF(Table1[Malın adı],Table1[[#This Row],[Malın adı]])</f>
        <v>1</v>
      </c>
    </row>
    <row r="505" spans="2:5" x14ac:dyDescent="0.3">
      <c r="B505" s="4">
        <f t="shared" si="14"/>
        <v>503</v>
      </c>
      <c r="C505" s="10" t="s">
        <v>475</v>
      </c>
      <c r="D505" s="4" t="str">
        <f t="shared" si="15"/>
        <v>0000503</v>
      </c>
      <c r="E505" s="4">
        <f>COUNTIF(Table1[Malın adı],Table1[[#This Row],[Malın adı]])</f>
        <v>1</v>
      </c>
    </row>
    <row r="506" spans="2:5" x14ac:dyDescent="0.3">
      <c r="B506" s="4">
        <f t="shared" si="14"/>
        <v>504</v>
      </c>
      <c r="C506" s="10" t="s">
        <v>476</v>
      </c>
      <c r="D506" s="4" t="str">
        <f t="shared" si="15"/>
        <v>0000504</v>
      </c>
      <c r="E506" s="4">
        <f>COUNTIF(Table1[Malın adı],Table1[[#This Row],[Malın adı]])</f>
        <v>1</v>
      </c>
    </row>
    <row r="507" spans="2:5" x14ac:dyDescent="0.3">
      <c r="B507" s="4">
        <f t="shared" si="14"/>
        <v>505</v>
      </c>
      <c r="C507" s="10" t="s">
        <v>477</v>
      </c>
      <c r="D507" s="4" t="str">
        <f t="shared" si="15"/>
        <v>0000505</v>
      </c>
      <c r="E507" s="4">
        <f>COUNTIF(Table1[Malın adı],Table1[[#This Row],[Malın adı]])</f>
        <v>1</v>
      </c>
    </row>
    <row r="508" spans="2:5" x14ac:dyDescent="0.3">
      <c r="B508" s="4">
        <f t="shared" si="14"/>
        <v>506</v>
      </c>
      <c r="C508" s="10" t="s">
        <v>478</v>
      </c>
      <c r="D508" s="4" t="str">
        <f t="shared" si="15"/>
        <v>0000506</v>
      </c>
      <c r="E508" s="4">
        <f>COUNTIF(Table1[Malın adı],Table1[[#This Row],[Malın adı]])</f>
        <v>1</v>
      </c>
    </row>
    <row r="509" spans="2:5" x14ac:dyDescent="0.3">
      <c r="B509" s="4">
        <f t="shared" si="14"/>
        <v>507</v>
      </c>
      <c r="C509" s="10" t="s">
        <v>479</v>
      </c>
      <c r="D509" s="4" t="str">
        <f t="shared" si="15"/>
        <v>0000507</v>
      </c>
      <c r="E509" s="4">
        <f>COUNTIF(Table1[Malın adı],Table1[[#This Row],[Malın adı]])</f>
        <v>1</v>
      </c>
    </row>
    <row r="510" spans="2:5" x14ac:dyDescent="0.3">
      <c r="B510" s="4">
        <f t="shared" si="14"/>
        <v>508</v>
      </c>
      <c r="C510" s="10" t="s">
        <v>480</v>
      </c>
      <c r="D510" s="4" t="str">
        <f t="shared" si="15"/>
        <v>0000508</v>
      </c>
      <c r="E510" s="4">
        <f>COUNTIF(Table1[Malın adı],Table1[[#This Row],[Malın adı]])</f>
        <v>1</v>
      </c>
    </row>
    <row r="511" spans="2:5" x14ac:dyDescent="0.3">
      <c r="B511" s="4">
        <f t="shared" si="14"/>
        <v>509</v>
      </c>
      <c r="C511" s="10" t="s">
        <v>2475</v>
      </c>
      <c r="D511" s="4" t="str">
        <f t="shared" si="15"/>
        <v>0000509</v>
      </c>
      <c r="E511" s="4">
        <f>COUNTIF(Table1[Malın adı],Table1[[#This Row],[Malın adı]])</f>
        <v>1</v>
      </c>
    </row>
    <row r="512" spans="2:5" x14ac:dyDescent="0.3">
      <c r="B512" s="4">
        <f t="shared" si="14"/>
        <v>510</v>
      </c>
      <c r="C512" s="10" t="s">
        <v>2476</v>
      </c>
      <c r="D512" s="4" t="str">
        <f t="shared" si="15"/>
        <v>0000510</v>
      </c>
      <c r="E512" s="4">
        <f>COUNTIF(Table1[Malın adı],Table1[[#This Row],[Malın adı]])</f>
        <v>1</v>
      </c>
    </row>
    <row r="513" spans="2:5" x14ac:dyDescent="0.3">
      <c r="B513" s="4">
        <f t="shared" si="14"/>
        <v>511</v>
      </c>
      <c r="C513" s="10" t="s">
        <v>2477</v>
      </c>
      <c r="D513" s="4" t="str">
        <f t="shared" si="15"/>
        <v>0000511</v>
      </c>
      <c r="E513" s="4">
        <f>COUNTIF(Table1[Malın adı],Table1[[#This Row],[Malın adı]])</f>
        <v>1</v>
      </c>
    </row>
    <row r="514" spans="2:5" x14ac:dyDescent="0.3">
      <c r="B514" s="4">
        <f t="shared" si="14"/>
        <v>512</v>
      </c>
      <c r="C514" s="10" t="s">
        <v>2478</v>
      </c>
      <c r="D514" s="4" t="str">
        <f t="shared" si="15"/>
        <v>0000512</v>
      </c>
      <c r="E514" s="4">
        <f>COUNTIF(Table1[Malın adı],Table1[[#This Row],[Malın adı]])</f>
        <v>1</v>
      </c>
    </row>
    <row r="515" spans="2:5" x14ac:dyDescent="0.3">
      <c r="B515" s="4">
        <f t="shared" ref="B515:B578" si="16">ROW()-2</f>
        <v>513</v>
      </c>
      <c r="C515" s="10" t="s">
        <v>481</v>
      </c>
      <c r="D515" s="4" t="str">
        <f t="shared" ref="D515:D578" si="17">TEXT(ROW()-2,"0000000")</f>
        <v>0000513</v>
      </c>
      <c r="E515" s="4">
        <f>COUNTIF(Table1[Malın adı],Table1[[#This Row],[Malın adı]])</f>
        <v>1</v>
      </c>
    </row>
    <row r="516" spans="2:5" x14ac:dyDescent="0.3">
      <c r="B516" s="4">
        <f t="shared" si="16"/>
        <v>514</v>
      </c>
      <c r="C516" s="10" t="s">
        <v>482</v>
      </c>
      <c r="D516" s="4" t="str">
        <f t="shared" si="17"/>
        <v>0000514</v>
      </c>
      <c r="E516" s="4">
        <f>COUNTIF(Table1[Malın adı],Table1[[#This Row],[Malın adı]])</f>
        <v>1</v>
      </c>
    </row>
    <row r="517" spans="2:5" x14ac:dyDescent="0.3">
      <c r="B517" s="4">
        <f t="shared" si="16"/>
        <v>515</v>
      </c>
      <c r="C517" s="10" t="s">
        <v>483</v>
      </c>
      <c r="D517" s="4" t="str">
        <f t="shared" si="17"/>
        <v>0000515</v>
      </c>
      <c r="E517" s="4">
        <f>COUNTIF(Table1[Malın adı],Table1[[#This Row],[Malın adı]])</f>
        <v>1</v>
      </c>
    </row>
    <row r="518" spans="2:5" x14ac:dyDescent="0.3">
      <c r="B518" s="4">
        <f t="shared" si="16"/>
        <v>516</v>
      </c>
      <c r="C518" s="10" t="s">
        <v>484</v>
      </c>
      <c r="D518" s="4" t="str">
        <f t="shared" si="17"/>
        <v>0000516</v>
      </c>
      <c r="E518" s="4">
        <f>COUNTIF(Table1[Malın adı],Table1[[#This Row],[Malın adı]])</f>
        <v>1</v>
      </c>
    </row>
    <row r="519" spans="2:5" x14ac:dyDescent="0.3">
      <c r="B519" s="4">
        <f t="shared" si="16"/>
        <v>517</v>
      </c>
      <c r="C519" s="10" t="s">
        <v>485</v>
      </c>
      <c r="D519" s="4" t="str">
        <f t="shared" si="17"/>
        <v>0000517</v>
      </c>
      <c r="E519" s="4">
        <f>COUNTIF(Table1[Malın adı],Table1[[#This Row],[Malın adı]])</f>
        <v>1</v>
      </c>
    </row>
    <row r="520" spans="2:5" x14ac:dyDescent="0.3">
      <c r="B520" s="4">
        <f t="shared" si="16"/>
        <v>518</v>
      </c>
      <c r="C520" s="10" t="s">
        <v>486</v>
      </c>
      <c r="D520" s="4" t="str">
        <f t="shared" si="17"/>
        <v>0000518</v>
      </c>
      <c r="E520" s="4">
        <f>COUNTIF(Table1[Malın adı],Table1[[#This Row],[Malın adı]])</f>
        <v>1</v>
      </c>
    </row>
    <row r="521" spans="2:5" x14ac:dyDescent="0.3">
      <c r="B521" s="4">
        <f t="shared" si="16"/>
        <v>519</v>
      </c>
      <c r="C521" s="10" t="s">
        <v>487</v>
      </c>
      <c r="D521" s="4" t="str">
        <f t="shared" si="17"/>
        <v>0000519</v>
      </c>
      <c r="E521" s="4">
        <f>COUNTIF(Table1[Malın adı],Table1[[#This Row],[Malın adı]])</f>
        <v>1</v>
      </c>
    </row>
    <row r="522" spans="2:5" x14ac:dyDescent="0.3">
      <c r="B522" s="4">
        <f t="shared" si="16"/>
        <v>520</v>
      </c>
      <c r="C522" s="10" t="s">
        <v>488</v>
      </c>
      <c r="D522" s="4" t="str">
        <f t="shared" si="17"/>
        <v>0000520</v>
      </c>
      <c r="E522" s="4">
        <f>COUNTIF(Table1[Malın adı],Table1[[#This Row],[Malın adı]])</f>
        <v>1</v>
      </c>
    </row>
    <row r="523" spans="2:5" x14ac:dyDescent="0.3">
      <c r="B523" s="4">
        <f t="shared" si="16"/>
        <v>521</v>
      </c>
      <c r="C523" s="10" t="s">
        <v>489</v>
      </c>
      <c r="D523" s="4" t="str">
        <f t="shared" si="17"/>
        <v>0000521</v>
      </c>
      <c r="E523" s="4">
        <f>COUNTIF(Table1[Malın adı],Table1[[#This Row],[Malın adı]])</f>
        <v>1</v>
      </c>
    </row>
    <row r="524" spans="2:5" x14ac:dyDescent="0.3">
      <c r="B524" s="4">
        <f t="shared" si="16"/>
        <v>522</v>
      </c>
      <c r="C524" s="10" t="s">
        <v>490</v>
      </c>
      <c r="D524" s="4" t="str">
        <f t="shared" si="17"/>
        <v>0000522</v>
      </c>
      <c r="E524" s="4">
        <f>COUNTIF(Table1[Malın adı],Table1[[#This Row],[Malın adı]])</f>
        <v>1</v>
      </c>
    </row>
    <row r="525" spans="2:5" x14ac:dyDescent="0.3">
      <c r="B525" s="4">
        <f t="shared" si="16"/>
        <v>523</v>
      </c>
      <c r="C525" s="10" t="s">
        <v>2479</v>
      </c>
      <c r="D525" s="4" t="str">
        <f t="shared" si="17"/>
        <v>0000523</v>
      </c>
      <c r="E525" s="4">
        <f>COUNTIF(Table1[Malın adı],Table1[[#This Row],[Malın adı]])</f>
        <v>1</v>
      </c>
    </row>
    <row r="526" spans="2:5" x14ac:dyDescent="0.3">
      <c r="B526" s="4">
        <f t="shared" si="16"/>
        <v>524</v>
      </c>
      <c r="C526" s="10" t="s">
        <v>491</v>
      </c>
      <c r="D526" s="4" t="str">
        <f t="shared" si="17"/>
        <v>0000524</v>
      </c>
      <c r="E526" s="4">
        <f>COUNTIF(Table1[Malın adı],Table1[[#This Row],[Malın adı]])</f>
        <v>1</v>
      </c>
    </row>
    <row r="527" spans="2:5" x14ac:dyDescent="0.3">
      <c r="B527" s="4">
        <f t="shared" si="16"/>
        <v>525</v>
      </c>
      <c r="C527" s="10" t="s">
        <v>492</v>
      </c>
      <c r="D527" s="4" t="str">
        <f t="shared" si="17"/>
        <v>0000525</v>
      </c>
      <c r="E527" s="4">
        <f>COUNTIF(Table1[Malın adı],Table1[[#This Row],[Malın adı]])</f>
        <v>1</v>
      </c>
    </row>
    <row r="528" spans="2:5" x14ac:dyDescent="0.3">
      <c r="B528" s="4">
        <f t="shared" si="16"/>
        <v>526</v>
      </c>
      <c r="C528" s="10" t="s">
        <v>493</v>
      </c>
      <c r="D528" s="4" t="str">
        <f t="shared" si="17"/>
        <v>0000526</v>
      </c>
      <c r="E528" s="4">
        <f>COUNTIF(Table1[Malın adı],Table1[[#This Row],[Malın adı]])</f>
        <v>1</v>
      </c>
    </row>
    <row r="529" spans="2:5" x14ac:dyDescent="0.3">
      <c r="B529" s="4">
        <f t="shared" si="16"/>
        <v>527</v>
      </c>
      <c r="C529" s="10" t="s">
        <v>494</v>
      </c>
      <c r="D529" s="4" t="str">
        <f t="shared" si="17"/>
        <v>0000527</v>
      </c>
      <c r="E529" s="4">
        <f>COUNTIF(Table1[Malın adı],Table1[[#This Row],[Malın adı]])</f>
        <v>1</v>
      </c>
    </row>
    <row r="530" spans="2:5" x14ac:dyDescent="0.3">
      <c r="B530" s="4">
        <f t="shared" si="16"/>
        <v>528</v>
      </c>
      <c r="C530" s="10" t="s">
        <v>495</v>
      </c>
      <c r="D530" s="4" t="str">
        <f t="shared" si="17"/>
        <v>0000528</v>
      </c>
      <c r="E530" s="4">
        <f>COUNTIF(Table1[Malın adı],Table1[[#This Row],[Malın adı]])</f>
        <v>1</v>
      </c>
    </row>
    <row r="531" spans="2:5" x14ac:dyDescent="0.3">
      <c r="B531" s="4">
        <f t="shared" si="16"/>
        <v>529</v>
      </c>
      <c r="C531" s="10" t="s">
        <v>496</v>
      </c>
      <c r="D531" s="4" t="str">
        <f t="shared" si="17"/>
        <v>0000529</v>
      </c>
      <c r="E531" s="4">
        <f>COUNTIF(Table1[Malın adı],Table1[[#This Row],[Malın adı]])</f>
        <v>1</v>
      </c>
    </row>
    <row r="532" spans="2:5" x14ac:dyDescent="0.3">
      <c r="B532" s="4">
        <f t="shared" si="16"/>
        <v>530</v>
      </c>
      <c r="C532" s="10" t="s">
        <v>497</v>
      </c>
      <c r="D532" s="4" t="str">
        <f t="shared" si="17"/>
        <v>0000530</v>
      </c>
      <c r="E532" s="4">
        <f>COUNTIF(Table1[Malın adı],Table1[[#This Row],[Malın adı]])</f>
        <v>1</v>
      </c>
    </row>
    <row r="533" spans="2:5" x14ac:dyDescent="0.3">
      <c r="B533" s="4">
        <f t="shared" si="16"/>
        <v>531</v>
      </c>
      <c r="C533" s="10" t="s">
        <v>498</v>
      </c>
      <c r="D533" s="4" t="str">
        <f t="shared" si="17"/>
        <v>0000531</v>
      </c>
      <c r="E533" s="4">
        <f>COUNTIF(Table1[Malın adı],Table1[[#This Row],[Malın adı]])</f>
        <v>1</v>
      </c>
    </row>
    <row r="534" spans="2:5" x14ac:dyDescent="0.3">
      <c r="B534" s="4">
        <f t="shared" si="16"/>
        <v>532</v>
      </c>
      <c r="C534" s="10" t="s">
        <v>499</v>
      </c>
      <c r="D534" s="4" t="str">
        <f t="shared" si="17"/>
        <v>0000532</v>
      </c>
      <c r="E534" s="4">
        <f>COUNTIF(Table1[Malın adı],Table1[[#This Row],[Malın adı]])</f>
        <v>1</v>
      </c>
    </row>
    <row r="535" spans="2:5" x14ac:dyDescent="0.3">
      <c r="B535" s="4">
        <f t="shared" si="16"/>
        <v>533</v>
      </c>
      <c r="C535" s="10" t="s">
        <v>500</v>
      </c>
      <c r="D535" s="4" t="str">
        <f t="shared" si="17"/>
        <v>0000533</v>
      </c>
      <c r="E535" s="4">
        <f>COUNTIF(Table1[Malın adı],Table1[[#This Row],[Malın adı]])</f>
        <v>1</v>
      </c>
    </row>
    <row r="536" spans="2:5" x14ac:dyDescent="0.3">
      <c r="B536" s="4">
        <f t="shared" si="16"/>
        <v>534</v>
      </c>
      <c r="C536" s="10" t="s">
        <v>501</v>
      </c>
      <c r="D536" s="4" t="str">
        <f t="shared" si="17"/>
        <v>0000534</v>
      </c>
      <c r="E536" s="4">
        <f>COUNTIF(Table1[Malın adı],Table1[[#This Row],[Malın adı]])</f>
        <v>1</v>
      </c>
    </row>
    <row r="537" spans="2:5" x14ac:dyDescent="0.3">
      <c r="B537" s="4">
        <f t="shared" si="16"/>
        <v>535</v>
      </c>
      <c r="C537" s="10" t="s">
        <v>502</v>
      </c>
      <c r="D537" s="4" t="str">
        <f t="shared" si="17"/>
        <v>0000535</v>
      </c>
      <c r="E537" s="4">
        <f>COUNTIF(Table1[Malın adı],Table1[[#This Row],[Malın adı]])</f>
        <v>1</v>
      </c>
    </row>
    <row r="538" spans="2:5" x14ac:dyDescent="0.3">
      <c r="B538" s="4">
        <f t="shared" si="16"/>
        <v>536</v>
      </c>
      <c r="C538" s="10" t="s">
        <v>503</v>
      </c>
      <c r="D538" s="4" t="str">
        <f t="shared" si="17"/>
        <v>0000536</v>
      </c>
      <c r="E538" s="4">
        <f>COUNTIF(Table1[Malın adı],Table1[[#This Row],[Malın adı]])</f>
        <v>1</v>
      </c>
    </row>
    <row r="539" spans="2:5" x14ac:dyDescent="0.3">
      <c r="B539" s="4">
        <f t="shared" si="16"/>
        <v>537</v>
      </c>
      <c r="C539" s="10" t="s">
        <v>504</v>
      </c>
      <c r="D539" s="4" t="str">
        <f t="shared" si="17"/>
        <v>0000537</v>
      </c>
      <c r="E539" s="4">
        <f>COUNTIF(Table1[Malın adı],Table1[[#This Row],[Malın adı]])</f>
        <v>1</v>
      </c>
    </row>
    <row r="540" spans="2:5" x14ac:dyDescent="0.3">
      <c r="B540" s="4">
        <f t="shared" si="16"/>
        <v>538</v>
      </c>
      <c r="C540" s="10" t="s">
        <v>505</v>
      </c>
      <c r="D540" s="4" t="str">
        <f t="shared" si="17"/>
        <v>0000538</v>
      </c>
      <c r="E540" s="4">
        <f>COUNTIF(Table1[Malın adı],Table1[[#This Row],[Malın adı]])</f>
        <v>1</v>
      </c>
    </row>
    <row r="541" spans="2:5" x14ac:dyDescent="0.3">
      <c r="B541" s="4">
        <f t="shared" si="16"/>
        <v>539</v>
      </c>
      <c r="C541" s="10" t="s">
        <v>506</v>
      </c>
      <c r="D541" s="4" t="str">
        <f t="shared" si="17"/>
        <v>0000539</v>
      </c>
      <c r="E541" s="4">
        <f>COUNTIF(Table1[Malın adı],Table1[[#This Row],[Malın adı]])</f>
        <v>1</v>
      </c>
    </row>
    <row r="542" spans="2:5" x14ac:dyDescent="0.3">
      <c r="B542" s="4">
        <f t="shared" si="16"/>
        <v>540</v>
      </c>
      <c r="C542" s="10" t="s">
        <v>507</v>
      </c>
      <c r="D542" s="4" t="str">
        <f t="shared" si="17"/>
        <v>0000540</v>
      </c>
      <c r="E542" s="4">
        <f>COUNTIF(Table1[Malın adı],Table1[[#This Row],[Malın adı]])</f>
        <v>1</v>
      </c>
    </row>
    <row r="543" spans="2:5" x14ac:dyDescent="0.3">
      <c r="B543" s="4">
        <f t="shared" si="16"/>
        <v>541</v>
      </c>
      <c r="C543" s="10" t="s">
        <v>508</v>
      </c>
      <c r="D543" s="4" t="str">
        <f t="shared" si="17"/>
        <v>0000541</v>
      </c>
      <c r="E543" s="4">
        <f>COUNTIF(Table1[Malın adı],Table1[[#This Row],[Malın adı]])</f>
        <v>1</v>
      </c>
    </row>
    <row r="544" spans="2:5" x14ac:dyDescent="0.3">
      <c r="B544" s="4">
        <f t="shared" si="16"/>
        <v>542</v>
      </c>
      <c r="C544" s="10" t="s">
        <v>509</v>
      </c>
      <c r="D544" s="4" t="str">
        <f t="shared" si="17"/>
        <v>0000542</v>
      </c>
      <c r="E544" s="4">
        <f>COUNTIF(Table1[Malın adı],Table1[[#This Row],[Malın adı]])</f>
        <v>1</v>
      </c>
    </row>
    <row r="545" spans="2:5" x14ac:dyDescent="0.3">
      <c r="B545" s="4">
        <f t="shared" si="16"/>
        <v>543</v>
      </c>
      <c r="C545" s="10" t="s">
        <v>510</v>
      </c>
      <c r="D545" s="4" t="str">
        <f t="shared" si="17"/>
        <v>0000543</v>
      </c>
      <c r="E545" s="4">
        <f>COUNTIF(Table1[Malın adı],Table1[[#This Row],[Malın adı]])</f>
        <v>1</v>
      </c>
    </row>
    <row r="546" spans="2:5" x14ac:dyDescent="0.3">
      <c r="B546" s="4">
        <f t="shared" si="16"/>
        <v>544</v>
      </c>
      <c r="C546" s="10" t="s">
        <v>511</v>
      </c>
      <c r="D546" s="4" t="str">
        <f t="shared" si="17"/>
        <v>0000544</v>
      </c>
      <c r="E546" s="4">
        <f>COUNTIF(Table1[Malın adı],Table1[[#This Row],[Malın adı]])</f>
        <v>1</v>
      </c>
    </row>
    <row r="547" spans="2:5" x14ac:dyDescent="0.3">
      <c r="B547" s="4">
        <f t="shared" si="16"/>
        <v>545</v>
      </c>
      <c r="C547" s="10" t="s">
        <v>512</v>
      </c>
      <c r="D547" s="4" t="str">
        <f t="shared" si="17"/>
        <v>0000545</v>
      </c>
      <c r="E547" s="4">
        <f>COUNTIF(Table1[Malın adı],Table1[[#This Row],[Malın adı]])</f>
        <v>1</v>
      </c>
    </row>
    <row r="548" spans="2:5" x14ac:dyDescent="0.3">
      <c r="B548" s="4">
        <f t="shared" si="16"/>
        <v>546</v>
      </c>
      <c r="C548" s="10" t="s">
        <v>513</v>
      </c>
      <c r="D548" s="4" t="str">
        <f t="shared" si="17"/>
        <v>0000546</v>
      </c>
      <c r="E548" s="4">
        <f>COUNTIF(Table1[Malın adı],Table1[[#This Row],[Malın adı]])</f>
        <v>1</v>
      </c>
    </row>
    <row r="549" spans="2:5" x14ac:dyDescent="0.3">
      <c r="B549" s="4">
        <f t="shared" si="16"/>
        <v>547</v>
      </c>
      <c r="C549" s="10" t="s">
        <v>514</v>
      </c>
      <c r="D549" s="4" t="str">
        <f t="shared" si="17"/>
        <v>0000547</v>
      </c>
      <c r="E549" s="4">
        <f>COUNTIF(Table1[Malın adı],Table1[[#This Row],[Malın adı]])</f>
        <v>1</v>
      </c>
    </row>
    <row r="550" spans="2:5" x14ac:dyDescent="0.3">
      <c r="B550" s="4">
        <f t="shared" si="16"/>
        <v>548</v>
      </c>
      <c r="C550" s="10" t="s">
        <v>515</v>
      </c>
      <c r="D550" s="4" t="str">
        <f t="shared" si="17"/>
        <v>0000548</v>
      </c>
      <c r="E550" s="4">
        <f>COUNTIF(Table1[Malın adı],Table1[[#This Row],[Malın adı]])</f>
        <v>1</v>
      </c>
    </row>
    <row r="551" spans="2:5" x14ac:dyDescent="0.3">
      <c r="B551" s="4">
        <f t="shared" si="16"/>
        <v>549</v>
      </c>
      <c r="C551" s="10" t="s">
        <v>516</v>
      </c>
      <c r="D551" s="4" t="str">
        <f t="shared" si="17"/>
        <v>0000549</v>
      </c>
      <c r="E551" s="4">
        <f>COUNTIF(Table1[Malın adı],Table1[[#This Row],[Malın adı]])</f>
        <v>1</v>
      </c>
    </row>
    <row r="552" spans="2:5" x14ac:dyDescent="0.3">
      <c r="B552" s="4">
        <f t="shared" si="16"/>
        <v>550</v>
      </c>
      <c r="C552" s="10" t="s">
        <v>517</v>
      </c>
      <c r="D552" s="4" t="str">
        <f t="shared" si="17"/>
        <v>0000550</v>
      </c>
      <c r="E552" s="4">
        <f>COUNTIF(Table1[Malın adı],Table1[[#This Row],[Malın adı]])</f>
        <v>1</v>
      </c>
    </row>
    <row r="553" spans="2:5" x14ac:dyDescent="0.3">
      <c r="B553" s="4">
        <f t="shared" si="16"/>
        <v>551</v>
      </c>
      <c r="C553" s="10" t="s">
        <v>518</v>
      </c>
      <c r="D553" s="4" t="str">
        <f t="shared" si="17"/>
        <v>0000551</v>
      </c>
      <c r="E553" s="4">
        <f>COUNTIF(Table1[Malın adı],Table1[[#This Row],[Malın adı]])</f>
        <v>1</v>
      </c>
    </row>
    <row r="554" spans="2:5" x14ac:dyDescent="0.3">
      <c r="B554" s="4">
        <f t="shared" si="16"/>
        <v>552</v>
      </c>
      <c r="C554" s="10" t="s">
        <v>519</v>
      </c>
      <c r="D554" s="4" t="str">
        <f t="shared" si="17"/>
        <v>0000552</v>
      </c>
      <c r="E554" s="4">
        <f>COUNTIF(Table1[Malın adı],Table1[[#This Row],[Malın adı]])</f>
        <v>1</v>
      </c>
    </row>
    <row r="555" spans="2:5" x14ac:dyDescent="0.3">
      <c r="B555" s="4">
        <f t="shared" si="16"/>
        <v>553</v>
      </c>
      <c r="C555" s="10" t="s">
        <v>520</v>
      </c>
      <c r="D555" s="4" t="str">
        <f t="shared" si="17"/>
        <v>0000553</v>
      </c>
      <c r="E555" s="4">
        <f>COUNTIF(Table1[Malın adı],Table1[[#This Row],[Malın adı]])</f>
        <v>1</v>
      </c>
    </row>
    <row r="556" spans="2:5" x14ac:dyDescent="0.3">
      <c r="B556" s="4">
        <f t="shared" si="16"/>
        <v>554</v>
      </c>
      <c r="C556" s="10" t="s">
        <v>521</v>
      </c>
      <c r="D556" s="4" t="str">
        <f t="shared" si="17"/>
        <v>0000554</v>
      </c>
      <c r="E556" s="4">
        <f>COUNTIF(Table1[Malın adı],Table1[[#This Row],[Malın adı]])</f>
        <v>1</v>
      </c>
    </row>
    <row r="557" spans="2:5" x14ac:dyDescent="0.3">
      <c r="B557" s="4">
        <f t="shared" si="16"/>
        <v>555</v>
      </c>
      <c r="C557" s="10" t="s">
        <v>522</v>
      </c>
      <c r="D557" s="4" t="str">
        <f t="shared" si="17"/>
        <v>0000555</v>
      </c>
      <c r="E557" s="4">
        <f>COUNTIF(Table1[Malın adı],Table1[[#This Row],[Malın adı]])</f>
        <v>1</v>
      </c>
    </row>
    <row r="558" spans="2:5" x14ac:dyDescent="0.3">
      <c r="B558" s="4">
        <f t="shared" si="16"/>
        <v>556</v>
      </c>
      <c r="C558" s="10" t="s">
        <v>523</v>
      </c>
      <c r="D558" s="4" t="str">
        <f t="shared" si="17"/>
        <v>0000556</v>
      </c>
      <c r="E558" s="4">
        <f>COUNTIF(Table1[Malın adı],Table1[[#This Row],[Malın adı]])</f>
        <v>1</v>
      </c>
    </row>
    <row r="559" spans="2:5" x14ac:dyDescent="0.3">
      <c r="B559" s="4">
        <f t="shared" si="16"/>
        <v>557</v>
      </c>
      <c r="C559" s="10" t="s">
        <v>524</v>
      </c>
      <c r="D559" s="4" t="str">
        <f t="shared" si="17"/>
        <v>0000557</v>
      </c>
      <c r="E559" s="4">
        <f>COUNTIF(Table1[Malın adı],Table1[[#This Row],[Malın adı]])</f>
        <v>1</v>
      </c>
    </row>
    <row r="560" spans="2:5" x14ac:dyDescent="0.3">
      <c r="B560" s="4">
        <f t="shared" si="16"/>
        <v>558</v>
      </c>
      <c r="C560" s="10" t="s">
        <v>525</v>
      </c>
      <c r="D560" s="4" t="str">
        <f t="shared" si="17"/>
        <v>0000558</v>
      </c>
      <c r="E560" s="4">
        <f>COUNTIF(Table1[Malın adı],Table1[[#This Row],[Malın adı]])</f>
        <v>1</v>
      </c>
    </row>
    <row r="561" spans="2:5" x14ac:dyDescent="0.3">
      <c r="B561" s="4">
        <f t="shared" si="16"/>
        <v>559</v>
      </c>
      <c r="C561" s="10" t="s">
        <v>2480</v>
      </c>
      <c r="D561" s="4" t="str">
        <f t="shared" si="17"/>
        <v>0000559</v>
      </c>
      <c r="E561" s="4">
        <f>COUNTIF(Table1[Malın adı],Table1[[#This Row],[Malın adı]])</f>
        <v>1</v>
      </c>
    </row>
    <row r="562" spans="2:5" x14ac:dyDescent="0.3">
      <c r="B562" s="4">
        <f t="shared" si="16"/>
        <v>560</v>
      </c>
      <c r="C562" s="10" t="s">
        <v>527</v>
      </c>
      <c r="D562" s="4" t="str">
        <f t="shared" si="17"/>
        <v>0000560</v>
      </c>
      <c r="E562" s="4">
        <f>COUNTIF(Table1[Malın adı],Table1[[#This Row],[Malın adı]])</f>
        <v>1</v>
      </c>
    </row>
    <row r="563" spans="2:5" x14ac:dyDescent="0.3">
      <c r="B563" s="4">
        <f t="shared" si="16"/>
        <v>561</v>
      </c>
      <c r="C563" s="10" t="s">
        <v>528</v>
      </c>
      <c r="D563" s="4" t="str">
        <f t="shared" si="17"/>
        <v>0000561</v>
      </c>
      <c r="E563" s="4">
        <f>COUNTIF(Table1[Malın adı],Table1[[#This Row],[Malın adı]])</f>
        <v>1</v>
      </c>
    </row>
    <row r="564" spans="2:5" x14ac:dyDescent="0.3">
      <c r="B564" s="4">
        <f t="shared" si="16"/>
        <v>562</v>
      </c>
      <c r="C564" s="10" t="s">
        <v>529</v>
      </c>
      <c r="D564" s="4" t="str">
        <f t="shared" si="17"/>
        <v>0000562</v>
      </c>
      <c r="E564" s="4">
        <f>COUNTIF(Table1[Malın adı],Table1[[#This Row],[Malın adı]])</f>
        <v>1</v>
      </c>
    </row>
    <row r="565" spans="2:5" x14ac:dyDescent="0.3">
      <c r="B565" s="4">
        <f t="shared" si="16"/>
        <v>563</v>
      </c>
      <c r="C565" s="10" t="s">
        <v>530</v>
      </c>
      <c r="D565" s="4" t="str">
        <f t="shared" si="17"/>
        <v>0000563</v>
      </c>
      <c r="E565" s="4">
        <f>COUNTIF(Table1[Malın adı],Table1[[#This Row],[Malın adı]])</f>
        <v>1</v>
      </c>
    </row>
    <row r="566" spans="2:5" x14ac:dyDescent="0.3">
      <c r="B566" s="4">
        <f t="shared" si="16"/>
        <v>564</v>
      </c>
      <c r="C566" s="10" t="s">
        <v>531</v>
      </c>
      <c r="D566" s="4" t="str">
        <f t="shared" si="17"/>
        <v>0000564</v>
      </c>
      <c r="E566" s="4">
        <f>COUNTIF(Table1[Malın adı],Table1[[#This Row],[Malın adı]])</f>
        <v>1</v>
      </c>
    </row>
    <row r="567" spans="2:5" x14ac:dyDescent="0.3">
      <c r="B567" s="4">
        <f t="shared" si="16"/>
        <v>565</v>
      </c>
      <c r="C567" s="10" t="s">
        <v>532</v>
      </c>
      <c r="D567" s="4" t="str">
        <f t="shared" si="17"/>
        <v>0000565</v>
      </c>
      <c r="E567" s="4">
        <f>COUNTIF(Table1[Malın adı],Table1[[#This Row],[Malın adı]])</f>
        <v>1</v>
      </c>
    </row>
    <row r="568" spans="2:5" x14ac:dyDescent="0.3">
      <c r="B568" s="4">
        <f t="shared" si="16"/>
        <v>566</v>
      </c>
      <c r="C568" s="10" t="s">
        <v>533</v>
      </c>
      <c r="D568" s="4" t="str">
        <f t="shared" si="17"/>
        <v>0000566</v>
      </c>
      <c r="E568" s="4">
        <f>COUNTIF(Table1[Malın adı],Table1[[#This Row],[Malın adı]])</f>
        <v>1</v>
      </c>
    </row>
    <row r="569" spans="2:5" x14ac:dyDescent="0.3">
      <c r="B569" s="4">
        <f t="shared" si="16"/>
        <v>567</v>
      </c>
      <c r="C569" s="10" t="s">
        <v>2481</v>
      </c>
      <c r="D569" s="4" t="str">
        <f t="shared" si="17"/>
        <v>0000567</v>
      </c>
      <c r="E569" s="4">
        <f>COUNTIF(Table1[Malın adı],Table1[[#This Row],[Malın adı]])</f>
        <v>1</v>
      </c>
    </row>
    <row r="570" spans="2:5" x14ac:dyDescent="0.3">
      <c r="B570" s="4">
        <f t="shared" si="16"/>
        <v>568</v>
      </c>
      <c r="C570" s="10" t="s">
        <v>534</v>
      </c>
      <c r="D570" s="4" t="str">
        <f t="shared" si="17"/>
        <v>0000568</v>
      </c>
      <c r="E570" s="4">
        <f>COUNTIF(Table1[Malın adı],Table1[[#This Row],[Malın adı]])</f>
        <v>1</v>
      </c>
    </row>
    <row r="571" spans="2:5" x14ac:dyDescent="0.3">
      <c r="B571" s="4">
        <f t="shared" si="16"/>
        <v>569</v>
      </c>
      <c r="C571" s="10" t="s">
        <v>535</v>
      </c>
      <c r="D571" s="4" t="str">
        <f t="shared" si="17"/>
        <v>0000569</v>
      </c>
      <c r="E571" s="4">
        <f>COUNTIF(Table1[Malın adı],Table1[[#This Row],[Malın adı]])</f>
        <v>1</v>
      </c>
    </row>
    <row r="572" spans="2:5" x14ac:dyDescent="0.3">
      <c r="B572" s="4">
        <f t="shared" si="16"/>
        <v>570</v>
      </c>
      <c r="C572" s="10" t="s">
        <v>536</v>
      </c>
      <c r="D572" s="4" t="str">
        <f t="shared" si="17"/>
        <v>0000570</v>
      </c>
      <c r="E572" s="4">
        <f>COUNTIF(Table1[Malın adı],Table1[[#This Row],[Malın adı]])</f>
        <v>1</v>
      </c>
    </row>
    <row r="573" spans="2:5" x14ac:dyDescent="0.3">
      <c r="B573" s="4">
        <f t="shared" si="16"/>
        <v>571</v>
      </c>
      <c r="C573" s="10" t="s">
        <v>537</v>
      </c>
      <c r="D573" s="4" t="str">
        <f t="shared" si="17"/>
        <v>0000571</v>
      </c>
      <c r="E573" s="4">
        <f>COUNTIF(Table1[Malın adı],Table1[[#This Row],[Malın adı]])</f>
        <v>1</v>
      </c>
    </row>
    <row r="574" spans="2:5" x14ac:dyDescent="0.3">
      <c r="B574" s="4">
        <f t="shared" si="16"/>
        <v>572</v>
      </c>
      <c r="C574" s="10" t="s">
        <v>538</v>
      </c>
      <c r="D574" s="4" t="str">
        <f t="shared" si="17"/>
        <v>0000572</v>
      </c>
      <c r="E574" s="4">
        <f>COUNTIF(Table1[Malın adı],Table1[[#This Row],[Malın adı]])</f>
        <v>1</v>
      </c>
    </row>
    <row r="575" spans="2:5" x14ac:dyDescent="0.3">
      <c r="B575" s="4">
        <f t="shared" si="16"/>
        <v>573</v>
      </c>
      <c r="C575" s="10" t="s">
        <v>539</v>
      </c>
      <c r="D575" s="4" t="str">
        <f t="shared" si="17"/>
        <v>0000573</v>
      </c>
      <c r="E575" s="4">
        <f>COUNTIF(Table1[Malın adı],Table1[[#This Row],[Malın adı]])</f>
        <v>1</v>
      </c>
    </row>
    <row r="576" spans="2:5" x14ac:dyDescent="0.3">
      <c r="B576" s="4">
        <f t="shared" si="16"/>
        <v>574</v>
      </c>
      <c r="C576" s="10" t="s">
        <v>540</v>
      </c>
      <c r="D576" s="4" t="str">
        <f t="shared" si="17"/>
        <v>0000574</v>
      </c>
      <c r="E576" s="4">
        <f>COUNTIF(Table1[Malın adı],Table1[[#This Row],[Malın adı]])</f>
        <v>1</v>
      </c>
    </row>
    <row r="577" spans="2:5" x14ac:dyDescent="0.3">
      <c r="B577" s="4">
        <f t="shared" si="16"/>
        <v>575</v>
      </c>
      <c r="C577" s="10" t="s">
        <v>541</v>
      </c>
      <c r="D577" s="4" t="str">
        <f t="shared" si="17"/>
        <v>0000575</v>
      </c>
      <c r="E577" s="4">
        <f>COUNTIF(Table1[Malın adı],Table1[[#This Row],[Malın adı]])</f>
        <v>1</v>
      </c>
    </row>
    <row r="578" spans="2:5" x14ac:dyDescent="0.3">
      <c r="B578" s="4">
        <f t="shared" si="16"/>
        <v>576</v>
      </c>
      <c r="C578" s="10" t="s">
        <v>542</v>
      </c>
      <c r="D578" s="4" t="str">
        <f t="shared" si="17"/>
        <v>0000576</v>
      </c>
      <c r="E578" s="4">
        <f>COUNTIF(Table1[Malın adı],Table1[[#This Row],[Malın adı]])</f>
        <v>1</v>
      </c>
    </row>
    <row r="579" spans="2:5" x14ac:dyDescent="0.3">
      <c r="B579" s="4">
        <f t="shared" ref="B579:B642" si="18">ROW()-2</f>
        <v>577</v>
      </c>
      <c r="C579" s="10" t="s">
        <v>543</v>
      </c>
      <c r="D579" s="4" t="str">
        <f t="shared" ref="D579:D642" si="19">TEXT(ROW()-2,"0000000")</f>
        <v>0000577</v>
      </c>
      <c r="E579" s="4">
        <f>COUNTIF(Table1[Malın adı],Table1[[#This Row],[Malın adı]])</f>
        <v>1</v>
      </c>
    </row>
    <row r="580" spans="2:5" x14ac:dyDescent="0.3">
      <c r="B580" s="4">
        <f t="shared" si="18"/>
        <v>578</v>
      </c>
      <c r="C580" s="10" t="s">
        <v>544</v>
      </c>
      <c r="D580" s="4" t="str">
        <f t="shared" si="19"/>
        <v>0000578</v>
      </c>
      <c r="E580" s="4">
        <f>COUNTIF(Table1[Malın adı],Table1[[#This Row],[Malın adı]])</f>
        <v>1</v>
      </c>
    </row>
    <row r="581" spans="2:5" x14ac:dyDescent="0.3">
      <c r="B581" s="4">
        <f t="shared" si="18"/>
        <v>579</v>
      </c>
      <c r="C581" s="10" t="s">
        <v>545</v>
      </c>
      <c r="D581" s="4" t="str">
        <f t="shared" si="19"/>
        <v>0000579</v>
      </c>
      <c r="E581" s="4">
        <f>COUNTIF(Table1[Malın adı],Table1[[#This Row],[Malın adı]])</f>
        <v>1</v>
      </c>
    </row>
    <row r="582" spans="2:5" x14ac:dyDescent="0.3">
      <c r="B582" s="4">
        <f t="shared" si="18"/>
        <v>580</v>
      </c>
      <c r="C582" s="10" t="s">
        <v>546</v>
      </c>
      <c r="D582" s="4" t="str">
        <f t="shared" si="19"/>
        <v>0000580</v>
      </c>
      <c r="E582" s="4">
        <f>COUNTIF(Table1[Malın adı],Table1[[#This Row],[Malın adı]])</f>
        <v>1</v>
      </c>
    </row>
    <row r="583" spans="2:5" x14ac:dyDescent="0.3">
      <c r="B583" s="4">
        <f t="shared" si="18"/>
        <v>581</v>
      </c>
      <c r="C583" s="10" t="s">
        <v>547</v>
      </c>
      <c r="D583" s="4" t="str">
        <f t="shared" si="19"/>
        <v>0000581</v>
      </c>
      <c r="E583" s="4">
        <f>COUNTIF(Table1[Malın adı],Table1[[#This Row],[Malın adı]])</f>
        <v>1</v>
      </c>
    </row>
    <row r="584" spans="2:5" x14ac:dyDescent="0.3">
      <c r="B584" s="4">
        <f t="shared" si="18"/>
        <v>582</v>
      </c>
      <c r="C584" s="10" t="s">
        <v>548</v>
      </c>
      <c r="D584" s="4" t="str">
        <f t="shared" si="19"/>
        <v>0000582</v>
      </c>
      <c r="E584" s="4">
        <f>COUNTIF(Table1[Malın adı],Table1[[#This Row],[Malın adı]])</f>
        <v>1</v>
      </c>
    </row>
    <row r="585" spans="2:5" x14ac:dyDescent="0.3">
      <c r="B585" s="4">
        <f t="shared" si="18"/>
        <v>583</v>
      </c>
      <c r="C585" s="10" t="s">
        <v>549</v>
      </c>
      <c r="D585" s="4" t="str">
        <f t="shared" si="19"/>
        <v>0000583</v>
      </c>
      <c r="E585" s="4">
        <f>COUNTIF(Table1[Malın adı],Table1[[#This Row],[Malın adı]])</f>
        <v>1</v>
      </c>
    </row>
    <row r="586" spans="2:5" x14ac:dyDescent="0.3">
      <c r="B586" s="4">
        <f t="shared" si="18"/>
        <v>584</v>
      </c>
      <c r="C586" s="10" t="s">
        <v>550</v>
      </c>
      <c r="D586" s="4" t="str">
        <f t="shared" si="19"/>
        <v>0000584</v>
      </c>
      <c r="E586" s="4">
        <f>COUNTIF(Table1[Malın adı],Table1[[#This Row],[Malın adı]])</f>
        <v>1</v>
      </c>
    </row>
    <row r="587" spans="2:5" x14ac:dyDescent="0.3">
      <c r="B587" s="4">
        <f t="shared" si="18"/>
        <v>585</v>
      </c>
      <c r="C587" s="10" t="s">
        <v>551</v>
      </c>
      <c r="D587" s="4" t="str">
        <f t="shared" si="19"/>
        <v>0000585</v>
      </c>
      <c r="E587" s="4">
        <f>COUNTIF(Table1[Malın adı],Table1[[#This Row],[Malın adı]])</f>
        <v>1</v>
      </c>
    </row>
    <row r="588" spans="2:5" x14ac:dyDescent="0.3">
      <c r="B588" s="4">
        <f t="shared" si="18"/>
        <v>586</v>
      </c>
      <c r="C588" s="10" t="s">
        <v>552</v>
      </c>
      <c r="D588" s="4" t="str">
        <f t="shared" si="19"/>
        <v>0000586</v>
      </c>
      <c r="E588" s="4">
        <f>COUNTIF(Table1[Malın adı],Table1[[#This Row],[Malın adı]])</f>
        <v>1</v>
      </c>
    </row>
    <row r="589" spans="2:5" x14ac:dyDescent="0.3">
      <c r="B589" s="4">
        <f t="shared" si="18"/>
        <v>587</v>
      </c>
      <c r="C589" s="10" t="s">
        <v>553</v>
      </c>
      <c r="D589" s="4" t="str">
        <f t="shared" si="19"/>
        <v>0000587</v>
      </c>
      <c r="E589" s="4">
        <f>COUNTIF(Table1[Malın adı],Table1[[#This Row],[Malın adı]])</f>
        <v>1</v>
      </c>
    </row>
    <row r="590" spans="2:5" x14ac:dyDescent="0.3">
      <c r="B590" s="4">
        <f t="shared" si="18"/>
        <v>588</v>
      </c>
      <c r="C590" s="10" t="s">
        <v>554</v>
      </c>
      <c r="D590" s="4" t="str">
        <f t="shared" si="19"/>
        <v>0000588</v>
      </c>
      <c r="E590" s="4">
        <f>COUNTIF(Table1[Malın adı],Table1[[#This Row],[Malın adı]])</f>
        <v>1</v>
      </c>
    </row>
    <row r="591" spans="2:5" x14ac:dyDescent="0.3">
      <c r="B591" s="4">
        <f t="shared" si="18"/>
        <v>589</v>
      </c>
      <c r="C591" s="10" t="s">
        <v>555</v>
      </c>
      <c r="D591" s="4" t="str">
        <f t="shared" si="19"/>
        <v>0000589</v>
      </c>
      <c r="E591" s="4">
        <f>COUNTIF(Table1[Malın adı],Table1[[#This Row],[Malın adı]])</f>
        <v>1</v>
      </c>
    </row>
    <row r="592" spans="2:5" x14ac:dyDescent="0.3">
      <c r="B592" s="4">
        <f t="shared" si="18"/>
        <v>590</v>
      </c>
      <c r="C592" s="10" t="s">
        <v>2482</v>
      </c>
      <c r="D592" s="4" t="str">
        <f t="shared" si="19"/>
        <v>0000590</v>
      </c>
      <c r="E592" s="4">
        <f>COUNTIF(Table1[Malın adı],Table1[[#This Row],[Malın adı]])</f>
        <v>1</v>
      </c>
    </row>
    <row r="593" spans="2:5" x14ac:dyDescent="0.3">
      <c r="B593" s="4">
        <f t="shared" si="18"/>
        <v>591</v>
      </c>
      <c r="C593" s="10" t="s">
        <v>556</v>
      </c>
      <c r="D593" s="4" t="str">
        <f t="shared" si="19"/>
        <v>0000591</v>
      </c>
      <c r="E593" s="4">
        <f>COUNTIF(Table1[Malın adı],Table1[[#This Row],[Malın adı]])</f>
        <v>1</v>
      </c>
    </row>
    <row r="594" spans="2:5" x14ac:dyDescent="0.3">
      <c r="B594" s="4">
        <f t="shared" si="18"/>
        <v>592</v>
      </c>
      <c r="C594" s="10" t="s">
        <v>557</v>
      </c>
      <c r="D594" s="4" t="str">
        <f t="shared" si="19"/>
        <v>0000592</v>
      </c>
      <c r="E594" s="4">
        <f>COUNTIF(Table1[Malın adı],Table1[[#This Row],[Malın adı]])</f>
        <v>1</v>
      </c>
    </row>
    <row r="595" spans="2:5" x14ac:dyDescent="0.3">
      <c r="B595" s="4">
        <f t="shared" si="18"/>
        <v>593</v>
      </c>
      <c r="C595" s="10" t="s">
        <v>558</v>
      </c>
      <c r="D595" s="4" t="str">
        <f t="shared" si="19"/>
        <v>0000593</v>
      </c>
      <c r="E595" s="4">
        <f>COUNTIF(Table1[Malın adı],Table1[[#This Row],[Malın adı]])</f>
        <v>1</v>
      </c>
    </row>
    <row r="596" spans="2:5" x14ac:dyDescent="0.3">
      <c r="B596" s="4">
        <f t="shared" si="18"/>
        <v>594</v>
      </c>
      <c r="C596" s="10" t="s">
        <v>559</v>
      </c>
      <c r="D596" s="4" t="str">
        <f t="shared" si="19"/>
        <v>0000594</v>
      </c>
      <c r="E596" s="4">
        <f>COUNTIF(Table1[Malın adı],Table1[[#This Row],[Malın adı]])</f>
        <v>1</v>
      </c>
    </row>
    <row r="597" spans="2:5" x14ac:dyDescent="0.3">
      <c r="B597" s="4">
        <f t="shared" si="18"/>
        <v>595</v>
      </c>
      <c r="C597" s="10" t="s">
        <v>560</v>
      </c>
      <c r="D597" s="4" t="str">
        <f t="shared" si="19"/>
        <v>0000595</v>
      </c>
      <c r="E597" s="4">
        <f>COUNTIF(Table1[Malın adı],Table1[[#This Row],[Malın adı]])</f>
        <v>1</v>
      </c>
    </row>
    <row r="598" spans="2:5" x14ac:dyDescent="0.3">
      <c r="B598" s="4">
        <f t="shared" si="18"/>
        <v>596</v>
      </c>
      <c r="C598" s="10" t="s">
        <v>561</v>
      </c>
      <c r="D598" s="4" t="str">
        <f t="shared" si="19"/>
        <v>0000596</v>
      </c>
      <c r="E598" s="4">
        <f>COUNTIF(Table1[Malın adı],Table1[[#This Row],[Malın adı]])</f>
        <v>1</v>
      </c>
    </row>
    <row r="599" spans="2:5" x14ac:dyDescent="0.3">
      <c r="B599" s="4">
        <f t="shared" si="18"/>
        <v>597</v>
      </c>
      <c r="C599" s="10" t="s">
        <v>562</v>
      </c>
      <c r="D599" s="4" t="str">
        <f t="shared" si="19"/>
        <v>0000597</v>
      </c>
      <c r="E599" s="4">
        <f>COUNTIF(Table1[Malın adı],Table1[[#This Row],[Malın adı]])</f>
        <v>1</v>
      </c>
    </row>
    <row r="600" spans="2:5" x14ac:dyDescent="0.3">
      <c r="B600" s="4">
        <f t="shared" si="18"/>
        <v>598</v>
      </c>
      <c r="C600" s="10" t="s">
        <v>563</v>
      </c>
      <c r="D600" s="4" t="str">
        <f t="shared" si="19"/>
        <v>0000598</v>
      </c>
      <c r="E600" s="4">
        <f>COUNTIF(Table1[Malın adı],Table1[[#This Row],[Malın adı]])</f>
        <v>1</v>
      </c>
    </row>
    <row r="601" spans="2:5" x14ac:dyDescent="0.3">
      <c r="B601" s="4">
        <f t="shared" si="18"/>
        <v>599</v>
      </c>
      <c r="C601" s="10" t="s">
        <v>564</v>
      </c>
      <c r="D601" s="4" t="str">
        <f t="shared" si="19"/>
        <v>0000599</v>
      </c>
      <c r="E601" s="4">
        <f>COUNTIF(Table1[Malın adı],Table1[[#This Row],[Malın adı]])</f>
        <v>1</v>
      </c>
    </row>
    <row r="602" spans="2:5" x14ac:dyDescent="0.3">
      <c r="B602" s="4">
        <f t="shared" si="18"/>
        <v>600</v>
      </c>
      <c r="C602" s="10" t="s">
        <v>565</v>
      </c>
      <c r="D602" s="4" t="str">
        <f t="shared" si="19"/>
        <v>0000600</v>
      </c>
      <c r="E602" s="4">
        <f>COUNTIF(Table1[Malın adı],Table1[[#This Row],[Malın adı]])</f>
        <v>1</v>
      </c>
    </row>
    <row r="603" spans="2:5" x14ac:dyDescent="0.3">
      <c r="B603" s="4">
        <f t="shared" si="18"/>
        <v>601</v>
      </c>
      <c r="C603" s="10" t="s">
        <v>566</v>
      </c>
      <c r="D603" s="4" t="str">
        <f t="shared" si="19"/>
        <v>0000601</v>
      </c>
      <c r="E603" s="4">
        <f>COUNTIF(Table1[Malın adı],Table1[[#This Row],[Malın adı]])</f>
        <v>1</v>
      </c>
    </row>
    <row r="604" spans="2:5" x14ac:dyDescent="0.3">
      <c r="B604" s="4">
        <f t="shared" si="18"/>
        <v>602</v>
      </c>
      <c r="C604" s="10" t="s">
        <v>567</v>
      </c>
      <c r="D604" s="4" t="str">
        <f t="shared" si="19"/>
        <v>0000602</v>
      </c>
      <c r="E604" s="4">
        <f>COUNTIF(Table1[Malın adı],Table1[[#This Row],[Malın adı]])</f>
        <v>1</v>
      </c>
    </row>
    <row r="605" spans="2:5" x14ac:dyDescent="0.3">
      <c r="B605" s="4">
        <f t="shared" si="18"/>
        <v>603</v>
      </c>
      <c r="C605" s="10" t="s">
        <v>568</v>
      </c>
      <c r="D605" s="4" t="str">
        <f t="shared" si="19"/>
        <v>0000603</v>
      </c>
      <c r="E605" s="4">
        <f>COUNTIF(Table1[Malın adı],Table1[[#This Row],[Malın adı]])</f>
        <v>1</v>
      </c>
    </row>
    <row r="606" spans="2:5" x14ac:dyDescent="0.3">
      <c r="B606" s="4">
        <f t="shared" si="18"/>
        <v>604</v>
      </c>
      <c r="C606" s="10" t="s">
        <v>569</v>
      </c>
      <c r="D606" s="4" t="str">
        <f t="shared" si="19"/>
        <v>0000604</v>
      </c>
      <c r="E606" s="4">
        <f>COUNTIF(Table1[Malın adı],Table1[[#This Row],[Malın adı]])</f>
        <v>1</v>
      </c>
    </row>
    <row r="607" spans="2:5" x14ac:dyDescent="0.3">
      <c r="B607" s="4">
        <f t="shared" si="18"/>
        <v>605</v>
      </c>
      <c r="C607" s="10" t="s">
        <v>570</v>
      </c>
      <c r="D607" s="4" t="str">
        <f t="shared" si="19"/>
        <v>0000605</v>
      </c>
      <c r="E607" s="4">
        <f>COUNTIF(Table1[Malın adı],Table1[[#This Row],[Malın adı]])</f>
        <v>1</v>
      </c>
    </row>
    <row r="608" spans="2:5" x14ac:dyDescent="0.3">
      <c r="B608" s="4">
        <f t="shared" si="18"/>
        <v>606</v>
      </c>
      <c r="C608" s="10" t="s">
        <v>571</v>
      </c>
      <c r="D608" s="4" t="str">
        <f t="shared" si="19"/>
        <v>0000606</v>
      </c>
      <c r="E608" s="4">
        <f>COUNTIF(Table1[Malın adı],Table1[[#This Row],[Malın adı]])</f>
        <v>1</v>
      </c>
    </row>
    <row r="609" spans="2:5" x14ac:dyDescent="0.3">
      <c r="B609" s="4">
        <f t="shared" si="18"/>
        <v>607</v>
      </c>
      <c r="C609" s="10" t="s">
        <v>572</v>
      </c>
      <c r="D609" s="4" t="str">
        <f t="shared" si="19"/>
        <v>0000607</v>
      </c>
      <c r="E609" s="4">
        <f>COUNTIF(Table1[Malın adı],Table1[[#This Row],[Malın adı]])</f>
        <v>1</v>
      </c>
    </row>
    <row r="610" spans="2:5" x14ac:dyDescent="0.3">
      <c r="B610" s="4">
        <f t="shared" si="18"/>
        <v>608</v>
      </c>
      <c r="C610" s="10" t="s">
        <v>573</v>
      </c>
      <c r="D610" s="4" t="str">
        <f t="shared" si="19"/>
        <v>0000608</v>
      </c>
      <c r="E610" s="4">
        <f>COUNTIF(Table1[Malın adı],Table1[[#This Row],[Malın adı]])</f>
        <v>1</v>
      </c>
    </row>
    <row r="611" spans="2:5" x14ac:dyDescent="0.3">
      <c r="B611" s="4">
        <f t="shared" si="18"/>
        <v>609</v>
      </c>
      <c r="C611" s="10" t="s">
        <v>574</v>
      </c>
      <c r="D611" s="4" t="str">
        <f t="shared" si="19"/>
        <v>0000609</v>
      </c>
      <c r="E611" s="4">
        <f>COUNTIF(Table1[Malın adı],Table1[[#This Row],[Malın adı]])</f>
        <v>1</v>
      </c>
    </row>
    <row r="612" spans="2:5" x14ac:dyDescent="0.3">
      <c r="B612" s="4">
        <f t="shared" si="18"/>
        <v>610</v>
      </c>
      <c r="C612" s="10" t="s">
        <v>575</v>
      </c>
      <c r="D612" s="4" t="str">
        <f t="shared" si="19"/>
        <v>0000610</v>
      </c>
      <c r="E612" s="4">
        <f>COUNTIF(Table1[Malın adı],Table1[[#This Row],[Malın adı]])</f>
        <v>1</v>
      </c>
    </row>
    <row r="613" spans="2:5" x14ac:dyDescent="0.3">
      <c r="B613" s="4">
        <f t="shared" si="18"/>
        <v>611</v>
      </c>
      <c r="C613" s="10" t="s">
        <v>576</v>
      </c>
      <c r="D613" s="4" t="str">
        <f t="shared" si="19"/>
        <v>0000611</v>
      </c>
      <c r="E613" s="4">
        <f>COUNTIF(Table1[Malın adı],Table1[[#This Row],[Malın adı]])</f>
        <v>1</v>
      </c>
    </row>
    <row r="614" spans="2:5" x14ac:dyDescent="0.3">
      <c r="B614" s="4">
        <f t="shared" si="18"/>
        <v>612</v>
      </c>
      <c r="C614" s="10" t="s">
        <v>577</v>
      </c>
      <c r="D614" s="4" t="str">
        <f t="shared" si="19"/>
        <v>0000612</v>
      </c>
      <c r="E614" s="4">
        <f>COUNTIF(Table1[Malın adı],Table1[[#This Row],[Malın adı]])</f>
        <v>1</v>
      </c>
    </row>
    <row r="615" spans="2:5" x14ac:dyDescent="0.3">
      <c r="B615" s="4">
        <f t="shared" si="18"/>
        <v>613</v>
      </c>
      <c r="C615" s="10" t="s">
        <v>578</v>
      </c>
      <c r="D615" s="4" t="str">
        <f t="shared" si="19"/>
        <v>0000613</v>
      </c>
      <c r="E615" s="4">
        <f>COUNTIF(Table1[Malın adı],Table1[[#This Row],[Malın adı]])</f>
        <v>1</v>
      </c>
    </row>
    <row r="616" spans="2:5" x14ac:dyDescent="0.3">
      <c r="B616" s="4">
        <f t="shared" si="18"/>
        <v>614</v>
      </c>
      <c r="C616" s="10" t="s">
        <v>579</v>
      </c>
      <c r="D616" s="4" t="str">
        <f t="shared" si="19"/>
        <v>0000614</v>
      </c>
      <c r="E616" s="4">
        <f>COUNTIF(Table1[Malın adı],Table1[[#This Row],[Malın adı]])</f>
        <v>1</v>
      </c>
    </row>
    <row r="617" spans="2:5" x14ac:dyDescent="0.3">
      <c r="B617" s="4">
        <f t="shared" si="18"/>
        <v>615</v>
      </c>
      <c r="C617" s="10" t="s">
        <v>580</v>
      </c>
      <c r="D617" s="4" t="str">
        <f t="shared" si="19"/>
        <v>0000615</v>
      </c>
      <c r="E617" s="4">
        <f>COUNTIF(Table1[Malın adı],Table1[[#This Row],[Malın adı]])</f>
        <v>1</v>
      </c>
    </row>
    <row r="618" spans="2:5" x14ac:dyDescent="0.3">
      <c r="B618" s="4">
        <f t="shared" si="18"/>
        <v>616</v>
      </c>
      <c r="C618" s="10" t="s">
        <v>581</v>
      </c>
      <c r="D618" s="4" t="str">
        <f t="shared" si="19"/>
        <v>0000616</v>
      </c>
      <c r="E618" s="4">
        <f>COUNTIF(Table1[Malın adı],Table1[[#This Row],[Malın adı]])</f>
        <v>1</v>
      </c>
    </row>
    <row r="619" spans="2:5" x14ac:dyDescent="0.3">
      <c r="B619" s="4">
        <f t="shared" si="18"/>
        <v>617</v>
      </c>
      <c r="C619" s="10" t="s">
        <v>582</v>
      </c>
      <c r="D619" s="4" t="str">
        <f t="shared" si="19"/>
        <v>0000617</v>
      </c>
      <c r="E619" s="4">
        <f>COUNTIF(Table1[Malın adı],Table1[[#This Row],[Malın adı]])</f>
        <v>1</v>
      </c>
    </row>
    <row r="620" spans="2:5" x14ac:dyDescent="0.3">
      <c r="B620" s="4">
        <f t="shared" si="18"/>
        <v>618</v>
      </c>
      <c r="C620" s="10" t="s">
        <v>583</v>
      </c>
      <c r="D620" s="4" t="str">
        <f t="shared" si="19"/>
        <v>0000618</v>
      </c>
      <c r="E620" s="4">
        <f>COUNTIF(Table1[Malın adı],Table1[[#This Row],[Malın adı]])</f>
        <v>1</v>
      </c>
    </row>
    <row r="621" spans="2:5" x14ac:dyDescent="0.3">
      <c r="B621" s="4">
        <f t="shared" si="18"/>
        <v>619</v>
      </c>
      <c r="C621" s="10" t="s">
        <v>584</v>
      </c>
      <c r="D621" s="4" t="str">
        <f t="shared" si="19"/>
        <v>0000619</v>
      </c>
      <c r="E621" s="4">
        <f>COUNTIF(Table1[Malın adı],Table1[[#This Row],[Malın adı]])</f>
        <v>1</v>
      </c>
    </row>
    <row r="622" spans="2:5" x14ac:dyDescent="0.3">
      <c r="B622" s="4">
        <f t="shared" si="18"/>
        <v>620</v>
      </c>
      <c r="C622" s="10" t="s">
        <v>585</v>
      </c>
      <c r="D622" s="4" t="str">
        <f t="shared" si="19"/>
        <v>0000620</v>
      </c>
      <c r="E622" s="4">
        <f>COUNTIF(Table1[Malın adı],Table1[[#This Row],[Malın adı]])</f>
        <v>1</v>
      </c>
    </row>
    <row r="623" spans="2:5" x14ac:dyDescent="0.3">
      <c r="B623" s="4">
        <f t="shared" si="18"/>
        <v>621</v>
      </c>
      <c r="C623" s="10" t="s">
        <v>586</v>
      </c>
      <c r="D623" s="4" t="str">
        <f t="shared" si="19"/>
        <v>0000621</v>
      </c>
      <c r="E623" s="4">
        <f>COUNTIF(Table1[Malın adı],Table1[[#This Row],[Malın adı]])</f>
        <v>1</v>
      </c>
    </row>
    <row r="624" spans="2:5" x14ac:dyDescent="0.3">
      <c r="B624" s="4">
        <f t="shared" si="18"/>
        <v>622</v>
      </c>
      <c r="C624" s="10" t="s">
        <v>587</v>
      </c>
      <c r="D624" s="4" t="str">
        <f t="shared" si="19"/>
        <v>0000622</v>
      </c>
      <c r="E624" s="4">
        <f>COUNTIF(Table1[Malın adı],Table1[[#This Row],[Malın adı]])</f>
        <v>1</v>
      </c>
    </row>
    <row r="625" spans="2:5" x14ac:dyDescent="0.3">
      <c r="B625" s="4">
        <f t="shared" si="18"/>
        <v>623</v>
      </c>
      <c r="C625" s="10" t="s">
        <v>588</v>
      </c>
      <c r="D625" s="4" t="str">
        <f t="shared" si="19"/>
        <v>0000623</v>
      </c>
      <c r="E625" s="4">
        <f>COUNTIF(Table1[Malın adı],Table1[[#This Row],[Malın adı]])</f>
        <v>1</v>
      </c>
    </row>
    <row r="626" spans="2:5" x14ac:dyDescent="0.3">
      <c r="B626" s="4">
        <f t="shared" si="18"/>
        <v>624</v>
      </c>
      <c r="C626" s="10" t="s">
        <v>589</v>
      </c>
      <c r="D626" s="4" t="str">
        <f t="shared" si="19"/>
        <v>0000624</v>
      </c>
      <c r="E626" s="4">
        <f>COUNTIF(Table1[Malın adı],Table1[[#This Row],[Malın adı]])</f>
        <v>1</v>
      </c>
    </row>
    <row r="627" spans="2:5" x14ac:dyDescent="0.3">
      <c r="B627" s="4">
        <f t="shared" si="18"/>
        <v>625</v>
      </c>
      <c r="C627" s="10" t="s">
        <v>590</v>
      </c>
      <c r="D627" s="4" t="str">
        <f t="shared" si="19"/>
        <v>0000625</v>
      </c>
      <c r="E627" s="4">
        <f>COUNTIF(Table1[Malın adı],Table1[[#This Row],[Malın adı]])</f>
        <v>1</v>
      </c>
    </row>
    <row r="628" spans="2:5" x14ac:dyDescent="0.3">
      <c r="B628" s="4">
        <f t="shared" si="18"/>
        <v>626</v>
      </c>
      <c r="C628" s="10" t="s">
        <v>591</v>
      </c>
      <c r="D628" s="4" t="str">
        <f t="shared" si="19"/>
        <v>0000626</v>
      </c>
      <c r="E628" s="4">
        <f>COUNTIF(Table1[Malın adı],Table1[[#This Row],[Malın adı]])</f>
        <v>1</v>
      </c>
    </row>
    <row r="629" spans="2:5" x14ac:dyDescent="0.3">
      <c r="B629" s="4">
        <f t="shared" si="18"/>
        <v>627</v>
      </c>
      <c r="C629" s="10" t="s">
        <v>592</v>
      </c>
      <c r="D629" s="4" t="str">
        <f t="shared" si="19"/>
        <v>0000627</v>
      </c>
      <c r="E629" s="4">
        <f>COUNTIF(Table1[Malın adı],Table1[[#This Row],[Malın adı]])</f>
        <v>1</v>
      </c>
    </row>
    <row r="630" spans="2:5" x14ac:dyDescent="0.3">
      <c r="B630" s="4">
        <f t="shared" si="18"/>
        <v>628</v>
      </c>
      <c r="C630" s="10" t="s">
        <v>593</v>
      </c>
      <c r="D630" s="4" t="str">
        <f t="shared" si="19"/>
        <v>0000628</v>
      </c>
      <c r="E630" s="4">
        <f>COUNTIF(Table1[Malın adı],Table1[[#This Row],[Malın adı]])</f>
        <v>1</v>
      </c>
    </row>
    <row r="631" spans="2:5" x14ac:dyDescent="0.3">
      <c r="B631" s="4">
        <f t="shared" si="18"/>
        <v>629</v>
      </c>
      <c r="C631" s="10" t="s">
        <v>594</v>
      </c>
      <c r="D631" s="4" t="str">
        <f t="shared" si="19"/>
        <v>0000629</v>
      </c>
      <c r="E631" s="4">
        <f>COUNTIF(Table1[Malın adı],Table1[[#This Row],[Malın adı]])</f>
        <v>1</v>
      </c>
    </row>
    <row r="632" spans="2:5" x14ac:dyDescent="0.3">
      <c r="B632" s="4">
        <f t="shared" si="18"/>
        <v>630</v>
      </c>
      <c r="C632" s="10" t="s">
        <v>595</v>
      </c>
      <c r="D632" s="4" t="str">
        <f t="shared" si="19"/>
        <v>0000630</v>
      </c>
      <c r="E632" s="4">
        <f>COUNTIF(Table1[Malın adı],Table1[[#This Row],[Malın adı]])</f>
        <v>1</v>
      </c>
    </row>
    <row r="633" spans="2:5" x14ac:dyDescent="0.3">
      <c r="B633" s="4">
        <f t="shared" si="18"/>
        <v>631</v>
      </c>
      <c r="C633" s="10" t="s">
        <v>596</v>
      </c>
      <c r="D633" s="4" t="str">
        <f t="shared" si="19"/>
        <v>0000631</v>
      </c>
      <c r="E633" s="4">
        <f>COUNTIF(Table1[Malın adı],Table1[[#This Row],[Malın adı]])</f>
        <v>1</v>
      </c>
    </row>
    <row r="634" spans="2:5" x14ac:dyDescent="0.3">
      <c r="B634" s="4">
        <f t="shared" si="18"/>
        <v>632</v>
      </c>
      <c r="C634" s="10" t="s">
        <v>597</v>
      </c>
      <c r="D634" s="4" t="str">
        <f t="shared" si="19"/>
        <v>0000632</v>
      </c>
      <c r="E634" s="4">
        <f>COUNTIF(Table1[Malın adı],Table1[[#This Row],[Malın adı]])</f>
        <v>1</v>
      </c>
    </row>
    <row r="635" spans="2:5" x14ac:dyDescent="0.3">
      <c r="B635" s="4">
        <f t="shared" si="18"/>
        <v>633</v>
      </c>
      <c r="C635" s="10" t="s">
        <v>598</v>
      </c>
      <c r="D635" s="4" t="str">
        <f t="shared" si="19"/>
        <v>0000633</v>
      </c>
      <c r="E635" s="4">
        <f>COUNTIF(Table1[Malın adı],Table1[[#This Row],[Malın adı]])</f>
        <v>1</v>
      </c>
    </row>
    <row r="636" spans="2:5" x14ac:dyDescent="0.3">
      <c r="B636" s="4">
        <f t="shared" si="18"/>
        <v>634</v>
      </c>
      <c r="C636" s="10" t="s">
        <v>599</v>
      </c>
      <c r="D636" s="4" t="str">
        <f t="shared" si="19"/>
        <v>0000634</v>
      </c>
      <c r="E636" s="4">
        <f>COUNTIF(Table1[Malın adı],Table1[[#This Row],[Malın adı]])</f>
        <v>1</v>
      </c>
    </row>
    <row r="637" spans="2:5" x14ac:dyDescent="0.3">
      <c r="B637" s="4">
        <f t="shared" si="18"/>
        <v>635</v>
      </c>
      <c r="C637" s="10" t="s">
        <v>600</v>
      </c>
      <c r="D637" s="4" t="str">
        <f t="shared" si="19"/>
        <v>0000635</v>
      </c>
      <c r="E637" s="4">
        <f>COUNTIF(Table1[Malın adı],Table1[[#This Row],[Malın adı]])</f>
        <v>1</v>
      </c>
    </row>
    <row r="638" spans="2:5" x14ac:dyDescent="0.3">
      <c r="B638" s="4">
        <f t="shared" si="18"/>
        <v>636</v>
      </c>
      <c r="C638" s="10" t="s">
        <v>601</v>
      </c>
      <c r="D638" s="4" t="str">
        <f t="shared" si="19"/>
        <v>0000636</v>
      </c>
      <c r="E638" s="4">
        <f>COUNTIF(Table1[Malın adı],Table1[[#This Row],[Malın adı]])</f>
        <v>1</v>
      </c>
    </row>
    <row r="639" spans="2:5" x14ac:dyDescent="0.3">
      <c r="B639" s="4">
        <f t="shared" si="18"/>
        <v>637</v>
      </c>
      <c r="C639" s="10" t="s">
        <v>602</v>
      </c>
      <c r="D639" s="4" t="str">
        <f t="shared" si="19"/>
        <v>0000637</v>
      </c>
      <c r="E639" s="4">
        <f>COUNTIF(Table1[Malın adı],Table1[[#This Row],[Malın adı]])</f>
        <v>1</v>
      </c>
    </row>
    <row r="640" spans="2:5" x14ac:dyDescent="0.3">
      <c r="B640" s="4">
        <f t="shared" si="18"/>
        <v>638</v>
      </c>
      <c r="C640" s="10" t="s">
        <v>603</v>
      </c>
      <c r="D640" s="4" t="str">
        <f t="shared" si="19"/>
        <v>0000638</v>
      </c>
      <c r="E640" s="4">
        <f>COUNTIF(Table1[Malın adı],Table1[[#This Row],[Malın adı]])</f>
        <v>1</v>
      </c>
    </row>
    <row r="641" spans="2:5" x14ac:dyDescent="0.3">
      <c r="B641" s="4">
        <f t="shared" si="18"/>
        <v>639</v>
      </c>
      <c r="C641" s="10" t="s">
        <v>604</v>
      </c>
      <c r="D641" s="4" t="str">
        <f t="shared" si="19"/>
        <v>0000639</v>
      </c>
      <c r="E641" s="4">
        <f>COUNTIF(Table1[Malın adı],Table1[[#This Row],[Malın adı]])</f>
        <v>1</v>
      </c>
    </row>
    <row r="642" spans="2:5" x14ac:dyDescent="0.3">
      <c r="B642" s="4">
        <f t="shared" si="18"/>
        <v>640</v>
      </c>
      <c r="C642" s="10" t="s">
        <v>605</v>
      </c>
      <c r="D642" s="4" t="str">
        <f t="shared" si="19"/>
        <v>0000640</v>
      </c>
      <c r="E642" s="4">
        <f>COUNTIF(Table1[Malın adı],Table1[[#This Row],[Malın adı]])</f>
        <v>1</v>
      </c>
    </row>
    <row r="643" spans="2:5" x14ac:dyDescent="0.3">
      <c r="B643" s="4">
        <f t="shared" ref="B643:B706" si="20">ROW()-2</f>
        <v>641</v>
      </c>
      <c r="C643" s="10" t="s">
        <v>606</v>
      </c>
      <c r="D643" s="4" t="str">
        <f t="shared" ref="D643:D706" si="21">TEXT(ROW()-2,"0000000")</f>
        <v>0000641</v>
      </c>
      <c r="E643" s="4">
        <f>COUNTIF(Table1[Malın adı],Table1[[#This Row],[Malın adı]])</f>
        <v>1</v>
      </c>
    </row>
    <row r="644" spans="2:5" x14ac:dyDescent="0.3">
      <c r="B644" s="4">
        <f t="shared" si="20"/>
        <v>642</v>
      </c>
      <c r="C644" s="10" t="s">
        <v>607</v>
      </c>
      <c r="D644" s="4" t="str">
        <f t="shared" si="21"/>
        <v>0000642</v>
      </c>
      <c r="E644" s="4">
        <f>COUNTIF(Table1[Malın adı],Table1[[#This Row],[Malın adı]])</f>
        <v>1</v>
      </c>
    </row>
    <row r="645" spans="2:5" x14ac:dyDescent="0.3">
      <c r="B645" s="4">
        <f t="shared" si="20"/>
        <v>643</v>
      </c>
      <c r="C645" s="10" t="s">
        <v>2483</v>
      </c>
      <c r="D645" s="4" t="str">
        <f t="shared" si="21"/>
        <v>0000643</v>
      </c>
      <c r="E645" s="4">
        <f>COUNTIF(Table1[Malın adı],Table1[[#This Row],[Malın adı]])</f>
        <v>1</v>
      </c>
    </row>
    <row r="646" spans="2:5" x14ac:dyDescent="0.3">
      <c r="B646" s="4">
        <f t="shared" si="20"/>
        <v>644</v>
      </c>
      <c r="C646" s="10" t="s">
        <v>608</v>
      </c>
      <c r="D646" s="4" t="str">
        <f t="shared" si="21"/>
        <v>0000644</v>
      </c>
      <c r="E646" s="4">
        <f>COUNTIF(Table1[Malın adı],Table1[[#This Row],[Malın adı]])</f>
        <v>1</v>
      </c>
    </row>
    <row r="647" spans="2:5" x14ac:dyDescent="0.3">
      <c r="B647" s="4">
        <f t="shared" si="20"/>
        <v>645</v>
      </c>
      <c r="C647" s="10" t="s">
        <v>609</v>
      </c>
      <c r="D647" s="4" t="str">
        <f t="shared" si="21"/>
        <v>0000645</v>
      </c>
      <c r="E647" s="4">
        <f>COUNTIF(Table1[Malın adı],Table1[[#This Row],[Malın adı]])</f>
        <v>1</v>
      </c>
    </row>
    <row r="648" spans="2:5" x14ac:dyDescent="0.3">
      <c r="B648" s="4">
        <f t="shared" si="20"/>
        <v>646</v>
      </c>
      <c r="C648" s="10" t="s">
        <v>610</v>
      </c>
      <c r="D648" s="4" t="str">
        <f t="shared" si="21"/>
        <v>0000646</v>
      </c>
      <c r="E648" s="4">
        <f>COUNTIF(Table1[Malın adı],Table1[[#This Row],[Malın adı]])</f>
        <v>1</v>
      </c>
    </row>
    <row r="649" spans="2:5" x14ac:dyDescent="0.3">
      <c r="B649" s="4">
        <f t="shared" si="20"/>
        <v>647</v>
      </c>
      <c r="C649" s="10" t="s">
        <v>611</v>
      </c>
      <c r="D649" s="4" t="str">
        <f t="shared" si="21"/>
        <v>0000647</v>
      </c>
      <c r="E649" s="4">
        <f>COUNTIF(Table1[Malın adı],Table1[[#This Row],[Malın adı]])</f>
        <v>1</v>
      </c>
    </row>
    <row r="650" spans="2:5" x14ac:dyDescent="0.3">
      <c r="B650" s="4">
        <f t="shared" si="20"/>
        <v>648</v>
      </c>
      <c r="C650" s="10" t="s">
        <v>612</v>
      </c>
      <c r="D650" s="4" t="str">
        <f t="shared" si="21"/>
        <v>0000648</v>
      </c>
      <c r="E650" s="4">
        <f>COUNTIF(Table1[Malın adı],Table1[[#This Row],[Malın adı]])</f>
        <v>1</v>
      </c>
    </row>
    <row r="651" spans="2:5" x14ac:dyDescent="0.3">
      <c r="B651" s="4">
        <f t="shared" si="20"/>
        <v>649</v>
      </c>
      <c r="C651" s="10" t="s">
        <v>613</v>
      </c>
      <c r="D651" s="4" t="str">
        <f t="shared" si="21"/>
        <v>0000649</v>
      </c>
      <c r="E651" s="4">
        <f>COUNTIF(Table1[Malın adı],Table1[[#This Row],[Malın adı]])</f>
        <v>1</v>
      </c>
    </row>
    <row r="652" spans="2:5" x14ac:dyDescent="0.3">
      <c r="B652" s="4">
        <f t="shared" si="20"/>
        <v>650</v>
      </c>
      <c r="C652" s="10" t="s">
        <v>614</v>
      </c>
      <c r="D652" s="4" t="str">
        <f t="shared" si="21"/>
        <v>0000650</v>
      </c>
      <c r="E652" s="4">
        <f>COUNTIF(Table1[Malın adı],Table1[[#This Row],[Malın adı]])</f>
        <v>1</v>
      </c>
    </row>
    <row r="653" spans="2:5" x14ac:dyDescent="0.3">
      <c r="B653" s="4">
        <f t="shared" si="20"/>
        <v>651</v>
      </c>
      <c r="C653" s="10" t="s">
        <v>615</v>
      </c>
      <c r="D653" s="4" t="str">
        <f t="shared" si="21"/>
        <v>0000651</v>
      </c>
      <c r="E653" s="4">
        <f>COUNTIF(Table1[Malın adı],Table1[[#This Row],[Malın adı]])</f>
        <v>1</v>
      </c>
    </row>
    <row r="654" spans="2:5" x14ac:dyDescent="0.3">
      <c r="B654" s="4">
        <f t="shared" si="20"/>
        <v>652</v>
      </c>
      <c r="C654" s="10" t="s">
        <v>2484</v>
      </c>
      <c r="D654" s="4" t="str">
        <f t="shared" si="21"/>
        <v>0000652</v>
      </c>
      <c r="E654" s="4">
        <f>COUNTIF(Table1[Malın adı],Table1[[#This Row],[Malın adı]])</f>
        <v>1</v>
      </c>
    </row>
    <row r="655" spans="2:5" x14ac:dyDescent="0.3">
      <c r="B655" s="4">
        <f t="shared" si="20"/>
        <v>653</v>
      </c>
      <c r="C655" s="10" t="s">
        <v>616</v>
      </c>
      <c r="D655" s="4" t="str">
        <f t="shared" si="21"/>
        <v>0000653</v>
      </c>
      <c r="E655" s="4">
        <f>COUNTIF(Table1[Malın adı],Table1[[#This Row],[Malın adı]])</f>
        <v>1</v>
      </c>
    </row>
    <row r="656" spans="2:5" x14ac:dyDescent="0.3">
      <c r="B656" s="4">
        <f t="shared" si="20"/>
        <v>654</v>
      </c>
      <c r="C656" s="10" t="s">
        <v>617</v>
      </c>
      <c r="D656" s="4" t="str">
        <f t="shared" si="21"/>
        <v>0000654</v>
      </c>
      <c r="E656" s="4">
        <f>COUNTIF(Table1[Malın adı],Table1[[#This Row],[Malın adı]])</f>
        <v>1</v>
      </c>
    </row>
    <row r="657" spans="2:5" x14ac:dyDescent="0.3">
      <c r="B657" s="4">
        <f t="shared" si="20"/>
        <v>655</v>
      </c>
      <c r="C657" s="10" t="s">
        <v>618</v>
      </c>
      <c r="D657" s="4" t="str">
        <f t="shared" si="21"/>
        <v>0000655</v>
      </c>
      <c r="E657" s="4">
        <f>COUNTIF(Table1[Malın adı],Table1[[#This Row],[Malın adı]])</f>
        <v>1</v>
      </c>
    </row>
    <row r="658" spans="2:5" x14ac:dyDescent="0.3">
      <c r="B658" s="4">
        <f t="shared" si="20"/>
        <v>656</v>
      </c>
      <c r="C658" s="10" t="s">
        <v>619</v>
      </c>
      <c r="D658" s="4" t="str">
        <f t="shared" si="21"/>
        <v>0000656</v>
      </c>
      <c r="E658" s="4">
        <f>COUNTIF(Table1[Malın adı],Table1[[#This Row],[Malın adı]])</f>
        <v>1</v>
      </c>
    </row>
    <row r="659" spans="2:5" x14ac:dyDescent="0.3">
      <c r="B659" s="4">
        <f t="shared" si="20"/>
        <v>657</v>
      </c>
      <c r="C659" s="10" t="s">
        <v>620</v>
      </c>
      <c r="D659" s="4" t="str">
        <f t="shared" si="21"/>
        <v>0000657</v>
      </c>
      <c r="E659" s="4">
        <f>COUNTIF(Table1[Malın adı],Table1[[#This Row],[Malın adı]])</f>
        <v>1</v>
      </c>
    </row>
    <row r="660" spans="2:5" x14ac:dyDescent="0.3">
      <c r="B660" s="4">
        <f t="shared" si="20"/>
        <v>658</v>
      </c>
      <c r="C660" s="10" t="s">
        <v>621</v>
      </c>
      <c r="D660" s="4" t="str">
        <f t="shared" si="21"/>
        <v>0000658</v>
      </c>
      <c r="E660" s="4">
        <f>COUNTIF(Table1[Malın adı],Table1[[#This Row],[Malın adı]])</f>
        <v>1</v>
      </c>
    </row>
    <row r="661" spans="2:5" x14ac:dyDescent="0.3">
      <c r="B661" s="4">
        <f t="shared" si="20"/>
        <v>659</v>
      </c>
      <c r="C661" s="10" t="s">
        <v>622</v>
      </c>
      <c r="D661" s="4" t="str">
        <f t="shared" si="21"/>
        <v>0000659</v>
      </c>
      <c r="E661" s="4">
        <f>COUNTIF(Table1[Malın adı],Table1[[#This Row],[Malın adı]])</f>
        <v>1</v>
      </c>
    </row>
    <row r="662" spans="2:5" x14ac:dyDescent="0.3">
      <c r="B662" s="4">
        <f t="shared" si="20"/>
        <v>660</v>
      </c>
      <c r="C662" s="10" t="s">
        <v>623</v>
      </c>
      <c r="D662" s="4" t="str">
        <f t="shared" si="21"/>
        <v>0000660</v>
      </c>
      <c r="E662" s="4">
        <f>COUNTIF(Table1[Malın adı],Table1[[#This Row],[Malın adı]])</f>
        <v>1</v>
      </c>
    </row>
    <row r="663" spans="2:5" x14ac:dyDescent="0.3">
      <c r="B663" s="4">
        <f t="shared" si="20"/>
        <v>661</v>
      </c>
      <c r="C663" s="10" t="s">
        <v>624</v>
      </c>
      <c r="D663" s="4" t="str">
        <f t="shared" si="21"/>
        <v>0000661</v>
      </c>
      <c r="E663" s="4">
        <f>COUNTIF(Table1[Malın adı],Table1[[#This Row],[Malın adı]])</f>
        <v>1</v>
      </c>
    </row>
    <row r="664" spans="2:5" x14ac:dyDescent="0.3">
      <c r="B664" s="4">
        <f t="shared" si="20"/>
        <v>662</v>
      </c>
      <c r="C664" s="10" t="s">
        <v>625</v>
      </c>
      <c r="D664" s="4" t="str">
        <f t="shared" si="21"/>
        <v>0000662</v>
      </c>
      <c r="E664" s="4">
        <f>COUNTIF(Table1[Malın adı],Table1[[#This Row],[Malın adı]])</f>
        <v>1</v>
      </c>
    </row>
    <row r="665" spans="2:5" x14ac:dyDescent="0.3">
      <c r="B665" s="4">
        <f t="shared" si="20"/>
        <v>663</v>
      </c>
      <c r="C665" s="10" t="s">
        <v>626</v>
      </c>
      <c r="D665" s="4" t="str">
        <f t="shared" si="21"/>
        <v>0000663</v>
      </c>
      <c r="E665" s="4">
        <f>COUNTIF(Table1[Malın adı],Table1[[#This Row],[Malın adı]])</f>
        <v>1</v>
      </c>
    </row>
    <row r="666" spans="2:5" x14ac:dyDescent="0.3">
      <c r="B666" s="4">
        <f t="shared" si="20"/>
        <v>664</v>
      </c>
      <c r="C666" s="10" t="s">
        <v>627</v>
      </c>
      <c r="D666" s="4" t="str">
        <f t="shared" si="21"/>
        <v>0000664</v>
      </c>
      <c r="E666" s="4">
        <f>COUNTIF(Table1[Malın adı],Table1[[#This Row],[Malın adı]])</f>
        <v>1</v>
      </c>
    </row>
    <row r="667" spans="2:5" x14ac:dyDescent="0.3">
      <c r="B667" s="4">
        <f t="shared" si="20"/>
        <v>665</v>
      </c>
      <c r="C667" s="10" t="s">
        <v>2330</v>
      </c>
      <c r="D667" s="4" t="str">
        <f t="shared" si="21"/>
        <v>0000665</v>
      </c>
      <c r="E667" s="4">
        <f>COUNTIF(Table1[Malın adı],Table1[[#This Row],[Malın adı]])</f>
        <v>1</v>
      </c>
    </row>
    <row r="668" spans="2:5" x14ac:dyDescent="0.3">
      <c r="B668" s="4">
        <f t="shared" si="20"/>
        <v>666</v>
      </c>
      <c r="C668" s="10" t="s">
        <v>628</v>
      </c>
      <c r="D668" s="4" t="str">
        <f t="shared" si="21"/>
        <v>0000666</v>
      </c>
      <c r="E668" s="4">
        <f>COUNTIF(Table1[Malın adı],Table1[[#This Row],[Malın adı]])</f>
        <v>1</v>
      </c>
    </row>
    <row r="669" spans="2:5" x14ac:dyDescent="0.3">
      <c r="B669" s="4">
        <f t="shared" si="20"/>
        <v>667</v>
      </c>
      <c r="C669" s="10" t="s">
        <v>629</v>
      </c>
      <c r="D669" s="4" t="str">
        <f t="shared" si="21"/>
        <v>0000667</v>
      </c>
      <c r="E669" s="4">
        <f>COUNTIF(Table1[Malın adı],Table1[[#This Row],[Malın adı]])</f>
        <v>1</v>
      </c>
    </row>
    <row r="670" spans="2:5" x14ac:dyDescent="0.3">
      <c r="B670" s="4">
        <f t="shared" si="20"/>
        <v>668</v>
      </c>
      <c r="C670" s="10" t="s">
        <v>630</v>
      </c>
      <c r="D670" s="4" t="str">
        <f t="shared" si="21"/>
        <v>0000668</v>
      </c>
      <c r="E670" s="4">
        <f>COUNTIF(Table1[Malın adı],Table1[[#This Row],[Malın adı]])</f>
        <v>1</v>
      </c>
    </row>
    <row r="671" spans="2:5" x14ac:dyDescent="0.3">
      <c r="B671" s="4">
        <f t="shared" si="20"/>
        <v>669</v>
      </c>
      <c r="C671" s="10" t="s">
        <v>631</v>
      </c>
      <c r="D671" s="4" t="str">
        <f t="shared" si="21"/>
        <v>0000669</v>
      </c>
      <c r="E671" s="4">
        <f>COUNTIF(Table1[Malın adı],Table1[[#This Row],[Malın adı]])</f>
        <v>1</v>
      </c>
    </row>
    <row r="672" spans="2:5" x14ac:dyDescent="0.3">
      <c r="B672" s="4">
        <f t="shared" si="20"/>
        <v>670</v>
      </c>
      <c r="C672" s="10" t="s">
        <v>632</v>
      </c>
      <c r="D672" s="4" t="str">
        <f t="shared" si="21"/>
        <v>0000670</v>
      </c>
      <c r="E672" s="4">
        <f>COUNTIF(Table1[Malın adı],Table1[[#This Row],[Malın adı]])</f>
        <v>1</v>
      </c>
    </row>
    <row r="673" spans="2:5" x14ac:dyDescent="0.3">
      <c r="B673" s="4">
        <f t="shared" si="20"/>
        <v>671</v>
      </c>
      <c r="C673" s="10" t="s">
        <v>633</v>
      </c>
      <c r="D673" s="4" t="str">
        <f t="shared" si="21"/>
        <v>0000671</v>
      </c>
      <c r="E673" s="4">
        <f>COUNTIF(Table1[Malın adı],Table1[[#This Row],[Malın adı]])</f>
        <v>1</v>
      </c>
    </row>
    <row r="674" spans="2:5" x14ac:dyDescent="0.3">
      <c r="B674" s="4">
        <f t="shared" si="20"/>
        <v>672</v>
      </c>
      <c r="C674" s="10" t="s">
        <v>634</v>
      </c>
      <c r="D674" s="4" t="str">
        <f t="shared" si="21"/>
        <v>0000672</v>
      </c>
      <c r="E674" s="4">
        <f>COUNTIF(Table1[Malın adı],Table1[[#This Row],[Malın adı]])</f>
        <v>1</v>
      </c>
    </row>
    <row r="675" spans="2:5" x14ac:dyDescent="0.3">
      <c r="B675" s="4">
        <f t="shared" si="20"/>
        <v>673</v>
      </c>
      <c r="C675" s="10" t="s">
        <v>635</v>
      </c>
      <c r="D675" s="4" t="str">
        <f t="shared" si="21"/>
        <v>0000673</v>
      </c>
      <c r="E675" s="4">
        <f>COUNTIF(Table1[Malın adı],Table1[[#This Row],[Malın adı]])</f>
        <v>1</v>
      </c>
    </row>
    <row r="676" spans="2:5" x14ac:dyDescent="0.3">
      <c r="B676" s="4">
        <f t="shared" si="20"/>
        <v>674</v>
      </c>
      <c r="C676" s="10" t="s">
        <v>636</v>
      </c>
      <c r="D676" s="4" t="str">
        <f t="shared" si="21"/>
        <v>0000674</v>
      </c>
      <c r="E676" s="4">
        <f>COUNTIF(Table1[Malın adı],Table1[[#This Row],[Malın adı]])</f>
        <v>1</v>
      </c>
    </row>
    <row r="677" spans="2:5" x14ac:dyDescent="0.3">
      <c r="B677" s="4">
        <f t="shared" si="20"/>
        <v>675</v>
      </c>
      <c r="C677" s="10" t="s">
        <v>637</v>
      </c>
      <c r="D677" s="4" t="str">
        <f t="shared" si="21"/>
        <v>0000675</v>
      </c>
      <c r="E677" s="4">
        <f>COUNTIF(Table1[Malın adı],Table1[[#This Row],[Malın adı]])</f>
        <v>1</v>
      </c>
    </row>
    <row r="678" spans="2:5" x14ac:dyDescent="0.3">
      <c r="B678" s="4">
        <f t="shared" si="20"/>
        <v>676</v>
      </c>
      <c r="C678" s="10" t="s">
        <v>638</v>
      </c>
      <c r="D678" s="4" t="str">
        <f t="shared" si="21"/>
        <v>0000676</v>
      </c>
      <c r="E678" s="4">
        <f>COUNTIF(Table1[Malın adı],Table1[[#This Row],[Malın adı]])</f>
        <v>1</v>
      </c>
    </row>
    <row r="679" spans="2:5" x14ac:dyDescent="0.3">
      <c r="B679" s="4">
        <f t="shared" si="20"/>
        <v>677</v>
      </c>
      <c r="C679" s="10" t="s">
        <v>639</v>
      </c>
      <c r="D679" s="4" t="str">
        <f t="shared" si="21"/>
        <v>0000677</v>
      </c>
      <c r="E679" s="4">
        <f>COUNTIF(Table1[Malın adı],Table1[[#This Row],[Malın adı]])</f>
        <v>1</v>
      </c>
    </row>
    <row r="680" spans="2:5" x14ac:dyDescent="0.3">
      <c r="B680" s="4">
        <f t="shared" si="20"/>
        <v>678</v>
      </c>
      <c r="C680" s="10" t="s">
        <v>640</v>
      </c>
      <c r="D680" s="4" t="str">
        <f t="shared" si="21"/>
        <v>0000678</v>
      </c>
      <c r="E680" s="4">
        <f>COUNTIF(Table1[Malın adı],Table1[[#This Row],[Malın adı]])</f>
        <v>1</v>
      </c>
    </row>
    <row r="681" spans="2:5" x14ac:dyDescent="0.3">
      <c r="B681" s="4">
        <f t="shared" si="20"/>
        <v>679</v>
      </c>
      <c r="C681" s="10" t="s">
        <v>2485</v>
      </c>
      <c r="D681" s="4" t="str">
        <f t="shared" si="21"/>
        <v>0000679</v>
      </c>
      <c r="E681" s="4">
        <f>COUNTIF(Table1[Malın adı],Table1[[#This Row],[Malın adı]])</f>
        <v>1</v>
      </c>
    </row>
    <row r="682" spans="2:5" x14ac:dyDescent="0.3">
      <c r="B682" s="4">
        <f t="shared" si="20"/>
        <v>680</v>
      </c>
      <c r="C682" s="10" t="s">
        <v>2486</v>
      </c>
      <c r="D682" s="4" t="str">
        <f t="shared" si="21"/>
        <v>0000680</v>
      </c>
      <c r="E682" s="4">
        <f>COUNTIF(Table1[Malın adı],Table1[[#This Row],[Malın adı]])</f>
        <v>1</v>
      </c>
    </row>
    <row r="683" spans="2:5" x14ac:dyDescent="0.3">
      <c r="B683" s="4">
        <f t="shared" si="20"/>
        <v>681</v>
      </c>
      <c r="C683" s="10" t="s">
        <v>641</v>
      </c>
      <c r="D683" s="4" t="str">
        <f t="shared" si="21"/>
        <v>0000681</v>
      </c>
      <c r="E683" s="4">
        <f>COUNTIF(Table1[Malın adı],Table1[[#This Row],[Malın adı]])</f>
        <v>1</v>
      </c>
    </row>
    <row r="684" spans="2:5" x14ac:dyDescent="0.3">
      <c r="B684" s="4">
        <f t="shared" si="20"/>
        <v>682</v>
      </c>
      <c r="C684" s="10" t="s">
        <v>642</v>
      </c>
      <c r="D684" s="4" t="str">
        <f t="shared" si="21"/>
        <v>0000682</v>
      </c>
      <c r="E684" s="4">
        <f>COUNTIF(Table1[Malın adı],Table1[[#This Row],[Malın adı]])</f>
        <v>1</v>
      </c>
    </row>
    <row r="685" spans="2:5" x14ac:dyDescent="0.3">
      <c r="B685" s="4">
        <f t="shared" si="20"/>
        <v>683</v>
      </c>
      <c r="C685" s="10" t="s">
        <v>643</v>
      </c>
      <c r="D685" s="4" t="str">
        <f t="shared" si="21"/>
        <v>0000683</v>
      </c>
      <c r="E685" s="4">
        <f>COUNTIF(Table1[Malın adı],Table1[[#This Row],[Malın adı]])</f>
        <v>1</v>
      </c>
    </row>
    <row r="686" spans="2:5" x14ac:dyDescent="0.3">
      <c r="B686" s="4">
        <f t="shared" si="20"/>
        <v>684</v>
      </c>
      <c r="C686" s="10" t="s">
        <v>644</v>
      </c>
      <c r="D686" s="4" t="str">
        <f t="shared" si="21"/>
        <v>0000684</v>
      </c>
      <c r="E686" s="4">
        <f>COUNTIF(Table1[Malın adı],Table1[[#This Row],[Malın adı]])</f>
        <v>1</v>
      </c>
    </row>
    <row r="687" spans="2:5" x14ac:dyDescent="0.3">
      <c r="B687" s="4">
        <f t="shared" si="20"/>
        <v>685</v>
      </c>
      <c r="C687" s="10" t="s">
        <v>645</v>
      </c>
      <c r="D687" s="4" t="str">
        <f t="shared" si="21"/>
        <v>0000685</v>
      </c>
      <c r="E687" s="4">
        <f>COUNTIF(Table1[Malın adı],Table1[[#This Row],[Malın adı]])</f>
        <v>1</v>
      </c>
    </row>
    <row r="688" spans="2:5" x14ac:dyDescent="0.3">
      <c r="B688" s="4">
        <f t="shared" si="20"/>
        <v>686</v>
      </c>
      <c r="C688" s="10" t="s">
        <v>646</v>
      </c>
      <c r="D688" s="4" t="str">
        <f t="shared" si="21"/>
        <v>0000686</v>
      </c>
      <c r="E688" s="4">
        <f>COUNTIF(Table1[Malın adı],Table1[[#This Row],[Malın adı]])</f>
        <v>1</v>
      </c>
    </row>
    <row r="689" spans="2:5" x14ac:dyDescent="0.3">
      <c r="B689" s="4">
        <f t="shared" si="20"/>
        <v>687</v>
      </c>
      <c r="C689" s="10" t="s">
        <v>647</v>
      </c>
      <c r="D689" s="4" t="str">
        <f t="shared" si="21"/>
        <v>0000687</v>
      </c>
      <c r="E689" s="4">
        <f>COUNTIF(Table1[Malın adı],Table1[[#This Row],[Malın adı]])</f>
        <v>1</v>
      </c>
    </row>
    <row r="690" spans="2:5" x14ac:dyDescent="0.3">
      <c r="B690" s="4">
        <f t="shared" si="20"/>
        <v>688</v>
      </c>
      <c r="C690" s="10" t="s">
        <v>648</v>
      </c>
      <c r="D690" s="4" t="str">
        <f t="shared" si="21"/>
        <v>0000688</v>
      </c>
      <c r="E690" s="4">
        <f>COUNTIF(Table1[Malın adı],Table1[[#This Row],[Malın adı]])</f>
        <v>1</v>
      </c>
    </row>
    <row r="691" spans="2:5" x14ac:dyDescent="0.3">
      <c r="B691" s="4">
        <f t="shared" si="20"/>
        <v>689</v>
      </c>
      <c r="C691" s="10" t="s">
        <v>649</v>
      </c>
      <c r="D691" s="4" t="str">
        <f t="shared" si="21"/>
        <v>0000689</v>
      </c>
      <c r="E691" s="4">
        <f>COUNTIF(Table1[Malın adı],Table1[[#This Row],[Malın adı]])</f>
        <v>1</v>
      </c>
    </row>
    <row r="692" spans="2:5" x14ac:dyDescent="0.3">
      <c r="B692" s="4">
        <f t="shared" si="20"/>
        <v>690</v>
      </c>
      <c r="C692" s="10" t="s">
        <v>650</v>
      </c>
      <c r="D692" s="4" t="str">
        <f t="shared" si="21"/>
        <v>0000690</v>
      </c>
      <c r="E692" s="4">
        <f>COUNTIF(Table1[Malın adı],Table1[[#This Row],[Malın adı]])</f>
        <v>1</v>
      </c>
    </row>
    <row r="693" spans="2:5" x14ac:dyDescent="0.3">
      <c r="B693" s="4">
        <f t="shared" si="20"/>
        <v>691</v>
      </c>
      <c r="C693" s="10" t="s">
        <v>651</v>
      </c>
      <c r="D693" s="4" t="str">
        <f t="shared" si="21"/>
        <v>0000691</v>
      </c>
      <c r="E693" s="4">
        <f>COUNTIF(Table1[Malın adı],Table1[[#This Row],[Malın adı]])</f>
        <v>1</v>
      </c>
    </row>
    <row r="694" spans="2:5" x14ac:dyDescent="0.3">
      <c r="B694" s="4">
        <f t="shared" si="20"/>
        <v>692</v>
      </c>
      <c r="C694" s="10" t="s">
        <v>652</v>
      </c>
      <c r="D694" s="4" t="str">
        <f t="shared" si="21"/>
        <v>0000692</v>
      </c>
      <c r="E694" s="4">
        <f>COUNTIF(Table1[Malın adı],Table1[[#This Row],[Malın adı]])</f>
        <v>1</v>
      </c>
    </row>
    <row r="695" spans="2:5" x14ac:dyDescent="0.3">
      <c r="B695" s="4">
        <f t="shared" si="20"/>
        <v>693</v>
      </c>
      <c r="C695" s="10" t="s">
        <v>653</v>
      </c>
      <c r="D695" s="4" t="str">
        <f t="shared" si="21"/>
        <v>0000693</v>
      </c>
      <c r="E695" s="4">
        <f>COUNTIF(Table1[Malın adı],Table1[[#This Row],[Malın adı]])</f>
        <v>1</v>
      </c>
    </row>
    <row r="696" spans="2:5" x14ac:dyDescent="0.3">
      <c r="B696" s="4">
        <f t="shared" si="20"/>
        <v>694</v>
      </c>
      <c r="C696" s="10" t="s">
        <v>526</v>
      </c>
      <c r="D696" s="4" t="str">
        <f t="shared" si="21"/>
        <v>0000694</v>
      </c>
      <c r="E696" s="4">
        <f>COUNTIF(Table1[Malın adı],Table1[[#This Row],[Malın adı]])</f>
        <v>1</v>
      </c>
    </row>
    <row r="697" spans="2:5" x14ac:dyDescent="0.3">
      <c r="B697" s="4">
        <f t="shared" si="20"/>
        <v>695</v>
      </c>
      <c r="C697" s="10" t="s">
        <v>654</v>
      </c>
      <c r="D697" s="4" t="str">
        <f t="shared" si="21"/>
        <v>0000695</v>
      </c>
      <c r="E697" s="4">
        <f>COUNTIF(Table1[Malın adı],Table1[[#This Row],[Malın adı]])</f>
        <v>1</v>
      </c>
    </row>
    <row r="698" spans="2:5" x14ac:dyDescent="0.3">
      <c r="B698" s="4">
        <f t="shared" si="20"/>
        <v>696</v>
      </c>
      <c r="C698" s="10" t="s">
        <v>655</v>
      </c>
      <c r="D698" s="4" t="str">
        <f t="shared" si="21"/>
        <v>0000696</v>
      </c>
      <c r="E698" s="4">
        <f>COUNTIF(Table1[Malın adı],Table1[[#This Row],[Malın adı]])</f>
        <v>1</v>
      </c>
    </row>
    <row r="699" spans="2:5" x14ac:dyDescent="0.3">
      <c r="B699" s="4">
        <f t="shared" si="20"/>
        <v>697</v>
      </c>
      <c r="C699" s="10" t="s">
        <v>656</v>
      </c>
      <c r="D699" s="4" t="str">
        <f t="shared" si="21"/>
        <v>0000697</v>
      </c>
      <c r="E699" s="4">
        <f>COUNTIF(Table1[Malın adı],Table1[[#This Row],[Malın adı]])</f>
        <v>1</v>
      </c>
    </row>
    <row r="700" spans="2:5" x14ac:dyDescent="0.3">
      <c r="B700" s="4">
        <f t="shared" si="20"/>
        <v>698</v>
      </c>
      <c r="C700" s="10" t="s">
        <v>657</v>
      </c>
      <c r="D700" s="4" t="str">
        <f t="shared" si="21"/>
        <v>0000698</v>
      </c>
      <c r="E700" s="4">
        <f>COUNTIF(Table1[Malın adı],Table1[[#This Row],[Malın adı]])</f>
        <v>1</v>
      </c>
    </row>
    <row r="701" spans="2:5" x14ac:dyDescent="0.3">
      <c r="B701" s="4">
        <f t="shared" si="20"/>
        <v>699</v>
      </c>
      <c r="C701" s="10" t="s">
        <v>658</v>
      </c>
      <c r="D701" s="4" t="str">
        <f t="shared" si="21"/>
        <v>0000699</v>
      </c>
      <c r="E701" s="4">
        <f>COUNTIF(Table1[Malın adı],Table1[[#This Row],[Malın adı]])</f>
        <v>1</v>
      </c>
    </row>
    <row r="702" spans="2:5" x14ac:dyDescent="0.3">
      <c r="B702" s="4">
        <f t="shared" si="20"/>
        <v>700</v>
      </c>
      <c r="C702" s="10" t="s">
        <v>659</v>
      </c>
      <c r="D702" s="4" t="str">
        <f t="shared" si="21"/>
        <v>0000700</v>
      </c>
      <c r="E702" s="4">
        <f>COUNTIF(Table1[Malın adı],Table1[[#This Row],[Malın adı]])</f>
        <v>1</v>
      </c>
    </row>
    <row r="703" spans="2:5" x14ac:dyDescent="0.3">
      <c r="B703" s="4">
        <f t="shared" si="20"/>
        <v>701</v>
      </c>
      <c r="C703" s="10" t="s">
        <v>660</v>
      </c>
      <c r="D703" s="4" t="str">
        <f t="shared" si="21"/>
        <v>0000701</v>
      </c>
      <c r="E703" s="4">
        <f>COUNTIF(Table1[Malın adı],Table1[[#This Row],[Malın adı]])</f>
        <v>1</v>
      </c>
    </row>
    <row r="704" spans="2:5" x14ac:dyDescent="0.3">
      <c r="B704" s="4">
        <f t="shared" si="20"/>
        <v>702</v>
      </c>
      <c r="C704" s="10" t="s">
        <v>661</v>
      </c>
      <c r="D704" s="4" t="str">
        <f t="shared" si="21"/>
        <v>0000702</v>
      </c>
      <c r="E704" s="4">
        <f>COUNTIF(Table1[Malın adı],Table1[[#This Row],[Malın adı]])</f>
        <v>1</v>
      </c>
    </row>
    <row r="705" spans="2:5" x14ac:dyDescent="0.3">
      <c r="B705" s="4">
        <f t="shared" si="20"/>
        <v>703</v>
      </c>
      <c r="C705" s="10" t="s">
        <v>662</v>
      </c>
      <c r="D705" s="4" t="str">
        <f t="shared" si="21"/>
        <v>0000703</v>
      </c>
      <c r="E705" s="4">
        <f>COUNTIF(Table1[Malın adı],Table1[[#This Row],[Malın adı]])</f>
        <v>1</v>
      </c>
    </row>
    <row r="706" spans="2:5" x14ac:dyDescent="0.3">
      <c r="B706" s="4">
        <f t="shared" si="20"/>
        <v>704</v>
      </c>
      <c r="C706" s="10" t="s">
        <v>663</v>
      </c>
      <c r="D706" s="4" t="str">
        <f t="shared" si="21"/>
        <v>0000704</v>
      </c>
      <c r="E706" s="4">
        <f>COUNTIF(Table1[Malın adı],Table1[[#This Row],[Malın adı]])</f>
        <v>1</v>
      </c>
    </row>
    <row r="707" spans="2:5" x14ac:dyDescent="0.3">
      <c r="B707" s="4">
        <f t="shared" ref="B707:B770" si="22">ROW()-2</f>
        <v>705</v>
      </c>
      <c r="C707" s="10" t="s">
        <v>664</v>
      </c>
      <c r="D707" s="4" t="str">
        <f t="shared" ref="D707:D770" si="23">TEXT(ROW()-2,"0000000")</f>
        <v>0000705</v>
      </c>
      <c r="E707" s="4">
        <f>COUNTIF(Table1[Malın adı],Table1[[#This Row],[Malın adı]])</f>
        <v>1</v>
      </c>
    </row>
    <row r="708" spans="2:5" x14ac:dyDescent="0.3">
      <c r="B708" s="4">
        <f t="shared" si="22"/>
        <v>706</v>
      </c>
      <c r="C708" s="10" t="s">
        <v>665</v>
      </c>
      <c r="D708" s="4" t="str">
        <f t="shared" si="23"/>
        <v>0000706</v>
      </c>
      <c r="E708" s="4">
        <f>COUNTIF(Table1[Malın adı],Table1[[#This Row],[Malın adı]])</f>
        <v>1</v>
      </c>
    </row>
    <row r="709" spans="2:5" x14ac:dyDescent="0.3">
      <c r="B709" s="4">
        <f t="shared" si="22"/>
        <v>707</v>
      </c>
      <c r="C709" s="10" t="s">
        <v>666</v>
      </c>
      <c r="D709" s="4" t="str">
        <f t="shared" si="23"/>
        <v>0000707</v>
      </c>
      <c r="E709" s="4">
        <f>COUNTIF(Table1[Malın adı],Table1[[#This Row],[Malın adı]])</f>
        <v>1</v>
      </c>
    </row>
    <row r="710" spans="2:5" x14ac:dyDescent="0.3">
      <c r="B710" s="4">
        <f t="shared" si="22"/>
        <v>708</v>
      </c>
      <c r="C710" s="10" t="s">
        <v>667</v>
      </c>
      <c r="D710" s="4" t="str">
        <f t="shared" si="23"/>
        <v>0000708</v>
      </c>
      <c r="E710" s="4">
        <f>COUNTIF(Table1[Malın adı],Table1[[#This Row],[Malın adı]])</f>
        <v>1</v>
      </c>
    </row>
    <row r="711" spans="2:5" x14ac:dyDescent="0.3">
      <c r="B711" s="4">
        <f t="shared" si="22"/>
        <v>709</v>
      </c>
      <c r="C711" s="10" t="s">
        <v>668</v>
      </c>
      <c r="D711" s="4" t="str">
        <f t="shared" si="23"/>
        <v>0000709</v>
      </c>
      <c r="E711" s="4">
        <f>COUNTIF(Table1[Malın adı],Table1[[#This Row],[Malın adı]])</f>
        <v>1</v>
      </c>
    </row>
    <row r="712" spans="2:5" x14ac:dyDescent="0.3">
      <c r="B712" s="4">
        <f t="shared" si="22"/>
        <v>710</v>
      </c>
      <c r="C712" s="10" t="s">
        <v>669</v>
      </c>
      <c r="D712" s="4" t="str">
        <f t="shared" si="23"/>
        <v>0000710</v>
      </c>
      <c r="E712" s="4">
        <f>COUNTIF(Table1[Malın adı],Table1[[#This Row],[Malın adı]])</f>
        <v>1</v>
      </c>
    </row>
    <row r="713" spans="2:5" x14ac:dyDescent="0.3">
      <c r="B713" s="4">
        <f t="shared" si="22"/>
        <v>711</v>
      </c>
      <c r="C713" s="10" t="s">
        <v>670</v>
      </c>
      <c r="D713" s="4" t="str">
        <f t="shared" si="23"/>
        <v>0000711</v>
      </c>
      <c r="E713" s="4">
        <f>COUNTIF(Table1[Malın adı],Table1[[#This Row],[Malın adı]])</f>
        <v>1</v>
      </c>
    </row>
    <row r="714" spans="2:5" x14ac:dyDescent="0.3">
      <c r="B714" s="4">
        <f t="shared" si="22"/>
        <v>712</v>
      </c>
      <c r="C714" s="10" t="s">
        <v>671</v>
      </c>
      <c r="D714" s="4" t="str">
        <f t="shared" si="23"/>
        <v>0000712</v>
      </c>
      <c r="E714" s="4">
        <f>COUNTIF(Table1[Malın adı],Table1[[#This Row],[Malın adı]])</f>
        <v>1</v>
      </c>
    </row>
    <row r="715" spans="2:5" x14ac:dyDescent="0.3">
      <c r="B715" s="4">
        <f t="shared" si="22"/>
        <v>713</v>
      </c>
      <c r="C715" s="10" t="s">
        <v>672</v>
      </c>
      <c r="D715" s="4" t="str">
        <f t="shared" si="23"/>
        <v>0000713</v>
      </c>
      <c r="E715" s="4">
        <f>COUNTIF(Table1[Malın adı],Table1[[#This Row],[Malın adı]])</f>
        <v>1</v>
      </c>
    </row>
    <row r="716" spans="2:5" x14ac:dyDescent="0.3">
      <c r="B716" s="4">
        <f t="shared" si="22"/>
        <v>714</v>
      </c>
      <c r="C716" s="10" t="s">
        <v>673</v>
      </c>
      <c r="D716" s="4" t="str">
        <f t="shared" si="23"/>
        <v>0000714</v>
      </c>
      <c r="E716" s="4">
        <f>COUNTIF(Table1[Malın adı],Table1[[#This Row],[Malın adı]])</f>
        <v>1</v>
      </c>
    </row>
    <row r="717" spans="2:5" x14ac:dyDescent="0.3">
      <c r="B717" s="4">
        <f t="shared" si="22"/>
        <v>715</v>
      </c>
      <c r="C717" s="10" t="s">
        <v>674</v>
      </c>
      <c r="D717" s="4" t="str">
        <f t="shared" si="23"/>
        <v>0000715</v>
      </c>
      <c r="E717" s="4">
        <f>COUNTIF(Table1[Malın adı],Table1[[#This Row],[Malın adı]])</f>
        <v>1</v>
      </c>
    </row>
    <row r="718" spans="2:5" x14ac:dyDescent="0.3">
      <c r="B718" s="4">
        <f t="shared" si="22"/>
        <v>716</v>
      </c>
      <c r="C718" s="10" t="s">
        <v>675</v>
      </c>
      <c r="D718" s="4" t="str">
        <f t="shared" si="23"/>
        <v>0000716</v>
      </c>
      <c r="E718" s="4">
        <f>COUNTIF(Table1[Malın adı],Table1[[#This Row],[Malın adı]])</f>
        <v>1</v>
      </c>
    </row>
    <row r="719" spans="2:5" x14ac:dyDescent="0.3">
      <c r="B719" s="4">
        <f t="shared" si="22"/>
        <v>717</v>
      </c>
      <c r="C719" s="10" t="s">
        <v>676</v>
      </c>
      <c r="D719" s="4" t="str">
        <f t="shared" si="23"/>
        <v>0000717</v>
      </c>
      <c r="E719" s="4">
        <f>COUNTIF(Table1[Malın adı],Table1[[#This Row],[Malın adı]])</f>
        <v>1</v>
      </c>
    </row>
    <row r="720" spans="2:5" x14ac:dyDescent="0.3">
      <c r="B720" s="4">
        <f t="shared" si="22"/>
        <v>718</v>
      </c>
      <c r="C720" s="10" t="s">
        <v>677</v>
      </c>
      <c r="D720" s="4" t="str">
        <f t="shared" si="23"/>
        <v>0000718</v>
      </c>
      <c r="E720" s="4">
        <f>COUNTIF(Table1[Malın adı],Table1[[#This Row],[Malın adı]])</f>
        <v>1</v>
      </c>
    </row>
    <row r="721" spans="2:5" x14ac:dyDescent="0.3">
      <c r="B721" s="4">
        <f t="shared" si="22"/>
        <v>719</v>
      </c>
      <c r="C721" s="10" t="s">
        <v>678</v>
      </c>
      <c r="D721" s="4" t="str">
        <f t="shared" si="23"/>
        <v>0000719</v>
      </c>
      <c r="E721" s="4">
        <f>COUNTIF(Table1[Malın adı],Table1[[#This Row],[Malın adı]])</f>
        <v>1</v>
      </c>
    </row>
    <row r="722" spans="2:5" x14ac:dyDescent="0.3">
      <c r="B722" s="4">
        <f t="shared" si="22"/>
        <v>720</v>
      </c>
      <c r="C722" s="10" t="s">
        <v>2487</v>
      </c>
      <c r="D722" s="4" t="str">
        <f t="shared" si="23"/>
        <v>0000720</v>
      </c>
      <c r="E722" s="4">
        <f>COUNTIF(Table1[Malın adı],Table1[[#This Row],[Malın adı]])</f>
        <v>1</v>
      </c>
    </row>
    <row r="723" spans="2:5" x14ac:dyDescent="0.3">
      <c r="B723" s="4">
        <f t="shared" si="22"/>
        <v>721</v>
      </c>
      <c r="C723" s="10" t="s">
        <v>679</v>
      </c>
      <c r="D723" s="4" t="str">
        <f t="shared" si="23"/>
        <v>0000721</v>
      </c>
      <c r="E723" s="4">
        <f>COUNTIF(Table1[Malın adı],Table1[[#This Row],[Malın adı]])</f>
        <v>1</v>
      </c>
    </row>
    <row r="724" spans="2:5" x14ac:dyDescent="0.3">
      <c r="B724" s="4">
        <f t="shared" si="22"/>
        <v>722</v>
      </c>
      <c r="C724" s="10" t="s">
        <v>680</v>
      </c>
      <c r="D724" s="4" t="str">
        <f t="shared" si="23"/>
        <v>0000722</v>
      </c>
      <c r="E724" s="4">
        <f>COUNTIF(Table1[Malın adı],Table1[[#This Row],[Malın adı]])</f>
        <v>1</v>
      </c>
    </row>
    <row r="725" spans="2:5" x14ac:dyDescent="0.3">
      <c r="B725" s="4">
        <f t="shared" si="22"/>
        <v>723</v>
      </c>
      <c r="C725" s="10" t="s">
        <v>681</v>
      </c>
      <c r="D725" s="4" t="str">
        <f t="shared" si="23"/>
        <v>0000723</v>
      </c>
      <c r="E725" s="4">
        <f>COUNTIF(Table1[Malın adı],Table1[[#This Row],[Malın adı]])</f>
        <v>1</v>
      </c>
    </row>
    <row r="726" spans="2:5" x14ac:dyDescent="0.3">
      <c r="B726" s="4">
        <f t="shared" si="22"/>
        <v>724</v>
      </c>
      <c r="C726" s="10" t="s">
        <v>682</v>
      </c>
      <c r="D726" s="4" t="str">
        <f t="shared" si="23"/>
        <v>0000724</v>
      </c>
      <c r="E726" s="4">
        <f>COUNTIF(Table1[Malın adı],Table1[[#This Row],[Malın adı]])</f>
        <v>1</v>
      </c>
    </row>
    <row r="727" spans="2:5" x14ac:dyDescent="0.3">
      <c r="B727" s="4">
        <f t="shared" si="22"/>
        <v>725</v>
      </c>
      <c r="C727" s="10" t="s">
        <v>683</v>
      </c>
      <c r="D727" s="4" t="str">
        <f t="shared" si="23"/>
        <v>0000725</v>
      </c>
      <c r="E727" s="4">
        <f>COUNTIF(Table1[Malın adı],Table1[[#This Row],[Malın adı]])</f>
        <v>1</v>
      </c>
    </row>
    <row r="728" spans="2:5" x14ac:dyDescent="0.3">
      <c r="B728" s="4">
        <f t="shared" si="22"/>
        <v>726</v>
      </c>
      <c r="C728" s="10" t="s">
        <v>2336</v>
      </c>
      <c r="D728" s="4" t="str">
        <f t="shared" si="23"/>
        <v>0000726</v>
      </c>
      <c r="E728" s="4">
        <f>COUNTIF(Table1[Malın adı],Table1[[#This Row],[Malın adı]])</f>
        <v>1</v>
      </c>
    </row>
    <row r="729" spans="2:5" x14ac:dyDescent="0.3">
      <c r="B729" s="4">
        <f t="shared" si="22"/>
        <v>727</v>
      </c>
      <c r="C729" s="10" t="s">
        <v>684</v>
      </c>
      <c r="D729" s="4" t="str">
        <f t="shared" si="23"/>
        <v>0000727</v>
      </c>
      <c r="E729" s="4">
        <f>COUNTIF(Table1[Malın adı],Table1[[#This Row],[Malın adı]])</f>
        <v>1</v>
      </c>
    </row>
    <row r="730" spans="2:5" x14ac:dyDescent="0.3">
      <c r="B730" s="4">
        <f t="shared" si="22"/>
        <v>728</v>
      </c>
      <c r="C730" s="10" t="s">
        <v>685</v>
      </c>
      <c r="D730" s="4" t="str">
        <f t="shared" si="23"/>
        <v>0000728</v>
      </c>
      <c r="E730" s="4">
        <f>COUNTIF(Table1[Malın adı],Table1[[#This Row],[Malın adı]])</f>
        <v>1</v>
      </c>
    </row>
    <row r="731" spans="2:5" x14ac:dyDescent="0.3">
      <c r="B731" s="4">
        <f t="shared" si="22"/>
        <v>729</v>
      </c>
      <c r="C731" s="10" t="s">
        <v>686</v>
      </c>
      <c r="D731" s="4" t="str">
        <f t="shared" si="23"/>
        <v>0000729</v>
      </c>
      <c r="E731" s="4">
        <f>COUNTIF(Table1[Malın adı],Table1[[#This Row],[Malın adı]])</f>
        <v>1</v>
      </c>
    </row>
    <row r="732" spans="2:5" x14ac:dyDescent="0.3">
      <c r="B732" s="4">
        <f t="shared" si="22"/>
        <v>730</v>
      </c>
      <c r="C732" s="10" t="s">
        <v>687</v>
      </c>
      <c r="D732" s="4" t="str">
        <f t="shared" si="23"/>
        <v>0000730</v>
      </c>
      <c r="E732" s="4">
        <f>COUNTIF(Table1[Malın adı],Table1[[#This Row],[Malın adı]])</f>
        <v>1</v>
      </c>
    </row>
    <row r="733" spans="2:5" x14ac:dyDescent="0.3">
      <c r="B733" s="4">
        <f t="shared" si="22"/>
        <v>731</v>
      </c>
      <c r="C733" s="10" t="s">
        <v>2347</v>
      </c>
      <c r="D733" s="4" t="str">
        <f t="shared" si="23"/>
        <v>0000731</v>
      </c>
      <c r="E733" s="4">
        <f>COUNTIF(Table1[Malın adı],Table1[[#This Row],[Malın adı]])</f>
        <v>1</v>
      </c>
    </row>
    <row r="734" spans="2:5" x14ac:dyDescent="0.3">
      <c r="B734" s="4">
        <f t="shared" si="22"/>
        <v>732</v>
      </c>
      <c r="C734" s="10" t="s">
        <v>688</v>
      </c>
      <c r="D734" s="4" t="str">
        <f t="shared" si="23"/>
        <v>0000732</v>
      </c>
      <c r="E734" s="4">
        <f>COUNTIF(Table1[Malın adı],Table1[[#This Row],[Malın adı]])</f>
        <v>1</v>
      </c>
    </row>
    <row r="735" spans="2:5" x14ac:dyDescent="0.3">
      <c r="B735" s="4">
        <f t="shared" si="22"/>
        <v>733</v>
      </c>
      <c r="C735" s="10" t="s">
        <v>689</v>
      </c>
      <c r="D735" s="4" t="str">
        <f t="shared" si="23"/>
        <v>0000733</v>
      </c>
      <c r="E735" s="4">
        <f>COUNTIF(Table1[Malın adı],Table1[[#This Row],[Malın adı]])</f>
        <v>1</v>
      </c>
    </row>
    <row r="736" spans="2:5" x14ac:dyDescent="0.3">
      <c r="B736" s="4">
        <f t="shared" si="22"/>
        <v>734</v>
      </c>
      <c r="C736" s="10" t="s">
        <v>690</v>
      </c>
      <c r="D736" s="4" t="str">
        <f t="shared" si="23"/>
        <v>0000734</v>
      </c>
      <c r="E736" s="4">
        <f>COUNTIF(Table1[Malın adı],Table1[[#This Row],[Malın adı]])</f>
        <v>1</v>
      </c>
    </row>
    <row r="737" spans="2:5" x14ac:dyDescent="0.3">
      <c r="B737" s="4">
        <f t="shared" si="22"/>
        <v>735</v>
      </c>
      <c r="C737" s="10" t="s">
        <v>691</v>
      </c>
      <c r="D737" s="4" t="str">
        <f t="shared" si="23"/>
        <v>0000735</v>
      </c>
      <c r="E737" s="4">
        <f>COUNTIF(Table1[Malın adı],Table1[[#This Row],[Malın adı]])</f>
        <v>1</v>
      </c>
    </row>
    <row r="738" spans="2:5" x14ac:dyDescent="0.3">
      <c r="B738" s="4">
        <f t="shared" si="22"/>
        <v>736</v>
      </c>
      <c r="C738" s="10" t="s">
        <v>692</v>
      </c>
      <c r="D738" s="4" t="str">
        <f t="shared" si="23"/>
        <v>0000736</v>
      </c>
      <c r="E738" s="4">
        <f>COUNTIF(Table1[Malın adı],Table1[[#This Row],[Malın adı]])</f>
        <v>1</v>
      </c>
    </row>
    <row r="739" spans="2:5" x14ac:dyDescent="0.3">
      <c r="B739" s="4">
        <f t="shared" si="22"/>
        <v>737</v>
      </c>
      <c r="C739" s="10" t="s">
        <v>693</v>
      </c>
      <c r="D739" s="4" t="str">
        <f t="shared" si="23"/>
        <v>0000737</v>
      </c>
      <c r="E739" s="4">
        <f>COUNTIF(Table1[Malın adı],Table1[[#This Row],[Malın adı]])</f>
        <v>1</v>
      </c>
    </row>
    <row r="740" spans="2:5" x14ac:dyDescent="0.3">
      <c r="B740" s="4">
        <f t="shared" si="22"/>
        <v>738</v>
      </c>
      <c r="C740" s="10" t="s">
        <v>694</v>
      </c>
      <c r="D740" s="4" t="str">
        <f t="shared" si="23"/>
        <v>0000738</v>
      </c>
      <c r="E740" s="4">
        <f>COUNTIF(Table1[Malın adı],Table1[[#This Row],[Malın adı]])</f>
        <v>1</v>
      </c>
    </row>
    <row r="741" spans="2:5" x14ac:dyDescent="0.3">
      <c r="B741" s="4">
        <f t="shared" si="22"/>
        <v>739</v>
      </c>
      <c r="C741" s="10" t="s">
        <v>695</v>
      </c>
      <c r="D741" s="4" t="str">
        <f t="shared" si="23"/>
        <v>0000739</v>
      </c>
      <c r="E741" s="4">
        <f>COUNTIF(Table1[Malın adı],Table1[[#This Row],[Malın adı]])</f>
        <v>1</v>
      </c>
    </row>
    <row r="742" spans="2:5" x14ac:dyDescent="0.3">
      <c r="B742" s="4">
        <f t="shared" si="22"/>
        <v>740</v>
      </c>
      <c r="C742" s="10" t="s">
        <v>696</v>
      </c>
      <c r="D742" s="4" t="str">
        <f t="shared" si="23"/>
        <v>0000740</v>
      </c>
      <c r="E742" s="4">
        <f>COUNTIF(Table1[Malın adı],Table1[[#This Row],[Malın adı]])</f>
        <v>1</v>
      </c>
    </row>
    <row r="743" spans="2:5" x14ac:dyDescent="0.3">
      <c r="B743" s="4">
        <f t="shared" si="22"/>
        <v>741</v>
      </c>
      <c r="C743" s="10" t="s">
        <v>697</v>
      </c>
      <c r="D743" s="4" t="str">
        <f t="shared" si="23"/>
        <v>0000741</v>
      </c>
      <c r="E743" s="4">
        <f>COUNTIF(Table1[Malın adı],Table1[[#This Row],[Malın adı]])</f>
        <v>1</v>
      </c>
    </row>
    <row r="744" spans="2:5" x14ac:dyDescent="0.3">
      <c r="B744" s="4">
        <f t="shared" si="22"/>
        <v>742</v>
      </c>
      <c r="C744" s="10" t="s">
        <v>698</v>
      </c>
      <c r="D744" s="4" t="str">
        <f t="shared" si="23"/>
        <v>0000742</v>
      </c>
      <c r="E744" s="4">
        <f>COUNTIF(Table1[Malın adı],Table1[[#This Row],[Malın adı]])</f>
        <v>1</v>
      </c>
    </row>
    <row r="745" spans="2:5" x14ac:dyDescent="0.3">
      <c r="B745" s="4">
        <f t="shared" si="22"/>
        <v>743</v>
      </c>
      <c r="C745" s="10" t="s">
        <v>699</v>
      </c>
      <c r="D745" s="4" t="str">
        <f t="shared" si="23"/>
        <v>0000743</v>
      </c>
      <c r="E745" s="4">
        <f>COUNTIF(Table1[Malın adı],Table1[[#This Row],[Malın adı]])</f>
        <v>1</v>
      </c>
    </row>
    <row r="746" spans="2:5" x14ac:dyDescent="0.3">
      <c r="B746" s="4">
        <f t="shared" si="22"/>
        <v>744</v>
      </c>
      <c r="C746" s="10" t="s">
        <v>700</v>
      </c>
      <c r="D746" s="4" t="str">
        <f t="shared" si="23"/>
        <v>0000744</v>
      </c>
      <c r="E746" s="4">
        <f>COUNTIF(Table1[Malın adı],Table1[[#This Row],[Malın adı]])</f>
        <v>1</v>
      </c>
    </row>
    <row r="747" spans="2:5" x14ac:dyDescent="0.3">
      <c r="B747" s="4">
        <f t="shared" si="22"/>
        <v>745</v>
      </c>
      <c r="C747" s="10" t="s">
        <v>701</v>
      </c>
      <c r="D747" s="4" t="str">
        <f t="shared" si="23"/>
        <v>0000745</v>
      </c>
      <c r="E747" s="4">
        <f>COUNTIF(Table1[Malın adı],Table1[[#This Row],[Malın adı]])</f>
        <v>1</v>
      </c>
    </row>
    <row r="748" spans="2:5" x14ac:dyDescent="0.3">
      <c r="B748" s="4">
        <f t="shared" si="22"/>
        <v>746</v>
      </c>
      <c r="C748" s="10" t="s">
        <v>702</v>
      </c>
      <c r="D748" s="4" t="str">
        <f t="shared" si="23"/>
        <v>0000746</v>
      </c>
      <c r="E748" s="4">
        <f>COUNTIF(Table1[Malın adı],Table1[[#This Row],[Malın adı]])</f>
        <v>1</v>
      </c>
    </row>
    <row r="749" spans="2:5" x14ac:dyDescent="0.3">
      <c r="B749" s="4">
        <f t="shared" si="22"/>
        <v>747</v>
      </c>
      <c r="C749" s="10" t="s">
        <v>703</v>
      </c>
      <c r="D749" s="4" t="str">
        <f t="shared" si="23"/>
        <v>0000747</v>
      </c>
      <c r="E749" s="4">
        <f>COUNTIF(Table1[Malın adı],Table1[[#This Row],[Malın adı]])</f>
        <v>1</v>
      </c>
    </row>
    <row r="750" spans="2:5" x14ac:dyDescent="0.3">
      <c r="B750" s="4">
        <f t="shared" si="22"/>
        <v>748</v>
      </c>
      <c r="C750" s="10" t="s">
        <v>704</v>
      </c>
      <c r="D750" s="4" t="str">
        <f t="shared" si="23"/>
        <v>0000748</v>
      </c>
      <c r="E750" s="4">
        <f>COUNTIF(Table1[Malın adı],Table1[[#This Row],[Malın adı]])</f>
        <v>1</v>
      </c>
    </row>
    <row r="751" spans="2:5" x14ac:dyDescent="0.3">
      <c r="B751" s="4">
        <f t="shared" si="22"/>
        <v>749</v>
      </c>
      <c r="C751" s="10" t="s">
        <v>705</v>
      </c>
      <c r="D751" s="4" t="str">
        <f t="shared" si="23"/>
        <v>0000749</v>
      </c>
      <c r="E751" s="4">
        <f>COUNTIF(Table1[Malın adı],Table1[[#This Row],[Malın adı]])</f>
        <v>1</v>
      </c>
    </row>
    <row r="752" spans="2:5" x14ac:dyDescent="0.3">
      <c r="B752" s="4">
        <f t="shared" si="22"/>
        <v>750</v>
      </c>
      <c r="C752" s="10" t="s">
        <v>706</v>
      </c>
      <c r="D752" s="4" t="str">
        <f t="shared" si="23"/>
        <v>0000750</v>
      </c>
      <c r="E752" s="4">
        <f>COUNTIF(Table1[Malın adı],Table1[[#This Row],[Malın adı]])</f>
        <v>1</v>
      </c>
    </row>
    <row r="753" spans="2:5" x14ac:dyDescent="0.3">
      <c r="B753" s="4">
        <f t="shared" si="22"/>
        <v>751</v>
      </c>
      <c r="C753" s="10" t="s">
        <v>707</v>
      </c>
      <c r="D753" s="4" t="str">
        <f t="shared" si="23"/>
        <v>0000751</v>
      </c>
      <c r="E753" s="4">
        <f>COUNTIF(Table1[Malın adı],Table1[[#This Row],[Malın adı]])</f>
        <v>1</v>
      </c>
    </row>
    <row r="754" spans="2:5" x14ac:dyDescent="0.3">
      <c r="B754" s="4">
        <f t="shared" si="22"/>
        <v>752</v>
      </c>
      <c r="C754" s="10" t="s">
        <v>708</v>
      </c>
      <c r="D754" s="4" t="str">
        <f t="shared" si="23"/>
        <v>0000752</v>
      </c>
      <c r="E754" s="4">
        <f>COUNTIF(Table1[Malın adı],Table1[[#This Row],[Malın adı]])</f>
        <v>1</v>
      </c>
    </row>
    <row r="755" spans="2:5" x14ac:dyDescent="0.3">
      <c r="B755" s="4">
        <f t="shared" si="22"/>
        <v>753</v>
      </c>
      <c r="C755" s="10" t="s">
        <v>2488</v>
      </c>
      <c r="D755" s="4" t="str">
        <f t="shared" si="23"/>
        <v>0000753</v>
      </c>
      <c r="E755" s="4">
        <f>COUNTIF(Table1[Malın adı],Table1[[#This Row],[Malın adı]])</f>
        <v>1</v>
      </c>
    </row>
    <row r="756" spans="2:5" x14ac:dyDescent="0.3">
      <c r="B756" s="4">
        <f t="shared" si="22"/>
        <v>754</v>
      </c>
      <c r="C756" s="10" t="s">
        <v>2489</v>
      </c>
      <c r="D756" s="4" t="str">
        <f t="shared" si="23"/>
        <v>0000754</v>
      </c>
      <c r="E756" s="4">
        <f>COUNTIF(Table1[Malın adı],Table1[[#This Row],[Malın adı]])</f>
        <v>1</v>
      </c>
    </row>
    <row r="757" spans="2:5" x14ac:dyDescent="0.3">
      <c r="B757" s="4">
        <f t="shared" si="22"/>
        <v>755</v>
      </c>
      <c r="C757" s="10" t="s">
        <v>2490</v>
      </c>
      <c r="D757" s="4" t="str">
        <f t="shared" si="23"/>
        <v>0000755</v>
      </c>
      <c r="E757" s="4">
        <f>COUNTIF(Table1[Malın adı],Table1[[#This Row],[Malın adı]])</f>
        <v>1</v>
      </c>
    </row>
    <row r="758" spans="2:5" x14ac:dyDescent="0.3">
      <c r="B758" s="4">
        <f t="shared" si="22"/>
        <v>756</v>
      </c>
      <c r="C758" s="10" t="s">
        <v>709</v>
      </c>
      <c r="D758" s="4" t="str">
        <f t="shared" si="23"/>
        <v>0000756</v>
      </c>
      <c r="E758" s="4">
        <f>COUNTIF(Table1[Malın adı],Table1[[#This Row],[Malın adı]])</f>
        <v>1</v>
      </c>
    </row>
    <row r="759" spans="2:5" x14ac:dyDescent="0.3">
      <c r="B759" s="4">
        <f t="shared" si="22"/>
        <v>757</v>
      </c>
      <c r="C759" s="10" t="s">
        <v>710</v>
      </c>
      <c r="D759" s="4" t="str">
        <f t="shared" si="23"/>
        <v>0000757</v>
      </c>
      <c r="E759" s="4">
        <f>COUNTIF(Table1[Malın adı],Table1[[#This Row],[Malın adı]])</f>
        <v>1</v>
      </c>
    </row>
    <row r="760" spans="2:5" x14ac:dyDescent="0.3">
      <c r="B760" s="4">
        <f t="shared" si="22"/>
        <v>758</v>
      </c>
      <c r="C760" s="10" t="s">
        <v>711</v>
      </c>
      <c r="D760" s="4" t="str">
        <f t="shared" si="23"/>
        <v>0000758</v>
      </c>
      <c r="E760" s="4">
        <f>COUNTIF(Table1[Malın adı],Table1[[#This Row],[Malın adı]])</f>
        <v>1</v>
      </c>
    </row>
    <row r="761" spans="2:5" x14ac:dyDescent="0.3">
      <c r="B761" s="4">
        <f t="shared" si="22"/>
        <v>759</v>
      </c>
      <c r="C761" s="10" t="s">
        <v>712</v>
      </c>
      <c r="D761" s="4" t="str">
        <f t="shared" si="23"/>
        <v>0000759</v>
      </c>
      <c r="E761" s="4">
        <f>COUNTIF(Table1[Malın adı],Table1[[#This Row],[Malın adı]])</f>
        <v>1</v>
      </c>
    </row>
    <row r="762" spans="2:5" x14ac:dyDescent="0.3">
      <c r="B762" s="4">
        <f t="shared" si="22"/>
        <v>760</v>
      </c>
      <c r="C762" s="10" t="s">
        <v>2491</v>
      </c>
      <c r="D762" s="4" t="str">
        <f t="shared" si="23"/>
        <v>0000760</v>
      </c>
      <c r="E762" s="4">
        <f>COUNTIF(Table1[Malın adı],Table1[[#This Row],[Malın adı]])</f>
        <v>1</v>
      </c>
    </row>
    <row r="763" spans="2:5" x14ac:dyDescent="0.3">
      <c r="B763" s="4">
        <f t="shared" si="22"/>
        <v>761</v>
      </c>
      <c r="C763" s="10" t="s">
        <v>713</v>
      </c>
      <c r="D763" s="4" t="str">
        <f t="shared" si="23"/>
        <v>0000761</v>
      </c>
      <c r="E763" s="4">
        <f>COUNTIF(Table1[Malın adı],Table1[[#This Row],[Malın adı]])</f>
        <v>1</v>
      </c>
    </row>
    <row r="764" spans="2:5" x14ac:dyDescent="0.3">
      <c r="B764" s="4">
        <f t="shared" si="22"/>
        <v>762</v>
      </c>
      <c r="C764" s="10" t="s">
        <v>714</v>
      </c>
      <c r="D764" s="4" t="str">
        <f t="shared" si="23"/>
        <v>0000762</v>
      </c>
      <c r="E764" s="4">
        <f>COUNTIF(Table1[Malın adı],Table1[[#This Row],[Malın adı]])</f>
        <v>1</v>
      </c>
    </row>
    <row r="765" spans="2:5" x14ac:dyDescent="0.3">
      <c r="B765" s="4">
        <f t="shared" si="22"/>
        <v>763</v>
      </c>
      <c r="C765" s="10" t="s">
        <v>2331</v>
      </c>
      <c r="D765" s="4" t="str">
        <f t="shared" si="23"/>
        <v>0000763</v>
      </c>
      <c r="E765" s="4">
        <f>COUNTIF(Table1[Malın adı],Table1[[#This Row],[Malın adı]])</f>
        <v>1</v>
      </c>
    </row>
    <row r="766" spans="2:5" x14ac:dyDescent="0.3">
      <c r="B766" s="4">
        <f t="shared" si="22"/>
        <v>764</v>
      </c>
      <c r="C766" s="10" t="s">
        <v>715</v>
      </c>
      <c r="D766" s="4" t="str">
        <f t="shared" si="23"/>
        <v>0000764</v>
      </c>
      <c r="E766" s="4">
        <f>COUNTIF(Table1[Malın adı],Table1[[#This Row],[Malın adı]])</f>
        <v>1</v>
      </c>
    </row>
    <row r="767" spans="2:5" x14ac:dyDescent="0.3">
      <c r="B767" s="4">
        <f t="shared" si="22"/>
        <v>765</v>
      </c>
      <c r="C767" s="10" t="s">
        <v>716</v>
      </c>
      <c r="D767" s="4" t="str">
        <f t="shared" si="23"/>
        <v>0000765</v>
      </c>
      <c r="E767" s="4">
        <f>COUNTIF(Table1[Malın adı],Table1[[#This Row],[Malın adı]])</f>
        <v>1</v>
      </c>
    </row>
    <row r="768" spans="2:5" x14ac:dyDescent="0.3">
      <c r="B768" s="4">
        <f t="shared" si="22"/>
        <v>766</v>
      </c>
      <c r="C768" s="10" t="s">
        <v>717</v>
      </c>
      <c r="D768" s="4" t="str">
        <f t="shared" si="23"/>
        <v>0000766</v>
      </c>
      <c r="E768" s="4">
        <f>COUNTIF(Table1[Malın adı],Table1[[#This Row],[Malın adı]])</f>
        <v>1</v>
      </c>
    </row>
    <row r="769" spans="2:5" x14ac:dyDescent="0.3">
      <c r="B769" s="4">
        <f t="shared" si="22"/>
        <v>767</v>
      </c>
      <c r="C769" s="10" t="s">
        <v>718</v>
      </c>
      <c r="D769" s="4" t="str">
        <f t="shared" si="23"/>
        <v>0000767</v>
      </c>
      <c r="E769" s="4">
        <f>COUNTIF(Table1[Malın adı],Table1[[#This Row],[Malın adı]])</f>
        <v>1</v>
      </c>
    </row>
    <row r="770" spans="2:5" x14ac:dyDescent="0.3">
      <c r="B770" s="4">
        <f t="shared" si="22"/>
        <v>768</v>
      </c>
      <c r="C770" s="10" t="s">
        <v>719</v>
      </c>
      <c r="D770" s="4" t="str">
        <f t="shared" si="23"/>
        <v>0000768</v>
      </c>
      <c r="E770" s="4">
        <f>COUNTIF(Table1[Malın adı],Table1[[#This Row],[Malın adı]])</f>
        <v>1</v>
      </c>
    </row>
    <row r="771" spans="2:5" x14ac:dyDescent="0.3">
      <c r="B771" s="4">
        <f t="shared" ref="B771:B834" si="24">ROW()-2</f>
        <v>769</v>
      </c>
      <c r="C771" s="10" t="s">
        <v>720</v>
      </c>
      <c r="D771" s="4" t="str">
        <f t="shared" ref="D771:D834" si="25">TEXT(ROW()-2,"0000000")</f>
        <v>0000769</v>
      </c>
      <c r="E771" s="4">
        <f>COUNTIF(Table1[Malın adı],Table1[[#This Row],[Malın adı]])</f>
        <v>1</v>
      </c>
    </row>
    <row r="772" spans="2:5" x14ac:dyDescent="0.3">
      <c r="B772" s="4">
        <f t="shared" si="24"/>
        <v>770</v>
      </c>
      <c r="C772" s="10" t="s">
        <v>721</v>
      </c>
      <c r="D772" s="4" t="str">
        <f t="shared" si="25"/>
        <v>0000770</v>
      </c>
      <c r="E772" s="4">
        <f>COUNTIF(Table1[Malın adı],Table1[[#This Row],[Malın adı]])</f>
        <v>1</v>
      </c>
    </row>
    <row r="773" spans="2:5" x14ac:dyDescent="0.3">
      <c r="B773" s="4">
        <f t="shared" si="24"/>
        <v>771</v>
      </c>
      <c r="C773" s="10" t="s">
        <v>722</v>
      </c>
      <c r="D773" s="4" t="str">
        <f t="shared" si="25"/>
        <v>0000771</v>
      </c>
      <c r="E773" s="4">
        <f>COUNTIF(Table1[Malın adı],Table1[[#This Row],[Malın adı]])</f>
        <v>1</v>
      </c>
    </row>
    <row r="774" spans="2:5" x14ac:dyDescent="0.3">
      <c r="B774" s="4">
        <f t="shared" si="24"/>
        <v>772</v>
      </c>
      <c r="C774" s="10" t="s">
        <v>723</v>
      </c>
      <c r="D774" s="4" t="str">
        <f t="shared" si="25"/>
        <v>0000772</v>
      </c>
      <c r="E774" s="4">
        <f>COUNTIF(Table1[Malın adı],Table1[[#This Row],[Malın adı]])</f>
        <v>1</v>
      </c>
    </row>
    <row r="775" spans="2:5" x14ac:dyDescent="0.3">
      <c r="B775" s="4">
        <f t="shared" si="24"/>
        <v>773</v>
      </c>
      <c r="C775" s="10" t="s">
        <v>724</v>
      </c>
      <c r="D775" s="4" t="str">
        <f t="shared" si="25"/>
        <v>0000773</v>
      </c>
      <c r="E775" s="4">
        <f>COUNTIF(Table1[Malın adı],Table1[[#This Row],[Malın adı]])</f>
        <v>1</v>
      </c>
    </row>
    <row r="776" spans="2:5" x14ac:dyDescent="0.3">
      <c r="B776" s="4">
        <f t="shared" si="24"/>
        <v>774</v>
      </c>
      <c r="C776" s="10" t="s">
        <v>725</v>
      </c>
      <c r="D776" s="4" t="str">
        <f t="shared" si="25"/>
        <v>0000774</v>
      </c>
      <c r="E776" s="4">
        <f>COUNTIF(Table1[Malın adı],Table1[[#This Row],[Malın adı]])</f>
        <v>1</v>
      </c>
    </row>
    <row r="777" spans="2:5" x14ac:dyDescent="0.3">
      <c r="B777" s="4">
        <f t="shared" si="24"/>
        <v>775</v>
      </c>
      <c r="C777" s="10" t="s">
        <v>726</v>
      </c>
      <c r="D777" s="4" t="str">
        <f t="shared" si="25"/>
        <v>0000775</v>
      </c>
      <c r="E777" s="4">
        <f>COUNTIF(Table1[Malın adı],Table1[[#This Row],[Malın adı]])</f>
        <v>1</v>
      </c>
    </row>
    <row r="778" spans="2:5" x14ac:dyDescent="0.3">
      <c r="B778" s="4">
        <f t="shared" si="24"/>
        <v>776</v>
      </c>
      <c r="C778" s="10" t="s">
        <v>727</v>
      </c>
      <c r="D778" s="4" t="str">
        <f t="shared" si="25"/>
        <v>0000776</v>
      </c>
      <c r="E778" s="4">
        <f>COUNTIF(Table1[Malın adı],Table1[[#This Row],[Malın adı]])</f>
        <v>1</v>
      </c>
    </row>
    <row r="779" spans="2:5" x14ac:dyDescent="0.3">
      <c r="B779" s="4">
        <f t="shared" si="24"/>
        <v>777</v>
      </c>
      <c r="C779" s="10" t="s">
        <v>728</v>
      </c>
      <c r="D779" s="4" t="str">
        <f t="shared" si="25"/>
        <v>0000777</v>
      </c>
      <c r="E779" s="4">
        <f>COUNTIF(Table1[Malın adı],Table1[[#This Row],[Malın adı]])</f>
        <v>1</v>
      </c>
    </row>
    <row r="780" spans="2:5" x14ac:dyDescent="0.3">
      <c r="B780" s="4">
        <f t="shared" si="24"/>
        <v>778</v>
      </c>
      <c r="C780" s="10" t="s">
        <v>729</v>
      </c>
      <c r="D780" s="4" t="str">
        <f t="shared" si="25"/>
        <v>0000778</v>
      </c>
      <c r="E780" s="4">
        <f>COUNTIF(Table1[Malın adı],Table1[[#This Row],[Malın adı]])</f>
        <v>1</v>
      </c>
    </row>
    <row r="781" spans="2:5" x14ac:dyDescent="0.3">
      <c r="B781" s="4">
        <f t="shared" si="24"/>
        <v>779</v>
      </c>
      <c r="C781" s="10" t="s">
        <v>730</v>
      </c>
      <c r="D781" s="4" t="str">
        <f t="shared" si="25"/>
        <v>0000779</v>
      </c>
      <c r="E781" s="4">
        <f>COUNTIF(Table1[Malın adı],Table1[[#This Row],[Malın adı]])</f>
        <v>1</v>
      </c>
    </row>
    <row r="782" spans="2:5" x14ac:dyDescent="0.3">
      <c r="B782" s="4">
        <f t="shared" si="24"/>
        <v>780</v>
      </c>
      <c r="C782" s="10" t="s">
        <v>731</v>
      </c>
      <c r="D782" s="4" t="str">
        <f t="shared" si="25"/>
        <v>0000780</v>
      </c>
      <c r="E782" s="4">
        <f>COUNTIF(Table1[Malın adı],Table1[[#This Row],[Malın adı]])</f>
        <v>1</v>
      </c>
    </row>
    <row r="783" spans="2:5" x14ac:dyDescent="0.3">
      <c r="B783" s="4">
        <f t="shared" si="24"/>
        <v>781</v>
      </c>
      <c r="C783" s="10" t="s">
        <v>732</v>
      </c>
      <c r="D783" s="4" t="str">
        <f t="shared" si="25"/>
        <v>0000781</v>
      </c>
      <c r="E783" s="4">
        <f>COUNTIF(Table1[Malın adı],Table1[[#This Row],[Malın adı]])</f>
        <v>1</v>
      </c>
    </row>
    <row r="784" spans="2:5" x14ac:dyDescent="0.3">
      <c r="B784" s="4">
        <f t="shared" si="24"/>
        <v>782</v>
      </c>
      <c r="C784" s="10" t="s">
        <v>733</v>
      </c>
      <c r="D784" s="4" t="str">
        <f t="shared" si="25"/>
        <v>0000782</v>
      </c>
      <c r="E784" s="4">
        <f>COUNTIF(Table1[Malın adı],Table1[[#This Row],[Malın adı]])</f>
        <v>1</v>
      </c>
    </row>
    <row r="785" spans="2:5" x14ac:dyDescent="0.3">
      <c r="B785" s="4">
        <f t="shared" si="24"/>
        <v>783</v>
      </c>
      <c r="C785" s="10" t="s">
        <v>734</v>
      </c>
      <c r="D785" s="4" t="str">
        <f t="shared" si="25"/>
        <v>0000783</v>
      </c>
      <c r="E785" s="4">
        <f>COUNTIF(Table1[Malın adı],Table1[[#This Row],[Malın adı]])</f>
        <v>1</v>
      </c>
    </row>
    <row r="786" spans="2:5" x14ac:dyDescent="0.3">
      <c r="B786" s="4">
        <f t="shared" si="24"/>
        <v>784</v>
      </c>
      <c r="C786" s="10" t="s">
        <v>735</v>
      </c>
      <c r="D786" s="4" t="str">
        <f t="shared" si="25"/>
        <v>0000784</v>
      </c>
      <c r="E786" s="4">
        <f>COUNTIF(Table1[Malın adı],Table1[[#This Row],[Malın adı]])</f>
        <v>1</v>
      </c>
    </row>
    <row r="787" spans="2:5" x14ac:dyDescent="0.3">
      <c r="B787" s="4">
        <f t="shared" si="24"/>
        <v>785</v>
      </c>
      <c r="C787" s="10" t="s">
        <v>736</v>
      </c>
      <c r="D787" s="4" t="str">
        <f t="shared" si="25"/>
        <v>0000785</v>
      </c>
      <c r="E787" s="4">
        <f>COUNTIF(Table1[Malın adı],Table1[[#This Row],[Malın adı]])</f>
        <v>1</v>
      </c>
    </row>
    <row r="788" spans="2:5" x14ac:dyDescent="0.3">
      <c r="B788" s="4">
        <f t="shared" si="24"/>
        <v>786</v>
      </c>
      <c r="C788" s="10" t="s">
        <v>737</v>
      </c>
      <c r="D788" s="4" t="str">
        <f t="shared" si="25"/>
        <v>0000786</v>
      </c>
      <c r="E788" s="4">
        <f>COUNTIF(Table1[Malın adı],Table1[[#This Row],[Malın adı]])</f>
        <v>1</v>
      </c>
    </row>
    <row r="789" spans="2:5" x14ac:dyDescent="0.3">
      <c r="B789" s="4">
        <f t="shared" si="24"/>
        <v>787</v>
      </c>
      <c r="C789" s="10" t="s">
        <v>738</v>
      </c>
      <c r="D789" s="4" t="str">
        <f t="shared" si="25"/>
        <v>0000787</v>
      </c>
      <c r="E789" s="4">
        <f>COUNTIF(Table1[Malın adı],Table1[[#This Row],[Malın adı]])</f>
        <v>1</v>
      </c>
    </row>
    <row r="790" spans="2:5" x14ac:dyDescent="0.3">
      <c r="B790" s="4">
        <f t="shared" si="24"/>
        <v>788</v>
      </c>
      <c r="C790" s="10" t="s">
        <v>739</v>
      </c>
      <c r="D790" s="4" t="str">
        <f t="shared" si="25"/>
        <v>0000788</v>
      </c>
      <c r="E790" s="4">
        <f>COUNTIF(Table1[Malın adı],Table1[[#This Row],[Malın adı]])</f>
        <v>1</v>
      </c>
    </row>
    <row r="791" spans="2:5" x14ac:dyDescent="0.3">
      <c r="B791" s="4">
        <f t="shared" si="24"/>
        <v>789</v>
      </c>
      <c r="C791" s="10" t="s">
        <v>740</v>
      </c>
      <c r="D791" s="4" t="str">
        <f t="shared" si="25"/>
        <v>0000789</v>
      </c>
      <c r="E791" s="4">
        <f>COUNTIF(Table1[Malın adı],Table1[[#This Row],[Malın adı]])</f>
        <v>1</v>
      </c>
    </row>
    <row r="792" spans="2:5" x14ac:dyDescent="0.3">
      <c r="B792" s="4">
        <f t="shared" si="24"/>
        <v>790</v>
      </c>
      <c r="C792" s="10" t="s">
        <v>741</v>
      </c>
      <c r="D792" s="4" t="str">
        <f t="shared" si="25"/>
        <v>0000790</v>
      </c>
      <c r="E792" s="4">
        <f>COUNTIF(Table1[Malın adı],Table1[[#This Row],[Malın adı]])</f>
        <v>1</v>
      </c>
    </row>
    <row r="793" spans="2:5" x14ac:dyDescent="0.3">
      <c r="B793" s="4">
        <f t="shared" si="24"/>
        <v>791</v>
      </c>
      <c r="C793" s="10" t="s">
        <v>742</v>
      </c>
      <c r="D793" s="4" t="str">
        <f t="shared" si="25"/>
        <v>0000791</v>
      </c>
      <c r="E793" s="4">
        <f>COUNTIF(Table1[Malın adı],Table1[[#This Row],[Malın adı]])</f>
        <v>1</v>
      </c>
    </row>
    <row r="794" spans="2:5" x14ac:dyDescent="0.3">
      <c r="B794" s="4">
        <f t="shared" si="24"/>
        <v>792</v>
      </c>
      <c r="C794" s="10" t="s">
        <v>743</v>
      </c>
      <c r="D794" s="4" t="str">
        <f t="shared" si="25"/>
        <v>0000792</v>
      </c>
      <c r="E794" s="4">
        <f>COUNTIF(Table1[Malın adı],Table1[[#This Row],[Malın adı]])</f>
        <v>1</v>
      </c>
    </row>
    <row r="795" spans="2:5" x14ac:dyDescent="0.3">
      <c r="B795" s="4">
        <f t="shared" si="24"/>
        <v>793</v>
      </c>
      <c r="C795" s="10" t="s">
        <v>744</v>
      </c>
      <c r="D795" s="4" t="str">
        <f t="shared" si="25"/>
        <v>0000793</v>
      </c>
      <c r="E795" s="4">
        <f>COUNTIF(Table1[Malın adı],Table1[[#This Row],[Malın adı]])</f>
        <v>1</v>
      </c>
    </row>
    <row r="796" spans="2:5" x14ac:dyDescent="0.3">
      <c r="B796" s="4">
        <f t="shared" si="24"/>
        <v>794</v>
      </c>
      <c r="C796" s="10" t="s">
        <v>745</v>
      </c>
      <c r="D796" s="4" t="str">
        <f t="shared" si="25"/>
        <v>0000794</v>
      </c>
      <c r="E796" s="4">
        <f>COUNTIF(Table1[Malın adı],Table1[[#This Row],[Malın adı]])</f>
        <v>1</v>
      </c>
    </row>
    <row r="797" spans="2:5" x14ac:dyDescent="0.3">
      <c r="B797" s="4">
        <f t="shared" si="24"/>
        <v>795</v>
      </c>
      <c r="C797" s="10" t="s">
        <v>746</v>
      </c>
      <c r="D797" s="4" t="str">
        <f t="shared" si="25"/>
        <v>0000795</v>
      </c>
      <c r="E797" s="4">
        <f>COUNTIF(Table1[Malın adı],Table1[[#This Row],[Malın adı]])</f>
        <v>1</v>
      </c>
    </row>
    <row r="798" spans="2:5" x14ac:dyDescent="0.3">
      <c r="B798" s="4">
        <f t="shared" si="24"/>
        <v>796</v>
      </c>
      <c r="C798" s="10" t="s">
        <v>747</v>
      </c>
      <c r="D798" s="4" t="str">
        <f t="shared" si="25"/>
        <v>0000796</v>
      </c>
      <c r="E798" s="4">
        <f>COUNTIF(Table1[Malın adı],Table1[[#This Row],[Malın adı]])</f>
        <v>1</v>
      </c>
    </row>
    <row r="799" spans="2:5" x14ac:dyDescent="0.3">
      <c r="B799" s="4">
        <f t="shared" si="24"/>
        <v>797</v>
      </c>
      <c r="C799" s="10" t="s">
        <v>748</v>
      </c>
      <c r="D799" s="4" t="str">
        <f t="shared" si="25"/>
        <v>0000797</v>
      </c>
      <c r="E799" s="4">
        <f>COUNTIF(Table1[Malın adı],Table1[[#This Row],[Malın adı]])</f>
        <v>1</v>
      </c>
    </row>
    <row r="800" spans="2:5" x14ac:dyDescent="0.3">
      <c r="B800" s="4">
        <f t="shared" si="24"/>
        <v>798</v>
      </c>
      <c r="C800" s="10" t="s">
        <v>749</v>
      </c>
      <c r="D800" s="4" t="str">
        <f t="shared" si="25"/>
        <v>0000798</v>
      </c>
      <c r="E800" s="4">
        <f>COUNTIF(Table1[Malın adı],Table1[[#This Row],[Malın adı]])</f>
        <v>1</v>
      </c>
    </row>
    <row r="801" spans="2:5" x14ac:dyDescent="0.3">
      <c r="B801" s="4">
        <f t="shared" si="24"/>
        <v>799</v>
      </c>
      <c r="C801" s="10" t="s">
        <v>750</v>
      </c>
      <c r="D801" s="4" t="str">
        <f t="shared" si="25"/>
        <v>0000799</v>
      </c>
      <c r="E801" s="4">
        <f>COUNTIF(Table1[Malın adı],Table1[[#This Row],[Malın adı]])</f>
        <v>1</v>
      </c>
    </row>
    <row r="802" spans="2:5" x14ac:dyDescent="0.3">
      <c r="B802" s="4">
        <f t="shared" si="24"/>
        <v>800</v>
      </c>
      <c r="C802" s="10" t="s">
        <v>751</v>
      </c>
      <c r="D802" s="4" t="str">
        <f t="shared" si="25"/>
        <v>0000800</v>
      </c>
      <c r="E802" s="4">
        <f>COUNTIF(Table1[Malın adı],Table1[[#This Row],[Malın adı]])</f>
        <v>1</v>
      </c>
    </row>
    <row r="803" spans="2:5" x14ac:dyDescent="0.3">
      <c r="B803" s="4">
        <f t="shared" si="24"/>
        <v>801</v>
      </c>
      <c r="C803" s="10" t="s">
        <v>752</v>
      </c>
      <c r="D803" s="4" t="str">
        <f t="shared" si="25"/>
        <v>0000801</v>
      </c>
      <c r="E803" s="4">
        <f>COUNTIF(Table1[Malın adı],Table1[[#This Row],[Malın adı]])</f>
        <v>1</v>
      </c>
    </row>
    <row r="804" spans="2:5" x14ac:dyDescent="0.3">
      <c r="B804" s="4">
        <f t="shared" si="24"/>
        <v>802</v>
      </c>
      <c r="C804" s="10" t="s">
        <v>753</v>
      </c>
      <c r="D804" s="4" t="str">
        <f t="shared" si="25"/>
        <v>0000802</v>
      </c>
      <c r="E804" s="4">
        <f>COUNTIF(Table1[Malın adı],Table1[[#This Row],[Malın adı]])</f>
        <v>1</v>
      </c>
    </row>
    <row r="805" spans="2:5" x14ac:dyDescent="0.3">
      <c r="B805" s="4">
        <f t="shared" si="24"/>
        <v>803</v>
      </c>
      <c r="C805" s="10" t="s">
        <v>754</v>
      </c>
      <c r="D805" s="4" t="str">
        <f t="shared" si="25"/>
        <v>0000803</v>
      </c>
      <c r="E805" s="4">
        <f>COUNTIF(Table1[Malın adı],Table1[[#This Row],[Malın adı]])</f>
        <v>1</v>
      </c>
    </row>
    <row r="806" spans="2:5" x14ac:dyDescent="0.3">
      <c r="B806" s="4">
        <f t="shared" si="24"/>
        <v>804</v>
      </c>
      <c r="C806" s="10" t="s">
        <v>755</v>
      </c>
      <c r="D806" s="4" t="str">
        <f t="shared" si="25"/>
        <v>0000804</v>
      </c>
      <c r="E806" s="4">
        <f>COUNTIF(Table1[Malın adı],Table1[[#This Row],[Malın adı]])</f>
        <v>1</v>
      </c>
    </row>
    <row r="807" spans="2:5" x14ac:dyDescent="0.3">
      <c r="B807" s="4">
        <f t="shared" si="24"/>
        <v>805</v>
      </c>
      <c r="C807" s="10" t="s">
        <v>756</v>
      </c>
      <c r="D807" s="4" t="str">
        <f t="shared" si="25"/>
        <v>0000805</v>
      </c>
      <c r="E807" s="4">
        <f>COUNTIF(Table1[Malın adı],Table1[[#This Row],[Malın adı]])</f>
        <v>1</v>
      </c>
    </row>
    <row r="808" spans="2:5" x14ac:dyDescent="0.3">
      <c r="B808" s="4">
        <f t="shared" si="24"/>
        <v>806</v>
      </c>
      <c r="C808" s="10" t="s">
        <v>757</v>
      </c>
      <c r="D808" s="4" t="str">
        <f t="shared" si="25"/>
        <v>0000806</v>
      </c>
      <c r="E808" s="4">
        <f>COUNTIF(Table1[Malın adı],Table1[[#This Row],[Malın adı]])</f>
        <v>1</v>
      </c>
    </row>
    <row r="809" spans="2:5" x14ac:dyDescent="0.3">
      <c r="B809" s="4">
        <f t="shared" si="24"/>
        <v>807</v>
      </c>
      <c r="C809" s="10" t="s">
        <v>758</v>
      </c>
      <c r="D809" s="4" t="str">
        <f t="shared" si="25"/>
        <v>0000807</v>
      </c>
      <c r="E809" s="4">
        <f>COUNTIF(Table1[Malın adı],Table1[[#This Row],[Malın adı]])</f>
        <v>1</v>
      </c>
    </row>
    <row r="810" spans="2:5" x14ac:dyDescent="0.3">
      <c r="B810" s="4">
        <f t="shared" si="24"/>
        <v>808</v>
      </c>
      <c r="C810" s="10" t="s">
        <v>2492</v>
      </c>
      <c r="D810" s="4" t="str">
        <f t="shared" si="25"/>
        <v>0000808</v>
      </c>
      <c r="E810" s="4">
        <f>COUNTIF(Table1[Malın adı],Table1[[#This Row],[Malın adı]])</f>
        <v>1</v>
      </c>
    </row>
    <row r="811" spans="2:5" x14ac:dyDescent="0.3">
      <c r="B811" s="4">
        <f t="shared" si="24"/>
        <v>809</v>
      </c>
      <c r="C811" s="10" t="s">
        <v>759</v>
      </c>
      <c r="D811" s="4" t="str">
        <f t="shared" si="25"/>
        <v>0000809</v>
      </c>
      <c r="E811" s="4">
        <f>COUNTIF(Table1[Malın adı],Table1[[#This Row],[Malın adı]])</f>
        <v>1</v>
      </c>
    </row>
    <row r="812" spans="2:5" x14ac:dyDescent="0.3">
      <c r="B812" s="4">
        <f t="shared" si="24"/>
        <v>810</v>
      </c>
      <c r="C812" s="10" t="s">
        <v>760</v>
      </c>
      <c r="D812" s="4" t="str">
        <f t="shared" si="25"/>
        <v>0000810</v>
      </c>
      <c r="E812" s="4">
        <f>COUNTIF(Table1[Malın adı],Table1[[#This Row],[Malın adı]])</f>
        <v>1</v>
      </c>
    </row>
    <row r="813" spans="2:5" x14ac:dyDescent="0.3">
      <c r="B813" s="4">
        <f t="shared" si="24"/>
        <v>811</v>
      </c>
      <c r="C813" s="10" t="s">
        <v>761</v>
      </c>
      <c r="D813" s="4" t="str">
        <f t="shared" si="25"/>
        <v>0000811</v>
      </c>
      <c r="E813" s="4">
        <f>COUNTIF(Table1[Malın adı],Table1[[#This Row],[Malın adı]])</f>
        <v>1</v>
      </c>
    </row>
    <row r="814" spans="2:5" x14ac:dyDescent="0.3">
      <c r="B814" s="4">
        <f t="shared" si="24"/>
        <v>812</v>
      </c>
      <c r="C814" s="10" t="s">
        <v>762</v>
      </c>
      <c r="D814" s="4" t="str">
        <f t="shared" si="25"/>
        <v>0000812</v>
      </c>
      <c r="E814" s="4">
        <f>COUNTIF(Table1[Malın adı],Table1[[#This Row],[Malın adı]])</f>
        <v>1</v>
      </c>
    </row>
    <row r="815" spans="2:5" x14ac:dyDescent="0.3">
      <c r="B815" s="4">
        <f t="shared" si="24"/>
        <v>813</v>
      </c>
      <c r="C815" s="10" t="s">
        <v>763</v>
      </c>
      <c r="D815" s="4" t="str">
        <f t="shared" si="25"/>
        <v>0000813</v>
      </c>
      <c r="E815" s="4">
        <f>COUNTIF(Table1[Malın adı],Table1[[#This Row],[Malın adı]])</f>
        <v>1</v>
      </c>
    </row>
    <row r="816" spans="2:5" x14ac:dyDescent="0.3">
      <c r="B816" s="4">
        <f t="shared" si="24"/>
        <v>814</v>
      </c>
      <c r="C816" s="10" t="s">
        <v>764</v>
      </c>
      <c r="D816" s="4" t="str">
        <f t="shared" si="25"/>
        <v>0000814</v>
      </c>
      <c r="E816" s="4">
        <f>COUNTIF(Table1[Malın adı],Table1[[#This Row],[Malın adı]])</f>
        <v>1</v>
      </c>
    </row>
    <row r="817" spans="2:5" x14ac:dyDescent="0.3">
      <c r="B817" s="4">
        <f t="shared" si="24"/>
        <v>815</v>
      </c>
      <c r="C817" s="10" t="s">
        <v>765</v>
      </c>
      <c r="D817" s="4" t="str">
        <f t="shared" si="25"/>
        <v>0000815</v>
      </c>
      <c r="E817" s="4">
        <f>COUNTIF(Table1[Malın adı],Table1[[#This Row],[Malın adı]])</f>
        <v>1</v>
      </c>
    </row>
    <row r="818" spans="2:5" x14ac:dyDescent="0.3">
      <c r="B818" s="4">
        <f t="shared" si="24"/>
        <v>816</v>
      </c>
      <c r="C818" s="10" t="s">
        <v>2337</v>
      </c>
      <c r="D818" s="4" t="str">
        <f t="shared" si="25"/>
        <v>0000816</v>
      </c>
      <c r="E818" s="4">
        <f>COUNTIF(Table1[Malın adı],Table1[[#This Row],[Malın adı]])</f>
        <v>1</v>
      </c>
    </row>
    <row r="819" spans="2:5" x14ac:dyDescent="0.3">
      <c r="B819" s="4">
        <f t="shared" si="24"/>
        <v>817</v>
      </c>
      <c r="C819" s="10" t="s">
        <v>766</v>
      </c>
      <c r="D819" s="4" t="str">
        <f t="shared" si="25"/>
        <v>0000817</v>
      </c>
      <c r="E819" s="4">
        <f>COUNTIF(Table1[Malın adı],Table1[[#This Row],[Malın adı]])</f>
        <v>1</v>
      </c>
    </row>
    <row r="820" spans="2:5" x14ac:dyDescent="0.3">
      <c r="B820" s="4">
        <f t="shared" si="24"/>
        <v>818</v>
      </c>
      <c r="C820" s="10" t="s">
        <v>767</v>
      </c>
      <c r="D820" s="4" t="str">
        <f t="shared" si="25"/>
        <v>0000818</v>
      </c>
      <c r="E820" s="4">
        <f>COUNTIF(Table1[Malın adı],Table1[[#This Row],[Malın adı]])</f>
        <v>1</v>
      </c>
    </row>
    <row r="821" spans="2:5" x14ac:dyDescent="0.3">
      <c r="B821" s="4">
        <f t="shared" si="24"/>
        <v>819</v>
      </c>
      <c r="C821" s="10" t="s">
        <v>768</v>
      </c>
      <c r="D821" s="4" t="str">
        <f t="shared" si="25"/>
        <v>0000819</v>
      </c>
      <c r="E821" s="4">
        <f>COUNTIF(Table1[Malın adı],Table1[[#This Row],[Malın adı]])</f>
        <v>1</v>
      </c>
    </row>
    <row r="822" spans="2:5" x14ac:dyDescent="0.3">
      <c r="B822" s="4">
        <f t="shared" si="24"/>
        <v>820</v>
      </c>
      <c r="C822" s="10" t="s">
        <v>769</v>
      </c>
      <c r="D822" s="4" t="str">
        <f t="shared" si="25"/>
        <v>0000820</v>
      </c>
      <c r="E822" s="4">
        <f>COUNTIF(Table1[Malın adı],Table1[[#This Row],[Malın adı]])</f>
        <v>1</v>
      </c>
    </row>
    <row r="823" spans="2:5" x14ac:dyDescent="0.3">
      <c r="B823" s="4">
        <f t="shared" si="24"/>
        <v>821</v>
      </c>
      <c r="C823" s="10" t="s">
        <v>770</v>
      </c>
      <c r="D823" s="4" t="str">
        <f t="shared" si="25"/>
        <v>0000821</v>
      </c>
      <c r="E823" s="4">
        <f>COUNTIF(Table1[Malın adı],Table1[[#This Row],[Malın adı]])</f>
        <v>1</v>
      </c>
    </row>
    <row r="824" spans="2:5" x14ac:dyDescent="0.3">
      <c r="B824" s="4">
        <f t="shared" si="24"/>
        <v>822</v>
      </c>
      <c r="C824" s="10" t="s">
        <v>771</v>
      </c>
      <c r="D824" s="4" t="str">
        <f t="shared" si="25"/>
        <v>0000822</v>
      </c>
      <c r="E824" s="4">
        <f>COUNTIF(Table1[Malın adı],Table1[[#This Row],[Malın adı]])</f>
        <v>1</v>
      </c>
    </row>
    <row r="825" spans="2:5" x14ac:dyDescent="0.3">
      <c r="B825" s="4">
        <f t="shared" si="24"/>
        <v>823</v>
      </c>
      <c r="C825" s="10" t="s">
        <v>772</v>
      </c>
      <c r="D825" s="4" t="str">
        <f t="shared" si="25"/>
        <v>0000823</v>
      </c>
      <c r="E825" s="4">
        <f>COUNTIF(Table1[Malın adı],Table1[[#This Row],[Malın adı]])</f>
        <v>1</v>
      </c>
    </row>
    <row r="826" spans="2:5" x14ac:dyDescent="0.3">
      <c r="B826" s="4">
        <f t="shared" si="24"/>
        <v>824</v>
      </c>
      <c r="C826" s="10" t="s">
        <v>2493</v>
      </c>
      <c r="D826" s="4" t="str">
        <f t="shared" si="25"/>
        <v>0000824</v>
      </c>
      <c r="E826" s="4">
        <f>COUNTIF(Table1[Malın adı],Table1[[#This Row],[Malın adı]])</f>
        <v>1</v>
      </c>
    </row>
    <row r="827" spans="2:5" x14ac:dyDescent="0.3">
      <c r="B827" s="4">
        <f t="shared" si="24"/>
        <v>825</v>
      </c>
      <c r="C827" s="10" t="s">
        <v>773</v>
      </c>
      <c r="D827" s="4" t="str">
        <f t="shared" si="25"/>
        <v>0000825</v>
      </c>
      <c r="E827" s="4">
        <f>COUNTIF(Table1[Malın adı],Table1[[#This Row],[Malın adı]])</f>
        <v>1</v>
      </c>
    </row>
    <row r="828" spans="2:5" x14ac:dyDescent="0.3">
      <c r="B828" s="4">
        <f t="shared" si="24"/>
        <v>826</v>
      </c>
      <c r="C828" s="10" t="s">
        <v>774</v>
      </c>
      <c r="D828" s="4" t="str">
        <f t="shared" si="25"/>
        <v>0000826</v>
      </c>
      <c r="E828" s="4">
        <f>COUNTIF(Table1[Malın adı],Table1[[#This Row],[Malın adı]])</f>
        <v>1</v>
      </c>
    </row>
    <row r="829" spans="2:5" x14ac:dyDescent="0.3">
      <c r="B829" s="4">
        <f t="shared" si="24"/>
        <v>827</v>
      </c>
      <c r="C829" s="10" t="s">
        <v>775</v>
      </c>
      <c r="D829" s="4" t="str">
        <f t="shared" si="25"/>
        <v>0000827</v>
      </c>
      <c r="E829" s="4">
        <f>COUNTIF(Table1[Malın adı],Table1[[#This Row],[Malın adı]])</f>
        <v>1</v>
      </c>
    </row>
    <row r="830" spans="2:5" x14ac:dyDescent="0.3">
      <c r="B830" s="4">
        <f t="shared" si="24"/>
        <v>828</v>
      </c>
      <c r="C830" s="10" t="s">
        <v>776</v>
      </c>
      <c r="D830" s="4" t="str">
        <f t="shared" si="25"/>
        <v>0000828</v>
      </c>
      <c r="E830" s="4">
        <f>COUNTIF(Table1[Malın adı],Table1[[#This Row],[Malın adı]])</f>
        <v>1</v>
      </c>
    </row>
    <row r="831" spans="2:5" x14ac:dyDescent="0.3">
      <c r="B831" s="4">
        <f t="shared" si="24"/>
        <v>829</v>
      </c>
      <c r="C831" s="10" t="s">
        <v>777</v>
      </c>
      <c r="D831" s="4" t="str">
        <f t="shared" si="25"/>
        <v>0000829</v>
      </c>
      <c r="E831" s="4">
        <f>COUNTIF(Table1[Malın adı],Table1[[#This Row],[Malın adı]])</f>
        <v>1</v>
      </c>
    </row>
    <row r="832" spans="2:5" x14ac:dyDescent="0.3">
      <c r="B832" s="4">
        <f t="shared" si="24"/>
        <v>830</v>
      </c>
      <c r="C832" s="10" t="s">
        <v>778</v>
      </c>
      <c r="D832" s="4" t="str">
        <f t="shared" si="25"/>
        <v>0000830</v>
      </c>
      <c r="E832" s="4">
        <f>COUNTIF(Table1[Malın adı],Table1[[#This Row],[Malın adı]])</f>
        <v>1</v>
      </c>
    </row>
    <row r="833" spans="2:5" x14ac:dyDescent="0.3">
      <c r="B833" s="4">
        <f t="shared" si="24"/>
        <v>831</v>
      </c>
      <c r="C833" s="10" t="s">
        <v>779</v>
      </c>
      <c r="D833" s="4" t="str">
        <f t="shared" si="25"/>
        <v>0000831</v>
      </c>
      <c r="E833" s="4">
        <f>COUNTIF(Table1[Malın adı],Table1[[#This Row],[Malın adı]])</f>
        <v>1</v>
      </c>
    </row>
    <row r="834" spans="2:5" x14ac:dyDescent="0.3">
      <c r="B834" s="4">
        <f t="shared" si="24"/>
        <v>832</v>
      </c>
      <c r="C834" s="10" t="s">
        <v>780</v>
      </c>
      <c r="D834" s="4" t="str">
        <f t="shared" si="25"/>
        <v>0000832</v>
      </c>
      <c r="E834" s="4">
        <f>COUNTIF(Table1[Malın adı],Table1[[#This Row],[Malın adı]])</f>
        <v>1</v>
      </c>
    </row>
    <row r="835" spans="2:5" x14ac:dyDescent="0.3">
      <c r="B835" s="4">
        <f t="shared" ref="B835:B898" si="26">ROW()-2</f>
        <v>833</v>
      </c>
      <c r="C835" s="10" t="s">
        <v>781</v>
      </c>
      <c r="D835" s="4" t="str">
        <f t="shared" ref="D835:D898" si="27">TEXT(ROW()-2,"0000000")</f>
        <v>0000833</v>
      </c>
      <c r="E835" s="4">
        <f>COUNTIF(Table1[Malın adı],Table1[[#This Row],[Malın adı]])</f>
        <v>1</v>
      </c>
    </row>
    <row r="836" spans="2:5" x14ac:dyDescent="0.3">
      <c r="B836" s="4">
        <f t="shared" si="26"/>
        <v>834</v>
      </c>
      <c r="C836" s="10" t="s">
        <v>782</v>
      </c>
      <c r="D836" s="4" t="str">
        <f t="shared" si="27"/>
        <v>0000834</v>
      </c>
      <c r="E836" s="4">
        <f>COUNTIF(Table1[Malın adı],Table1[[#This Row],[Malın adı]])</f>
        <v>1</v>
      </c>
    </row>
    <row r="837" spans="2:5" x14ac:dyDescent="0.3">
      <c r="B837" s="4">
        <f t="shared" si="26"/>
        <v>835</v>
      </c>
      <c r="C837" s="10" t="s">
        <v>783</v>
      </c>
      <c r="D837" s="4" t="str">
        <f t="shared" si="27"/>
        <v>0000835</v>
      </c>
      <c r="E837" s="4">
        <f>COUNTIF(Table1[Malın adı],Table1[[#This Row],[Malın adı]])</f>
        <v>1</v>
      </c>
    </row>
    <row r="838" spans="2:5" x14ac:dyDescent="0.3">
      <c r="B838" s="4">
        <f t="shared" si="26"/>
        <v>836</v>
      </c>
      <c r="C838" s="10" t="s">
        <v>784</v>
      </c>
      <c r="D838" s="4" t="str">
        <f t="shared" si="27"/>
        <v>0000836</v>
      </c>
      <c r="E838" s="4">
        <f>COUNTIF(Table1[Malın adı],Table1[[#This Row],[Malın adı]])</f>
        <v>1</v>
      </c>
    </row>
    <row r="839" spans="2:5" x14ac:dyDescent="0.3">
      <c r="B839" s="4">
        <f t="shared" si="26"/>
        <v>837</v>
      </c>
      <c r="C839" s="10" t="s">
        <v>785</v>
      </c>
      <c r="D839" s="4" t="str">
        <f t="shared" si="27"/>
        <v>0000837</v>
      </c>
      <c r="E839" s="4">
        <f>COUNTIF(Table1[Malın adı],Table1[[#This Row],[Malın adı]])</f>
        <v>1</v>
      </c>
    </row>
    <row r="840" spans="2:5" x14ac:dyDescent="0.3">
      <c r="B840" s="4">
        <f t="shared" si="26"/>
        <v>838</v>
      </c>
      <c r="C840" s="10" t="s">
        <v>786</v>
      </c>
      <c r="D840" s="4" t="str">
        <f t="shared" si="27"/>
        <v>0000838</v>
      </c>
      <c r="E840" s="4">
        <f>COUNTIF(Table1[Malın adı],Table1[[#This Row],[Malın adı]])</f>
        <v>1</v>
      </c>
    </row>
    <row r="841" spans="2:5" x14ac:dyDescent="0.3">
      <c r="B841" s="4">
        <f t="shared" si="26"/>
        <v>839</v>
      </c>
      <c r="C841" s="10" t="s">
        <v>2494</v>
      </c>
      <c r="D841" s="4" t="str">
        <f t="shared" si="27"/>
        <v>0000839</v>
      </c>
      <c r="E841" s="4">
        <f>COUNTIF(Table1[Malın adı],Table1[[#This Row],[Malın adı]])</f>
        <v>1</v>
      </c>
    </row>
    <row r="842" spans="2:5" x14ac:dyDescent="0.3">
      <c r="B842" s="4">
        <f t="shared" si="26"/>
        <v>840</v>
      </c>
      <c r="C842" s="10" t="s">
        <v>787</v>
      </c>
      <c r="D842" s="4" t="str">
        <f t="shared" si="27"/>
        <v>0000840</v>
      </c>
      <c r="E842" s="4">
        <f>COUNTIF(Table1[Malın adı],Table1[[#This Row],[Malın adı]])</f>
        <v>1</v>
      </c>
    </row>
    <row r="843" spans="2:5" x14ac:dyDescent="0.3">
      <c r="B843" s="4">
        <f t="shared" si="26"/>
        <v>841</v>
      </c>
      <c r="C843" s="10" t="s">
        <v>788</v>
      </c>
      <c r="D843" s="4" t="str">
        <f t="shared" si="27"/>
        <v>0000841</v>
      </c>
      <c r="E843" s="4">
        <f>COUNTIF(Table1[Malın adı],Table1[[#This Row],[Malın adı]])</f>
        <v>1</v>
      </c>
    </row>
    <row r="844" spans="2:5" x14ac:dyDescent="0.3">
      <c r="B844" s="4">
        <f t="shared" si="26"/>
        <v>842</v>
      </c>
      <c r="C844" s="10" t="s">
        <v>2495</v>
      </c>
      <c r="D844" s="4" t="str">
        <f t="shared" si="27"/>
        <v>0000842</v>
      </c>
      <c r="E844" s="4">
        <f>COUNTIF(Table1[Malın adı],Table1[[#This Row],[Malın adı]])</f>
        <v>1</v>
      </c>
    </row>
    <row r="845" spans="2:5" x14ac:dyDescent="0.3">
      <c r="B845" s="4">
        <f t="shared" si="26"/>
        <v>843</v>
      </c>
      <c r="C845" s="10" t="s">
        <v>2496</v>
      </c>
      <c r="D845" s="4" t="str">
        <f t="shared" si="27"/>
        <v>0000843</v>
      </c>
      <c r="E845" s="4">
        <f>COUNTIF(Table1[Malın adı],Table1[[#This Row],[Malın adı]])</f>
        <v>1</v>
      </c>
    </row>
    <row r="846" spans="2:5" x14ac:dyDescent="0.3">
      <c r="B846" s="4">
        <f t="shared" si="26"/>
        <v>844</v>
      </c>
      <c r="C846" s="10" t="s">
        <v>789</v>
      </c>
      <c r="D846" s="4" t="str">
        <f t="shared" si="27"/>
        <v>0000844</v>
      </c>
      <c r="E846" s="4">
        <f>COUNTIF(Table1[Malın adı],Table1[[#This Row],[Malın adı]])</f>
        <v>1</v>
      </c>
    </row>
    <row r="847" spans="2:5" x14ac:dyDescent="0.3">
      <c r="B847" s="4">
        <f t="shared" si="26"/>
        <v>845</v>
      </c>
      <c r="C847" s="10" t="s">
        <v>790</v>
      </c>
      <c r="D847" s="4" t="str">
        <f t="shared" si="27"/>
        <v>0000845</v>
      </c>
      <c r="E847" s="4">
        <f>COUNTIF(Table1[Malın adı],Table1[[#This Row],[Malın adı]])</f>
        <v>1</v>
      </c>
    </row>
    <row r="848" spans="2:5" x14ac:dyDescent="0.3">
      <c r="B848" s="4">
        <f t="shared" si="26"/>
        <v>846</v>
      </c>
      <c r="C848" s="10" t="s">
        <v>791</v>
      </c>
      <c r="D848" s="4" t="str">
        <f t="shared" si="27"/>
        <v>0000846</v>
      </c>
      <c r="E848" s="4">
        <f>COUNTIF(Table1[Malın adı],Table1[[#This Row],[Malın adı]])</f>
        <v>1</v>
      </c>
    </row>
    <row r="849" spans="2:5" x14ac:dyDescent="0.3">
      <c r="B849" s="4">
        <f t="shared" si="26"/>
        <v>847</v>
      </c>
      <c r="C849" s="10" t="s">
        <v>792</v>
      </c>
      <c r="D849" s="4" t="str">
        <f t="shared" si="27"/>
        <v>0000847</v>
      </c>
      <c r="E849" s="4">
        <f>COUNTIF(Table1[Malın adı],Table1[[#This Row],[Malın adı]])</f>
        <v>1</v>
      </c>
    </row>
    <row r="850" spans="2:5" x14ac:dyDescent="0.3">
      <c r="B850" s="4">
        <f t="shared" si="26"/>
        <v>848</v>
      </c>
      <c r="C850" s="10" t="s">
        <v>793</v>
      </c>
      <c r="D850" s="4" t="str">
        <f t="shared" si="27"/>
        <v>0000848</v>
      </c>
      <c r="E850" s="4">
        <f>COUNTIF(Table1[Malın adı],Table1[[#This Row],[Malın adı]])</f>
        <v>1</v>
      </c>
    </row>
    <row r="851" spans="2:5" x14ac:dyDescent="0.3">
      <c r="B851" s="4">
        <f t="shared" si="26"/>
        <v>849</v>
      </c>
      <c r="C851" s="10" t="s">
        <v>794</v>
      </c>
      <c r="D851" s="4" t="str">
        <f t="shared" si="27"/>
        <v>0000849</v>
      </c>
      <c r="E851" s="4">
        <f>COUNTIF(Table1[Malın adı],Table1[[#This Row],[Malın adı]])</f>
        <v>1</v>
      </c>
    </row>
    <row r="852" spans="2:5" x14ac:dyDescent="0.3">
      <c r="B852" s="4">
        <f t="shared" si="26"/>
        <v>850</v>
      </c>
      <c r="C852" s="10" t="s">
        <v>795</v>
      </c>
      <c r="D852" s="4" t="str">
        <f t="shared" si="27"/>
        <v>0000850</v>
      </c>
      <c r="E852" s="4">
        <f>COUNTIF(Table1[Malın adı],Table1[[#This Row],[Malın adı]])</f>
        <v>1</v>
      </c>
    </row>
    <row r="853" spans="2:5" x14ac:dyDescent="0.3">
      <c r="B853" s="4">
        <f t="shared" si="26"/>
        <v>851</v>
      </c>
      <c r="C853" s="10" t="s">
        <v>796</v>
      </c>
      <c r="D853" s="4" t="str">
        <f t="shared" si="27"/>
        <v>0000851</v>
      </c>
      <c r="E853" s="4">
        <f>COUNTIF(Table1[Malın adı],Table1[[#This Row],[Malın adı]])</f>
        <v>1</v>
      </c>
    </row>
    <row r="854" spans="2:5" x14ac:dyDescent="0.3">
      <c r="B854" s="4">
        <f t="shared" si="26"/>
        <v>852</v>
      </c>
      <c r="C854" s="10" t="s">
        <v>797</v>
      </c>
      <c r="D854" s="4" t="str">
        <f t="shared" si="27"/>
        <v>0000852</v>
      </c>
      <c r="E854" s="4">
        <f>COUNTIF(Table1[Malın adı],Table1[[#This Row],[Malın adı]])</f>
        <v>1</v>
      </c>
    </row>
    <row r="855" spans="2:5" x14ac:dyDescent="0.3">
      <c r="B855" s="4">
        <f t="shared" si="26"/>
        <v>853</v>
      </c>
      <c r="C855" s="10" t="s">
        <v>798</v>
      </c>
      <c r="D855" s="4" t="str">
        <f t="shared" si="27"/>
        <v>0000853</v>
      </c>
      <c r="E855" s="4">
        <f>COUNTIF(Table1[Malın adı],Table1[[#This Row],[Malın adı]])</f>
        <v>1</v>
      </c>
    </row>
    <row r="856" spans="2:5" x14ac:dyDescent="0.3">
      <c r="B856" s="4">
        <f t="shared" si="26"/>
        <v>854</v>
      </c>
      <c r="C856" s="10" t="s">
        <v>799</v>
      </c>
      <c r="D856" s="4" t="str">
        <f t="shared" si="27"/>
        <v>0000854</v>
      </c>
      <c r="E856" s="4">
        <f>COUNTIF(Table1[Malın adı],Table1[[#This Row],[Malın adı]])</f>
        <v>1</v>
      </c>
    </row>
    <row r="857" spans="2:5" x14ac:dyDescent="0.3">
      <c r="B857" s="4">
        <f t="shared" si="26"/>
        <v>855</v>
      </c>
      <c r="C857" s="10" t="s">
        <v>800</v>
      </c>
      <c r="D857" s="4" t="str">
        <f t="shared" si="27"/>
        <v>0000855</v>
      </c>
      <c r="E857" s="4">
        <f>COUNTIF(Table1[Malın adı],Table1[[#This Row],[Malın adı]])</f>
        <v>1</v>
      </c>
    </row>
    <row r="858" spans="2:5" x14ac:dyDescent="0.3">
      <c r="B858" s="4">
        <f t="shared" si="26"/>
        <v>856</v>
      </c>
      <c r="C858" s="10" t="s">
        <v>801</v>
      </c>
      <c r="D858" s="4" t="str">
        <f t="shared" si="27"/>
        <v>0000856</v>
      </c>
      <c r="E858" s="4">
        <f>COUNTIF(Table1[Malın adı],Table1[[#This Row],[Malın adı]])</f>
        <v>1</v>
      </c>
    </row>
    <row r="859" spans="2:5" x14ac:dyDescent="0.3">
      <c r="B859" s="4">
        <f t="shared" si="26"/>
        <v>857</v>
      </c>
      <c r="C859" s="10" t="s">
        <v>2497</v>
      </c>
      <c r="D859" s="4" t="str">
        <f t="shared" si="27"/>
        <v>0000857</v>
      </c>
      <c r="E859" s="4">
        <f>COUNTIF(Table1[Malın adı],Table1[[#This Row],[Malın adı]])</f>
        <v>1</v>
      </c>
    </row>
    <row r="860" spans="2:5" x14ac:dyDescent="0.3">
      <c r="B860" s="4">
        <f t="shared" si="26"/>
        <v>858</v>
      </c>
      <c r="C860" s="10" t="s">
        <v>2345</v>
      </c>
      <c r="D860" s="4" t="str">
        <f t="shared" si="27"/>
        <v>0000858</v>
      </c>
      <c r="E860" s="4">
        <f>COUNTIF(Table1[Malın adı],Table1[[#This Row],[Malın adı]])</f>
        <v>1</v>
      </c>
    </row>
    <row r="861" spans="2:5" x14ac:dyDescent="0.3">
      <c r="B861" s="4">
        <f t="shared" si="26"/>
        <v>859</v>
      </c>
      <c r="C861" s="10" t="s">
        <v>802</v>
      </c>
      <c r="D861" s="4" t="str">
        <f t="shared" si="27"/>
        <v>0000859</v>
      </c>
      <c r="E861" s="4">
        <f>COUNTIF(Table1[Malın adı],Table1[[#This Row],[Malın adı]])</f>
        <v>1</v>
      </c>
    </row>
    <row r="862" spans="2:5" x14ac:dyDescent="0.3">
      <c r="B862" s="4">
        <f t="shared" si="26"/>
        <v>860</v>
      </c>
      <c r="C862" s="10" t="s">
        <v>2498</v>
      </c>
      <c r="D862" s="4" t="str">
        <f t="shared" si="27"/>
        <v>0000860</v>
      </c>
      <c r="E862" s="4">
        <f>COUNTIF(Table1[Malın adı],Table1[[#This Row],[Malın adı]])</f>
        <v>1</v>
      </c>
    </row>
    <row r="863" spans="2:5" x14ac:dyDescent="0.3">
      <c r="B863" s="4">
        <f t="shared" si="26"/>
        <v>861</v>
      </c>
      <c r="C863" s="10" t="s">
        <v>803</v>
      </c>
      <c r="D863" s="4" t="str">
        <f t="shared" si="27"/>
        <v>0000861</v>
      </c>
      <c r="E863" s="4">
        <f>COUNTIF(Table1[Malın adı],Table1[[#This Row],[Malın adı]])</f>
        <v>1</v>
      </c>
    </row>
    <row r="864" spans="2:5" x14ac:dyDescent="0.3">
      <c r="B864" s="4">
        <f t="shared" si="26"/>
        <v>862</v>
      </c>
      <c r="C864" s="10" t="s">
        <v>2499</v>
      </c>
      <c r="D864" s="4" t="str">
        <f t="shared" si="27"/>
        <v>0000862</v>
      </c>
      <c r="E864" s="4">
        <f>COUNTIF(Table1[Malın adı],Table1[[#This Row],[Malın adı]])</f>
        <v>1</v>
      </c>
    </row>
    <row r="865" spans="2:5" x14ac:dyDescent="0.3">
      <c r="B865" s="4">
        <f t="shared" si="26"/>
        <v>863</v>
      </c>
      <c r="C865" s="10" t="s">
        <v>2341</v>
      </c>
      <c r="D865" s="4" t="str">
        <f t="shared" si="27"/>
        <v>0000863</v>
      </c>
      <c r="E865" s="4">
        <f>COUNTIF(Table1[Malın adı],Table1[[#This Row],[Malın adı]])</f>
        <v>1</v>
      </c>
    </row>
    <row r="866" spans="2:5" x14ac:dyDescent="0.3">
      <c r="B866" s="4">
        <f t="shared" si="26"/>
        <v>864</v>
      </c>
      <c r="C866" s="10" t="s">
        <v>804</v>
      </c>
      <c r="D866" s="4" t="str">
        <f t="shared" si="27"/>
        <v>0000864</v>
      </c>
      <c r="E866" s="4">
        <f>COUNTIF(Table1[Malın adı],Table1[[#This Row],[Malın adı]])</f>
        <v>1</v>
      </c>
    </row>
    <row r="867" spans="2:5" x14ac:dyDescent="0.3">
      <c r="B867" s="4">
        <f t="shared" si="26"/>
        <v>865</v>
      </c>
      <c r="C867" s="10" t="s">
        <v>805</v>
      </c>
      <c r="D867" s="4" t="str">
        <f t="shared" si="27"/>
        <v>0000865</v>
      </c>
      <c r="E867" s="4">
        <f>COUNTIF(Table1[Malın adı],Table1[[#This Row],[Malın adı]])</f>
        <v>1</v>
      </c>
    </row>
    <row r="868" spans="2:5" x14ac:dyDescent="0.3">
      <c r="B868" s="4">
        <f t="shared" si="26"/>
        <v>866</v>
      </c>
      <c r="C868" s="10" t="s">
        <v>806</v>
      </c>
      <c r="D868" s="4" t="str">
        <f t="shared" si="27"/>
        <v>0000866</v>
      </c>
      <c r="E868" s="4">
        <f>COUNTIF(Table1[Malın adı],Table1[[#This Row],[Malın adı]])</f>
        <v>1</v>
      </c>
    </row>
    <row r="869" spans="2:5" x14ac:dyDescent="0.3">
      <c r="B869" s="4">
        <f t="shared" si="26"/>
        <v>867</v>
      </c>
      <c r="C869" s="10" t="s">
        <v>807</v>
      </c>
      <c r="D869" s="4" t="str">
        <f t="shared" si="27"/>
        <v>0000867</v>
      </c>
      <c r="E869" s="4">
        <f>COUNTIF(Table1[Malın adı],Table1[[#This Row],[Malın adı]])</f>
        <v>1</v>
      </c>
    </row>
    <row r="870" spans="2:5" x14ac:dyDescent="0.3">
      <c r="B870" s="4">
        <f t="shared" si="26"/>
        <v>868</v>
      </c>
      <c r="C870" s="10" t="s">
        <v>808</v>
      </c>
      <c r="D870" s="4" t="str">
        <f t="shared" si="27"/>
        <v>0000868</v>
      </c>
      <c r="E870" s="4">
        <f>COUNTIF(Table1[Malın adı],Table1[[#This Row],[Malın adı]])</f>
        <v>1</v>
      </c>
    </row>
    <row r="871" spans="2:5" x14ac:dyDescent="0.3">
      <c r="B871" s="4">
        <f t="shared" si="26"/>
        <v>869</v>
      </c>
      <c r="C871" s="10" t="s">
        <v>809</v>
      </c>
      <c r="D871" s="4" t="str">
        <f t="shared" si="27"/>
        <v>0000869</v>
      </c>
      <c r="E871" s="4">
        <f>COUNTIF(Table1[Malın adı],Table1[[#This Row],[Malın adı]])</f>
        <v>1</v>
      </c>
    </row>
    <row r="872" spans="2:5" x14ac:dyDescent="0.3">
      <c r="B872" s="4">
        <f t="shared" si="26"/>
        <v>870</v>
      </c>
      <c r="C872" s="10" t="s">
        <v>810</v>
      </c>
      <c r="D872" s="4" t="str">
        <f t="shared" si="27"/>
        <v>0000870</v>
      </c>
      <c r="E872" s="4">
        <f>COUNTIF(Table1[Malın adı],Table1[[#This Row],[Malın adı]])</f>
        <v>1</v>
      </c>
    </row>
    <row r="873" spans="2:5" x14ac:dyDescent="0.3">
      <c r="B873" s="4">
        <f t="shared" si="26"/>
        <v>871</v>
      </c>
      <c r="C873" s="10" t="s">
        <v>811</v>
      </c>
      <c r="D873" s="4" t="str">
        <f t="shared" si="27"/>
        <v>0000871</v>
      </c>
      <c r="E873" s="4">
        <f>COUNTIF(Table1[Malın adı],Table1[[#This Row],[Malın adı]])</f>
        <v>1</v>
      </c>
    </row>
    <row r="874" spans="2:5" x14ac:dyDescent="0.3">
      <c r="B874" s="4">
        <f t="shared" si="26"/>
        <v>872</v>
      </c>
      <c r="C874" s="10" t="s">
        <v>812</v>
      </c>
      <c r="D874" s="4" t="str">
        <f t="shared" si="27"/>
        <v>0000872</v>
      </c>
      <c r="E874" s="4">
        <f>COUNTIF(Table1[Malın adı],Table1[[#This Row],[Malın adı]])</f>
        <v>1</v>
      </c>
    </row>
    <row r="875" spans="2:5" x14ac:dyDescent="0.3">
      <c r="B875" s="4">
        <f t="shared" si="26"/>
        <v>873</v>
      </c>
      <c r="C875" s="10" t="s">
        <v>813</v>
      </c>
      <c r="D875" s="4" t="str">
        <f t="shared" si="27"/>
        <v>0000873</v>
      </c>
      <c r="E875" s="4">
        <f>COUNTIF(Table1[Malın adı],Table1[[#This Row],[Malın adı]])</f>
        <v>1</v>
      </c>
    </row>
    <row r="876" spans="2:5" x14ac:dyDescent="0.3">
      <c r="B876" s="4">
        <f t="shared" si="26"/>
        <v>874</v>
      </c>
      <c r="C876" s="10" t="s">
        <v>814</v>
      </c>
      <c r="D876" s="4" t="str">
        <f t="shared" si="27"/>
        <v>0000874</v>
      </c>
      <c r="E876" s="4">
        <f>COUNTIF(Table1[Malın adı],Table1[[#This Row],[Malın adı]])</f>
        <v>1</v>
      </c>
    </row>
    <row r="877" spans="2:5" x14ac:dyDescent="0.3">
      <c r="B877" s="4">
        <f t="shared" si="26"/>
        <v>875</v>
      </c>
      <c r="C877" s="10" t="s">
        <v>2500</v>
      </c>
      <c r="D877" s="4" t="str">
        <f t="shared" si="27"/>
        <v>0000875</v>
      </c>
      <c r="E877" s="4">
        <f>COUNTIF(Table1[Malın adı],Table1[[#This Row],[Malın adı]])</f>
        <v>1</v>
      </c>
    </row>
    <row r="878" spans="2:5" x14ac:dyDescent="0.3">
      <c r="B878" s="4">
        <f t="shared" si="26"/>
        <v>876</v>
      </c>
      <c r="C878" s="10" t="s">
        <v>815</v>
      </c>
      <c r="D878" s="4" t="str">
        <f t="shared" si="27"/>
        <v>0000876</v>
      </c>
      <c r="E878" s="4">
        <f>COUNTIF(Table1[Malın adı],Table1[[#This Row],[Malın adı]])</f>
        <v>1</v>
      </c>
    </row>
    <row r="879" spans="2:5" x14ac:dyDescent="0.3">
      <c r="B879" s="4">
        <f t="shared" si="26"/>
        <v>877</v>
      </c>
      <c r="C879" s="10" t="s">
        <v>816</v>
      </c>
      <c r="D879" s="4" t="str">
        <f t="shared" si="27"/>
        <v>0000877</v>
      </c>
      <c r="E879" s="4">
        <f>COUNTIF(Table1[Malın adı],Table1[[#This Row],[Malın adı]])</f>
        <v>1</v>
      </c>
    </row>
    <row r="880" spans="2:5" x14ac:dyDescent="0.3">
      <c r="B880" s="4">
        <f t="shared" si="26"/>
        <v>878</v>
      </c>
      <c r="C880" s="10" t="s">
        <v>817</v>
      </c>
      <c r="D880" s="4" t="str">
        <f t="shared" si="27"/>
        <v>0000878</v>
      </c>
      <c r="E880" s="4">
        <f>COUNTIF(Table1[Malın adı],Table1[[#This Row],[Malın adı]])</f>
        <v>1</v>
      </c>
    </row>
    <row r="881" spans="2:5" x14ac:dyDescent="0.3">
      <c r="B881" s="4">
        <f t="shared" si="26"/>
        <v>879</v>
      </c>
      <c r="C881" s="10" t="s">
        <v>818</v>
      </c>
      <c r="D881" s="4" t="str">
        <f t="shared" si="27"/>
        <v>0000879</v>
      </c>
      <c r="E881" s="4">
        <f>COUNTIF(Table1[Malın adı],Table1[[#This Row],[Malın adı]])</f>
        <v>1</v>
      </c>
    </row>
    <row r="882" spans="2:5" x14ac:dyDescent="0.3">
      <c r="B882" s="4">
        <f t="shared" si="26"/>
        <v>880</v>
      </c>
      <c r="C882" s="10" t="s">
        <v>819</v>
      </c>
      <c r="D882" s="4" t="str">
        <f t="shared" si="27"/>
        <v>0000880</v>
      </c>
      <c r="E882" s="4">
        <f>COUNTIF(Table1[Malın adı],Table1[[#This Row],[Malın adı]])</f>
        <v>1</v>
      </c>
    </row>
    <row r="883" spans="2:5" x14ac:dyDescent="0.3">
      <c r="B883" s="4">
        <f t="shared" si="26"/>
        <v>881</v>
      </c>
      <c r="C883" s="10" t="s">
        <v>820</v>
      </c>
      <c r="D883" s="4" t="str">
        <f t="shared" si="27"/>
        <v>0000881</v>
      </c>
      <c r="E883" s="4">
        <f>COUNTIF(Table1[Malın adı],Table1[[#This Row],[Malın adı]])</f>
        <v>1</v>
      </c>
    </row>
    <row r="884" spans="2:5" x14ac:dyDescent="0.3">
      <c r="B884" s="4">
        <f t="shared" si="26"/>
        <v>882</v>
      </c>
      <c r="C884" s="10" t="s">
        <v>821</v>
      </c>
      <c r="D884" s="4" t="str">
        <f t="shared" si="27"/>
        <v>0000882</v>
      </c>
      <c r="E884" s="4">
        <f>COUNTIF(Table1[Malın adı],Table1[[#This Row],[Malın adı]])</f>
        <v>1</v>
      </c>
    </row>
    <row r="885" spans="2:5" x14ac:dyDescent="0.3">
      <c r="B885" s="4">
        <f t="shared" si="26"/>
        <v>883</v>
      </c>
      <c r="C885" s="10" t="s">
        <v>822</v>
      </c>
      <c r="D885" s="4" t="str">
        <f t="shared" si="27"/>
        <v>0000883</v>
      </c>
      <c r="E885" s="4">
        <f>COUNTIF(Table1[Malın adı],Table1[[#This Row],[Malın adı]])</f>
        <v>1</v>
      </c>
    </row>
    <row r="886" spans="2:5" x14ac:dyDescent="0.3">
      <c r="B886" s="4">
        <f t="shared" si="26"/>
        <v>884</v>
      </c>
      <c r="C886" s="10" t="s">
        <v>823</v>
      </c>
      <c r="D886" s="4" t="str">
        <f t="shared" si="27"/>
        <v>0000884</v>
      </c>
      <c r="E886" s="4">
        <f>COUNTIF(Table1[Malın adı],Table1[[#This Row],[Malın adı]])</f>
        <v>1</v>
      </c>
    </row>
    <row r="887" spans="2:5" x14ac:dyDescent="0.3">
      <c r="B887" s="4">
        <f t="shared" si="26"/>
        <v>885</v>
      </c>
      <c r="C887" s="10" t="s">
        <v>824</v>
      </c>
      <c r="D887" s="4" t="str">
        <f t="shared" si="27"/>
        <v>0000885</v>
      </c>
      <c r="E887" s="4">
        <f>COUNTIF(Table1[Malın adı],Table1[[#This Row],[Malın adı]])</f>
        <v>1</v>
      </c>
    </row>
    <row r="888" spans="2:5" x14ac:dyDescent="0.3">
      <c r="B888" s="4">
        <f t="shared" si="26"/>
        <v>886</v>
      </c>
      <c r="C888" s="10" t="s">
        <v>825</v>
      </c>
      <c r="D888" s="4" t="str">
        <f t="shared" si="27"/>
        <v>0000886</v>
      </c>
      <c r="E888" s="4">
        <f>COUNTIF(Table1[Malın adı],Table1[[#This Row],[Malın adı]])</f>
        <v>1</v>
      </c>
    </row>
    <row r="889" spans="2:5" x14ac:dyDescent="0.3">
      <c r="B889" s="4">
        <f t="shared" si="26"/>
        <v>887</v>
      </c>
      <c r="C889" s="10" t="s">
        <v>826</v>
      </c>
      <c r="D889" s="4" t="str">
        <f t="shared" si="27"/>
        <v>0000887</v>
      </c>
      <c r="E889" s="4">
        <f>COUNTIF(Table1[Malın adı],Table1[[#This Row],[Malın adı]])</f>
        <v>1</v>
      </c>
    </row>
    <row r="890" spans="2:5" x14ac:dyDescent="0.3">
      <c r="B890" s="4">
        <f t="shared" si="26"/>
        <v>888</v>
      </c>
      <c r="C890" s="10" t="s">
        <v>827</v>
      </c>
      <c r="D890" s="4" t="str">
        <f t="shared" si="27"/>
        <v>0000888</v>
      </c>
      <c r="E890" s="4">
        <f>COUNTIF(Table1[Malın adı],Table1[[#This Row],[Malın adı]])</f>
        <v>1</v>
      </c>
    </row>
    <row r="891" spans="2:5" x14ac:dyDescent="0.3">
      <c r="B891" s="4">
        <f t="shared" si="26"/>
        <v>889</v>
      </c>
      <c r="C891" s="10" t="s">
        <v>828</v>
      </c>
      <c r="D891" s="4" t="str">
        <f t="shared" si="27"/>
        <v>0000889</v>
      </c>
      <c r="E891" s="4">
        <f>COUNTIF(Table1[Malın adı],Table1[[#This Row],[Malın adı]])</f>
        <v>1</v>
      </c>
    </row>
    <row r="892" spans="2:5" x14ac:dyDescent="0.3">
      <c r="B892" s="4">
        <f t="shared" si="26"/>
        <v>890</v>
      </c>
      <c r="C892" s="10" t="s">
        <v>829</v>
      </c>
      <c r="D892" s="4" t="str">
        <f t="shared" si="27"/>
        <v>0000890</v>
      </c>
      <c r="E892" s="4">
        <f>COUNTIF(Table1[Malın adı],Table1[[#This Row],[Malın adı]])</f>
        <v>1</v>
      </c>
    </row>
    <row r="893" spans="2:5" x14ac:dyDescent="0.3">
      <c r="B893" s="4">
        <f t="shared" si="26"/>
        <v>891</v>
      </c>
      <c r="C893" s="10" t="s">
        <v>830</v>
      </c>
      <c r="D893" s="4" t="str">
        <f t="shared" si="27"/>
        <v>0000891</v>
      </c>
      <c r="E893" s="4">
        <f>COUNTIF(Table1[Malın adı],Table1[[#This Row],[Malın adı]])</f>
        <v>1</v>
      </c>
    </row>
    <row r="894" spans="2:5" x14ac:dyDescent="0.3">
      <c r="B894" s="4">
        <f t="shared" si="26"/>
        <v>892</v>
      </c>
      <c r="C894" s="10" t="s">
        <v>831</v>
      </c>
      <c r="D894" s="4" t="str">
        <f t="shared" si="27"/>
        <v>0000892</v>
      </c>
      <c r="E894" s="4">
        <f>COUNTIF(Table1[Malın adı],Table1[[#This Row],[Malın adı]])</f>
        <v>1</v>
      </c>
    </row>
    <row r="895" spans="2:5" x14ac:dyDescent="0.3">
      <c r="B895" s="4">
        <f t="shared" si="26"/>
        <v>893</v>
      </c>
      <c r="C895" s="10" t="s">
        <v>2332</v>
      </c>
      <c r="D895" s="4" t="str">
        <f t="shared" si="27"/>
        <v>0000893</v>
      </c>
      <c r="E895" s="4">
        <f>COUNTIF(Table1[Malın adı],Table1[[#This Row],[Malın adı]])</f>
        <v>1</v>
      </c>
    </row>
    <row r="896" spans="2:5" x14ac:dyDescent="0.3">
      <c r="B896" s="4">
        <f t="shared" si="26"/>
        <v>894</v>
      </c>
      <c r="C896" s="10" t="s">
        <v>832</v>
      </c>
      <c r="D896" s="4" t="str">
        <f t="shared" si="27"/>
        <v>0000894</v>
      </c>
      <c r="E896" s="4">
        <f>COUNTIF(Table1[Malın adı],Table1[[#This Row],[Malın adı]])</f>
        <v>1</v>
      </c>
    </row>
    <row r="897" spans="2:5" x14ac:dyDescent="0.3">
      <c r="B897" s="4">
        <f t="shared" si="26"/>
        <v>895</v>
      </c>
      <c r="C897" s="10" t="s">
        <v>2501</v>
      </c>
      <c r="D897" s="4" t="str">
        <f t="shared" si="27"/>
        <v>0000895</v>
      </c>
      <c r="E897" s="4">
        <f>COUNTIF(Table1[Malın adı],Table1[[#This Row],[Malın adı]])</f>
        <v>1</v>
      </c>
    </row>
    <row r="898" spans="2:5" x14ac:dyDescent="0.3">
      <c r="B898" s="4">
        <f t="shared" si="26"/>
        <v>896</v>
      </c>
      <c r="C898" s="10" t="s">
        <v>833</v>
      </c>
      <c r="D898" s="4" t="str">
        <f t="shared" si="27"/>
        <v>0000896</v>
      </c>
      <c r="E898" s="4">
        <f>COUNTIF(Table1[Malın adı],Table1[[#This Row],[Malın adı]])</f>
        <v>1</v>
      </c>
    </row>
    <row r="899" spans="2:5" x14ac:dyDescent="0.3">
      <c r="B899" s="4">
        <f t="shared" ref="B899:B962" si="28">ROW()-2</f>
        <v>897</v>
      </c>
      <c r="C899" s="10" t="s">
        <v>834</v>
      </c>
      <c r="D899" s="4" t="str">
        <f t="shared" ref="D899:D962" si="29">TEXT(ROW()-2,"0000000")</f>
        <v>0000897</v>
      </c>
      <c r="E899" s="4">
        <f>COUNTIF(Table1[Malın adı],Table1[[#This Row],[Malın adı]])</f>
        <v>1</v>
      </c>
    </row>
    <row r="900" spans="2:5" x14ac:dyDescent="0.3">
      <c r="B900" s="4">
        <f t="shared" si="28"/>
        <v>898</v>
      </c>
      <c r="C900" s="10" t="s">
        <v>835</v>
      </c>
      <c r="D900" s="4" t="str">
        <f t="shared" si="29"/>
        <v>0000898</v>
      </c>
      <c r="E900" s="4">
        <f>COUNTIF(Table1[Malın adı],Table1[[#This Row],[Malın adı]])</f>
        <v>1</v>
      </c>
    </row>
    <row r="901" spans="2:5" x14ac:dyDescent="0.3">
      <c r="B901" s="4">
        <f t="shared" si="28"/>
        <v>899</v>
      </c>
      <c r="C901" s="10" t="s">
        <v>836</v>
      </c>
      <c r="D901" s="4" t="str">
        <f t="shared" si="29"/>
        <v>0000899</v>
      </c>
      <c r="E901" s="4">
        <f>COUNTIF(Table1[Malın adı],Table1[[#This Row],[Malın adı]])</f>
        <v>1</v>
      </c>
    </row>
    <row r="902" spans="2:5" x14ac:dyDescent="0.3">
      <c r="B902" s="4">
        <f t="shared" si="28"/>
        <v>900</v>
      </c>
      <c r="C902" s="10" t="s">
        <v>837</v>
      </c>
      <c r="D902" s="4" t="str">
        <f t="shared" si="29"/>
        <v>0000900</v>
      </c>
      <c r="E902" s="4">
        <f>COUNTIF(Table1[Malın adı],Table1[[#This Row],[Malın adı]])</f>
        <v>1</v>
      </c>
    </row>
    <row r="903" spans="2:5" x14ac:dyDescent="0.3">
      <c r="B903" s="4">
        <f t="shared" si="28"/>
        <v>901</v>
      </c>
      <c r="C903" s="10" t="s">
        <v>838</v>
      </c>
      <c r="D903" s="4" t="str">
        <f t="shared" si="29"/>
        <v>0000901</v>
      </c>
      <c r="E903" s="4">
        <f>COUNTIF(Table1[Malın adı],Table1[[#This Row],[Malın adı]])</f>
        <v>1</v>
      </c>
    </row>
    <row r="904" spans="2:5" x14ac:dyDescent="0.3">
      <c r="B904" s="4">
        <f t="shared" si="28"/>
        <v>902</v>
      </c>
      <c r="C904" s="10" t="s">
        <v>839</v>
      </c>
      <c r="D904" s="4" t="str">
        <f t="shared" si="29"/>
        <v>0000902</v>
      </c>
      <c r="E904" s="4">
        <f>COUNTIF(Table1[Malın adı],Table1[[#This Row],[Malın adı]])</f>
        <v>1</v>
      </c>
    </row>
    <row r="905" spans="2:5" x14ac:dyDescent="0.3">
      <c r="B905" s="4">
        <f t="shared" si="28"/>
        <v>903</v>
      </c>
      <c r="C905" s="10" t="s">
        <v>840</v>
      </c>
      <c r="D905" s="4" t="str">
        <f t="shared" si="29"/>
        <v>0000903</v>
      </c>
      <c r="E905" s="4">
        <f>COUNTIF(Table1[Malın adı],Table1[[#This Row],[Malın adı]])</f>
        <v>1</v>
      </c>
    </row>
    <row r="906" spans="2:5" x14ac:dyDescent="0.3">
      <c r="B906" s="4">
        <f t="shared" si="28"/>
        <v>904</v>
      </c>
      <c r="C906" s="10" t="s">
        <v>841</v>
      </c>
      <c r="D906" s="4" t="str">
        <f t="shared" si="29"/>
        <v>0000904</v>
      </c>
      <c r="E906" s="4">
        <f>COUNTIF(Table1[Malın adı],Table1[[#This Row],[Malın adı]])</f>
        <v>1</v>
      </c>
    </row>
    <row r="907" spans="2:5" x14ac:dyDescent="0.3">
      <c r="B907" s="4">
        <f t="shared" si="28"/>
        <v>905</v>
      </c>
      <c r="C907" s="10" t="s">
        <v>842</v>
      </c>
      <c r="D907" s="4" t="str">
        <f t="shared" si="29"/>
        <v>0000905</v>
      </c>
      <c r="E907" s="4">
        <f>COUNTIF(Table1[Malın adı],Table1[[#This Row],[Malın adı]])</f>
        <v>1</v>
      </c>
    </row>
    <row r="908" spans="2:5" x14ac:dyDescent="0.3">
      <c r="B908" s="4">
        <f t="shared" si="28"/>
        <v>906</v>
      </c>
      <c r="C908" s="10" t="s">
        <v>843</v>
      </c>
      <c r="D908" s="4" t="str">
        <f t="shared" si="29"/>
        <v>0000906</v>
      </c>
      <c r="E908" s="4">
        <f>COUNTIF(Table1[Malın adı],Table1[[#This Row],[Malın adı]])</f>
        <v>1</v>
      </c>
    </row>
    <row r="909" spans="2:5" x14ac:dyDescent="0.3">
      <c r="B909" s="4">
        <f t="shared" si="28"/>
        <v>907</v>
      </c>
      <c r="C909" s="10" t="s">
        <v>844</v>
      </c>
      <c r="D909" s="4" t="str">
        <f t="shared" si="29"/>
        <v>0000907</v>
      </c>
      <c r="E909" s="4">
        <f>COUNTIF(Table1[Malın adı],Table1[[#This Row],[Malın adı]])</f>
        <v>1</v>
      </c>
    </row>
    <row r="910" spans="2:5" x14ac:dyDescent="0.3">
      <c r="B910" s="4">
        <f t="shared" si="28"/>
        <v>908</v>
      </c>
      <c r="C910" s="10" t="s">
        <v>845</v>
      </c>
      <c r="D910" s="4" t="str">
        <f t="shared" si="29"/>
        <v>0000908</v>
      </c>
      <c r="E910" s="4">
        <f>COUNTIF(Table1[Malın adı],Table1[[#This Row],[Malın adı]])</f>
        <v>1</v>
      </c>
    </row>
    <row r="911" spans="2:5" x14ac:dyDescent="0.3">
      <c r="B911" s="4">
        <f t="shared" si="28"/>
        <v>909</v>
      </c>
      <c r="C911" s="10" t="s">
        <v>846</v>
      </c>
      <c r="D911" s="4" t="str">
        <f t="shared" si="29"/>
        <v>0000909</v>
      </c>
      <c r="E911" s="4">
        <f>COUNTIF(Table1[Malın adı],Table1[[#This Row],[Malın adı]])</f>
        <v>1</v>
      </c>
    </row>
    <row r="912" spans="2:5" x14ac:dyDescent="0.3">
      <c r="B912" s="4">
        <f t="shared" si="28"/>
        <v>910</v>
      </c>
      <c r="C912" s="10" t="s">
        <v>847</v>
      </c>
      <c r="D912" s="4" t="str">
        <f t="shared" si="29"/>
        <v>0000910</v>
      </c>
      <c r="E912" s="4">
        <f>COUNTIF(Table1[Malın adı],Table1[[#This Row],[Malın adı]])</f>
        <v>1</v>
      </c>
    </row>
    <row r="913" spans="2:5" x14ac:dyDescent="0.3">
      <c r="B913" s="4">
        <f t="shared" si="28"/>
        <v>911</v>
      </c>
      <c r="C913" s="10" t="s">
        <v>848</v>
      </c>
      <c r="D913" s="4" t="str">
        <f t="shared" si="29"/>
        <v>0000911</v>
      </c>
      <c r="E913" s="4">
        <f>COUNTIF(Table1[Malın adı],Table1[[#This Row],[Malın adı]])</f>
        <v>1</v>
      </c>
    </row>
    <row r="914" spans="2:5" x14ac:dyDescent="0.3">
      <c r="B914" s="4">
        <f t="shared" si="28"/>
        <v>912</v>
      </c>
      <c r="C914" s="10" t="s">
        <v>849</v>
      </c>
      <c r="D914" s="4" t="str">
        <f t="shared" si="29"/>
        <v>0000912</v>
      </c>
      <c r="E914" s="4">
        <f>COUNTIF(Table1[Malın adı],Table1[[#This Row],[Malın adı]])</f>
        <v>1</v>
      </c>
    </row>
    <row r="915" spans="2:5" x14ac:dyDescent="0.3">
      <c r="B915" s="4">
        <f t="shared" si="28"/>
        <v>913</v>
      </c>
      <c r="C915" s="10" t="s">
        <v>850</v>
      </c>
      <c r="D915" s="4" t="str">
        <f t="shared" si="29"/>
        <v>0000913</v>
      </c>
      <c r="E915" s="4">
        <f>COUNTIF(Table1[Malın adı],Table1[[#This Row],[Malın adı]])</f>
        <v>1</v>
      </c>
    </row>
    <row r="916" spans="2:5" x14ac:dyDescent="0.3">
      <c r="B916" s="4">
        <f t="shared" si="28"/>
        <v>914</v>
      </c>
      <c r="C916" s="10" t="s">
        <v>2333</v>
      </c>
      <c r="D916" s="4" t="str">
        <f t="shared" si="29"/>
        <v>0000914</v>
      </c>
      <c r="E916" s="4">
        <f>COUNTIF(Table1[Malın adı],Table1[[#This Row],[Malın adı]])</f>
        <v>1</v>
      </c>
    </row>
    <row r="917" spans="2:5" x14ac:dyDescent="0.3">
      <c r="B917" s="4">
        <f t="shared" si="28"/>
        <v>915</v>
      </c>
      <c r="C917" s="10" t="s">
        <v>2502</v>
      </c>
      <c r="D917" s="4" t="str">
        <f t="shared" si="29"/>
        <v>0000915</v>
      </c>
      <c r="E917" s="4">
        <f>COUNTIF(Table1[Malın adı],Table1[[#This Row],[Malın adı]])</f>
        <v>1</v>
      </c>
    </row>
    <row r="918" spans="2:5" x14ac:dyDescent="0.3">
      <c r="B918" s="4">
        <f t="shared" si="28"/>
        <v>916</v>
      </c>
      <c r="C918" s="10" t="s">
        <v>851</v>
      </c>
      <c r="D918" s="4" t="str">
        <f t="shared" si="29"/>
        <v>0000916</v>
      </c>
      <c r="E918" s="4">
        <f>COUNTIF(Table1[Malın adı],Table1[[#This Row],[Malın adı]])</f>
        <v>1</v>
      </c>
    </row>
    <row r="919" spans="2:5" x14ac:dyDescent="0.3">
      <c r="B919" s="4">
        <f t="shared" si="28"/>
        <v>917</v>
      </c>
      <c r="C919" s="10" t="s">
        <v>852</v>
      </c>
      <c r="D919" s="4" t="str">
        <f t="shared" si="29"/>
        <v>0000917</v>
      </c>
      <c r="E919" s="4">
        <f>COUNTIF(Table1[Malın adı],Table1[[#This Row],[Malın adı]])</f>
        <v>1</v>
      </c>
    </row>
    <row r="920" spans="2:5" x14ac:dyDescent="0.3">
      <c r="B920" s="4">
        <f t="shared" si="28"/>
        <v>918</v>
      </c>
      <c r="C920" s="10" t="s">
        <v>853</v>
      </c>
      <c r="D920" s="4" t="str">
        <f t="shared" si="29"/>
        <v>0000918</v>
      </c>
      <c r="E920" s="4">
        <f>COUNTIF(Table1[Malın adı],Table1[[#This Row],[Malın adı]])</f>
        <v>1</v>
      </c>
    </row>
    <row r="921" spans="2:5" x14ac:dyDescent="0.3">
      <c r="B921" s="4">
        <f t="shared" si="28"/>
        <v>919</v>
      </c>
      <c r="C921" s="10" t="s">
        <v>2503</v>
      </c>
      <c r="D921" s="4" t="str">
        <f t="shared" si="29"/>
        <v>0000919</v>
      </c>
      <c r="E921" s="4">
        <f>COUNTIF(Table1[Malın adı],Table1[[#This Row],[Malın adı]])</f>
        <v>1</v>
      </c>
    </row>
    <row r="922" spans="2:5" x14ac:dyDescent="0.3">
      <c r="B922" s="4">
        <f t="shared" si="28"/>
        <v>920</v>
      </c>
      <c r="C922" s="10" t="s">
        <v>854</v>
      </c>
      <c r="D922" s="4" t="str">
        <f t="shared" si="29"/>
        <v>0000920</v>
      </c>
      <c r="E922" s="4">
        <f>COUNTIF(Table1[Malın adı],Table1[[#This Row],[Malın adı]])</f>
        <v>1</v>
      </c>
    </row>
    <row r="923" spans="2:5" x14ac:dyDescent="0.3">
      <c r="B923" s="4">
        <f t="shared" si="28"/>
        <v>921</v>
      </c>
      <c r="C923" s="10" t="s">
        <v>855</v>
      </c>
      <c r="D923" s="4" t="str">
        <f t="shared" si="29"/>
        <v>0000921</v>
      </c>
      <c r="E923" s="4">
        <f>COUNTIF(Table1[Malın adı],Table1[[#This Row],[Malın adı]])</f>
        <v>1</v>
      </c>
    </row>
    <row r="924" spans="2:5" x14ac:dyDescent="0.3">
      <c r="B924" s="4">
        <f t="shared" si="28"/>
        <v>922</v>
      </c>
      <c r="C924" s="10" t="s">
        <v>2504</v>
      </c>
      <c r="D924" s="4" t="str">
        <f t="shared" si="29"/>
        <v>0000922</v>
      </c>
      <c r="E924" s="4">
        <f>COUNTIF(Table1[Malın adı],Table1[[#This Row],[Malın adı]])</f>
        <v>1</v>
      </c>
    </row>
    <row r="925" spans="2:5" x14ac:dyDescent="0.3">
      <c r="B925" s="4">
        <f t="shared" si="28"/>
        <v>923</v>
      </c>
      <c r="C925" s="10" t="s">
        <v>856</v>
      </c>
      <c r="D925" s="4" t="str">
        <f t="shared" si="29"/>
        <v>0000923</v>
      </c>
      <c r="E925" s="4">
        <f>COUNTIF(Table1[Malın adı],Table1[[#This Row],[Malın adı]])</f>
        <v>1</v>
      </c>
    </row>
    <row r="926" spans="2:5" x14ac:dyDescent="0.3">
      <c r="B926" s="4">
        <f t="shared" si="28"/>
        <v>924</v>
      </c>
      <c r="C926" s="10" t="s">
        <v>857</v>
      </c>
      <c r="D926" s="4" t="str">
        <f t="shared" si="29"/>
        <v>0000924</v>
      </c>
      <c r="E926" s="4">
        <f>COUNTIF(Table1[Malın adı],Table1[[#This Row],[Malın adı]])</f>
        <v>1</v>
      </c>
    </row>
    <row r="927" spans="2:5" x14ac:dyDescent="0.3">
      <c r="B927" s="4">
        <f t="shared" si="28"/>
        <v>925</v>
      </c>
      <c r="C927" s="10" t="s">
        <v>858</v>
      </c>
      <c r="D927" s="4" t="str">
        <f t="shared" si="29"/>
        <v>0000925</v>
      </c>
      <c r="E927" s="4">
        <f>COUNTIF(Table1[Malın adı],Table1[[#This Row],[Malın adı]])</f>
        <v>1</v>
      </c>
    </row>
    <row r="928" spans="2:5" x14ac:dyDescent="0.3">
      <c r="B928" s="4">
        <f t="shared" si="28"/>
        <v>926</v>
      </c>
      <c r="C928" s="10" t="s">
        <v>859</v>
      </c>
      <c r="D928" s="4" t="str">
        <f t="shared" si="29"/>
        <v>0000926</v>
      </c>
      <c r="E928" s="4">
        <f>COUNTIF(Table1[Malın adı],Table1[[#This Row],[Malın adı]])</f>
        <v>1</v>
      </c>
    </row>
    <row r="929" spans="2:5" x14ac:dyDescent="0.3">
      <c r="B929" s="4">
        <f t="shared" si="28"/>
        <v>927</v>
      </c>
      <c r="C929" s="10" t="s">
        <v>860</v>
      </c>
      <c r="D929" s="4" t="str">
        <f t="shared" si="29"/>
        <v>0000927</v>
      </c>
      <c r="E929" s="4">
        <f>COUNTIF(Table1[Malın adı],Table1[[#This Row],[Malın adı]])</f>
        <v>1</v>
      </c>
    </row>
    <row r="930" spans="2:5" x14ac:dyDescent="0.3">
      <c r="B930" s="4">
        <f t="shared" si="28"/>
        <v>928</v>
      </c>
      <c r="C930" s="10" t="s">
        <v>861</v>
      </c>
      <c r="D930" s="4" t="str">
        <f t="shared" si="29"/>
        <v>0000928</v>
      </c>
      <c r="E930" s="4">
        <f>COUNTIF(Table1[Malın adı],Table1[[#This Row],[Malın adı]])</f>
        <v>1</v>
      </c>
    </row>
    <row r="931" spans="2:5" x14ac:dyDescent="0.3">
      <c r="B931" s="4">
        <f t="shared" si="28"/>
        <v>929</v>
      </c>
      <c r="C931" s="10" t="s">
        <v>862</v>
      </c>
      <c r="D931" s="4" t="str">
        <f t="shared" si="29"/>
        <v>0000929</v>
      </c>
      <c r="E931" s="4">
        <f>COUNTIF(Table1[Malın adı],Table1[[#This Row],[Malın adı]])</f>
        <v>1</v>
      </c>
    </row>
    <row r="932" spans="2:5" x14ac:dyDescent="0.3">
      <c r="B932" s="4">
        <f t="shared" si="28"/>
        <v>930</v>
      </c>
      <c r="C932" s="10" t="s">
        <v>863</v>
      </c>
      <c r="D932" s="4" t="str">
        <f t="shared" si="29"/>
        <v>0000930</v>
      </c>
      <c r="E932" s="4">
        <f>COUNTIF(Table1[Malın adı],Table1[[#This Row],[Malın adı]])</f>
        <v>1</v>
      </c>
    </row>
    <row r="933" spans="2:5" x14ac:dyDescent="0.3">
      <c r="B933" s="4">
        <f t="shared" si="28"/>
        <v>931</v>
      </c>
      <c r="C933" s="10" t="s">
        <v>864</v>
      </c>
      <c r="D933" s="4" t="str">
        <f t="shared" si="29"/>
        <v>0000931</v>
      </c>
      <c r="E933" s="4">
        <f>COUNTIF(Table1[Malın adı],Table1[[#This Row],[Malın adı]])</f>
        <v>1</v>
      </c>
    </row>
    <row r="934" spans="2:5" x14ac:dyDescent="0.3">
      <c r="B934" s="4">
        <f t="shared" si="28"/>
        <v>932</v>
      </c>
      <c r="C934" s="10" t="s">
        <v>865</v>
      </c>
      <c r="D934" s="4" t="str">
        <f t="shared" si="29"/>
        <v>0000932</v>
      </c>
      <c r="E934" s="4">
        <f>COUNTIF(Table1[Malın adı],Table1[[#This Row],[Malın adı]])</f>
        <v>1</v>
      </c>
    </row>
    <row r="935" spans="2:5" x14ac:dyDescent="0.3">
      <c r="B935" s="4">
        <f t="shared" si="28"/>
        <v>933</v>
      </c>
      <c r="C935" s="10" t="s">
        <v>2334</v>
      </c>
      <c r="D935" s="4" t="str">
        <f t="shared" si="29"/>
        <v>0000933</v>
      </c>
      <c r="E935" s="4">
        <f>COUNTIF(Table1[Malın adı],Table1[[#This Row],[Malın adı]])</f>
        <v>1</v>
      </c>
    </row>
    <row r="936" spans="2:5" x14ac:dyDescent="0.3">
      <c r="B936" s="4">
        <f t="shared" si="28"/>
        <v>934</v>
      </c>
      <c r="C936" s="10" t="s">
        <v>866</v>
      </c>
      <c r="D936" s="4" t="str">
        <f t="shared" si="29"/>
        <v>0000934</v>
      </c>
      <c r="E936" s="4">
        <f>COUNTIF(Table1[Malın adı],Table1[[#This Row],[Malın adı]])</f>
        <v>1</v>
      </c>
    </row>
    <row r="937" spans="2:5" x14ac:dyDescent="0.3">
      <c r="B937" s="4">
        <f t="shared" si="28"/>
        <v>935</v>
      </c>
      <c r="C937" s="10" t="s">
        <v>867</v>
      </c>
      <c r="D937" s="4" t="str">
        <f t="shared" si="29"/>
        <v>0000935</v>
      </c>
      <c r="E937" s="4">
        <f>COUNTIF(Table1[Malın adı],Table1[[#This Row],[Malın adı]])</f>
        <v>1</v>
      </c>
    </row>
    <row r="938" spans="2:5" x14ac:dyDescent="0.3">
      <c r="B938" s="4">
        <f t="shared" si="28"/>
        <v>936</v>
      </c>
      <c r="C938" s="10" t="s">
        <v>868</v>
      </c>
      <c r="D938" s="4" t="str">
        <f t="shared" si="29"/>
        <v>0000936</v>
      </c>
      <c r="E938" s="4">
        <f>COUNTIF(Table1[Malın adı],Table1[[#This Row],[Malın adı]])</f>
        <v>1</v>
      </c>
    </row>
    <row r="939" spans="2:5" x14ac:dyDescent="0.3">
      <c r="B939" s="4">
        <f t="shared" si="28"/>
        <v>937</v>
      </c>
      <c r="C939" s="10" t="s">
        <v>869</v>
      </c>
      <c r="D939" s="4" t="str">
        <f t="shared" si="29"/>
        <v>0000937</v>
      </c>
      <c r="E939" s="4">
        <f>COUNTIF(Table1[Malın adı],Table1[[#This Row],[Malın adı]])</f>
        <v>1</v>
      </c>
    </row>
    <row r="940" spans="2:5" x14ac:dyDescent="0.3">
      <c r="B940" s="4">
        <f t="shared" si="28"/>
        <v>938</v>
      </c>
      <c r="C940" s="10" t="s">
        <v>870</v>
      </c>
      <c r="D940" s="4" t="str">
        <f t="shared" si="29"/>
        <v>0000938</v>
      </c>
      <c r="E940" s="4">
        <f>COUNTIF(Table1[Malın adı],Table1[[#This Row],[Malın adı]])</f>
        <v>1</v>
      </c>
    </row>
    <row r="941" spans="2:5" x14ac:dyDescent="0.3">
      <c r="B941" s="4">
        <f t="shared" si="28"/>
        <v>939</v>
      </c>
      <c r="C941" s="10" t="s">
        <v>2505</v>
      </c>
      <c r="D941" s="4" t="str">
        <f t="shared" si="29"/>
        <v>0000939</v>
      </c>
      <c r="E941" s="4">
        <f>COUNTIF(Table1[Malın adı],Table1[[#This Row],[Malın adı]])</f>
        <v>1</v>
      </c>
    </row>
    <row r="942" spans="2:5" x14ac:dyDescent="0.3">
      <c r="B942" s="4">
        <f t="shared" si="28"/>
        <v>940</v>
      </c>
      <c r="C942" s="10" t="s">
        <v>871</v>
      </c>
      <c r="D942" s="4" t="str">
        <f t="shared" si="29"/>
        <v>0000940</v>
      </c>
      <c r="E942" s="4">
        <f>COUNTIF(Table1[Malın adı],Table1[[#This Row],[Malın adı]])</f>
        <v>1</v>
      </c>
    </row>
    <row r="943" spans="2:5" x14ac:dyDescent="0.3">
      <c r="B943" s="4">
        <f t="shared" si="28"/>
        <v>941</v>
      </c>
      <c r="C943" s="10" t="s">
        <v>872</v>
      </c>
      <c r="D943" s="4" t="str">
        <f t="shared" si="29"/>
        <v>0000941</v>
      </c>
      <c r="E943" s="4">
        <f>COUNTIF(Table1[Malın adı],Table1[[#This Row],[Malın adı]])</f>
        <v>1</v>
      </c>
    </row>
    <row r="944" spans="2:5" x14ac:dyDescent="0.3">
      <c r="B944" s="4">
        <f t="shared" si="28"/>
        <v>942</v>
      </c>
      <c r="C944" s="10" t="s">
        <v>873</v>
      </c>
      <c r="D944" s="4" t="str">
        <f t="shared" si="29"/>
        <v>0000942</v>
      </c>
      <c r="E944" s="4">
        <f>COUNTIF(Table1[Malın adı],Table1[[#This Row],[Malın adı]])</f>
        <v>1</v>
      </c>
    </row>
    <row r="945" spans="2:5" x14ac:dyDescent="0.3">
      <c r="B945" s="4">
        <f t="shared" si="28"/>
        <v>943</v>
      </c>
      <c r="C945" s="10" t="s">
        <v>874</v>
      </c>
      <c r="D945" s="4" t="str">
        <f t="shared" si="29"/>
        <v>0000943</v>
      </c>
      <c r="E945" s="4">
        <f>COUNTIF(Table1[Malın adı],Table1[[#This Row],[Malın adı]])</f>
        <v>1</v>
      </c>
    </row>
    <row r="946" spans="2:5" x14ac:dyDescent="0.3">
      <c r="B946" s="4">
        <f t="shared" si="28"/>
        <v>944</v>
      </c>
      <c r="C946" s="10" t="s">
        <v>875</v>
      </c>
      <c r="D946" s="4" t="str">
        <f t="shared" si="29"/>
        <v>0000944</v>
      </c>
      <c r="E946" s="4">
        <f>COUNTIF(Table1[Malın adı],Table1[[#This Row],[Malın adı]])</f>
        <v>1</v>
      </c>
    </row>
    <row r="947" spans="2:5" x14ac:dyDescent="0.3">
      <c r="B947" s="4">
        <f t="shared" si="28"/>
        <v>945</v>
      </c>
      <c r="C947" s="10" t="s">
        <v>876</v>
      </c>
      <c r="D947" s="4" t="str">
        <f t="shared" si="29"/>
        <v>0000945</v>
      </c>
      <c r="E947" s="4">
        <f>COUNTIF(Table1[Malın adı],Table1[[#This Row],[Malın adı]])</f>
        <v>1</v>
      </c>
    </row>
    <row r="948" spans="2:5" x14ac:dyDescent="0.3">
      <c r="B948" s="4">
        <f t="shared" si="28"/>
        <v>946</v>
      </c>
      <c r="C948" s="10" t="s">
        <v>2506</v>
      </c>
      <c r="D948" s="4" t="str">
        <f t="shared" si="29"/>
        <v>0000946</v>
      </c>
      <c r="E948" s="4">
        <f>COUNTIF(Table1[Malın adı],Table1[[#This Row],[Malın adı]])</f>
        <v>1</v>
      </c>
    </row>
    <row r="949" spans="2:5" x14ac:dyDescent="0.3">
      <c r="B949" s="4">
        <f t="shared" si="28"/>
        <v>947</v>
      </c>
      <c r="C949" s="10" t="s">
        <v>877</v>
      </c>
      <c r="D949" s="4" t="str">
        <f t="shared" si="29"/>
        <v>0000947</v>
      </c>
      <c r="E949" s="4">
        <f>COUNTIF(Table1[Malın adı],Table1[[#This Row],[Malın adı]])</f>
        <v>1</v>
      </c>
    </row>
    <row r="950" spans="2:5" x14ac:dyDescent="0.3">
      <c r="B950" s="4">
        <f t="shared" si="28"/>
        <v>948</v>
      </c>
      <c r="C950" s="10" t="s">
        <v>878</v>
      </c>
      <c r="D950" s="4" t="str">
        <f t="shared" si="29"/>
        <v>0000948</v>
      </c>
      <c r="E950" s="4">
        <f>COUNTIF(Table1[Malın adı],Table1[[#This Row],[Malın adı]])</f>
        <v>1</v>
      </c>
    </row>
    <row r="951" spans="2:5" x14ac:dyDescent="0.3">
      <c r="B951" s="4">
        <f t="shared" si="28"/>
        <v>949</v>
      </c>
      <c r="C951" s="10" t="s">
        <v>879</v>
      </c>
      <c r="D951" s="4" t="str">
        <f t="shared" si="29"/>
        <v>0000949</v>
      </c>
      <c r="E951" s="4">
        <f>COUNTIF(Table1[Malın adı],Table1[[#This Row],[Malın adı]])</f>
        <v>1</v>
      </c>
    </row>
    <row r="952" spans="2:5" x14ac:dyDescent="0.3">
      <c r="B952" s="4">
        <f t="shared" si="28"/>
        <v>950</v>
      </c>
      <c r="C952" s="10" t="s">
        <v>880</v>
      </c>
      <c r="D952" s="4" t="str">
        <f t="shared" si="29"/>
        <v>0000950</v>
      </c>
      <c r="E952" s="4">
        <f>COUNTIF(Table1[Malın adı],Table1[[#This Row],[Malın adı]])</f>
        <v>1</v>
      </c>
    </row>
    <row r="953" spans="2:5" x14ac:dyDescent="0.3">
      <c r="B953" s="4">
        <f t="shared" si="28"/>
        <v>951</v>
      </c>
      <c r="C953" s="10" t="s">
        <v>2507</v>
      </c>
      <c r="D953" s="4" t="str">
        <f t="shared" si="29"/>
        <v>0000951</v>
      </c>
      <c r="E953" s="4">
        <f>COUNTIF(Table1[Malın adı],Table1[[#This Row],[Malın adı]])</f>
        <v>1</v>
      </c>
    </row>
    <row r="954" spans="2:5" x14ac:dyDescent="0.3">
      <c r="B954" s="4">
        <f t="shared" si="28"/>
        <v>952</v>
      </c>
      <c r="C954" s="10" t="s">
        <v>881</v>
      </c>
      <c r="D954" s="4" t="str">
        <f t="shared" si="29"/>
        <v>0000952</v>
      </c>
      <c r="E954" s="4">
        <f>COUNTIF(Table1[Malın adı],Table1[[#This Row],[Malın adı]])</f>
        <v>1</v>
      </c>
    </row>
    <row r="955" spans="2:5" x14ac:dyDescent="0.3">
      <c r="B955" s="4">
        <f t="shared" si="28"/>
        <v>953</v>
      </c>
      <c r="C955" s="10" t="s">
        <v>882</v>
      </c>
      <c r="D955" s="4" t="str">
        <f t="shared" si="29"/>
        <v>0000953</v>
      </c>
      <c r="E955" s="4">
        <f>COUNTIF(Table1[Malın adı],Table1[[#This Row],[Malın adı]])</f>
        <v>1</v>
      </c>
    </row>
    <row r="956" spans="2:5" x14ac:dyDescent="0.3">
      <c r="B956" s="4">
        <f t="shared" si="28"/>
        <v>954</v>
      </c>
      <c r="C956" s="10" t="s">
        <v>2508</v>
      </c>
      <c r="D956" s="4" t="str">
        <f t="shared" si="29"/>
        <v>0000954</v>
      </c>
      <c r="E956" s="4">
        <f>COUNTIF(Table1[Malın adı],Table1[[#This Row],[Malın adı]])</f>
        <v>1</v>
      </c>
    </row>
    <row r="957" spans="2:5" x14ac:dyDescent="0.3">
      <c r="B957" s="4">
        <f t="shared" si="28"/>
        <v>955</v>
      </c>
      <c r="C957" s="10" t="s">
        <v>2509</v>
      </c>
      <c r="D957" s="4" t="str">
        <f t="shared" si="29"/>
        <v>0000955</v>
      </c>
      <c r="E957" s="4">
        <f>COUNTIF(Table1[Malın adı],Table1[[#This Row],[Malın adı]])</f>
        <v>1</v>
      </c>
    </row>
    <row r="958" spans="2:5" x14ac:dyDescent="0.3">
      <c r="B958" s="4">
        <f t="shared" si="28"/>
        <v>956</v>
      </c>
      <c r="C958" s="10" t="s">
        <v>2510</v>
      </c>
      <c r="D958" s="4" t="str">
        <f t="shared" si="29"/>
        <v>0000956</v>
      </c>
      <c r="E958" s="4">
        <f>COUNTIF(Table1[Malın adı],Table1[[#This Row],[Malın adı]])</f>
        <v>1</v>
      </c>
    </row>
    <row r="959" spans="2:5" x14ac:dyDescent="0.3">
      <c r="B959" s="4">
        <f t="shared" si="28"/>
        <v>957</v>
      </c>
      <c r="C959" s="10" t="s">
        <v>883</v>
      </c>
      <c r="D959" s="4" t="str">
        <f t="shared" si="29"/>
        <v>0000957</v>
      </c>
      <c r="E959" s="4">
        <f>COUNTIF(Table1[Malın adı],Table1[[#This Row],[Malın adı]])</f>
        <v>1</v>
      </c>
    </row>
    <row r="960" spans="2:5" x14ac:dyDescent="0.3">
      <c r="B960" s="4">
        <f t="shared" si="28"/>
        <v>958</v>
      </c>
      <c r="C960" s="10" t="s">
        <v>884</v>
      </c>
      <c r="D960" s="4" t="str">
        <f t="shared" si="29"/>
        <v>0000958</v>
      </c>
      <c r="E960" s="4">
        <f>COUNTIF(Table1[Malın adı],Table1[[#This Row],[Malın adı]])</f>
        <v>1</v>
      </c>
    </row>
    <row r="961" spans="2:5" x14ac:dyDescent="0.3">
      <c r="B961" s="4">
        <f t="shared" si="28"/>
        <v>959</v>
      </c>
      <c r="C961" s="10" t="s">
        <v>885</v>
      </c>
      <c r="D961" s="4" t="str">
        <f t="shared" si="29"/>
        <v>0000959</v>
      </c>
      <c r="E961" s="4">
        <f>COUNTIF(Table1[Malın adı],Table1[[#This Row],[Malın adı]])</f>
        <v>1</v>
      </c>
    </row>
    <row r="962" spans="2:5" x14ac:dyDescent="0.3">
      <c r="B962" s="4">
        <f t="shared" si="28"/>
        <v>960</v>
      </c>
      <c r="C962" s="10" t="s">
        <v>886</v>
      </c>
      <c r="D962" s="4" t="str">
        <f t="shared" si="29"/>
        <v>0000960</v>
      </c>
      <c r="E962" s="4">
        <f>COUNTIF(Table1[Malın adı],Table1[[#This Row],[Malın adı]])</f>
        <v>1</v>
      </c>
    </row>
    <row r="963" spans="2:5" x14ac:dyDescent="0.3">
      <c r="B963" s="4">
        <f t="shared" ref="B963:B1026" si="30">ROW()-2</f>
        <v>961</v>
      </c>
      <c r="C963" s="10" t="s">
        <v>887</v>
      </c>
      <c r="D963" s="4" t="str">
        <f t="shared" ref="D963:D1026" si="31">TEXT(ROW()-2,"0000000")</f>
        <v>0000961</v>
      </c>
      <c r="E963" s="4">
        <f>COUNTIF(Table1[Malın adı],Table1[[#This Row],[Malın adı]])</f>
        <v>1</v>
      </c>
    </row>
    <row r="964" spans="2:5" x14ac:dyDescent="0.3">
      <c r="B964" s="4">
        <f t="shared" si="30"/>
        <v>962</v>
      </c>
      <c r="C964" s="10" t="s">
        <v>888</v>
      </c>
      <c r="D964" s="4" t="str">
        <f t="shared" si="31"/>
        <v>0000962</v>
      </c>
      <c r="E964" s="4">
        <f>COUNTIF(Table1[Malın adı],Table1[[#This Row],[Malın adı]])</f>
        <v>1</v>
      </c>
    </row>
    <row r="965" spans="2:5" x14ac:dyDescent="0.3">
      <c r="B965" s="4">
        <f t="shared" si="30"/>
        <v>963</v>
      </c>
      <c r="C965" s="10" t="s">
        <v>2511</v>
      </c>
      <c r="D965" s="4" t="str">
        <f t="shared" si="31"/>
        <v>0000963</v>
      </c>
      <c r="E965" s="4">
        <f>COUNTIF(Table1[Malın adı],Table1[[#This Row],[Malın adı]])</f>
        <v>1</v>
      </c>
    </row>
    <row r="966" spans="2:5" x14ac:dyDescent="0.3">
      <c r="B966" s="4">
        <f t="shared" si="30"/>
        <v>964</v>
      </c>
      <c r="C966" s="10" t="s">
        <v>889</v>
      </c>
      <c r="D966" s="4" t="str">
        <f t="shared" si="31"/>
        <v>0000964</v>
      </c>
      <c r="E966" s="4">
        <f>COUNTIF(Table1[Malın adı],Table1[[#This Row],[Malın adı]])</f>
        <v>1</v>
      </c>
    </row>
    <row r="967" spans="2:5" x14ac:dyDescent="0.3">
      <c r="B967" s="4">
        <f t="shared" si="30"/>
        <v>965</v>
      </c>
      <c r="C967" s="10" t="s">
        <v>1893</v>
      </c>
      <c r="D967" s="4" t="str">
        <f t="shared" si="31"/>
        <v>0000965</v>
      </c>
      <c r="E967" s="4">
        <f>COUNTIF(Table1[Malın adı],Table1[[#This Row],[Malın adı]])</f>
        <v>1</v>
      </c>
    </row>
    <row r="968" spans="2:5" x14ac:dyDescent="0.3">
      <c r="B968" s="4">
        <f t="shared" si="30"/>
        <v>966</v>
      </c>
      <c r="C968" s="10" t="s">
        <v>1903</v>
      </c>
      <c r="D968" s="4" t="str">
        <f t="shared" si="31"/>
        <v>0000966</v>
      </c>
      <c r="E968" s="4">
        <f>COUNTIF(Table1[Malın adı],Table1[[#This Row],[Malın adı]])</f>
        <v>1</v>
      </c>
    </row>
    <row r="969" spans="2:5" x14ac:dyDescent="0.3">
      <c r="B969" s="4">
        <f t="shared" si="30"/>
        <v>967</v>
      </c>
      <c r="C969" s="10" t="s">
        <v>1902</v>
      </c>
      <c r="D969" s="4" t="str">
        <f t="shared" si="31"/>
        <v>0000967</v>
      </c>
      <c r="E969" s="4">
        <f>COUNTIF(Table1[Malın adı],Table1[[#This Row],[Malın adı]])</f>
        <v>1</v>
      </c>
    </row>
    <row r="970" spans="2:5" x14ac:dyDescent="0.3">
      <c r="B970" s="4">
        <f t="shared" si="30"/>
        <v>968</v>
      </c>
      <c r="C970" s="10" t="s">
        <v>1904</v>
      </c>
      <c r="D970" s="4" t="str">
        <f t="shared" si="31"/>
        <v>0000968</v>
      </c>
      <c r="E970" s="4">
        <f>COUNTIF(Table1[Malın adı],Table1[[#This Row],[Malın adı]])</f>
        <v>1</v>
      </c>
    </row>
    <row r="971" spans="2:5" x14ac:dyDescent="0.3">
      <c r="B971" s="4">
        <f t="shared" si="30"/>
        <v>969</v>
      </c>
      <c r="C971" s="10" t="s">
        <v>1913</v>
      </c>
      <c r="D971" s="4" t="str">
        <f t="shared" si="31"/>
        <v>0000969</v>
      </c>
      <c r="E971" s="4">
        <f>COUNTIF(Table1[Malın adı],Table1[[#This Row],[Malın adı]])</f>
        <v>1</v>
      </c>
    </row>
    <row r="972" spans="2:5" x14ac:dyDescent="0.3">
      <c r="B972" s="4">
        <f t="shared" si="30"/>
        <v>970</v>
      </c>
      <c r="C972" s="10" t="s">
        <v>1924</v>
      </c>
      <c r="D972" s="4" t="str">
        <f t="shared" si="31"/>
        <v>0000970</v>
      </c>
      <c r="E972" s="4">
        <f>COUNTIF(Table1[Malın adı],Table1[[#This Row],[Malın adı]])</f>
        <v>1</v>
      </c>
    </row>
    <row r="973" spans="2:5" x14ac:dyDescent="0.3">
      <c r="B973" s="4">
        <f t="shared" si="30"/>
        <v>971</v>
      </c>
      <c r="C973" s="10" t="s">
        <v>1925</v>
      </c>
      <c r="D973" s="4" t="str">
        <f t="shared" si="31"/>
        <v>0000971</v>
      </c>
      <c r="E973" s="4">
        <f>COUNTIF(Table1[Malın adı],Table1[[#This Row],[Malın adı]])</f>
        <v>1</v>
      </c>
    </row>
    <row r="974" spans="2:5" x14ac:dyDescent="0.3">
      <c r="B974" s="4">
        <f t="shared" si="30"/>
        <v>972</v>
      </c>
      <c r="C974" s="10" t="s">
        <v>1926</v>
      </c>
      <c r="D974" s="4" t="str">
        <f t="shared" si="31"/>
        <v>0000972</v>
      </c>
      <c r="E974" s="4">
        <f>COUNTIF(Table1[Malın adı],Table1[[#This Row],[Malın adı]])</f>
        <v>1</v>
      </c>
    </row>
    <row r="975" spans="2:5" x14ac:dyDescent="0.3">
      <c r="B975" s="4">
        <f t="shared" si="30"/>
        <v>973</v>
      </c>
      <c r="C975" s="10" t="s">
        <v>1927</v>
      </c>
      <c r="D975" s="4" t="str">
        <f t="shared" si="31"/>
        <v>0000973</v>
      </c>
      <c r="E975" s="4">
        <f>COUNTIF(Table1[Malın adı],Table1[[#This Row],[Malın adı]])</f>
        <v>1</v>
      </c>
    </row>
    <row r="976" spans="2:5" x14ac:dyDescent="0.3">
      <c r="B976" s="4">
        <f t="shared" si="30"/>
        <v>974</v>
      </c>
      <c r="C976" s="10" t="s">
        <v>1928</v>
      </c>
      <c r="D976" s="4" t="str">
        <f t="shared" si="31"/>
        <v>0000974</v>
      </c>
      <c r="E976" s="4">
        <f>COUNTIF(Table1[Malın adı],Table1[[#This Row],[Malın adı]])</f>
        <v>1</v>
      </c>
    </row>
    <row r="977" spans="2:5" x14ac:dyDescent="0.3">
      <c r="B977" s="4">
        <f t="shared" si="30"/>
        <v>975</v>
      </c>
      <c r="C977" s="10" t="s">
        <v>1929</v>
      </c>
      <c r="D977" s="4" t="str">
        <f t="shared" si="31"/>
        <v>0000975</v>
      </c>
      <c r="E977" s="4">
        <f>COUNTIF(Table1[Malın adı],Table1[[#This Row],[Malın adı]])</f>
        <v>1</v>
      </c>
    </row>
    <row r="978" spans="2:5" x14ac:dyDescent="0.3">
      <c r="B978" s="4">
        <f t="shared" si="30"/>
        <v>976</v>
      </c>
      <c r="C978" s="10" t="s">
        <v>2512</v>
      </c>
      <c r="D978" s="4" t="str">
        <f t="shared" si="31"/>
        <v>0000976</v>
      </c>
      <c r="E978" s="4">
        <f>COUNTIF(Table1[Malın adı],Table1[[#This Row],[Malın adı]])</f>
        <v>1</v>
      </c>
    </row>
    <row r="979" spans="2:5" x14ac:dyDescent="0.3">
      <c r="B979" s="4">
        <f t="shared" si="30"/>
        <v>977</v>
      </c>
      <c r="C979" s="10" t="s">
        <v>1930</v>
      </c>
      <c r="D979" s="4" t="str">
        <f t="shared" si="31"/>
        <v>0000977</v>
      </c>
      <c r="E979" s="4">
        <f>COUNTIF(Table1[Malın adı],Table1[[#This Row],[Malın adı]])</f>
        <v>1</v>
      </c>
    </row>
    <row r="980" spans="2:5" x14ac:dyDescent="0.3">
      <c r="B980" s="4">
        <f t="shared" si="30"/>
        <v>978</v>
      </c>
      <c r="C980" s="10" t="s">
        <v>1931</v>
      </c>
      <c r="D980" s="4" t="str">
        <f t="shared" si="31"/>
        <v>0000978</v>
      </c>
      <c r="E980" s="4">
        <f>COUNTIF(Table1[Malın adı],Table1[[#This Row],[Malın adı]])</f>
        <v>1</v>
      </c>
    </row>
    <row r="981" spans="2:5" x14ac:dyDescent="0.3">
      <c r="B981" s="4">
        <f t="shared" si="30"/>
        <v>979</v>
      </c>
      <c r="C981" s="10" t="s">
        <v>1932</v>
      </c>
      <c r="D981" s="4" t="str">
        <f t="shared" si="31"/>
        <v>0000979</v>
      </c>
      <c r="E981" s="4">
        <f>COUNTIF(Table1[Malın adı],Table1[[#This Row],[Malın adı]])</f>
        <v>1</v>
      </c>
    </row>
    <row r="982" spans="2:5" x14ac:dyDescent="0.3">
      <c r="B982" s="4">
        <f t="shared" si="30"/>
        <v>980</v>
      </c>
      <c r="C982" s="10" t="s">
        <v>1933</v>
      </c>
      <c r="D982" s="4" t="str">
        <f t="shared" si="31"/>
        <v>0000980</v>
      </c>
      <c r="E982" s="4">
        <f>COUNTIF(Table1[Malın adı],Table1[[#This Row],[Malın adı]])</f>
        <v>1</v>
      </c>
    </row>
    <row r="983" spans="2:5" x14ac:dyDescent="0.3">
      <c r="B983" s="4">
        <f t="shared" si="30"/>
        <v>981</v>
      </c>
      <c r="C983" s="10" t="s">
        <v>1934</v>
      </c>
      <c r="D983" s="4" t="str">
        <f t="shared" si="31"/>
        <v>0000981</v>
      </c>
      <c r="E983" s="4">
        <f>COUNTIF(Table1[Malın adı],Table1[[#This Row],[Malın adı]])</f>
        <v>1</v>
      </c>
    </row>
    <row r="984" spans="2:5" x14ac:dyDescent="0.3">
      <c r="B984" s="4">
        <f t="shared" si="30"/>
        <v>982</v>
      </c>
      <c r="C984" s="10" t="s">
        <v>1935</v>
      </c>
      <c r="D984" s="4" t="str">
        <f t="shared" si="31"/>
        <v>0000982</v>
      </c>
      <c r="E984" s="4">
        <f>COUNTIF(Table1[Malın adı],Table1[[#This Row],[Malın adı]])</f>
        <v>1</v>
      </c>
    </row>
    <row r="985" spans="2:5" x14ac:dyDescent="0.3">
      <c r="B985" s="4">
        <f t="shared" si="30"/>
        <v>983</v>
      </c>
      <c r="C985" s="10" t="s">
        <v>1936</v>
      </c>
      <c r="D985" s="4" t="str">
        <f t="shared" si="31"/>
        <v>0000983</v>
      </c>
      <c r="E985" s="4">
        <f>COUNTIF(Table1[Malın adı],Table1[[#This Row],[Malın adı]])</f>
        <v>1</v>
      </c>
    </row>
    <row r="986" spans="2:5" x14ac:dyDescent="0.3">
      <c r="B986" s="4">
        <f t="shared" si="30"/>
        <v>984</v>
      </c>
      <c r="C986" s="10" t="s">
        <v>1937</v>
      </c>
      <c r="D986" s="4" t="str">
        <f t="shared" si="31"/>
        <v>0000984</v>
      </c>
      <c r="E986" s="4">
        <f>COUNTIF(Table1[Malın adı],Table1[[#This Row],[Malın adı]])</f>
        <v>1</v>
      </c>
    </row>
    <row r="987" spans="2:5" x14ac:dyDescent="0.3">
      <c r="B987" s="4">
        <f t="shared" si="30"/>
        <v>985</v>
      </c>
      <c r="C987" s="10" t="s">
        <v>1938</v>
      </c>
      <c r="D987" s="4" t="str">
        <f t="shared" si="31"/>
        <v>0000985</v>
      </c>
      <c r="E987" s="4">
        <f>COUNTIF(Table1[Malın adı],Table1[[#This Row],[Malın adı]])</f>
        <v>1</v>
      </c>
    </row>
    <row r="988" spans="2:5" x14ac:dyDescent="0.3">
      <c r="B988" s="4">
        <f t="shared" si="30"/>
        <v>986</v>
      </c>
      <c r="C988" s="10" t="s">
        <v>1939</v>
      </c>
      <c r="D988" s="4" t="str">
        <f t="shared" si="31"/>
        <v>0000986</v>
      </c>
      <c r="E988" s="4">
        <f>COUNTIF(Table1[Malın adı],Table1[[#This Row],[Malın adı]])</f>
        <v>1</v>
      </c>
    </row>
    <row r="989" spans="2:5" x14ac:dyDescent="0.3">
      <c r="B989" s="4">
        <f t="shared" si="30"/>
        <v>987</v>
      </c>
      <c r="C989" s="10" t="s">
        <v>1940</v>
      </c>
      <c r="D989" s="4" t="str">
        <f t="shared" si="31"/>
        <v>0000987</v>
      </c>
      <c r="E989" s="4">
        <f>COUNTIF(Table1[Malın adı],Table1[[#This Row],[Malın adı]])</f>
        <v>1</v>
      </c>
    </row>
    <row r="990" spans="2:5" x14ac:dyDescent="0.3">
      <c r="B990" s="4">
        <f t="shared" si="30"/>
        <v>988</v>
      </c>
      <c r="C990" s="10" t="s">
        <v>1941</v>
      </c>
      <c r="D990" s="4" t="str">
        <f t="shared" si="31"/>
        <v>0000988</v>
      </c>
      <c r="E990" s="4">
        <f>COUNTIF(Table1[Malın adı],Table1[[#This Row],[Malın adı]])</f>
        <v>1</v>
      </c>
    </row>
    <row r="991" spans="2:5" x14ac:dyDescent="0.3">
      <c r="B991" s="4">
        <f t="shared" si="30"/>
        <v>989</v>
      </c>
      <c r="C991" s="10" t="s">
        <v>1942</v>
      </c>
      <c r="D991" s="4" t="str">
        <f t="shared" si="31"/>
        <v>0000989</v>
      </c>
      <c r="E991" s="4">
        <f>COUNTIF(Table1[Malın adı],Table1[[#This Row],[Malın adı]])</f>
        <v>1</v>
      </c>
    </row>
    <row r="992" spans="2:5" x14ac:dyDescent="0.3">
      <c r="B992" s="4">
        <f t="shared" si="30"/>
        <v>990</v>
      </c>
      <c r="C992" s="10" t="s">
        <v>1963</v>
      </c>
      <c r="D992" s="4" t="str">
        <f t="shared" si="31"/>
        <v>0000990</v>
      </c>
      <c r="E992" s="4">
        <f>COUNTIF(Table1[Malın adı],Table1[[#This Row],[Malın adı]])</f>
        <v>1</v>
      </c>
    </row>
    <row r="993" spans="2:5" x14ac:dyDescent="0.3">
      <c r="B993" s="4">
        <f t="shared" si="30"/>
        <v>991</v>
      </c>
      <c r="C993" s="10" t="s">
        <v>1964</v>
      </c>
      <c r="D993" s="4" t="str">
        <f t="shared" si="31"/>
        <v>0000991</v>
      </c>
      <c r="E993" s="4">
        <f>COUNTIF(Table1[Malın adı],Table1[[#This Row],[Malın adı]])</f>
        <v>1</v>
      </c>
    </row>
    <row r="994" spans="2:5" x14ac:dyDescent="0.3">
      <c r="B994" s="4">
        <f t="shared" si="30"/>
        <v>992</v>
      </c>
      <c r="C994" s="10" t="s">
        <v>1965</v>
      </c>
      <c r="D994" s="4" t="str">
        <f t="shared" si="31"/>
        <v>0000992</v>
      </c>
      <c r="E994" s="4">
        <f>COUNTIF(Table1[Malın adı],Table1[[#This Row],[Malın adı]])</f>
        <v>1</v>
      </c>
    </row>
    <row r="995" spans="2:5" x14ac:dyDescent="0.3">
      <c r="B995" s="4">
        <f t="shared" si="30"/>
        <v>993</v>
      </c>
      <c r="C995" s="10" t="s">
        <v>1966</v>
      </c>
      <c r="D995" s="4" t="str">
        <f t="shared" si="31"/>
        <v>0000993</v>
      </c>
      <c r="E995" s="4">
        <f>COUNTIF(Table1[Malın adı],Table1[[#This Row],[Malın adı]])</f>
        <v>1</v>
      </c>
    </row>
    <row r="996" spans="2:5" x14ac:dyDescent="0.3">
      <c r="B996" s="4">
        <f t="shared" si="30"/>
        <v>994</v>
      </c>
      <c r="C996" s="10" t="s">
        <v>1968</v>
      </c>
      <c r="D996" s="4" t="str">
        <f t="shared" si="31"/>
        <v>0000994</v>
      </c>
      <c r="E996" s="4">
        <f>COUNTIF(Table1[Malın adı],Table1[[#This Row],[Malın adı]])</f>
        <v>1</v>
      </c>
    </row>
    <row r="997" spans="2:5" x14ac:dyDescent="0.3">
      <c r="B997" s="4">
        <f t="shared" si="30"/>
        <v>995</v>
      </c>
      <c r="C997" s="10" t="s">
        <v>2513</v>
      </c>
      <c r="D997" s="4" t="str">
        <f t="shared" si="31"/>
        <v>0000995</v>
      </c>
      <c r="E997" s="4">
        <f>COUNTIF(Table1[Malın adı],Table1[[#This Row],[Malın adı]])</f>
        <v>1</v>
      </c>
    </row>
    <row r="998" spans="2:5" x14ac:dyDescent="0.3">
      <c r="B998" s="4">
        <f t="shared" si="30"/>
        <v>996</v>
      </c>
      <c r="C998" s="10" t="s">
        <v>2514</v>
      </c>
      <c r="D998" s="4" t="str">
        <f t="shared" si="31"/>
        <v>0000996</v>
      </c>
      <c r="E998" s="4">
        <f>COUNTIF(Table1[Malın adı],Table1[[#This Row],[Malın adı]])</f>
        <v>1</v>
      </c>
    </row>
    <row r="999" spans="2:5" x14ac:dyDescent="0.3">
      <c r="B999" s="4">
        <f t="shared" si="30"/>
        <v>997</v>
      </c>
      <c r="C999" s="10" t="s">
        <v>1969</v>
      </c>
      <c r="D999" s="4" t="str">
        <f t="shared" si="31"/>
        <v>0000997</v>
      </c>
      <c r="E999" s="4">
        <f>COUNTIF(Table1[Malın adı],Table1[[#This Row],[Malın adı]])</f>
        <v>1</v>
      </c>
    </row>
    <row r="1000" spans="2:5" x14ac:dyDescent="0.3">
      <c r="B1000" s="4">
        <f t="shared" si="30"/>
        <v>998</v>
      </c>
      <c r="C1000" s="10" t="s">
        <v>1970</v>
      </c>
      <c r="D1000" s="4" t="str">
        <f t="shared" si="31"/>
        <v>0000998</v>
      </c>
      <c r="E1000" s="4">
        <f>COUNTIF(Table1[Malın adı],Table1[[#This Row],[Malın adı]])</f>
        <v>1</v>
      </c>
    </row>
    <row r="1001" spans="2:5" x14ac:dyDescent="0.3">
      <c r="B1001" s="4">
        <f t="shared" si="30"/>
        <v>999</v>
      </c>
      <c r="C1001" s="10" t="s">
        <v>1971</v>
      </c>
      <c r="D1001" s="4" t="str">
        <f t="shared" si="31"/>
        <v>0000999</v>
      </c>
      <c r="E1001" s="4">
        <f>COUNTIF(Table1[Malın adı],Table1[[#This Row],[Malın adı]])</f>
        <v>1</v>
      </c>
    </row>
    <row r="1002" spans="2:5" x14ac:dyDescent="0.3">
      <c r="B1002" s="4">
        <f t="shared" si="30"/>
        <v>1000</v>
      </c>
      <c r="C1002" s="10" t="s">
        <v>1972</v>
      </c>
      <c r="D1002" s="4" t="str">
        <f t="shared" si="31"/>
        <v>0001000</v>
      </c>
      <c r="E1002" s="4">
        <f>COUNTIF(Table1[Malın adı],Table1[[#This Row],[Malın adı]])</f>
        <v>1</v>
      </c>
    </row>
    <row r="1003" spans="2:5" x14ac:dyDescent="0.3">
      <c r="B1003" s="4">
        <f t="shared" si="30"/>
        <v>1001</v>
      </c>
      <c r="C1003" s="10" t="s">
        <v>1973</v>
      </c>
      <c r="D1003" s="4" t="str">
        <f t="shared" si="31"/>
        <v>0001001</v>
      </c>
      <c r="E1003" s="4">
        <f>COUNTIF(Table1[Malın adı],Table1[[#This Row],[Malın adı]])</f>
        <v>1</v>
      </c>
    </row>
    <row r="1004" spans="2:5" x14ac:dyDescent="0.3">
      <c r="B1004" s="4">
        <f t="shared" si="30"/>
        <v>1002</v>
      </c>
      <c r="C1004" s="10" t="s">
        <v>1974</v>
      </c>
      <c r="D1004" s="4" t="str">
        <f t="shared" si="31"/>
        <v>0001002</v>
      </c>
      <c r="E1004" s="4">
        <f>COUNTIF(Table1[Malın adı],Table1[[#This Row],[Malın adı]])</f>
        <v>1</v>
      </c>
    </row>
    <row r="1005" spans="2:5" x14ac:dyDescent="0.3">
      <c r="B1005" s="4">
        <f t="shared" si="30"/>
        <v>1003</v>
      </c>
      <c r="C1005" s="10" t="s">
        <v>1975</v>
      </c>
      <c r="D1005" s="4" t="str">
        <f t="shared" si="31"/>
        <v>0001003</v>
      </c>
      <c r="E1005" s="4">
        <f>COUNTIF(Table1[Malın adı],Table1[[#This Row],[Malın adı]])</f>
        <v>1</v>
      </c>
    </row>
    <row r="1006" spans="2:5" x14ac:dyDescent="0.3">
      <c r="B1006" s="4">
        <f t="shared" si="30"/>
        <v>1004</v>
      </c>
      <c r="C1006" s="10" t="s">
        <v>1993</v>
      </c>
      <c r="D1006" s="4" t="str">
        <f t="shared" si="31"/>
        <v>0001004</v>
      </c>
      <c r="E1006" s="4">
        <f>COUNTIF(Table1[Malın adı],Table1[[#This Row],[Malın adı]])</f>
        <v>1</v>
      </c>
    </row>
    <row r="1007" spans="2:5" x14ac:dyDescent="0.3">
      <c r="B1007" s="4">
        <f t="shared" si="30"/>
        <v>1005</v>
      </c>
      <c r="C1007" s="10" t="s">
        <v>1994</v>
      </c>
      <c r="D1007" s="4" t="str">
        <f t="shared" si="31"/>
        <v>0001005</v>
      </c>
      <c r="E1007" s="4">
        <f>COUNTIF(Table1[Malın adı],Table1[[#This Row],[Malın adı]])</f>
        <v>1</v>
      </c>
    </row>
    <row r="1008" spans="2:5" x14ac:dyDescent="0.3">
      <c r="B1008" s="4">
        <f t="shared" si="30"/>
        <v>1006</v>
      </c>
      <c r="C1008" s="10" t="s">
        <v>1995</v>
      </c>
      <c r="D1008" s="4" t="str">
        <f t="shared" si="31"/>
        <v>0001006</v>
      </c>
      <c r="E1008" s="4">
        <f>COUNTIF(Table1[Malın adı],Table1[[#This Row],[Malın adı]])</f>
        <v>1</v>
      </c>
    </row>
    <row r="1009" spans="2:5" x14ac:dyDescent="0.3">
      <c r="B1009" s="4">
        <f t="shared" si="30"/>
        <v>1007</v>
      </c>
      <c r="C1009" s="10" t="s">
        <v>1996</v>
      </c>
      <c r="D1009" s="4" t="str">
        <f t="shared" si="31"/>
        <v>0001007</v>
      </c>
      <c r="E1009" s="4">
        <f>COUNTIF(Table1[Malın adı],Table1[[#This Row],[Malın adı]])</f>
        <v>1</v>
      </c>
    </row>
    <row r="1010" spans="2:5" x14ac:dyDescent="0.3">
      <c r="B1010" s="4">
        <f t="shared" si="30"/>
        <v>1008</v>
      </c>
      <c r="C1010" s="10" t="s">
        <v>1997</v>
      </c>
      <c r="D1010" s="4" t="str">
        <f t="shared" si="31"/>
        <v>0001008</v>
      </c>
      <c r="E1010" s="4">
        <f>COUNTIF(Table1[Malın adı],Table1[[#This Row],[Malın adı]])</f>
        <v>1</v>
      </c>
    </row>
    <row r="1011" spans="2:5" x14ac:dyDescent="0.3">
      <c r="B1011" s="4">
        <f t="shared" si="30"/>
        <v>1009</v>
      </c>
      <c r="C1011" s="10" t="s">
        <v>1998</v>
      </c>
      <c r="D1011" s="4" t="str">
        <f t="shared" si="31"/>
        <v>0001009</v>
      </c>
      <c r="E1011" s="4">
        <f>COUNTIF(Table1[Malın adı],Table1[[#This Row],[Malın adı]])</f>
        <v>1</v>
      </c>
    </row>
    <row r="1012" spans="2:5" x14ac:dyDescent="0.3">
      <c r="B1012" s="4">
        <f t="shared" si="30"/>
        <v>1010</v>
      </c>
      <c r="C1012" s="10" t="s">
        <v>1999</v>
      </c>
      <c r="D1012" s="4" t="str">
        <f t="shared" si="31"/>
        <v>0001010</v>
      </c>
      <c r="E1012" s="4">
        <f>COUNTIF(Table1[Malın adı],Table1[[#This Row],[Malın adı]])</f>
        <v>1</v>
      </c>
    </row>
    <row r="1013" spans="2:5" x14ac:dyDescent="0.3">
      <c r="B1013" s="4">
        <f t="shared" si="30"/>
        <v>1011</v>
      </c>
      <c r="C1013" s="10" t="s">
        <v>2000</v>
      </c>
      <c r="D1013" s="4" t="str">
        <f t="shared" si="31"/>
        <v>0001011</v>
      </c>
      <c r="E1013" s="4">
        <f>COUNTIF(Table1[Malın adı],Table1[[#This Row],[Malın adı]])</f>
        <v>1</v>
      </c>
    </row>
    <row r="1014" spans="2:5" x14ac:dyDescent="0.3">
      <c r="B1014" s="4">
        <f t="shared" si="30"/>
        <v>1012</v>
      </c>
      <c r="C1014" s="10" t="s">
        <v>2011</v>
      </c>
      <c r="D1014" s="4" t="str">
        <f t="shared" si="31"/>
        <v>0001012</v>
      </c>
      <c r="E1014" s="4">
        <f>COUNTIF(Table1[Malın adı],Table1[[#This Row],[Malın adı]])</f>
        <v>1</v>
      </c>
    </row>
    <row r="1015" spans="2:5" x14ac:dyDescent="0.3">
      <c r="B1015" s="4">
        <f t="shared" si="30"/>
        <v>1013</v>
      </c>
      <c r="C1015" s="10" t="s">
        <v>2013</v>
      </c>
      <c r="D1015" s="4" t="str">
        <f t="shared" si="31"/>
        <v>0001013</v>
      </c>
      <c r="E1015" s="4">
        <f>COUNTIF(Table1[Malın adı],Table1[[#This Row],[Malın adı]])</f>
        <v>1</v>
      </c>
    </row>
    <row r="1016" spans="2:5" x14ac:dyDescent="0.3">
      <c r="B1016" s="4">
        <f t="shared" si="30"/>
        <v>1014</v>
      </c>
      <c r="C1016" s="10" t="s">
        <v>2012</v>
      </c>
      <c r="D1016" s="4" t="str">
        <f t="shared" si="31"/>
        <v>0001014</v>
      </c>
      <c r="E1016" s="4">
        <f>COUNTIF(Table1[Malın adı],Table1[[#This Row],[Malın adı]])</f>
        <v>1</v>
      </c>
    </row>
    <row r="1017" spans="2:5" x14ac:dyDescent="0.3">
      <c r="B1017" s="4">
        <f t="shared" si="30"/>
        <v>1015</v>
      </c>
      <c r="C1017" s="10" t="s">
        <v>2515</v>
      </c>
      <c r="D1017" s="4" t="str">
        <f t="shared" si="31"/>
        <v>0001015</v>
      </c>
      <c r="E1017" s="4">
        <f>COUNTIF(Table1[Malın adı],Table1[[#This Row],[Malın adı]])</f>
        <v>1</v>
      </c>
    </row>
    <row r="1018" spans="2:5" x14ac:dyDescent="0.3">
      <c r="B1018" s="4">
        <f t="shared" si="30"/>
        <v>1016</v>
      </c>
      <c r="C1018" s="10" t="s">
        <v>2020</v>
      </c>
      <c r="D1018" s="4" t="str">
        <f t="shared" si="31"/>
        <v>0001016</v>
      </c>
      <c r="E1018" s="4">
        <f>COUNTIF(Table1[Malın adı],Table1[[#This Row],[Malın adı]])</f>
        <v>1</v>
      </c>
    </row>
    <row r="1019" spans="2:5" x14ac:dyDescent="0.3">
      <c r="B1019" s="4">
        <f t="shared" si="30"/>
        <v>1017</v>
      </c>
      <c r="C1019" s="10" t="s">
        <v>2022</v>
      </c>
      <c r="D1019" s="4" t="str">
        <f t="shared" si="31"/>
        <v>0001017</v>
      </c>
      <c r="E1019" s="4">
        <f>COUNTIF(Table1[Malın adı],Table1[[#This Row],[Malın adı]])</f>
        <v>1</v>
      </c>
    </row>
    <row r="1020" spans="2:5" x14ac:dyDescent="0.3">
      <c r="B1020" s="4">
        <f t="shared" si="30"/>
        <v>1018</v>
      </c>
      <c r="C1020" s="10" t="s">
        <v>2023</v>
      </c>
      <c r="D1020" s="4" t="str">
        <f t="shared" si="31"/>
        <v>0001018</v>
      </c>
      <c r="E1020" s="4">
        <f>COUNTIF(Table1[Malın adı],Table1[[#This Row],[Malın adı]])</f>
        <v>1</v>
      </c>
    </row>
    <row r="1021" spans="2:5" x14ac:dyDescent="0.3">
      <c r="B1021" s="4">
        <f t="shared" si="30"/>
        <v>1019</v>
      </c>
      <c r="C1021" s="10" t="s">
        <v>2024</v>
      </c>
      <c r="D1021" s="4" t="str">
        <f t="shared" si="31"/>
        <v>0001019</v>
      </c>
      <c r="E1021" s="4">
        <f>COUNTIF(Table1[Malın adı],Table1[[#This Row],[Malın adı]])</f>
        <v>1</v>
      </c>
    </row>
    <row r="1022" spans="2:5" x14ac:dyDescent="0.3">
      <c r="B1022" s="4">
        <f t="shared" si="30"/>
        <v>1020</v>
      </c>
      <c r="C1022" s="10" t="s">
        <v>2037</v>
      </c>
      <c r="D1022" s="4" t="str">
        <f t="shared" si="31"/>
        <v>0001020</v>
      </c>
      <c r="E1022" s="4">
        <f>COUNTIF(Table1[Malın adı],Table1[[#This Row],[Malın adı]])</f>
        <v>1</v>
      </c>
    </row>
    <row r="1023" spans="2:5" x14ac:dyDescent="0.3">
      <c r="B1023" s="4">
        <f t="shared" si="30"/>
        <v>1021</v>
      </c>
      <c r="C1023" s="10" t="s">
        <v>2025</v>
      </c>
      <c r="D1023" s="4" t="str">
        <f t="shared" si="31"/>
        <v>0001021</v>
      </c>
      <c r="E1023" s="4">
        <f>COUNTIF(Table1[Malın adı],Table1[[#This Row],[Malın adı]])</f>
        <v>1</v>
      </c>
    </row>
    <row r="1024" spans="2:5" x14ac:dyDescent="0.3">
      <c r="B1024" s="4">
        <f t="shared" si="30"/>
        <v>1022</v>
      </c>
      <c r="C1024" s="10" t="s">
        <v>2026</v>
      </c>
      <c r="D1024" s="4" t="str">
        <f t="shared" si="31"/>
        <v>0001022</v>
      </c>
      <c r="E1024" s="4">
        <f>COUNTIF(Table1[Malın adı],Table1[[#This Row],[Malın adı]])</f>
        <v>1</v>
      </c>
    </row>
    <row r="1025" spans="2:5" x14ac:dyDescent="0.3">
      <c r="B1025" s="4">
        <f t="shared" si="30"/>
        <v>1023</v>
      </c>
      <c r="C1025" s="10" t="s">
        <v>2027</v>
      </c>
      <c r="D1025" s="4" t="str">
        <f t="shared" si="31"/>
        <v>0001023</v>
      </c>
      <c r="E1025" s="4">
        <f>COUNTIF(Table1[Malın adı],Table1[[#This Row],[Malın adı]])</f>
        <v>1</v>
      </c>
    </row>
    <row r="1026" spans="2:5" x14ac:dyDescent="0.3">
      <c r="B1026" s="4">
        <f t="shared" si="30"/>
        <v>1024</v>
      </c>
      <c r="C1026" s="10" t="s">
        <v>2028</v>
      </c>
      <c r="D1026" s="4" t="str">
        <f t="shared" si="31"/>
        <v>0001024</v>
      </c>
      <c r="E1026" s="4">
        <f>COUNTIF(Table1[Malın adı],Table1[[#This Row],[Malın adı]])</f>
        <v>1</v>
      </c>
    </row>
    <row r="1027" spans="2:5" x14ac:dyDescent="0.3">
      <c r="B1027" s="4">
        <f t="shared" ref="B1027:B1090" si="32">ROW()-2</f>
        <v>1025</v>
      </c>
      <c r="C1027" s="10" t="s">
        <v>2029</v>
      </c>
      <c r="D1027" s="4" t="str">
        <f t="shared" ref="D1027:D1090" si="33">TEXT(ROW()-2,"0000000")</f>
        <v>0001025</v>
      </c>
      <c r="E1027" s="4">
        <f>COUNTIF(Table1[Malın adı],Table1[[#This Row],[Malın adı]])</f>
        <v>1</v>
      </c>
    </row>
    <row r="1028" spans="2:5" x14ac:dyDescent="0.3">
      <c r="B1028" s="4">
        <f t="shared" si="32"/>
        <v>1026</v>
      </c>
      <c r="C1028" s="10" t="s">
        <v>2155</v>
      </c>
      <c r="D1028" s="4" t="str">
        <f t="shared" si="33"/>
        <v>0001026</v>
      </c>
      <c r="E1028" s="4">
        <f>COUNTIF(Table1[Malın adı],Table1[[#This Row],[Malın adı]])</f>
        <v>1</v>
      </c>
    </row>
    <row r="1029" spans="2:5" x14ac:dyDescent="0.3">
      <c r="B1029" s="4">
        <f t="shared" si="32"/>
        <v>1027</v>
      </c>
      <c r="C1029" s="10" t="s">
        <v>2030</v>
      </c>
      <c r="D1029" s="4" t="str">
        <f t="shared" si="33"/>
        <v>0001027</v>
      </c>
      <c r="E1029" s="4">
        <f>COUNTIF(Table1[Malın adı],Table1[[#This Row],[Malın adı]])</f>
        <v>1</v>
      </c>
    </row>
    <row r="1030" spans="2:5" x14ac:dyDescent="0.3">
      <c r="B1030" s="4">
        <f t="shared" si="32"/>
        <v>1028</v>
      </c>
      <c r="C1030" s="10" t="s">
        <v>2031</v>
      </c>
      <c r="D1030" s="4" t="str">
        <f t="shared" si="33"/>
        <v>0001028</v>
      </c>
      <c r="E1030" s="4">
        <f>COUNTIF(Table1[Malın adı],Table1[[#This Row],[Malın adı]])</f>
        <v>1</v>
      </c>
    </row>
    <row r="1031" spans="2:5" x14ac:dyDescent="0.3">
      <c r="B1031" s="4">
        <f t="shared" si="32"/>
        <v>1029</v>
      </c>
      <c r="C1031" s="10" t="s">
        <v>2032</v>
      </c>
      <c r="D1031" s="4" t="str">
        <f t="shared" si="33"/>
        <v>0001029</v>
      </c>
      <c r="E1031" s="4">
        <f>COUNTIF(Table1[Malın adı],Table1[[#This Row],[Malın adı]])</f>
        <v>1</v>
      </c>
    </row>
    <row r="1032" spans="2:5" x14ac:dyDescent="0.3">
      <c r="B1032" s="4">
        <f t="shared" si="32"/>
        <v>1030</v>
      </c>
      <c r="C1032" s="10" t="s">
        <v>2033</v>
      </c>
      <c r="D1032" s="4" t="str">
        <f t="shared" si="33"/>
        <v>0001030</v>
      </c>
      <c r="E1032" s="4">
        <f>COUNTIF(Table1[Malın adı],Table1[[#This Row],[Malın adı]])</f>
        <v>1</v>
      </c>
    </row>
    <row r="1033" spans="2:5" x14ac:dyDescent="0.3">
      <c r="B1033" s="4">
        <f t="shared" si="32"/>
        <v>1031</v>
      </c>
      <c r="C1033" s="10" t="s">
        <v>1967</v>
      </c>
      <c r="D1033" s="4" t="str">
        <f t="shared" si="33"/>
        <v>0001031</v>
      </c>
      <c r="E1033" s="4">
        <f>COUNTIF(Table1[Malın adı],Table1[[#This Row],[Malın adı]])</f>
        <v>1</v>
      </c>
    </row>
    <row r="1034" spans="2:5" x14ac:dyDescent="0.3">
      <c r="B1034" s="4">
        <f t="shared" si="32"/>
        <v>1032</v>
      </c>
      <c r="C1034" s="10" t="s">
        <v>2516</v>
      </c>
      <c r="D1034" s="4" t="str">
        <f t="shared" si="33"/>
        <v>0001032</v>
      </c>
      <c r="E1034" s="4">
        <f>COUNTIF(Table1[Malın adı],Table1[[#This Row],[Malın adı]])</f>
        <v>1</v>
      </c>
    </row>
    <row r="1035" spans="2:5" x14ac:dyDescent="0.3">
      <c r="B1035" s="4">
        <f t="shared" si="32"/>
        <v>1033</v>
      </c>
      <c r="C1035" s="10" t="s">
        <v>2034</v>
      </c>
      <c r="D1035" s="4" t="str">
        <f t="shared" si="33"/>
        <v>0001033</v>
      </c>
      <c r="E1035" s="4">
        <f>COUNTIF(Table1[Malın adı],Table1[[#This Row],[Malın adı]])</f>
        <v>1</v>
      </c>
    </row>
    <row r="1036" spans="2:5" x14ac:dyDescent="0.3">
      <c r="B1036" s="4">
        <f t="shared" si="32"/>
        <v>1034</v>
      </c>
      <c r="C1036" s="10" t="s">
        <v>2035</v>
      </c>
      <c r="D1036" s="4" t="str">
        <f t="shared" si="33"/>
        <v>0001034</v>
      </c>
      <c r="E1036" s="4">
        <f>COUNTIF(Table1[Malın adı],Table1[[#This Row],[Malın adı]])</f>
        <v>1</v>
      </c>
    </row>
    <row r="1037" spans="2:5" x14ac:dyDescent="0.3">
      <c r="B1037" s="4">
        <f t="shared" si="32"/>
        <v>1035</v>
      </c>
      <c r="C1037" s="10" t="s">
        <v>2036</v>
      </c>
      <c r="D1037" s="4" t="str">
        <f t="shared" si="33"/>
        <v>0001035</v>
      </c>
      <c r="E1037" s="4">
        <f>COUNTIF(Table1[Malın adı],Table1[[#This Row],[Malın adı]])</f>
        <v>1</v>
      </c>
    </row>
    <row r="1038" spans="2:5" x14ac:dyDescent="0.3">
      <c r="B1038" s="4">
        <f t="shared" si="32"/>
        <v>1036</v>
      </c>
      <c r="C1038" s="10" t="s">
        <v>2057</v>
      </c>
      <c r="D1038" s="4" t="str">
        <f t="shared" si="33"/>
        <v>0001036</v>
      </c>
      <c r="E1038" s="4">
        <f>COUNTIF(Table1[Malın adı],Table1[[#This Row],[Malın adı]])</f>
        <v>1</v>
      </c>
    </row>
    <row r="1039" spans="2:5" x14ac:dyDescent="0.3">
      <c r="B1039" s="4">
        <f t="shared" si="32"/>
        <v>1037</v>
      </c>
      <c r="C1039" s="10" t="s">
        <v>2068</v>
      </c>
      <c r="D1039" s="4" t="str">
        <f t="shared" si="33"/>
        <v>0001037</v>
      </c>
      <c r="E1039" s="4">
        <f>COUNTIF(Table1[Malın adı],Table1[[#This Row],[Malın adı]])</f>
        <v>1</v>
      </c>
    </row>
    <row r="1040" spans="2:5" x14ac:dyDescent="0.3">
      <c r="B1040" s="4">
        <f t="shared" si="32"/>
        <v>1038</v>
      </c>
      <c r="C1040" s="10" t="s">
        <v>2070</v>
      </c>
      <c r="D1040" s="4" t="str">
        <f t="shared" si="33"/>
        <v>0001038</v>
      </c>
      <c r="E1040" s="4">
        <f>COUNTIF(Table1[Malın adı],Table1[[#This Row],[Malın adı]])</f>
        <v>1</v>
      </c>
    </row>
    <row r="1041" spans="2:5" x14ac:dyDescent="0.3">
      <c r="B1041" s="4">
        <f t="shared" si="32"/>
        <v>1039</v>
      </c>
      <c r="C1041" s="10" t="s">
        <v>2071</v>
      </c>
      <c r="D1041" s="4" t="str">
        <f t="shared" si="33"/>
        <v>0001039</v>
      </c>
      <c r="E1041" s="4">
        <f>COUNTIF(Table1[Malın adı],Table1[[#This Row],[Malın adı]])</f>
        <v>1</v>
      </c>
    </row>
    <row r="1042" spans="2:5" x14ac:dyDescent="0.3">
      <c r="B1042" s="4">
        <f t="shared" si="32"/>
        <v>1040</v>
      </c>
      <c r="C1042" s="10" t="s">
        <v>2072</v>
      </c>
      <c r="D1042" s="4" t="str">
        <f t="shared" si="33"/>
        <v>0001040</v>
      </c>
      <c r="E1042" s="4">
        <f>COUNTIF(Table1[Malın adı],Table1[[#This Row],[Malın adı]])</f>
        <v>1</v>
      </c>
    </row>
    <row r="1043" spans="2:5" x14ac:dyDescent="0.3">
      <c r="B1043" s="4">
        <f t="shared" si="32"/>
        <v>1041</v>
      </c>
      <c r="C1043" s="10" t="s">
        <v>2073</v>
      </c>
      <c r="D1043" s="4" t="str">
        <f t="shared" si="33"/>
        <v>0001041</v>
      </c>
      <c r="E1043" s="4">
        <f>COUNTIF(Table1[Malın adı],Table1[[#This Row],[Malın adı]])</f>
        <v>1</v>
      </c>
    </row>
    <row r="1044" spans="2:5" x14ac:dyDescent="0.3">
      <c r="B1044" s="4">
        <f t="shared" si="32"/>
        <v>1042</v>
      </c>
      <c r="C1044" s="10" t="s">
        <v>2074</v>
      </c>
      <c r="D1044" s="4" t="str">
        <f t="shared" si="33"/>
        <v>0001042</v>
      </c>
      <c r="E1044" s="4">
        <f>COUNTIF(Table1[Malın adı],Table1[[#This Row],[Malın adı]])</f>
        <v>1</v>
      </c>
    </row>
    <row r="1045" spans="2:5" x14ac:dyDescent="0.3">
      <c r="B1045" s="4">
        <f t="shared" si="32"/>
        <v>1043</v>
      </c>
      <c r="C1045" s="10" t="s">
        <v>2075</v>
      </c>
      <c r="D1045" s="4" t="str">
        <f t="shared" si="33"/>
        <v>0001043</v>
      </c>
      <c r="E1045" s="4">
        <f>COUNTIF(Table1[Malın adı],Table1[[#This Row],[Malın adı]])</f>
        <v>1</v>
      </c>
    </row>
    <row r="1046" spans="2:5" x14ac:dyDescent="0.3">
      <c r="B1046" s="4">
        <f t="shared" si="32"/>
        <v>1044</v>
      </c>
      <c r="C1046" s="10" t="s">
        <v>2076</v>
      </c>
      <c r="D1046" s="4" t="str">
        <f t="shared" si="33"/>
        <v>0001044</v>
      </c>
      <c r="E1046" s="4">
        <f>COUNTIF(Table1[Malın adı],Table1[[#This Row],[Malın adı]])</f>
        <v>1</v>
      </c>
    </row>
    <row r="1047" spans="2:5" x14ac:dyDescent="0.3">
      <c r="B1047" s="4">
        <f t="shared" si="32"/>
        <v>1045</v>
      </c>
      <c r="C1047" s="10" t="s">
        <v>2517</v>
      </c>
      <c r="D1047" s="4" t="str">
        <f t="shared" si="33"/>
        <v>0001045</v>
      </c>
      <c r="E1047" s="4">
        <f>COUNTIF(Table1[Malın adı],Table1[[#This Row],[Malın adı]])</f>
        <v>1</v>
      </c>
    </row>
    <row r="1048" spans="2:5" x14ac:dyDescent="0.3">
      <c r="B1048" s="4">
        <f t="shared" si="32"/>
        <v>1046</v>
      </c>
      <c r="C1048" s="10" t="s">
        <v>2077</v>
      </c>
      <c r="D1048" s="4" t="str">
        <f t="shared" si="33"/>
        <v>0001046</v>
      </c>
      <c r="E1048" s="4">
        <f>COUNTIF(Table1[Malın adı],Table1[[#This Row],[Malın adı]])</f>
        <v>1</v>
      </c>
    </row>
    <row r="1049" spans="2:5" x14ac:dyDescent="0.3">
      <c r="B1049" s="4">
        <f t="shared" si="32"/>
        <v>1047</v>
      </c>
      <c r="C1049" s="10" t="s">
        <v>2086</v>
      </c>
      <c r="D1049" s="4" t="str">
        <f t="shared" si="33"/>
        <v>0001047</v>
      </c>
      <c r="E1049" s="4">
        <f>COUNTIF(Table1[Malın adı],Table1[[#This Row],[Malın adı]])</f>
        <v>1</v>
      </c>
    </row>
    <row r="1050" spans="2:5" x14ac:dyDescent="0.3">
      <c r="B1050" s="4">
        <f t="shared" si="32"/>
        <v>1048</v>
      </c>
      <c r="C1050" s="10" t="s">
        <v>2088</v>
      </c>
      <c r="D1050" s="4" t="str">
        <f t="shared" si="33"/>
        <v>0001048</v>
      </c>
      <c r="E1050" s="4">
        <f>COUNTIF(Table1[Malın adı],Table1[[#This Row],[Malın adı]])</f>
        <v>1</v>
      </c>
    </row>
    <row r="1051" spans="2:5" x14ac:dyDescent="0.3">
      <c r="B1051" s="4">
        <f t="shared" si="32"/>
        <v>1049</v>
      </c>
      <c r="C1051" s="10" t="s">
        <v>2089</v>
      </c>
      <c r="D1051" s="4" t="str">
        <f t="shared" si="33"/>
        <v>0001049</v>
      </c>
      <c r="E1051" s="4">
        <f>COUNTIF(Table1[Malın adı],Table1[[#This Row],[Malın adı]])</f>
        <v>1</v>
      </c>
    </row>
    <row r="1052" spans="2:5" x14ac:dyDescent="0.3">
      <c r="B1052" s="4">
        <f t="shared" si="32"/>
        <v>1050</v>
      </c>
      <c r="C1052" s="10" t="s">
        <v>2092</v>
      </c>
      <c r="D1052" s="4" t="str">
        <f t="shared" si="33"/>
        <v>0001050</v>
      </c>
      <c r="E1052" s="4">
        <f>COUNTIF(Table1[Malın adı],Table1[[#This Row],[Malın adı]])</f>
        <v>1</v>
      </c>
    </row>
    <row r="1053" spans="2:5" x14ac:dyDescent="0.3">
      <c r="B1053" s="4">
        <f t="shared" si="32"/>
        <v>1051</v>
      </c>
      <c r="C1053" s="10" t="s">
        <v>2094</v>
      </c>
      <c r="D1053" s="4" t="str">
        <f t="shared" si="33"/>
        <v>0001051</v>
      </c>
      <c r="E1053" s="4">
        <f>COUNTIF(Table1[Malın adı],Table1[[#This Row],[Malın adı]])</f>
        <v>1</v>
      </c>
    </row>
    <row r="1054" spans="2:5" x14ac:dyDescent="0.3">
      <c r="B1054" s="4">
        <f t="shared" si="32"/>
        <v>1052</v>
      </c>
      <c r="C1054" s="10" t="s">
        <v>2097</v>
      </c>
      <c r="D1054" s="4" t="str">
        <f t="shared" si="33"/>
        <v>0001052</v>
      </c>
      <c r="E1054" s="4">
        <f>COUNTIF(Table1[Malın adı],Table1[[#This Row],[Malın adı]])</f>
        <v>1</v>
      </c>
    </row>
    <row r="1055" spans="2:5" x14ac:dyDescent="0.3">
      <c r="B1055" s="4">
        <f t="shared" si="32"/>
        <v>1053</v>
      </c>
      <c r="C1055" s="10" t="s">
        <v>2098</v>
      </c>
      <c r="D1055" s="4" t="str">
        <f t="shared" si="33"/>
        <v>0001053</v>
      </c>
      <c r="E1055" s="4">
        <f>COUNTIF(Table1[Malın adı],Table1[[#This Row],[Malın adı]])</f>
        <v>1</v>
      </c>
    </row>
    <row r="1056" spans="2:5" x14ac:dyDescent="0.3">
      <c r="B1056" s="4">
        <f t="shared" si="32"/>
        <v>1054</v>
      </c>
      <c r="C1056" s="10" t="s">
        <v>2101</v>
      </c>
      <c r="D1056" s="4" t="str">
        <f t="shared" si="33"/>
        <v>0001054</v>
      </c>
      <c r="E1056" s="4">
        <f>COUNTIF(Table1[Malın adı],Table1[[#This Row],[Malın adı]])</f>
        <v>1</v>
      </c>
    </row>
    <row r="1057" spans="2:5" x14ac:dyDescent="0.3">
      <c r="B1057" s="4">
        <f t="shared" si="32"/>
        <v>1055</v>
      </c>
      <c r="C1057" s="10" t="s">
        <v>2102</v>
      </c>
      <c r="D1057" s="4" t="str">
        <f t="shared" si="33"/>
        <v>0001055</v>
      </c>
      <c r="E1057" s="4">
        <f>COUNTIF(Table1[Malın adı],Table1[[#This Row],[Malın adı]])</f>
        <v>1</v>
      </c>
    </row>
    <row r="1058" spans="2:5" x14ac:dyDescent="0.3">
      <c r="B1058" s="4">
        <f t="shared" si="32"/>
        <v>1056</v>
      </c>
      <c r="C1058" s="10" t="s">
        <v>2103</v>
      </c>
      <c r="D1058" s="4" t="str">
        <f t="shared" si="33"/>
        <v>0001056</v>
      </c>
      <c r="E1058" s="4">
        <f>COUNTIF(Table1[Malın adı],Table1[[#This Row],[Malın adı]])</f>
        <v>1</v>
      </c>
    </row>
    <row r="1059" spans="2:5" x14ac:dyDescent="0.3">
      <c r="B1059" s="4">
        <f t="shared" si="32"/>
        <v>1057</v>
      </c>
      <c r="C1059" s="10" t="s">
        <v>2104</v>
      </c>
      <c r="D1059" s="4" t="str">
        <f t="shared" si="33"/>
        <v>0001057</v>
      </c>
      <c r="E1059" s="4">
        <f>COUNTIF(Table1[Malın adı],Table1[[#This Row],[Malın adı]])</f>
        <v>1</v>
      </c>
    </row>
    <row r="1060" spans="2:5" x14ac:dyDescent="0.3">
      <c r="B1060" s="4">
        <f t="shared" si="32"/>
        <v>1058</v>
      </c>
      <c r="C1060" s="10" t="s">
        <v>2105</v>
      </c>
      <c r="D1060" s="4" t="str">
        <f t="shared" si="33"/>
        <v>0001058</v>
      </c>
      <c r="E1060" s="4">
        <f>COUNTIF(Table1[Malın adı],Table1[[#This Row],[Malın adı]])</f>
        <v>1</v>
      </c>
    </row>
    <row r="1061" spans="2:5" x14ac:dyDescent="0.3">
      <c r="B1061" s="4">
        <f t="shared" si="32"/>
        <v>1059</v>
      </c>
      <c r="C1061" s="10" t="s">
        <v>2106</v>
      </c>
      <c r="D1061" s="4" t="str">
        <f t="shared" si="33"/>
        <v>0001059</v>
      </c>
      <c r="E1061" s="4">
        <f>COUNTIF(Table1[Malın adı],Table1[[#This Row],[Malın adı]])</f>
        <v>1</v>
      </c>
    </row>
    <row r="1062" spans="2:5" x14ac:dyDescent="0.3">
      <c r="B1062" s="4">
        <f t="shared" si="32"/>
        <v>1060</v>
      </c>
      <c r="C1062" s="10" t="s">
        <v>2107</v>
      </c>
      <c r="D1062" s="4" t="str">
        <f t="shared" si="33"/>
        <v>0001060</v>
      </c>
      <c r="E1062" s="4">
        <f>COUNTIF(Table1[Malın adı],Table1[[#This Row],[Malın adı]])</f>
        <v>1</v>
      </c>
    </row>
    <row r="1063" spans="2:5" x14ac:dyDescent="0.3">
      <c r="B1063" s="4">
        <f t="shared" si="32"/>
        <v>1061</v>
      </c>
      <c r="C1063" s="10" t="s">
        <v>2108</v>
      </c>
      <c r="D1063" s="4" t="str">
        <f t="shared" si="33"/>
        <v>0001061</v>
      </c>
      <c r="E1063" s="4">
        <f>COUNTIF(Table1[Malın adı],Table1[[#This Row],[Malın adı]])</f>
        <v>1</v>
      </c>
    </row>
    <row r="1064" spans="2:5" x14ac:dyDescent="0.3">
      <c r="B1064" s="4">
        <f t="shared" si="32"/>
        <v>1062</v>
      </c>
      <c r="C1064" s="10" t="s">
        <v>2109</v>
      </c>
      <c r="D1064" s="4" t="str">
        <f t="shared" si="33"/>
        <v>0001062</v>
      </c>
      <c r="E1064" s="4">
        <f>COUNTIF(Table1[Malın adı],Table1[[#This Row],[Malın adı]])</f>
        <v>1</v>
      </c>
    </row>
    <row r="1065" spans="2:5" x14ac:dyDescent="0.3">
      <c r="B1065" s="4">
        <f t="shared" si="32"/>
        <v>1063</v>
      </c>
      <c r="C1065" s="10" t="s">
        <v>2119</v>
      </c>
      <c r="D1065" s="4" t="str">
        <f t="shared" si="33"/>
        <v>0001063</v>
      </c>
      <c r="E1065" s="4">
        <f>COUNTIF(Table1[Malın adı],Table1[[#This Row],[Malın adı]])</f>
        <v>1</v>
      </c>
    </row>
    <row r="1066" spans="2:5" x14ac:dyDescent="0.3">
      <c r="B1066" s="4">
        <f t="shared" si="32"/>
        <v>1064</v>
      </c>
      <c r="C1066" s="10" t="s">
        <v>2518</v>
      </c>
      <c r="D1066" s="4" t="str">
        <f t="shared" si="33"/>
        <v>0001064</v>
      </c>
      <c r="E1066" s="4">
        <f>COUNTIF(Table1[Malın adı],Table1[[#This Row],[Malın adı]])</f>
        <v>1</v>
      </c>
    </row>
    <row r="1067" spans="2:5" x14ac:dyDescent="0.3">
      <c r="B1067" s="4">
        <f t="shared" si="32"/>
        <v>1065</v>
      </c>
      <c r="C1067" s="10" t="s">
        <v>2120</v>
      </c>
      <c r="D1067" s="4" t="str">
        <f t="shared" si="33"/>
        <v>0001065</v>
      </c>
      <c r="E1067" s="4">
        <f>COUNTIF(Table1[Malın adı],Table1[[#This Row],[Malın adı]])</f>
        <v>1</v>
      </c>
    </row>
    <row r="1068" spans="2:5" x14ac:dyDescent="0.3">
      <c r="B1068" s="4">
        <f t="shared" si="32"/>
        <v>1066</v>
      </c>
      <c r="C1068" s="10" t="s">
        <v>2121</v>
      </c>
      <c r="D1068" s="4" t="str">
        <f t="shared" si="33"/>
        <v>0001066</v>
      </c>
      <c r="E1068" s="4">
        <f>COUNTIF(Table1[Malın adı],Table1[[#This Row],[Malın adı]])</f>
        <v>1</v>
      </c>
    </row>
    <row r="1069" spans="2:5" x14ac:dyDescent="0.3">
      <c r="B1069" s="4">
        <f t="shared" si="32"/>
        <v>1067</v>
      </c>
      <c r="C1069" s="10" t="s">
        <v>2122</v>
      </c>
      <c r="D1069" s="4" t="str">
        <f t="shared" si="33"/>
        <v>0001067</v>
      </c>
      <c r="E1069" s="4">
        <f>COUNTIF(Table1[Malın adı],Table1[[#This Row],[Malın adı]])</f>
        <v>1</v>
      </c>
    </row>
    <row r="1070" spans="2:5" x14ac:dyDescent="0.3">
      <c r="B1070" s="4">
        <f t="shared" si="32"/>
        <v>1068</v>
      </c>
      <c r="C1070" s="10" t="s">
        <v>2123</v>
      </c>
      <c r="D1070" s="4" t="str">
        <f t="shared" si="33"/>
        <v>0001068</v>
      </c>
      <c r="E1070" s="4">
        <f>COUNTIF(Table1[Malın adı],Table1[[#This Row],[Malın adı]])</f>
        <v>1</v>
      </c>
    </row>
    <row r="1071" spans="2:5" x14ac:dyDescent="0.3">
      <c r="B1071" s="4">
        <f t="shared" si="32"/>
        <v>1069</v>
      </c>
      <c r="C1071" s="10" t="s">
        <v>2124</v>
      </c>
      <c r="D1071" s="4" t="str">
        <f t="shared" si="33"/>
        <v>0001069</v>
      </c>
      <c r="E1071" s="4">
        <f>COUNTIF(Table1[Malın adı],Table1[[#This Row],[Malın adı]])</f>
        <v>1</v>
      </c>
    </row>
    <row r="1072" spans="2:5" x14ac:dyDescent="0.3">
      <c r="B1072" s="4">
        <f t="shared" si="32"/>
        <v>1070</v>
      </c>
      <c r="C1072" s="10" t="s">
        <v>2125</v>
      </c>
      <c r="D1072" s="4" t="str">
        <f t="shared" si="33"/>
        <v>0001070</v>
      </c>
      <c r="E1072" s="4">
        <f>COUNTIF(Table1[Malın adı],Table1[[#This Row],[Malın adı]])</f>
        <v>1</v>
      </c>
    </row>
    <row r="1073" spans="2:5" x14ac:dyDescent="0.3">
      <c r="B1073" s="4">
        <f t="shared" si="32"/>
        <v>1071</v>
      </c>
      <c r="C1073" s="10" t="s">
        <v>2140</v>
      </c>
      <c r="D1073" s="4" t="str">
        <f t="shared" si="33"/>
        <v>0001071</v>
      </c>
      <c r="E1073" s="4">
        <f>COUNTIF(Table1[Malın adı],Table1[[#This Row],[Malın adı]])</f>
        <v>1</v>
      </c>
    </row>
    <row r="1074" spans="2:5" x14ac:dyDescent="0.3">
      <c r="B1074" s="4">
        <f t="shared" si="32"/>
        <v>1072</v>
      </c>
      <c r="C1074" s="10" t="s">
        <v>2126</v>
      </c>
      <c r="D1074" s="4" t="str">
        <f t="shared" si="33"/>
        <v>0001072</v>
      </c>
      <c r="E1074" s="4">
        <f>COUNTIF(Table1[Malın adı],Table1[[#This Row],[Malın adı]])</f>
        <v>1</v>
      </c>
    </row>
    <row r="1075" spans="2:5" x14ac:dyDescent="0.3">
      <c r="B1075" s="4">
        <f t="shared" si="32"/>
        <v>1073</v>
      </c>
      <c r="C1075" s="10" t="s">
        <v>2127</v>
      </c>
      <c r="D1075" s="4" t="str">
        <f t="shared" si="33"/>
        <v>0001073</v>
      </c>
      <c r="E1075" s="4">
        <f>COUNTIF(Table1[Malın adı],Table1[[#This Row],[Malın adı]])</f>
        <v>1</v>
      </c>
    </row>
    <row r="1076" spans="2:5" x14ac:dyDescent="0.3">
      <c r="B1076" s="4">
        <f t="shared" si="32"/>
        <v>1074</v>
      </c>
      <c r="C1076" s="10" t="s">
        <v>2519</v>
      </c>
      <c r="D1076" s="4" t="str">
        <f t="shared" si="33"/>
        <v>0001074</v>
      </c>
      <c r="E1076" s="4">
        <f>COUNTIF(Table1[Malın adı],Table1[[#This Row],[Malın adı]])</f>
        <v>1</v>
      </c>
    </row>
    <row r="1077" spans="2:5" x14ac:dyDescent="0.3">
      <c r="B1077" s="4">
        <f t="shared" si="32"/>
        <v>1075</v>
      </c>
      <c r="C1077" s="10" t="s">
        <v>2142</v>
      </c>
      <c r="D1077" s="4" t="str">
        <f t="shared" si="33"/>
        <v>0001075</v>
      </c>
      <c r="E1077" s="4">
        <f>COUNTIF(Table1[Malın adı],Table1[[#This Row],[Malın adı]])</f>
        <v>1</v>
      </c>
    </row>
    <row r="1078" spans="2:5" x14ac:dyDescent="0.3">
      <c r="B1078" s="4">
        <f t="shared" si="32"/>
        <v>1076</v>
      </c>
      <c r="C1078" s="10" t="s">
        <v>2148</v>
      </c>
      <c r="D1078" s="4" t="str">
        <f t="shared" si="33"/>
        <v>0001076</v>
      </c>
      <c r="E1078" s="4">
        <f>COUNTIF(Table1[Malın adı],Table1[[#This Row],[Malın adı]])</f>
        <v>1</v>
      </c>
    </row>
    <row r="1079" spans="2:5" x14ac:dyDescent="0.3">
      <c r="B1079" s="4">
        <f t="shared" si="32"/>
        <v>1077</v>
      </c>
      <c r="C1079" s="10" t="s">
        <v>2149</v>
      </c>
      <c r="D1079" s="4" t="str">
        <f t="shared" si="33"/>
        <v>0001077</v>
      </c>
      <c r="E1079" s="4">
        <f>COUNTIF(Table1[Malın adı],Table1[[#This Row],[Malın adı]])</f>
        <v>1</v>
      </c>
    </row>
    <row r="1080" spans="2:5" x14ac:dyDescent="0.3">
      <c r="B1080" s="4">
        <f t="shared" si="32"/>
        <v>1078</v>
      </c>
      <c r="C1080" s="10" t="s">
        <v>2150</v>
      </c>
      <c r="D1080" s="4" t="str">
        <f t="shared" si="33"/>
        <v>0001078</v>
      </c>
      <c r="E1080" s="4">
        <f>COUNTIF(Table1[Malın adı],Table1[[#This Row],[Malın adı]])</f>
        <v>1</v>
      </c>
    </row>
    <row r="1081" spans="2:5" x14ac:dyDescent="0.3">
      <c r="B1081" s="4">
        <f t="shared" si="32"/>
        <v>1079</v>
      </c>
      <c r="C1081" s="10" t="s">
        <v>2151</v>
      </c>
      <c r="D1081" s="4" t="str">
        <f t="shared" si="33"/>
        <v>0001079</v>
      </c>
      <c r="E1081" s="4">
        <f>COUNTIF(Table1[Malın adı],Table1[[#This Row],[Malın adı]])</f>
        <v>1</v>
      </c>
    </row>
    <row r="1082" spans="2:5" x14ac:dyDescent="0.3">
      <c r="B1082" s="4">
        <f t="shared" si="32"/>
        <v>1080</v>
      </c>
      <c r="C1082" s="10" t="s">
        <v>2158</v>
      </c>
      <c r="D1082" s="4" t="str">
        <f t="shared" si="33"/>
        <v>0001080</v>
      </c>
      <c r="E1082" s="4">
        <f>COUNTIF(Table1[Malın adı],Table1[[#This Row],[Malın adı]])</f>
        <v>1</v>
      </c>
    </row>
    <row r="1083" spans="2:5" x14ac:dyDescent="0.3">
      <c r="B1083" s="4">
        <f t="shared" si="32"/>
        <v>1081</v>
      </c>
      <c r="C1083" s="10" t="s">
        <v>2520</v>
      </c>
      <c r="D1083" s="4" t="str">
        <f t="shared" si="33"/>
        <v>0001081</v>
      </c>
      <c r="E1083" s="4">
        <f>COUNTIF(Table1[Malın adı],Table1[[#This Row],[Malın adı]])</f>
        <v>1</v>
      </c>
    </row>
    <row r="1084" spans="2:5" x14ac:dyDescent="0.3">
      <c r="B1084" s="4">
        <f t="shared" si="32"/>
        <v>1082</v>
      </c>
      <c r="C1084" s="10" t="s">
        <v>2521</v>
      </c>
      <c r="D1084" s="4" t="str">
        <f t="shared" si="33"/>
        <v>0001082</v>
      </c>
      <c r="E1084" s="4">
        <f>COUNTIF(Table1[Malın adı],Table1[[#This Row],[Malın adı]])</f>
        <v>1</v>
      </c>
    </row>
    <row r="1085" spans="2:5" x14ac:dyDescent="0.3">
      <c r="B1085" s="4">
        <f t="shared" si="32"/>
        <v>1083</v>
      </c>
      <c r="C1085" s="10" t="s">
        <v>2160</v>
      </c>
      <c r="D1085" s="4" t="str">
        <f t="shared" si="33"/>
        <v>0001083</v>
      </c>
      <c r="E1085" s="4">
        <f>COUNTIF(Table1[Malın adı],Table1[[#This Row],[Malın adı]])</f>
        <v>1</v>
      </c>
    </row>
    <row r="1086" spans="2:5" x14ac:dyDescent="0.3">
      <c r="B1086" s="4">
        <f t="shared" si="32"/>
        <v>1084</v>
      </c>
      <c r="C1086" s="10" t="s">
        <v>2165</v>
      </c>
      <c r="D1086" s="4" t="str">
        <f t="shared" si="33"/>
        <v>0001084</v>
      </c>
      <c r="E1086" s="4">
        <f>COUNTIF(Table1[Malın adı],Table1[[#This Row],[Malın adı]])</f>
        <v>1</v>
      </c>
    </row>
    <row r="1087" spans="2:5" x14ac:dyDescent="0.3">
      <c r="B1087" s="4">
        <f t="shared" si="32"/>
        <v>1085</v>
      </c>
      <c r="C1087" s="10" t="s">
        <v>2166</v>
      </c>
      <c r="D1087" s="4" t="str">
        <f t="shared" si="33"/>
        <v>0001085</v>
      </c>
      <c r="E1087" s="4">
        <f>COUNTIF(Table1[Malın adı],Table1[[#This Row],[Malın adı]])</f>
        <v>1</v>
      </c>
    </row>
    <row r="1088" spans="2:5" x14ac:dyDescent="0.3">
      <c r="B1088" s="4">
        <f t="shared" si="32"/>
        <v>1086</v>
      </c>
      <c r="C1088" s="10" t="s">
        <v>2167</v>
      </c>
      <c r="D1088" s="4" t="str">
        <f t="shared" si="33"/>
        <v>0001086</v>
      </c>
      <c r="E1088" s="4">
        <f>COUNTIF(Table1[Malın adı],Table1[[#This Row],[Malın adı]])</f>
        <v>1</v>
      </c>
    </row>
    <row r="1089" spans="2:5" x14ac:dyDescent="0.3">
      <c r="B1089" s="4">
        <f t="shared" si="32"/>
        <v>1087</v>
      </c>
      <c r="C1089" s="10" t="s">
        <v>2168</v>
      </c>
      <c r="D1089" s="4" t="str">
        <f t="shared" si="33"/>
        <v>0001087</v>
      </c>
      <c r="E1089" s="4">
        <f>COUNTIF(Table1[Malın adı],Table1[[#This Row],[Malın adı]])</f>
        <v>1</v>
      </c>
    </row>
    <row r="1090" spans="2:5" x14ac:dyDescent="0.3">
      <c r="B1090" s="4">
        <f t="shared" si="32"/>
        <v>1088</v>
      </c>
      <c r="C1090" s="10" t="s">
        <v>2172</v>
      </c>
      <c r="D1090" s="4" t="str">
        <f t="shared" si="33"/>
        <v>0001088</v>
      </c>
      <c r="E1090" s="4">
        <f>COUNTIF(Table1[Malın adı],Table1[[#This Row],[Malın adı]])</f>
        <v>1</v>
      </c>
    </row>
    <row r="1091" spans="2:5" x14ac:dyDescent="0.3">
      <c r="B1091" s="4">
        <f t="shared" ref="B1091:B1154" si="34">ROW()-2</f>
        <v>1089</v>
      </c>
      <c r="C1091" s="10" t="s">
        <v>2169</v>
      </c>
      <c r="D1091" s="4" t="str">
        <f t="shared" ref="D1091:D1154" si="35">TEXT(ROW()-2,"0000000")</f>
        <v>0001089</v>
      </c>
      <c r="E1091" s="4">
        <f>COUNTIF(Table1[Malın adı],Table1[[#This Row],[Malın adı]])</f>
        <v>1</v>
      </c>
    </row>
    <row r="1092" spans="2:5" x14ac:dyDescent="0.3">
      <c r="B1092" s="4">
        <f t="shared" si="34"/>
        <v>1090</v>
      </c>
      <c r="C1092" s="10" t="s">
        <v>2170</v>
      </c>
      <c r="D1092" s="4" t="str">
        <f t="shared" si="35"/>
        <v>0001090</v>
      </c>
      <c r="E1092" s="4">
        <f>COUNTIF(Table1[Malın adı],Table1[[#This Row],[Malın adı]])</f>
        <v>1</v>
      </c>
    </row>
    <row r="1093" spans="2:5" x14ac:dyDescent="0.3">
      <c r="B1093" s="4">
        <f t="shared" si="34"/>
        <v>1091</v>
      </c>
      <c r="C1093" s="10" t="s">
        <v>2171</v>
      </c>
      <c r="D1093" s="4" t="str">
        <f t="shared" si="35"/>
        <v>0001091</v>
      </c>
      <c r="E1093" s="4">
        <f>COUNTIF(Table1[Malın adı],Table1[[#This Row],[Malın adı]])</f>
        <v>1</v>
      </c>
    </row>
    <row r="1094" spans="2:5" x14ac:dyDescent="0.3">
      <c r="B1094" s="4">
        <f t="shared" si="34"/>
        <v>1092</v>
      </c>
      <c r="C1094" s="10" t="s">
        <v>2180</v>
      </c>
      <c r="D1094" s="4" t="str">
        <f t="shared" si="35"/>
        <v>0001092</v>
      </c>
      <c r="E1094" s="4">
        <f>COUNTIF(Table1[Malın adı],Table1[[#This Row],[Malın adı]])</f>
        <v>1</v>
      </c>
    </row>
    <row r="1095" spans="2:5" x14ac:dyDescent="0.3">
      <c r="B1095" s="4">
        <f t="shared" si="34"/>
        <v>1093</v>
      </c>
      <c r="C1095" s="10" t="s">
        <v>2181</v>
      </c>
      <c r="D1095" s="4" t="str">
        <f t="shared" si="35"/>
        <v>0001093</v>
      </c>
      <c r="E1095" s="4">
        <f>COUNTIF(Table1[Malın adı],Table1[[#This Row],[Malın adı]])</f>
        <v>1</v>
      </c>
    </row>
    <row r="1096" spans="2:5" x14ac:dyDescent="0.3">
      <c r="B1096" s="4">
        <f t="shared" si="34"/>
        <v>1094</v>
      </c>
      <c r="C1096" s="10" t="s">
        <v>2182</v>
      </c>
      <c r="D1096" s="4" t="str">
        <f t="shared" si="35"/>
        <v>0001094</v>
      </c>
      <c r="E1096" s="4">
        <f>COUNTIF(Table1[Malın adı],Table1[[#This Row],[Malın adı]])</f>
        <v>1</v>
      </c>
    </row>
    <row r="1097" spans="2:5" x14ac:dyDescent="0.3">
      <c r="B1097" s="4">
        <f t="shared" si="34"/>
        <v>1095</v>
      </c>
      <c r="C1097" s="10" t="s">
        <v>2183</v>
      </c>
      <c r="D1097" s="4" t="str">
        <f t="shared" si="35"/>
        <v>0001095</v>
      </c>
      <c r="E1097" s="4">
        <f>COUNTIF(Table1[Malın adı],Table1[[#This Row],[Malın adı]])</f>
        <v>1</v>
      </c>
    </row>
    <row r="1098" spans="2:5" x14ac:dyDescent="0.3">
      <c r="B1098" s="4">
        <f t="shared" si="34"/>
        <v>1096</v>
      </c>
      <c r="C1098" s="10" t="s">
        <v>2184</v>
      </c>
      <c r="D1098" s="4" t="str">
        <f t="shared" si="35"/>
        <v>0001096</v>
      </c>
      <c r="E1098" s="4">
        <f>COUNTIF(Table1[Malın adı],Table1[[#This Row],[Malın adı]])</f>
        <v>1</v>
      </c>
    </row>
    <row r="1099" spans="2:5" x14ac:dyDescent="0.3">
      <c r="B1099" s="4">
        <f t="shared" si="34"/>
        <v>1097</v>
      </c>
      <c r="C1099" s="10" t="s">
        <v>2185</v>
      </c>
      <c r="D1099" s="4" t="str">
        <f t="shared" si="35"/>
        <v>0001097</v>
      </c>
      <c r="E1099" s="4">
        <f>COUNTIF(Table1[Malın adı],Table1[[#This Row],[Malın adı]])</f>
        <v>1</v>
      </c>
    </row>
    <row r="1100" spans="2:5" x14ac:dyDescent="0.3">
      <c r="B1100" s="4">
        <f t="shared" si="34"/>
        <v>1098</v>
      </c>
      <c r="C1100" s="10" t="s">
        <v>2186</v>
      </c>
      <c r="D1100" s="4" t="str">
        <f t="shared" si="35"/>
        <v>0001098</v>
      </c>
      <c r="E1100" s="4">
        <f>COUNTIF(Table1[Malın adı],Table1[[#This Row],[Malın adı]])</f>
        <v>1</v>
      </c>
    </row>
    <row r="1101" spans="2:5" x14ac:dyDescent="0.3">
      <c r="B1101" s="4">
        <f t="shared" si="34"/>
        <v>1099</v>
      </c>
      <c r="C1101" s="10" t="s">
        <v>2187</v>
      </c>
      <c r="D1101" s="4" t="str">
        <f t="shared" si="35"/>
        <v>0001099</v>
      </c>
      <c r="E1101" s="4">
        <f>COUNTIF(Table1[Malın adı],Table1[[#This Row],[Malın adı]])</f>
        <v>1</v>
      </c>
    </row>
    <row r="1102" spans="2:5" x14ac:dyDescent="0.3">
      <c r="B1102" s="4">
        <f t="shared" si="34"/>
        <v>1100</v>
      </c>
      <c r="C1102" s="10" t="s">
        <v>2188</v>
      </c>
      <c r="D1102" s="4" t="str">
        <f t="shared" si="35"/>
        <v>0001100</v>
      </c>
      <c r="E1102" s="4">
        <f>COUNTIF(Table1[Malın adı],Table1[[#This Row],[Malın adı]])</f>
        <v>1</v>
      </c>
    </row>
    <row r="1103" spans="2:5" x14ac:dyDescent="0.3">
      <c r="B1103" s="4">
        <f t="shared" si="34"/>
        <v>1101</v>
      </c>
      <c r="C1103" s="10" t="s">
        <v>2199</v>
      </c>
      <c r="D1103" s="4" t="str">
        <f t="shared" si="35"/>
        <v>0001101</v>
      </c>
      <c r="E1103" s="4">
        <f>COUNTIF(Table1[Malın adı],Table1[[#This Row],[Malın adı]])</f>
        <v>1</v>
      </c>
    </row>
    <row r="1104" spans="2:5" x14ac:dyDescent="0.3">
      <c r="B1104" s="4">
        <f t="shared" si="34"/>
        <v>1102</v>
      </c>
      <c r="C1104" s="10" t="s">
        <v>2200</v>
      </c>
      <c r="D1104" s="4" t="str">
        <f t="shared" si="35"/>
        <v>0001102</v>
      </c>
      <c r="E1104" s="4">
        <f>COUNTIF(Table1[Malın adı],Table1[[#This Row],[Malın adı]])</f>
        <v>1</v>
      </c>
    </row>
    <row r="1105" spans="2:5" x14ac:dyDescent="0.3">
      <c r="B1105" s="4">
        <f t="shared" si="34"/>
        <v>1103</v>
      </c>
      <c r="C1105" s="10" t="s">
        <v>2202</v>
      </c>
      <c r="D1105" s="4" t="str">
        <f t="shared" si="35"/>
        <v>0001103</v>
      </c>
      <c r="E1105" s="4">
        <f>COUNTIF(Table1[Malın adı],Table1[[#This Row],[Malın adı]])</f>
        <v>1</v>
      </c>
    </row>
    <row r="1106" spans="2:5" x14ac:dyDescent="0.3">
      <c r="B1106" s="4">
        <f t="shared" si="34"/>
        <v>1104</v>
      </c>
      <c r="C1106" s="10" t="s">
        <v>2204</v>
      </c>
      <c r="D1106" s="4" t="str">
        <f t="shared" si="35"/>
        <v>0001104</v>
      </c>
      <c r="E1106" s="4">
        <f>COUNTIF(Table1[Malın adı],Table1[[#This Row],[Malın adı]])</f>
        <v>1</v>
      </c>
    </row>
    <row r="1107" spans="2:5" x14ac:dyDescent="0.3">
      <c r="B1107" s="4">
        <f t="shared" si="34"/>
        <v>1105</v>
      </c>
      <c r="C1107" s="10" t="s">
        <v>2206</v>
      </c>
      <c r="D1107" s="4" t="str">
        <f t="shared" si="35"/>
        <v>0001105</v>
      </c>
      <c r="E1107" s="4">
        <f>COUNTIF(Table1[Malın adı],Table1[[#This Row],[Malın adı]])</f>
        <v>1</v>
      </c>
    </row>
    <row r="1108" spans="2:5" x14ac:dyDescent="0.3">
      <c r="B1108" s="4">
        <f t="shared" si="34"/>
        <v>1106</v>
      </c>
      <c r="C1108" s="10" t="s">
        <v>2208</v>
      </c>
      <c r="D1108" s="4" t="str">
        <f t="shared" si="35"/>
        <v>0001106</v>
      </c>
      <c r="E1108" s="4">
        <f>COUNTIF(Table1[Malın adı],Table1[[#This Row],[Malın adı]])</f>
        <v>1</v>
      </c>
    </row>
    <row r="1109" spans="2:5" x14ac:dyDescent="0.3">
      <c r="B1109" s="4">
        <f t="shared" si="34"/>
        <v>1107</v>
      </c>
      <c r="C1109" s="10" t="s">
        <v>2210</v>
      </c>
      <c r="D1109" s="4" t="str">
        <f t="shared" si="35"/>
        <v>0001107</v>
      </c>
      <c r="E1109" s="4">
        <f>COUNTIF(Table1[Malın adı],Table1[[#This Row],[Malın adı]])</f>
        <v>1</v>
      </c>
    </row>
    <row r="1110" spans="2:5" x14ac:dyDescent="0.3">
      <c r="B1110" s="4">
        <f t="shared" si="34"/>
        <v>1108</v>
      </c>
      <c r="C1110" s="10" t="s">
        <v>2212</v>
      </c>
      <c r="D1110" s="4" t="str">
        <f t="shared" si="35"/>
        <v>0001108</v>
      </c>
      <c r="E1110" s="4">
        <f>COUNTIF(Table1[Malın adı],Table1[[#This Row],[Malın adı]])</f>
        <v>1</v>
      </c>
    </row>
    <row r="1111" spans="2:5" x14ac:dyDescent="0.3">
      <c r="B1111" s="4">
        <f t="shared" si="34"/>
        <v>1109</v>
      </c>
      <c r="C1111" s="10" t="s">
        <v>2522</v>
      </c>
      <c r="D1111" s="4" t="str">
        <f t="shared" si="35"/>
        <v>0001109</v>
      </c>
      <c r="E1111" s="4">
        <f>COUNTIF(Table1[Malın adı],Table1[[#This Row],[Malın adı]])</f>
        <v>1</v>
      </c>
    </row>
    <row r="1112" spans="2:5" x14ac:dyDescent="0.3">
      <c r="B1112" s="4">
        <f t="shared" si="34"/>
        <v>1110</v>
      </c>
      <c r="C1112" s="10" t="s">
        <v>2215</v>
      </c>
      <c r="D1112" s="4" t="str">
        <f t="shared" si="35"/>
        <v>0001110</v>
      </c>
      <c r="E1112" s="4">
        <f>COUNTIF(Table1[Malın adı],Table1[[#This Row],[Malın adı]])</f>
        <v>1</v>
      </c>
    </row>
    <row r="1113" spans="2:5" x14ac:dyDescent="0.3">
      <c r="B1113" s="4">
        <f t="shared" si="34"/>
        <v>1111</v>
      </c>
      <c r="C1113" s="10" t="s">
        <v>2216</v>
      </c>
      <c r="D1113" s="4" t="str">
        <f t="shared" si="35"/>
        <v>0001111</v>
      </c>
      <c r="E1113" s="4">
        <f>COUNTIF(Table1[Malın adı],Table1[[#This Row],[Malın adı]])</f>
        <v>1</v>
      </c>
    </row>
    <row r="1114" spans="2:5" x14ac:dyDescent="0.3">
      <c r="B1114" s="4">
        <f t="shared" si="34"/>
        <v>1112</v>
      </c>
      <c r="C1114" s="10" t="s">
        <v>2217</v>
      </c>
      <c r="D1114" s="4" t="str">
        <f t="shared" si="35"/>
        <v>0001112</v>
      </c>
      <c r="E1114" s="4">
        <f>COUNTIF(Table1[Malın adı],Table1[[#This Row],[Malın adı]])</f>
        <v>1</v>
      </c>
    </row>
    <row r="1115" spans="2:5" x14ac:dyDescent="0.3">
      <c r="B1115" s="4">
        <f t="shared" si="34"/>
        <v>1113</v>
      </c>
      <c r="C1115" s="10" t="s">
        <v>2218</v>
      </c>
      <c r="D1115" s="4" t="str">
        <f t="shared" si="35"/>
        <v>0001113</v>
      </c>
      <c r="E1115" s="4">
        <f>COUNTIF(Table1[Malın adı],Table1[[#This Row],[Malın adı]])</f>
        <v>1</v>
      </c>
    </row>
    <row r="1116" spans="2:5" x14ac:dyDescent="0.3">
      <c r="B1116" s="4">
        <f t="shared" si="34"/>
        <v>1114</v>
      </c>
      <c r="C1116" s="10" t="s">
        <v>2225</v>
      </c>
      <c r="D1116" s="4" t="str">
        <f t="shared" si="35"/>
        <v>0001114</v>
      </c>
      <c r="E1116" s="4">
        <f>COUNTIF(Table1[Malın adı],Table1[[#This Row],[Malın adı]])</f>
        <v>1</v>
      </c>
    </row>
    <row r="1117" spans="2:5" x14ac:dyDescent="0.3">
      <c r="B1117" s="4">
        <f t="shared" si="34"/>
        <v>1115</v>
      </c>
      <c r="C1117" s="10" t="s">
        <v>2226</v>
      </c>
      <c r="D1117" s="4" t="str">
        <f t="shared" si="35"/>
        <v>0001115</v>
      </c>
      <c r="E1117" s="4">
        <f>COUNTIF(Table1[Malın adı],Table1[[#This Row],[Malın adı]])</f>
        <v>1</v>
      </c>
    </row>
    <row r="1118" spans="2:5" x14ac:dyDescent="0.3">
      <c r="B1118" s="4">
        <f t="shared" si="34"/>
        <v>1116</v>
      </c>
      <c r="C1118" s="10" t="s">
        <v>2228</v>
      </c>
      <c r="D1118" s="4" t="str">
        <f t="shared" si="35"/>
        <v>0001116</v>
      </c>
      <c r="E1118" s="4">
        <f>COUNTIF(Table1[Malın adı],Table1[[#This Row],[Malın adı]])</f>
        <v>1</v>
      </c>
    </row>
    <row r="1119" spans="2:5" x14ac:dyDescent="0.3">
      <c r="B1119" s="4">
        <f t="shared" si="34"/>
        <v>1117</v>
      </c>
      <c r="C1119" s="10" t="s">
        <v>2229</v>
      </c>
      <c r="D1119" s="4" t="str">
        <f t="shared" si="35"/>
        <v>0001117</v>
      </c>
      <c r="E1119" s="4">
        <f>COUNTIF(Table1[Malın adı],Table1[[#This Row],[Malın adı]])</f>
        <v>1</v>
      </c>
    </row>
    <row r="1120" spans="2:5" x14ac:dyDescent="0.3">
      <c r="B1120" s="4">
        <f t="shared" si="34"/>
        <v>1118</v>
      </c>
      <c r="C1120" s="10" t="s">
        <v>2232</v>
      </c>
      <c r="D1120" s="4" t="str">
        <f t="shared" si="35"/>
        <v>0001118</v>
      </c>
      <c r="E1120" s="4">
        <f>COUNTIF(Table1[Malın adı],Table1[[#This Row],[Malın adı]])</f>
        <v>1</v>
      </c>
    </row>
    <row r="1121" spans="2:5" x14ac:dyDescent="0.3">
      <c r="B1121" s="4">
        <f t="shared" si="34"/>
        <v>1119</v>
      </c>
      <c r="C1121" s="10" t="s">
        <v>2233</v>
      </c>
      <c r="D1121" s="4" t="str">
        <f t="shared" si="35"/>
        <v>0001119</v>
      </c>
      <c r="E1121" s="4">
        <f>COUNTIF(Table1[Malın adı],Table1[[#This Row],[Malın adı]])</f>
        <v>1</v>
      </c>
    </row>
    <row r="1122" spans="2:5" x14ac:dyDescent="0.3">
      <c r="B1122" s="4">
        <f t="shared" si="34"/>
        <v>1120</v>
      </c>
      <c r="C1122" s="10" t="s">
        <v>2236</v>
      </c>
      <c r="D1122" s="4" t="str">
        <f t="shared" si="35"/>
        <v>0001120</v>
      </c>
      <c r="E1122" s="4">
        <f>COUNTIF(Table1[Malın adı],Table1[[#This Row],[Malın adı]])</f>
        <v>1</v>
      </c>
    </row>
    <row r="1123" spans="2:5" x14ac:dyDescent="0.3">
      <c r="B1123" s="4">
        <f t="shared" si="34"/>
        <v>1121</v>
      </c>
      <c r="C1123" s="10" t="s">
        <v>2238</v>
      </c>
      <c r="D1123" s="4" t="str">
        <f t="shared" si="35"/>
        <v>0001121</v>
      </c>
      <c r="E1123" s="4">
        <f>COUNTIF(Table1[Malın adı],Table1[[#This Row],[Malın adı]])</f>
        <v>1</v>
      </c>
    </row>
    <row r="1124" spans="2:5" x14ac:dyDescent="0.3">
      <c r="B1124" s="4">
        <f t="shared" si="34"/>
        <v>1122</v>
      </c>
      <c r="C1124" s="10" t="s">
        <v>2240</v>
      </c>
      <c r="D1124" s="4" t="str">
        <f t="shared" si="35"/>
        <v>0001122</v>
      </c>
      <c r="E1124" s="4">
        <f>COUNTIF(Table1[Malın adı],Table1[[#This Row],[Malın adı]])</f>
        <v>1</v>
      </c>
    </row>
    <row r="1125" spans="2:5" x14ac:dyDescent="0.3">
      <c r="B1125" s="4">
        <f t="shared" si="34"/>
        <v>1123</v>
      </c>
      <c r="C1125" s="10" t="s">
        <v>2242</v>
      </c>
      <c r="D1125" s="4" t="str">
        <f t="shared" si="35"/>
        <v>0001123</v>
      </c>
      <c r="E1125" s="4">
        <f>COUNTIF(Table1[Malın adı],Table1[[#This Row],[Malın adı]])</f>
        <v>1</v>
      </c>
    </row>
    <row r="1126" spans="2:5" x14ac:dyDescent="0.3">
      <c r="B1126" s="4">
        <f t="shared" si="34"/>
        <v>1124</v>
      </c>
      <c r="C1126" s="10" t="s">
        <v>2244</v>
      </c>
      <c r="D1126" s="4" t="str">
        <f t="shared" si="35"/>
        <v>0001124</v>
      </c>
      <c r="E1126" s="4">
        <f>COUNTIF(Table1[Malın adı],Table1[[#This Row],[Malın adı]])</f>
        <v>1</v>
      </c>
    </row>
    <row r="1127" spans="2:5" x14ac:dyDescent="0.3">
      <c r="B1127" s="4">
        <f t="shared" si="34"/>
        <v>1125</v>
      </c>
      <c r="C1127" s="10" t="s">
        <v>2245</v>
      </c>
      <c r="D1127" s="4" t="str">
        <f t="shared" si="35"/>
        <v>0001125</v>
      </c>
      <c r="E1127" s="4">
        <f>COUNTIF(Table1[Malın adı],Table1[[#This Row],[Malın adı]])</f>
        <v>1</v>
      </c>
    </row>
    <row r="1128" spans="2:5" x14ac:dyDescent="0.3">
      <c r="B1128" s="4">
        <f t="shared" si="34"/>
        <v>1126</v>
      </c>
      <c r="C1128" s="10" t="s">
        <v>2246</v>
      </c>
      <c r="D1128" s="4" t="str">
        <f t="shared" si="35"/>
        <v>0001126</v>
      </c>
      <c r="E1128" s="4">
        <f>COUNTIF(Table1[Malın adı],Table1[[#This Row],[Malın adı]])</f>
        <v>1</v>
      </c>
    </row>
    <row r="1129" spans="2:5" x14ac:dyDescent="0.3">
      <c r="B1129" s="4">
        <f t="shared" si="34"/>
        <v>1127</v>
      </c>
      <c r="C1129" s="10" t="s">
        <v>2523</v>
      </c>
      <c r="D1129" s="4" t="str">
        <f t="shared" si="35"/>
        <v>0001127</v>
      </c>
      <c r="E1129" s="4">
        <f>COUNTIF(Table1[Malın adı],Table1[[#This Row],[Malın adı]])</f>
        <v>1</v>
      </c>
    </row>
    <row r="1130" spans="2:5" x14ac:dyDescent="0.3">
      <c r="B1130" s="4">
        <f t="shared" si="34"/>
        <v>1128</v>
      </c>
      <c r="C1130" s="10" t="s">
        <v>2250</v>
      </c>
      <c r="D1130" s="4" t="str">
        <f t="shared" si="35"/>
        <v>0001128</v>
      </c>
      <c r="E1130" s="4">
        <f>COUNTIF(Table1[Malın adı],Table1[[#This Row],[Malın adı]])</f>
        <v>1</v>
      </c>
    </row>
    <row r="1131" spans="2:5" x14ac:dyDescent="0.3">
      <c r="B1131" s="4">
        <f t="shared" si="34"/>
        <v>1129</v>
      </c>
      <c r="C1131" s="10" t="s">
        <v>2252</v>
      </c>
      <c r="D1131" s="4" t="str">
        <f t="shared" si="35"/>
        <v>0001129</v>
      </c>
      <c r="E1131" s="4">
        <f>COUNTIF(Table1[Malın adı],Table1[[#This Row],[Malın adı]])</f>
        <v>1</v>
      </c>
    </row>
    <row r="1132" spans="2:5" x14ac:dyDescent="0.3">
      <c r="B1132" s="4">
        <f t="shared" si="34"/>
        <v>1130</v>
      </c>
      <c r="C1132" s="10" t="s">
        <v>2253</v>
      </c>
      <c r="D1132" s="4" t="str">
        <f t="shared" si="35"/>
        <v>0001130</v>
      </c>
      <c r="E1132" s="4">
        <f>COUNTIF(Table1[Malın adı],Table1[[#This Row],[Malın adı]])</f>
        <v>1</v>
      </c>
    </row>
    <row r="1133" spans="2:5" x14ac:dyDescent="0.3">
      <c r="B1133" s="4">
        <f t="shared" si="34"/>
        <v>1131</v>
      </c>
      <c r="C1133" s="10" t="s">
        <v>2254</v>
      </c>
      <c r="D1133" s="4" t="str">
        <f t="shared" si="35"/>
        <v>0001131</v>
      </c>
      <c r="E1133" s="4">
        <f>COUNTIF(Table1[Malın adı],Table1[[#This Row],[Malın adı]])</f>
        <v>1</v>
      </c>
    </row>
    <row r="1134" spans="2:5" x14ac:dyDescent="0.3">
      <c r="B1134" s="4">
        <f t="shared" si="34"/>
        <v>1132</v>
      </c>
      <c r="C1134" s="10" t="s">
        <v>2255</v>
      </c>
      <c r="D1134" s="4" t="str">
        <f t="shared" si="35"/>
        <v>0001132</v>
      </c>
      <c r="E1134" s="4">
        <f>COUNTIF(Table1[Malın adı],Table1[[#This Row],[Malın adı]])</f>
        <v>1</v>
      </c>
    </row>
    <row r="1135" spans="2:5" x14ac:dyDescent="0.3">
      <c r="B1135" s="4">
        <f t="shared" si="34"/>
        <v>1133</v>
      </c>
      <c r="C1135" s="10" t="s">
        <v>2256</v>
      </c>
      <c r="D1135" s="4" t="str">
        <f t="shared" si="35"/>
        <v>0001133</v>
      </c>
      <c r="E1135" s="4">
        <f>COUNTIF(Table1[Malın adı],Table1[[#This Row],[Malın adı]])</f>
        <v>1</v>
      </c>
    </row>
    <row r="1136" spans="2:5" x14ac:dyDescent="0.3">
      <c r="B1136" s="4">
        <f t="shared" si="34"/>
        <v>1134</v>
      </c>
      <c r="C1136" s="10" t="s">
        <v>2262</v>
      </c>
      <c r="D1136" s="4" t="str">
        <f t="shared" si="35"/>
        <v>0001134</v>
      </c>
      <c r="E1136" s="4">
        <f>COUNTIF(Table1[Malın adı],Table1[[#This Row],[Malın adı]])</f>
        <v>1</v>
      </c>
    </row>
    <row r="1137" spans="2:5" x14ac:dyDescent="0.3">
      <c r="B1137" s="4">
        <f t="shared" si="34"/>
        <v>1135</v>
      </c>
      <c r="C1137" s="10" t="s">
        <v>2263</v>
      </c>
      <c r="D1137" s="4" t="str">
        <f t="shared" si="35"/>
        <v>0001135</v>
      </c>
      <c r="E1137" s="4">
        <f>COUNTIF(Table1[Malın adı],Table1[[#This Row],[Malın adı]])</f>
        <v>1</v>
      </c>
    </row>
    <row r="1138" spans="2:5" x14ac:dyDescent="0.3">
      <c r="B1138" s="4">
        <f t="shared" si="34"/>
        <v>1136</v>
      </c>
      <c r="C1138" s="10" t="s">
        <v>2264</v>
      </c>
      <c r="D1138" s="4" t="str">
        <f t="shared" si="35"/>
        <v>0001136</v>
      </c>
      <c r="E1138" s="4">
        <f>COUNTIF(Table1[Malın adı],Table1[[#This Row],[Malın adı]])</f>
        <v>1</v>
      </c>
    </row>
    <row r="1139" spans="2:5" x14ac:dyDescent="0.3">
      <c r="B1139" s="4">
        <f t="shared" si="34"/>
        <v>1137</v>
      </c>
      <c r="C1139" s="10" t="s">
        <v>2265</v>
      </c>
      <c r="D1139" s="4" t="str">
        <f t="shared" si="35"/>
        <v>0001137</v>
      </c>
      <c r="E1139" s="4">
        <f>COUNTIF(Table1[Malın adı],Table1[[#This Row],[Malın adı]])</f>
        <v>1</v>
      </c>
    </row>
    <row r="1140" spans="2:5" x14ac:dyDescent="0.3">
      <c r="B1140" s="4">
        <f t="shared" si="34"/>
        <v>1138</v>
      </c>
      <c r="C1140" s="10" t="s">
        <v>2266</v>
      </c>
      <c r="D1140" s="4" t="str">
        <f t="shared" si="35"/>
        <v>0001138</v>
      </c>
      <c r="E1140" s="4">
        <f>COUNTIF(Table1[Malın adı],Table1[[#This Row],[Malın adı]])</f>
        <v>1</v>
      </c>
    </row>
    <row r="1141" spans="2:5" x14ac:dyDescent="0.3">
      <c r="B1141" s="4">
        <f t="shared" si="34"/>
        <v>1139</v>
      </c>
      <c r="C1141" s="10" t="s">
        <v>2272</v>
      </c>
      <c r="D1141" s="4" t="str">
        <f t="shared" si="35"/>
        <v>0001139</v>
      </c>
      <c r="E1141" s="4">
        <f>COUNTIF(Table1[Malın adı],Table1[[#This Row],[Malın adı]])</f>
        <v>1</v>
      </c>
    </row>
    <row r="1142" spans="2:5" x14ac:dyDescent="0.3">
      <c r="B1142" s="4">
        <f t="shared" si="34"/>
        <v>1140</v>
      </c>
      <c r="C1142" s="10" t="s">
        <v>2274</v>
      </c>
      <c r="D1142" s="4" t="str">
        <f t="shared" si="35"/>
        <v>0001140</v>
      </c>
      <c r="E1142" s="4">
        <f>COUNTIF(Table1[Malın adı],Table1[[#This Row],[Malın adı]])</f>
        <v>1</v>
      </c>
    </row>
    <row r="1143" spans="2:5" x14ac:dyDescent="0.3">
      <c r="B1143" s="4">
        <f t="shared" si="34"/>
        <v>1141</v>
      </c>
      <c r="C1143" s="10" t="s">
        <v>2279</v>
      </c>
      <c r="D1143" s="4" t="str">
        <f t="shared" si="35"/>
        <v>0001141</v>
      </c>
      <c r="E1143" s="4">
        <f>COUNTIF(Table1[Malın adı],Table1[[#This Row],[Malın adı]])</f>
        <v>1</v>
      </c>
    </row>
    <row r="1144" spans="2:5" x14ac:dyDescent="0.3">
      <c r="B1144" s="4">
        <f t="shared" si="34"/>
        <v>1142</v>
      </c>
      <c r="C1144" s="10" t="s">
        <v>2283</v>
      </c>
      <c r="D1144" s="4" t="str">
        <f t="shared" si="35"/>
        <v>0001142</v>
      </c>
      <c r="E1144" s="4">
        <f>COUNTIF(Table1[Malın adı],Table1[[#This Row],[Malın adı]])</f>
        <v>1</v>
      </c>
    </row>
    <row r="1145" spans="2:5" x14ac:dyDescent="0.3">
      <c r="B1145" s="4">
        <f t="shared" si="34"/>
        <v>1143</v>
      </c>
      <c r="C1145" s="10" t="s">
        <v>2524</v>
      </c>
      <c r="D1145" s="4" t="str">
        <f t="shared" si="35"/>
        <v>0001143</v>
      </c>
      <c r="E1145" s="4">
        <f>COUNTIF(Table1[Malın adı],Table1[[#This Row],[Malın adı]])</f>
        <v>1</v>
      </c>
    </row>
    <row r="1146" spans="2:5" x14ac:dyDescent="0.3">
      <c r="B1146" s="4">
        <f t="shared" si="34"/>
        <v>1144</v>
      </c>
      <c r="C1146" s="10" t="s">
        <v>2285</v>
      </c>
      <c r="D1146" s="4" t="str">
        <f t="shared" si="35"/>
        <v>0001144</v>
      </c>
      <c r="E1146" s="4">
        <f>COUNTIF(Table1[Malın adı],Table1[[#This Row],[Malın adı]])</f>
        <v>1</v>
      </c>
    </row>
    <row r="1147" spans="2:5" x14ac:dyDescent="0.3">
      <c r="B1147" s="4">
        <f t="shared" si="34"/>
        <v>1145</v>
      </c>
      <c r="C1147" s="10" t="s">
        <v>2525</v>
      </c>
      <c r="D1147" s="4" t="str">
        <f t="shared" si="35"/>
        <v>0001145</v>
      </c>
      <c r="E1147" s="4">
        <f>COUNTIF(Table1[Malın adı],Table1[[#This Row],[Malın adı]])</f>
        <v>1</v>
      </c>
    </row>
    <row r="1148" spans="2:5" x14ac:dyDescent="0.3">
      <c r="B1148" s="4">
        <f t="shared" si="34"/>
        <v>1146</v>
      </c>
      <c r="C1148" s="10" t="s">
        <v>2526</v>
      </c>
      <c r="D1148" s="4" t="str">
        <f t="shared" si="35"/>
        <v>0001146</v>
      </c>
      <c r="E1148" s="4">
        <f>COUNTIF(Table1[Malın adı],Table1[[#This Row],[Malın adı]])</f>
        <v>1</v>
      </c>
    </row>
    <row r="1149" spans="2:5" x14ac:dyDescent="0.3">
      <c r="B1149" s="4">
        <f t="shared" si="34"/>
        <v>1147</v>
      </c>
      <c r="C1149" s="10" t="s">
        <v>2290</v>
      </c>
      <c r="D1149" s="4" t="str">
        <f t="shared" si="35"/>
        <v>0001147</v>
      </c>
      <c r="E1149" s="4">
        <f>COUNTIF(Table1[Malın adı],Table1[[#This Row],[Malın adı]])</f>
        <v>1</v>
      </c>
    </row>
    <row r="1150" spans="2:5" x14ac:dyDescent="0.3">
      <c r="B1150" s="4">
        <f t="shared" si="34"/>
        <v>1148</v>
      </c>
      <c r="C1150" s="10" t="s">
        <v>2291</v>
      </c>
      <c r="D1150" s="4" t="str">
        <f t="shared" si="35"/>
        <v>0001148</v>
      </c>
      <c r="E1150" s="4">
        <f>COUNTIF(Table1[Malın adı],Table1[[#This Row],[Malın adı]])</f>
        <v>1</v>
      </c>
    </row>
    <row r="1151" spans="2:5" x14ac:dyDescent="0.3">
      <c r="B1151" s="4">
        <f t="shared" si="34"/>
        <v>1149</v>
      </c>
      <c r="C1151" s="10" t="s">
        <v>2292</v>
      </c>
      <c r="D1151" s="4" t="str">
        <f t="shared" si="35"/>
        <v>0001149</v>
      </c>
      <c r="E1151" s="4">
        <f>COUNTIF(Table1[Malın adı],Table1[[#This Row],[Malın adı]])</f>
        <v>1</v>
      </c>
    </row>
    <row r="1152" spans="2:5" x14ac:dyDescent="0.3">
      <c r="B1152" s="4">
        <f t="shared" si="34"/>
        <v>1150</v>
      </c>
      <c r="C1152" s="10" t="s">
        <v>2298</v>
      </c>
      <c r="D1152" s="4" t="str">
        <f t="shared" si="35"/>
        <v>0001150</v>
      </c>
      <c r="E1152" s="4">
        <f>COUNTIF(Table1[Malın adı],Table1[[#This Row],[Malın adı]])</f>
        <v>1</v>
      </c>
    </row>
    <row r="1153" spans="2:5" x14ac:dyDescent="0.3">
      <c r="B1153" s="4">
        <f t="shared" si="34"/>
        <v>1151</v>
      </c>
      <c r="C1153" s="10" t="s">
        <v>2299</v>
      </c>
      <c r="D1153" s="4" t="str">
        <f t="shared" si="35"/>
        <v>0001151</v>
      </c>
      <c r="E1153" s="4">
        <f>COUNTIF(Table1[Malın adı],Table1[[#This Row],[Malın adı]])</f>
        <v>1</v>
      </c>
    </row>
    <row r="1154" spans="2:5" x14ac:dyDescent="0.3">
      <c r="B1154" s="4">
        <f t="shared" si="34"/>
        <v>1152</v>
      </c>
      <c r="C1154" s="10" t="s">
        <v>2300</v>
      </c>
      <c r="D1154" s="4" t="str">
        <f t="shared" si="35"/>
        <v>0001152</v>
      </c>
      <c r="E1154" s="4">
        <f>COUNTIF(Table1[Malın adı],Table1[[#This Row],[Malın adı]])</f>
        <v>1</v>
      </c>
    </row>
    <row r="1155" spans="2:5" x14ac:dyDescent="0.3">
      <c r="B1155" s="4">
        <f t="shared" ref="B1155:B1217" si="36">ROW()-2</f>
        <v>1153</v>
      </c>
      <c r="C1155" s="10" t="s">
        <v>2301</v>
      </c>
      <c r="D1155" s="4" t="str">
        <f t="shared" ref="D1155:D1217" si="37">TEXT(ROW()-2,"0000000")</f>
        <v>0001153</v>
      </c>
      <c r="E1155" s="4">
        <f>COUNTIF(Table1[Malın adı],Table1[[#This Row],[Malın adı]])</f>
        <v>1</v>
      </c>
    </row>
    <row r="1156" spans="2:5" x14ac:dyDescent="0.3">
      <c r="B1156" s="4">
        <f t="shared" si="36"/>
        <v>1154</v>
      </c>
      <c r="C1156" s="10" t="s">
        <v>2302</v>
      </c>
      <c r="D1156" s="4" t="str">
        <f t="shared" si="37"/>
        <v>0001154</v>
      </c>
      <c r="E1156" s="4">
        <f>COUNTIF(Table1[Malın adı],Table1[[#This Row],[Malın adı]])</f>
        <v>1</v>
      </c>
    </row>
    <row r="1157" spans="2:5" x14ac:dyDescent="0.3">
      <c r="B1157" s="4">
        <f t="shared" si="36"/>
        <v>1155</v>
      </c>
      <c r="C1157" s="10" t="s">
        <v>2303</v>
      </c>
      <c r="D1157" s="4" t="str">
        <f t="shared" si="37"/>
        <v>0001155</v>
      </c>
      <c r="E1157" s="4">
        <f>COUNTIF(Table1[Malın adı],Table1[[#This Row],[Malın adı]])</f>
        <v>1</v>
      </c>
    </row>
    <row r="1158" spans="2:5" x14ac:dyDescent="0.3">
      <c r="B1158" s="4">
        <f t="shared" si="36"/>
        <v>1156</v>
      </c>
      <c r="C1158" s="10" t="s">
        <v>2304</v>
      </c>
      <c r="D1158" s="4" t="str">
        <f t="shared" si="37"/>
        <v>0001156</v>
      </c>
      <c r="E1158" s="4">
        <f>COUNTIF(Table1[Malın adı],Table1[[#This Row],[Malın adı]])</f>
        <v>1</v>
      </c>
    </row>
    <row r="1159" spans="2:5" x14ac:dyDescent="0.3">
      <c r="B1159" s="4">
        <f t="shared" si="36"/>
        <v>1157</v>
      </c>
      <c r="C1159" s="10" t="s">
        <v>2305</v>
      </c>
      <c r="D1159" s="4" t="str">
        <f t="shared" si="37"/>
        <v>0001157</v>
      </c>
      <c r="E1159" s="4">
        <f>COUNTIF(Table1[Malın adı],Table1[[#This Row],[Malın adı]])</f>
        <v>1</v>
      </c>
    </row>
    <row r="1160" spans="2:5" x14ac:dyDescent="0.3">
      <c r="B1160" s="4">
        <f t="shared" si="36"/>
        <v>1158</v>
      </c>
      <c r="C1160" s="10" t="s">
        <v>2306</v>
      </c>
      <c r="D1160" s="4" t="str">
        <f t="shared" si="37"/>
        <v>0001158</v>
      </c>
      <c r="E1160" s="4">
        <f>COUNTIF(Table1[Malın adı],Table1[[#This Row],[Malın adı]])</f>
        <v>1</v>
      </c>
    </row>
    <row r="1161" spans="2:5" x14ac:dyDescent="0.3">
      <c r="B1161" s="4">
        <f t="shared" si="36"/>
        <v>1159</v>
      </c>
      <c r="C1161" s="10" t="s">
        <v>2307</v>
      </c>
      <c r="D1161" s="4" t="str">
        <f t="shared" si="37"/>
        <v>0001159</v>
      </c>
      <c r="E1161" s="4">
        <f>COUNTIF(Table1[Malın adı],Table1[[#This Row],[Malın adı]])</f>
        <v>1</v>
      </c>
    </row>
    <row r="1162" spans="2:5" x14ac:dyDescent="0.3">
      <c r="B1162" s="4">
        <f t="shared" si="36"/>
        <v>1160</v>
      </c>
      <c r="C1162" s="10" t="s">
        <v>2308</v>
      </c>
      <c r="D1162" s="4" t="str">
        <f t="shared" si="37"/>
        <v>0001160</v>
      </c>
      <c r="E1162" s="4">
        <f>COUNTIF(Table1[Malın adı],Table1[[#This Row],[Malın adı]])</f>
        <v>1</v>
      </c>
    </row>
    <row r="1163" spans="2:5" x14ac:dyDescent="0.3">
      <c r="B1163" s="4">
        <f t="shared" si="36"/>
        <v>1161</v>
      </c>
      <c r="C1163" s="10" t="s">
        <v>2309</v>
      </c>
      <c r="D1163" s="4" t="str">
        <f t="shared" si="37"/>
        <v>0001161</v>
      </c>
      <c r="E1163" s="4">
        <f>COUNTIF(Table1[Malın adı],Table1[[#This Row],[Malın adı]])</f>
        <v>1</v>
      </c>
    </row>
    <row r="1164" spans="2:5" x14ac:dyDescent="0.3">
      <c r="B1164" s="4">
        <f t="shared" si="36"/>
        <v>1162</v>
      </c>
      <c r="C1164" s="10" t="s">
        <v>2310</v>
      </c>
      <c r="D1164" s="4" t="str">
        <f t="shared" si="37"/>
        <v>0001162</v>
      </c>
      <c r="E1164" s="4">
        <f>COUNTIF(Table1[Malın adı],Table1[[#This Row],[Malın adı]])</f>
        <v>1</v>
      </c>
    </row>
    <row r="1165" spans="2:5" x14ac:dyDescent="0.3">
      <c r="B1165" s="4">
        <f t="shared" si="36"/>
        <v>1163</v>
      </c>
      <c r="C1165" s="10" t="s">
        <v>2324</v>
      </c>
      <c r="D1165" s="4" t="str">
        <f t="shared" si="37"/>
        <v>0001163</v>
      </c>
      <c r="E1165" s="4">
        <f>COUNTIF(Table1[Malın adı],Table1[[#This Row],[Malın adı]])</f>
        <v>1</v>
      </c>
    </row>
    <row r="1166" spans="2:5" x14ac:dyDescent="0.3">
      <c r="B1166" s="4">
        <f t="shared" si="36"/>
        <v>1164</v>
      </c>
      <c r="C1166" s="10" t="s">
        <v>2326</v>
      </c>
      <c r="D1166" s="4" t="str">
        <f t="shared" si="37"/>
        <v>0001164</v>
      </c>
      <c r="E1166" s="4">
        <f>COUNTIF(Table1[Malın adı],Table1[[#This Row],[Malın adı]])</f>
        <v>1</v>
      </c>
    </row>
    <row r="1167" spans="2:5" x14ac:dyDescent="0.3">
      <c r="B1167" s="4">
        <f t="shared" si="36"/>
        <v>1165</v>
      </c>
      <c r="C1167" s="10" t="s">
        <v>2527</v>
      </c>
      <c r="D1167" s="4" t="str">
        <f t="shared" si="37"/>
        <v>0001165</v>
      </c>
      <c r="E1167" s="4">
        <f>COUNTIF(Table1[Malın adı],Table1[[#This Row],[Malın adı]])</f>
        <v>1</v>
      </c>
    </row>
    <row r="1168" spans="2:5" x14ac:dyDescent="0.3">
      <c r="B1168" s="4">
        <f t="shared" si="36"/>
        <v>1166</v>
      </c>
      <c r="C1168" s="10" t="s">
        <v>2528</v>
      </c>
      <c r="D1168" s="4" t="str">
        <f t="shared" si="37"/>
        <v>0001166</v>
      </c>
      <c r="E1168" s="4">
        <f>COUNTIF(Table1[Malın adı],Table1[[#This Row],[Malın adı]])</f>
        <v>1</v>
      </c>
    </row>
    <row r="1169" spans="2:5" x14ac:dyDescent="0.3">
      <c r="B1169" s="4">
        <f t="shared" si="36"/>
        <v>1167</v>
      </c>
      <c r="C1169" s="10" t="s">
        <v>2529</v>
      </c>
      <c r="D1169" s="4" t="str">
        <f t="shared" si="37"/>
        <v>0001167</v>
      </c>
      <c r="E1169" s="4">
        <f>COUNTIF(Table1[Malın adı],Table1[[#This Row],[Malın adı]])</f>
        <v>1</v>
      </c>
    </row>
    <row r="1170" spans="2:5" x14ac:dyDescent="0.3">
      <c r="B1170" s="4">
        <f t="shared" si="36"/>
        <v>1168</v>
      </c>
      <c r="C1170" s="10" t="s">
        <v>2530</v>
      </c>
      <c r="D1170" s="4" t="str">
        <f t="shared" si="37"/>
        <v>0001168</v>
      </c>
      <c r="E1170" s="4">
        <f>COUNTIF(Table1[Malın adı],Table1[[#This Row],[Malın adı]])</f>
        <v>1</v>
      </c>
    </row>
    <row r="1171" spans="2:5" x14ac:dyDescent="0.3">
      <c r="B1171" s="4">
        <f t="shared" si="36"/>
        <v>1169</v>
      </c>
      <c r="C1171" s="10" t="s">
        <v>2531</v>
      </c>
      <c r="D1171" s="4" t="str">
        <f t="shared" si="37"/>
        <v>0001169</v>
      </c>
      <c r="E1171" s="4">
        <f>COUNTIF(Table1[Malın adı],Table1[[#This Row],[Malın adı]])</f>
        <v>1</v>
      </c>
    </row>
    <row r="1172" spans="2:5" x14ac:dyDescent="0.3">
      <c r="B1172" s="4">
        <f t="shared" si="36"/>
        <v>1170</v>
      </c>
      <c r="C1172" s="10" t="s">
        <v>2532</v>
      </c>
      <c r="D1172" s="4" t="str">
        <f t="shared" si="37"/>
        <v>0001170</v>
      </c>
      <c r="E1172" s="4">
        <f>COUNTIF(Table1[Malın adı],Table1[[#This Row],[Malın adı]])</f>
        <v>1</v>
      </c>
    </row>
    <row r="1173" spans="2:5" x14ac:dyDescent="0.3">
      <c r="B1173" s="4">
        <f t="shared" si="36"/>
        <v>1171</v>
      </c>
      <c r="C1173" s="10" t="s">
        <v>2533</v>
      </c>
      <c r="D1173" s="4" t="str">
        <f t="shared" si="37"/>
        <v>0001171</v>
      </c>
      <c r="E1173" s="4">
        <f>COUNTIF(Table1[Malın adı],Table1[[#This Row],[Malın adı]])</f>
        <v>1</v>
      </c>
    </row>
    <row r="1174" spans="2:5" x14ac:dyDescent="0.3">
      <c r="B1174" s="4">
        <f t="shared" si="36"/>
        <v>1172</v>
      </c>
      <c r="C1174" s="10" t="s">
        <v>2534</v>
      </c>
      <c r="D1174" s="4" t="str">
        <f t="shared" si="37"/>
        <v>0001172</v>
      </c>
      <c r="E1174" s="4">
        <f>COUNTIF(Table1[Malın adı],Table1[[#This Row],[Malın adı]])</f>
        <v>1</v>
      </c>
    </row>
    <row r="1175" spans="2:5" x14ac:dyDescent="0.3">
      <c r="B1175" s="4">
        <f t="shared" si="36"/>
        <v>1173</v>
      </c>
      <c r="C1175" s="10" t="s">
        <v>2535</v>
      </c>
      <c r="D1175" s="4" t="str">
        <f t="shared" si="37"/>
        <v>0001173</v>
      </c>
      <c r="E1175" s="4">
        <f>COUNTIF(Table1[Malın adı],Table1[[#This Row],[Malın adı]])</f>
        <v>1</v>
      </c>
    </row>
    <row r="1176" spans="2:5" x14ac:dyDescent="0.3">
      <c r="B1176" s="4">
        <f t="shared" si="36"/>
        <v>1174</v>
      </c>
      <c r="C1176" s="10" t="s">
        <v>2536</v>
      </c>
      <c r="D1176" s="4" t="str">
        <f t="shared" si="37"/>
        <v>0001174</v>
      </c>
      <c r="E1176" s="4">
        <f>COUNTIF(Table1[Malın adı],Table1[[#This Row],[Malın adı]])</f>
        <v>1</v>
      </c>
    </row>
    <row r="1177" spans="2:5" x14ac:dyDescent="0.3">
      <c r="B1177" s="4">
        <f t="shared" si="36"/>
        <v>1175</v>
      </c>
      <c r="C1177" s="10" t="s">
        <v>2537</v>
      </c>
      <c r="D1177" s="4" t="str">
        <f t="shared" si="37"/>
        <v>0001175</v>
      </c>
      <c r="E1177" s="4">
        <f>COUNTIF(Table1[Malın adı],Table1[[#This Row],[Malın adı]])</f>
        <v>1</v>
      </c>
    </row>
    <row r="1178" spans="2:5" x14ac:dyDescent="0.3">
      <c r="B1178" s="4">
        <f t="shared" si="36"/>
        <v>1176</v>
      </c>
      <c r="C1178" s="10" t="s">
        <v>2538</v>
      </c>
      <c r="D1178" s="4" t="str">
        <f t="shared" si="37"/>
        <v>0001176</v>
      </c>
      <c r="E1178" s="4">
        <f>COUNTIF(Table1[Malın adı],Table1[[#This Row],[Malın adı]])</f>
        <v>1</v>
      </c>
    </row>
    <row r="1179" spans="2:5" x14ac:dyDescent="0.3">
      <c r="B1179" s="4">
        <f t="shared" si="36"/>
        <v>1177</v>
      </c>
      <c r="C1179" s="10" t="s">
        <v>2539</v>
      </c>
      <c r="D1179" s="4" t="str">
        <f t="shared" si="37"/>
        <v>0001177</v>
      </c>
      <c r="E1179" s="4">
        <f>COUNTIF(Table1[Malın adı],Table1[[#This Row],[Malın adı]])</f>
        <v>1</v>
      </c>
    </row>
    <row r="1180" spans="2:5" x14ac:dyDescent="0.3">
      <c r="B1180" s="4">
        <f t="shared" si="36"/>
        <v>1178</v>
      </c>
      <c r="C1180" s="10" t="s">
        <v>2540</v>
      </c>
      <c r="D1180" s="4" t="str">
        <f t="shared" si="37"/>
        <v>0001178</v>
      </c>
      <c r="E1180" s="4">
        <f>COUNTIF(Table1[Malın adı],Table1[[#This Row],[Malın adı]])</f>
        <v>1</v>
      </c>
    </row>
    <row r="1181" spans="2:5" x14ac:dyDescent="0.3">
      <c r="B1181" s="4">
        <f t="shared" si="36"/>
        <v>1179</v>
      </c>
      <c r="C1181" s="10" t="s">
        <v>2541</v>
      </c>
      <c r="D1181" s="4" t="str">
        <f t="shared" si="37"/>
        <v>0001179</v>
      </c>
      <c r="E1181" s="4">
        <f>COUNTIF(Table1[Malın adı],Table1[[#This Row],[Malın adı]])</f>
        <v>1</v>
      </c>
    </row>
    <row r="1182" spans="2:5" x14ac:dyDescent="0.3">
      <c r="B1182" s="4">
        <f t="shared" si="36"/>
        <v>1180</v>
      </c>
      <c r="C1182" s="10" t="s">
        <v>2542</v>
      </c>
      <c r="D1182" s="4" t="str">
        <f t="shared" si="37"/>
        <v>0001180</v>
      </c>
      <c r="E1182" s="4">
        <f>COUNTIF(Table1[Malın adı],Table1[[#This Row],[Malın adı]])</f>
        <v>1</v>
      </c>
    </row>
    <row r="1183" spans="2:5" x14ac:dyDescent="0.3">
      <c r="B1183" s="4">
        <f t="shared" si="36"/>
        <v>1181</v>
      </c>
      <c r="C1183" s="10" t="s">
        <v>2543</v>
      </c>
      <c r="D1183" s="4" t="str">
        <f t="shared" si="37"/>
        <v>0001181</v>
      </c>
      <c r="E1183" s="4">
        <f>COUNTIF(Table1[Malın adı],Table1[[#This Row],[Malın adı]])</f>
        <v>1</v>
      </c>
    </row>
    <row r="1184" spans="2:5" x14ac:dyDescent="0.3">
      <c r="B1184" s="4">
        <f t="shared" si="36"/>
        <v>1182</v>
      </c>
      <c r="C1184" s="10" t="s">
        <v>2544</v>
      </c>
      <c r="D1184" s="4" t="str">
        <f t="shared" si="37"/>
        <v>0001182</v>
      </c>
      <c r="E1184" s="4">
        <f>COUNTIF(Table1[Malın adı],Table1[[#This Row],[Malın adı]])</f>
        <v>1</v>
      </c>
    </row>
    <row r="1185" spans="2:5" x14ac:dyDescent="0.3">
      <c r="B1185" s="4">
        <f t="shared" si="36"/>
        <v>1183</v>
      </c>
      <c r="C1185" s="10" t="s">
        <v>2545</v>
      </c>
      <c r="D1185" s="4" t="str">
        <f t="shared" si="37"/>
        <v>0001183</v>
      </c>
      <c r="E1185" s="4">
        <f>COUNTIF(Table1[Malın adı],Table1[[#This Row],[Malın adı]])</f>
        <v>1</v>
      </c>
    </row>
    <row r="1186" spans="2:5" x14ac:dyDescent="0.3">
      <c r="B1186" s="4">
        <f t="shared" si="36"/>
        <v>1184</v>
      </c>
      <c r="C1186" s="10" t="s">
        <v>2546</v>
      </c>
      <c r="D1186" s="4" t="str">
        <f t="shared" si="37"/>
        <v>0001184</v>
      </c>
      <c r="E1186" s="4">
        <f>COUNTIF(Table1[Malın adı],Table1[[#This Row],[Malın adı]])</f>
        <v>1</v>
      </c>
    </row>
    <row r="1187" spans="2:5" x14ac:dyDescent="0.3">
      <c r="B1187" s="4">
        <f t="shared" si="36"/>
        <v>1185</v>
      </c>
      <c r="C1187" s="10" t="s">
        <v>2547</v>
      </c>
      <c r="D1187" s="4" t="str">
        <f t="shared" si="37"/>
        <v>0001185</v>
      </c>
      <c r="E1187" s="4">
        <f>COUNTIF(Table1[Malın adı],Table1[[#This Row],[Malın adı]])</f>
        <v>1</v>
      </c>
    </row>
    <row r="1188" spans="2:5" x14ac:dyDescent="0.3">
      <c r="B1188" s="4">
        <f t="shared" si="36"/>
        <v>1186</v>
      </c>
      <c r="C1188" s="10" t="s">
        <v>2548</v>
      </c>
      <c r="D1188" s="4" t="str">
        <f t="shared" si="37"/>
        <v>0001186</v>
      </c>
      <c r="E1188" s="4">
        <f>COUNTIF(Table1[Malın adı],Table1[[#This Row],[Malın adı]])</f>
        <v>1</v>
      </c>
    </row>
    <row r="1189" spans="2:5" x14ac:dyDescent="0.3">
      <c r="B1189" s="4">
        <f t="shared" si="36"/>
        <v>1187</v>
      </c>
      <c r="C1189" s="10" t="s">
        <v>2549</v>
      </c>
      <c r="D1189" s="4" t="str">
        <f t="shared" si="37"/>
        <v>0001187</v>
      </c>
      <c r="E1189" s="4">
        <f>COUNTIF(Table1[Malın adı],Table1[[#This Row],[Malın adı]])</f>
        <v>1</v>
      </c>
    </row>
    <row r="1190" spans="2:5" x14ac:dyDescent="0.3">
      <c r="B1190" s="4">
        <f t="shared" si="36"/>
        <v>1188</v>
      </c>
      <c r="C1190" s="10" t="s">
        <v>2550</v>
      </c>
      <c r="D1190" s="4" t="str">
        <f t="shared" si="37"/>
        <v>0001188</v>
      </c>
      <c r="E1190" s="4">
        <f>COUNTIF(Table1[Malın adı],Table1[[#This Row],[Malın adı]])</f>
        <v>1</v>
      </c>
    </row>
    <row r="1191" spans="2:5" x14ac:dyDescent="0.3">
      <c r="B1191" s="4">
        <f t="shared" si="36"/>
        <v>1189</v>
      </c>
      <c r="C1191" s="10" t="s">
        <v>2551</v>
      </c>
      <c r="D1191" s="4" t="str">
        <f t="shared" si="37"/>
        <v>0001189</v>
      </c>
      <c r="E1191" s="4">
        <f>COUNTIF(Table1[Malın adı],Table1[[#This Row],[Malın adı]])</f>
        <v>1</v>
      </c>
    </row>
    <row r="1192" spans="2:5" x14ac:dyDescent="0.3">
      <c r="B1192" s="4">
        <f t="shared" si="36"/>
        <v>1190</v>
      </c>
      <c r="C1192" s="10" t="s">
        <v>2552</v>
      </c>
      <c r="D1192" s="4" t="str">
        <f t="shared" si="37"/>
        <v>0001190</v>
      </c>
      <c r="E1192" s="4">
        <f>COUNTIF(Table1[Malın adı],Table1[[#This Row],[Malın adı]])</f>
        <v>1</v>
      </c>
    </row>
    <row r="1193" spans="2:5" x14ac:dyDescent="0.3">
      <c r="B1193" s="4">
        <f t="shared" si="36"/>
        <v>1191</v>
      </c>
      <c r="C1193" s="10" t="s">
        <v>2553</v>
      </c>
      <c r="D1193" s="4" t="str">
        <f t="shared" si="37"/>
        <v>0001191</v>
      </c>
      <c r="E1193" s="4">
        <f>COUNTIF(Table1[Malın adı],Table1[[#This Row],[Malın adı]])</f>
        <v>1</v>
      </c>
    </row>
    <row r="1194" spans="2:5" x14ac:dyDescent="0.3">
      <c r="B1194" s="4">
        <f t="shared" si="36"/>
        <v>1192</v>
      </c>
      <c r="C1194" s="10" t="s">
        <v>2554</v>
      </c>
      <c r="D1194" s="4" t="str">
        <f t="shared" si="37"/>
        <v>0001192</v>
      </c>
      <c r="E1194" s="4">
        <f>COUNTIF(Table1[Malın adı],Table1[[#This Row],[Malın adı]])</f>
        <v>1</v>
      </c>
    </row>
    <row r="1195" spans="2:5" x14ac:dyDescent="0.3">
      <c r="B1195" s="4">
        <f t="shared" si="36"/>
        <v>1193</v>
      </c>
      <c r="C1195" s="10" t="s">
        <v>2555</v>
      </c>
      <c r="D1195" s="4" t="str">
        <f t="shared" si="37"/>
        <v>0001193</v>
      </c>
      <c r="E1195" s="4">
        <f>COUNTIF(Table1[Malın adı],Table1[[#This Row],[Malın adı]])</f>
        <v>1</v>
      </c>
    </row>
    <row r="1196" spans="2:5" x14ac:dyDescent="0.3">
      <c r="B1196" s="4">
        <f t="shared" si="36"/>
        <v>1194</v>
      </c>
      <c r="C1196" s="10" t="s">
        <v>2556</v>
      </c>
      <c r="D1196" s="4" t="str">
        <f t="shared" si="37"/>
        <v>0001194</v>
      </c>
      <c r="E1196" s="4">
        <f>COUNTIF(Table1[Malın adı],Table1[[#This Row],[Malın adı]])</f>
        <v>1</v>
      </c>
    </row>
    <row r="1197" spans="2:5" x14ac:dyDescent="0.3">
      <c r="B1197" s="4">
        <f t="shared" si="36"/>
        <v>1195</v>
      </c>
      <c r="C1197" s="10" t="s">
        <v>2557</v>
      </c>
      <c r="D1197" s="4" t="str">
        <f t="shared" si="37"/>
        <v>0001195</v>
      </c>
      <c r="E1197" s="4">
        <f>COUNTIF(Table1[Malın adı],Table1[[#This Row],[Malın adı]])</f>
        <v>1</v>
      </c>
    </row>
    <row r="1198" spans="2:5" x14ac:dyDescent="0.3">
      <c r="B1198" s="4">
        <f t="shared" si="36"/>
        <v>1196</v>
      </c>
      <c r="C1198" s="10" t="s">
        <v>2558</v>
      </c>
      <c r="D1198" s="4" t="str">
        <f t="shared" si="37"/>
        <v>0001196</v>
      </c>
      <c r="E1198" s="4">
        <f>COUNTIF(Table1[Malın adı],Table1[[#This Row],[Malın adı]])</f>
        <v>1</v>
      </c>
    </row>
    <row r="1199" spans="2:5" x14ac:dyDescent="0.3">
      <c r="B1199" s="4">
        <f t="shared" si="36"/>
        <v>1197</v>
      </c>
      <c r="C1199" s="10" t="s">
        <v>2559</v>
      </c>
      <c r="D1199" s="4" t="str">
        <f t="shared" si="37"/>
        <v>0001197</v>
      </c>
      <c r="E1199" s="4">
        <f>COUNTIF(Table1[Malın adı],Table1[[#This Row],[Malın adı]])</f>
        <v>1</v>
      </c>
    </row>
    <row r="1200" spans="2:5" x14ac:dyDescent="0.3">
      <c r="B1200" s="4">
        <f t="shared" si="36"/>
        <v>1198</v>
      </c>
      <c r="C1200" s="10" t="s">
        <v>2560</v>
      </c>
      <c r="D1200" s="4" t="str">
        <f t="shared" si="37"/>
        <v>0001198</v>
      </c>
      <c r="E1200" s="4">
        <f>COUNTIF(Table1[Malın adı],Table1[[#This Row],[Malın adı]])</f>
        <v>1</v>
      </c>
    </row>
    <row r="1201" spans="2:5" x14ac:dyDescent="0.3">
      <c r="B1201" s="4">
        <f t="shared" si="36"/>
        <v>1199</v>
      </c>
      <c r="C1201" s="10" t="s">
        <v>2561</v>
      </c>
      <c r="D1201" s="4" t="str">
        <f t="shared" si="37"/>
        <v>0001199</v>
      </c>
      <c r="E1201" s="4">
        <f>COUNTIF(Table1[Malın adı],Table1[[#This Row],[Malın adı]])</f>
        <v>1</v>
      </c>
    </row>
    <row r="1202" spans="2:5" x14ac:dyDescent="0.3">
      <c r="B1202" s="4">
        <f t="shared" si="36"/>
        <v>1200</v>
      </c>
      <c r="C1202" s="10" t="s">
        <v>2562</v>
      </c>
      <c r="D1202" s="4" t="str">
        <f t="shared" si="37"/>
        <v>0001200</v>
      </c>
      <c r="E1202" s="4">
        <f>COUNTIF(Table1[Malın adı],Table1[[#This Row],[Malın adı]])</f>
        <v>1</v>
      </c>
    </row>
    <row r="1203" spans="2:5" x14ac:dyDescent="0.3">
      <c r="B1203" s="4">
        <f t="shared" si="36"/>
        <v>1201</v>
      </c>
      <c r="C1203" s="10" t="s">
        <v>2563</v>
      </c>
      <c r="D1203" s="4" t="str">
        <f t="shared" si="37"/>
        <v>0001201</v>
      </c>
      <c r="E1203" s="4">
        <f>COUNTIF(Table1[Malın adı],Table1[[#This Row],[Malın adı]])</f>
        <v>1</v>
      </c>
    </row>
    <row r="1204" spans="2:5" x14ac:dyDescent="0.3">
      <c r="B1204" s="4">
        <f t="shared" si="36"/>
        <v>1202</v>
      </c>
      <c r="C1204" s="10" t="s">
        <v>2564</v>
      </c>
      <c r="D1204" s="4" t="str">
        <f t="shared" si="37"/>
        <v>0001202</v>
      </c>
      <c r="E1204" s="4">
        <f>COUNTIF(Table1[Malın adı],Table1[[#This Row],[Malın adı]])</f>
        <v>1</v>
      </c>
    </row>
    <row r="1205" spans="2:5" x14ac:dyDescent="0.3">
      <c r="B1205" s="4">
        <f t="shared" si="36"/>
        <v>1203</v>
      </c>
      <c r="C1205" s="10" t="s">
        <v>2565</v>
      </c>
      <c r="D1205" s="4" t="str">
        <f t="shared" si="37"/>
        <v>0001203</v>
      </c>
      <c r="E1205" s="4">
        <f>COUNTIF(Table1[Malın adı],Table1[[#This Row],[Malın adı]])</f>
        <v>1</v>
      </c>
    </row>
    <row r="1206" spans="2:5" x14ac:dyDescent="0.3">
      <c r="B1206" s="4">
        <f t="shared" si="36"/>
        <v>1204</v>
      </c>
      <c r="C1206" s="10" t="s">
        <v>2566</v>
      </c>
      <c r="D1206" s="4" t="str">
        <f t="shared" si="37"/>
        <v>0001204</v>
      </c>
      <c r="E1206" s="4">
        <f>COUNTIF(Table1[Malın adı],Table1[[#This Row],[Malın adı]])</f>
        <v>1</v>
      </c>
    </row>
    <row r="1207" spans="2:5" x14ac:dyDescent="0.3">
      <c r="B1207" s="4">
        <f t="shared" si="36"/>
        <v>1205</v>
      </c>
      <c r="C1207" s="10" t="s">
        <v>2567</v>
      </c>
      <c r="D1207" s="4" t="str">
        <f t="shared" si="37"/>
        <v>0001205</v>
      </c>
      <c r="E1207" s="4">
        <f>COUNTIF(Table1[Malın adı],Table1[[#This Row],[Malın adı]])</f>
        <v>1</v>
      </c>
    </row>
    <row r="1208" spans="2:5" x14ac:dyDescent="0.3">
      <c r="B1208" s="4">
        <f t="shared" si="36"/>
        <v>1206</v>
      </c>
      <c r="C1208" s="10" t="s">
        <v>2568</v>
      </c>
      <c r="D1208" s="4" t="str">
        <f t="shared" si="37"/>
        <v>0001206</v>
      </c>
      <c r="E1208" s="4">
        <f>COUNTIF(Table1[Malın adı],Table1[[#This Row],[Malın adı]])</f>
        <v>1</v>
      </c>
    </row>
    <row r="1209" spans="2:5" x14ac:dyDescent="0.3">
      <c r="B1209" s="4">
        <f t="shared" si="36"/>
        <v>1207</v>
      </c>
      <c r="C1209" s="10" t="s">
        <v>2569</v>
      </c>
      <c r="D1209" s="4" t="str">
        <f t="shared" si="37"/>
        <v>0001207</v>
      </c>
      <c r="E1209" s="4">
        <f>COUNTIF(Table1[Malın adı],Table1[[#This Row],[Malın adı]])</f>
        <v>1</v>
      </c>
    </row>
    <row r="1210" spans="2:5" x14ac:dyDescent="0.3">
      <c r="B1210" s="4">
        <f t="shared" si="36"/>
        <v>1208</v>
      </c>
      <c r="C1210" s="10" t="s">
        <v>2570</v>
      </c>
      <c r="D1210" s="4" t="str">
        <f t="shared" si="37"/>
        <v>0001208</v>
      </c>
      <c r="E1210" s="4">
        <f>COUNTIF(Table1[Malın adı],Table1[[#This Row],[Malın adı]])</f>
        <v>1</v>
      </c>
    </row>
    <row r="1211" spans="2:5" x14ac:dyDescent="0.3">
      <c r="B1211" s="4">
        <f t="shared" si="36"/>
        <v>1209</v>
      </c>
      <c r="C1211" s="10" t="s">
        <v>2571</v>
      </c>
      <c r="D1211" s="4" t="str">
        <f t="shared" si="37"/>
        <v>0001209</v>
      </c>
      <c r="E1211" s="4">
        <f>COUNTIF(Table1[Malın adı],Table1[[#This Row],[Malın adı]])</f>
        <v>1</v>
      </c>
    </row>
    <row r="1212" spans="2:5" x14ac:dyDescent="0.3">
      <c r="B1212" s="4">
        <f t="shared" si="36"/>
        <v>1210</v>
      </c>
      <c r="C1212" s="10" t="s">
        <v>2572</v>
      </c>
      <c r="D1212" s="4" t="str">
        <f t="shared" si="37"/>
        <v>0001210</v>
      </c>
      <c r="E1212" s="4">
        <f>COUNTIF(Table1[Malın adı],Table1[[#This Row],[Malın adı]])</f>
        <v>1</v>
      </c>
    </row>
    <row r="1213" spans="2:5" x14ac:dyDescent="0.3">
      <c r="B1213" s="4">
        <f t="shared" si="36"/>
        <v>1211</v>
      </c>
      <c r="C1213" s="10" t="s">
        <v>2573</v>
      </c>
      <c r="D1213" s="4" t="str">
        <f t="shared" si="37"/>
        <v>0001211</v>
      </c>
      <c r="E1213" s="4">
        <f>COUNTIF(Table1[Malın adı],Table1[[#This Row],[Malın adı]])</f>
        <v>1</v>
      </c>
    </row>
    <row r="1214" spans="2:5" x14ac:dyDescent="0.3">
      <c r="B1214" s="4">
        <f t="shared" si="36"/>
        <v>1212</v>
      </c>
      <c r="C1214" s="10" t="s">
        <v>2574</v>
      </c>
      <c r="D1214" s="4" t="str">
        <f t="shared" si="37"/>
        <v>0001212</v>
      </c>
      <c r="E1214" s="4">
        <f>COUNTIF(Table1[Malın adı],Table1[[#This Row],[Malın adı]])</f>
        <v>1</v>
      </c>
    </row>
    <row r="1215" spans="2:5" x14ac:dyDescent="0.3">
      <c r="B1215" s="4">
        <f t="shared" si="36"/>
        <v>1213</v>
      </c>
      <c r="C1215" s="10" t="s">
        <v>2575</v>
      </c>
      <c r="D1215" s="4" t="str">
        <f t="shared" si="37"/>
        <v>0001213</v>
      </c>
      <c r="E1215" s="4">
        <f>COUNTIF(Table1[Malın adı],Table1[[#This Row],[Malın adı]])</f>
        <v>1</v>
      </c>
    </row>
    <row r="1216" spans="2:5" x14ac:dyDescent="0.3">
      <c r="B1216" s="4">
        <f t="shared" si="36"/>
        <v>1214</v>
      </c>
      <c r="C1216" s="10" t="s">
        <v>2576</v>
      </c>
      <c r="D1216" s="4" t="str">
        <f t="shared" si="37"/>
        <v>0001214</v>
      </c>
      <c r="E1216" s="4">
        <f>COUNTIF(Table1[Malın adı],Table1[[#This Row],[Malın adı]])</f>
        <v>1</v>
      </c>
    </row>
    <row r="1217" spans="2:5" x14ac:dyDescent="0.3">
      <c r="B1217" s="4">
        <f t="shared" si="36"/>
        <v>1215</v>
      </c>
      <c r="C1217" s="10" t="s">
        <v>2577</v>
      </c>
      <c r="D1217" s="4" t="str">
        <f t="shared" si="37"/>
        <v>0001215</v>
      </c>
      <c r="E1217" s="4">
        <f>COUNTIF(Table1[Malın adı],Table1[[#This Row],[Malın adı]])</f>
        <v>1</v>
      </c>
    </row>
    <row r="1218" spans="2:5" x14ac:dyDescent="0.3">
      <c r="B1218" s="4">
        <f t="shared" ref="B1218:B1224" si="38">ROW()-2</f>
        <v>1216</v>
      </c>
      <c r="C1218" s="10" t="s">
        <v>2603</v>
      </c>
      <c r="D1218" s="4" t="str">
        <f t="shared" ref="D1218:D1224" si="39">TEXT(ROW()-2,"0000000")</f>
        <v>0001216</v>
      </c>
      <c r="E1218" s="4">
        <f>COUNTIF(Table1[Malın adı],Table1[[#This Row],[Malın adı]])</f>
        <v>1</v>
      </c>
    </row>
    <row r="1219" spans="2:5" x14ac:dyDescent="0.3">
      <c r="B1219" s="4">
        <f t="shared" si="38"/>
        <v>1217</v>
      </c>
      <c r="C1219" s="10" t="s">
        <v>2606</v>
      </c>
      <c r="D1219" s="4" t="str">
        <f t="shared" si="39"/>
        <v>0001217</v>
      </c>
      <c r="E1219" s="4">
        <f>COUNTIF(Table1[Malın adı],Table1[[#This Row],[Malın adı]])</f>
        <v>1</v>
      </c>
    </row>
    <row r="1220" spans="2:5" x14ac:dyDescent="0.3">
      <c r="B1220" s="4">
        <f t="shared" si="38"/>
        <v>1218</v>
      </c>
      <c r="C1220" s="10" t="s">
        <v>2607</v>
      </c>
      <c r="D1220" s="4" t="str">
        <f t="shared" si="39"/>
        <v>0001218</v>
      </c>
      <c r="E1220" s="4">
        <f>COUNTIF(Table1[Malın adı],Table1[[#This Row],[Malın adı]])</f>
        <v>1</v>
      </c>
    </row>
    <row r="1221" spans="2:5" x14ac:dyDescent="0.3">
      <c r="B1221" s="4">
        <f t="shared" si="38"/>
        <v>1219</v>
      </c>
      <c r="C1221" s="10" t="s">
        <v>2608</v>
      </c>
      <c r="D1221" s="4" t="str">
        <f t="shared" si="39"/>
        <v>0001219</v>
      </c>
      <c r="E1221" s="4">
        <f>COUNTIF(Table1[Malın adı],Table1[[#This Row],[Malın adı]])</f>
        <v>1</v>
      </c>
    </row>
    <row r="1222" spans="2:5" x14ac:dyDescent="0.3">
      <c r="B1222" s="4">
        <f t="shared" si="38"/>
        <v>1220</v>
      </c>
      <c r="C1222" s="10" t="s">
        <v>2609</v>
      </c>
      <c r="D1222" s="4" t="str">
        <f t="shared" si="39"/>
        <v>0001220</v>
      </c>
      <c r="E1222" s="4">
        <f>COUNTIF(Table1[Malın adı],Table1[[#This Row],[Malın adı]])</f>
        <v>1</v>
      </c>
    </row>
    <row r="1223" spans="2:5" x14ac:dyDescent="0.3">
      <c r="B1223" s="4">
        <f t="shared" si="38"/>
        <v>1221</v>
      </c>
      <c r="C1223" s="10" t="s">
        <v>2610</v>
      </c>
      <c r="D1223" s="4" t="str">
        <f t="shared" si="39"/>
        <v>0001221</v>
      </c>
      <c r="E1223" s="4">
        <f>COUNTIF(Table1[Malın adı],Table1[[#This Row],[Malın adı]])</f>
        <v>1</v>
      </c>
    </row>
    <row r="1224" spans="2:5" x14ac:dyDescent="0.3">
      <c r="B1224" s="4">
        <f t="shared" si="38"/>
        <v>1222</v>
      </c>
      <c r="C1224" s="10" t="s">
        <v>2611</v>
      </c>
      <c r="D1224" s="4" t="str">
        <f t="shared" si="39"/>
        <v>0001222</v>
      </c>
      <c r="E1224" s="4">
        <f>COUNTIF(Table1[Malın adı],Table1[[#This Row],[Malın adı]])</f>
        <v>1</v>
      </c>
    </row>
    <row r="1225" spans="2:5" x14ac:dyDescent="0.3">
      <c r="B1225" s="4">
        <f t="shared" ref="B1225:B1228" si="40">ROW()-2</f>
        <v>1223</v>
      </c>
      <c r="C1225" s="10" t="s">
        <v>2618</v>
      </c>
      <c r="D1225" s="4" t="str">
        <f t="shared" ref="D1225:D1228" si="41">TEXT(ROW()-2,"0000000")</f>
        <v>0001223</v>
      </c>
      <c r="E1225" s="4">
        <f>COUNTIF(Table1[Malın adı],Table1[[#This Row],[Malın adı]])</f>
        <v>1</v>
      </c>
    </row>
    <row r="1226" spans="2:5" x14ac:dyDescent="0.3">
      <c r="B1226" s="4">
        <f t="shared" si="40"/>
        <v>1224</v>
      </c>
      <c r="C1226" s="10" t="s">
        <v>2619</v>
      </c>
      <c r="D1226" s="4" t="str">
        <f t="shared" si="41"/>
        <v>0001224</v>
      </c>
      <c r="E1226" s="4">
        <f>COUNTIF(Table1[Malın adı],Table1[[#This Row],[Malın adı]])</f>
        <v>1</v>
      </c>
    </row>
    <row r="1227" spans="2:5" x14ac:dyDescent="0.3">
      <c r="B1227" s="4">
        <f t="shared" si="40"/>
        <v>1225</v>
      </c>
      <c r="C1227" s="10" t="s">
        <v>2620</v>
      </c>
      <c r="D1227" s="4" t="str">
        <f t="shared" si="41"/>
        <v>0001225</v>
      </c>
      <c r="E1227" s="4">
        <f>COUNTIF(Table1[Malın adı],Table1[[#This Row],[Malın adı]])</f>
        <v>1</v>
      </c>
    </row>
    <row r="1228" spans="2:5" x14ac:dyDescent="0.3">
      <c r="B1228" s="4">
        <f t="shared" si="40"/>
        <v>1226</v>
      </c>
      <c r="C1228" s="10" t="s">
        <v>2621</v>
      </c>
      <c r="D1228" s="4" t="str">
        <f t="shared" si="41"/>
        <v>0001226</v>
      </c>
      <c r="E1228" s="4">
        <f>COUNTIF(Table1[Malın adı],Table1[[#This Row],[Malın adı]])</f>
        <v>1</v>
      </c>
    </row>
    <row r="1229" spans="2:5" x14ac:dyDescent="0.3">
      <c r="B1229" s="4">
        <f>ROW()-2</f>
        <v>1227</v>
      </c>
      <c r="C1229" s="10" t="s">
        <v>2629</v>
      </c>
      <c r="D1229" s="4" t="str">
        <f>TEXT(ROW()-2,"0000000")</f>
        <v>0001227</v>
      </c>
      <c r="E1229" s="4">
        <f>COUNTIF(Table1[Malın adı],Table1[[#This Row],[Malın adı]])</f>
        <v>1</v>
      </c>
    </row>
    <row r="1230" spans="2:5" x14ac:dyDescent="0.3">
      <c r="B1230" s="4">
        <f>ROW()-2</f>
        <v>1228</v>
      </c>
      <c r="C1230" s="10" t="s">
        <v>2630</v>
      </c>
      <c r="D1230" s="4" t="str">
        <f>TEXT(ROW()-2,"0000000")</f>
        <v>0001228</v>
      </c>
      <c r="E1230" s="4">
        <f>COUNTIF(Table1[Malın adı],Table1[[#This Row],[Malın adı]])</f>
        <v>1</v>
      </c>
    </row>
    <row r="1231" spans="2:5" x14ac:dyDescent="0.3">
      <c r="B1231" s="4">
        <f>ROW()-2</f>
        <v>1229</v>
      </c>
      <c r="C1231" s="30" t="s">
        <v>2633</v>
      </c>
      <c r="D1231" s="4" t="str">
        <f>TEXT(ROW()-2,"0000000")</f>
        <v>0001229</v>
      </c>
      <c r="E1231" s="4">
        <f>COUNTIF(Table1[Malın adı],Table1[[#This Row],[Malın adı]])</f>
        <v>1</v>
      </c>
    </row>
    <row r="1232" spans="2:5" x14ac:dyDescent="0.3">
      <c r="B1232" s="4">
        <f>ROW()-2</f>
        <v>1230</v>
      </c>
      <c r="C1232" s="10" t="s">
        <v>2635</v>
      </c>
      <c r="D1232" s="4" t="str">
        <f>TEXT(ROW()-2,"0000000")</f>
        <v>0001230</v>
      </c>
      <c r="E1232" s="4">
        <f>COUNTIF(Table1[Malın adı],Table1[[#This Row],[Malın adı]])</f>
        <v>1</v>
      </c>
    </row>
    <row r="1233" spans="2:5" x14ac:dyDescent="0.3">
      <c r="B1233" s="4">
        <f>ROW()-2</f>
        <v>1231</v>
      </c>
      <c r="C1233" s="10" t="s">
        <v>2636</v>
      </c>
      <c r="D1233" s="4" t="str">
        <f>TEXT(ROW()-2,"0000000")</f>
        <v>0001231</v>
      </c>
      <c r="E1233" s="4">
        <f>COUNTIF(Table1[Malın adı],Table1[[#This Row],[Malın adı]])</f>
        <v>1</v>
      </c>
    </row>
  </sheetData>
  <phoneticPr fontId="3" type="noConversion"/>
  <dataValidations count="1">
    <dataValidation type="list" allowBlank="1" showInputMessage="1" showErrorMessage="1" sqref="C968:C970" xr:uid="{02056C37-F301-402F-B93A-4240008E769B}">
      <formula1>INDIRECT("Table1[Malın adı]")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D30E-2ED3-460D-8BE6-8256BBCC3281}">
  <sheetPr>
    <tabColor rgb="FFFF0000"/>
  </sheetPr>
  <dimension ref="B2:G22"/>
  <sheetViews>
    <sheetView topLeftCell="C1" workbookViewId="0">
      <selection activeCell="D3" sqref="D3:D22"/>
    </sheetView>
  </sheetViews>
  <sheetFormatPr defaultColWidth="9.109375" defaultRowHeight="15" x14ac:dyDescent="0.3"/>
  <cols>
    <col min="1" max="2" width="9.109375" style="4"/>
    <col min="3" max="3" width="31.88671875" style="4" customWidth="1"/>
    <col min="4" max="4" width="32.5546875" style="4" customWidth="1"/>
    <col min="5" max="5" width="17.88671875" style="4" customWidth="1"/>
    <col min="6" max="6" width="31.44140625" style="4" bestFit="1" customWidth="1"/>
    <col min="7" max="8" width="19.5546875" style="4" customWidth="1"/>
    <col min="9" max="16384" width="9.109375" style="4"/>
  </cols>
  <sheetData>
    <row r="2" spans="2:7" s="2" customFormat="1" ht="15.6" x14ac:dyDescent="0.3">
      <c r="B2" s="2" t="s">
        <v>0</v>
      </c>
      <c r="C2" s="2" t="s">
        <v>890</v>
      </c>
      <c r="D2" s="2" t="s">
        <v>891</v>
      </c>
      <c r="E2" s="2" t="s">
        <v>2066</v>
      </c>
      <c r="F2" s="2" t="s">
        <v>892</v>
      </c>
      <c r="G2" s="2" t="s">
        <v>898</v>
      </c>
    </row>
    <row r="3" spans="2:7" x14ac:dyDescent="0.3">
      <c r="B3" s="4">
        <f t="shared" ref="B3:B21" si="0">ROW()-2</f>
        <v>1</v>
      </c>
      <c r="D3" s="4" t="s">
        <v>2278</v>
      </c>
      <c r="E3"/>
      <c r="G3" s="5"/>
    </row>
    <row r="4" spans="2:7" x14ac:dyDescent="0.3">
      <c r="B4" s="4">
        <f t="shared" si="0"/>
        <v>2</v>
      </c>
      <c r="C4" s="4" t="s">
        <v>2578</v>
      </c>
      <c r="D4" s="4" t="s">
        <v>1990</v>
      </c>
      <c r="E4"/>
      <c r="F4" s="4" t="s">
        <v>2062</v>
      </c>
      <c r="G4" s="5" t="s">
        <v>2063</v>
      </c>
    </row>
    <row r="5" spans="2:7" x14ac:dyDescent="0.3">
      <c r="B5" s="4">
        <f t="shared" si="0"/>
        <v>3</v>
      </c>
      <c r="C5" s="4" t="s">
        <v>2579</v>
      </c>
      <c r="D5" s="4" t="s">
        <v>1991</v>
      </c>
      <c r="E5"/>
      <c r="F5" s="4" t="s">
        <v>2061</v>
      </c>
      <c r="G5" s="5" t="s">
        <v>2064</v>
      </c>
    </row>
    <row r="6" spans="2:7" x14ac:dyDescent="0.3">
      <c r="B6" s="4">
        <f t="shared" si="0"/>
        <v>4</v>
      </c>
      <c r="D6" s="4" t="s">
        <v>2164</v>
      </c>
      <c r="E6"/>
      <c r="G6" s="5"/>
    </row>
    <row r="7" spans="2:7" x14ac:dyDescent="0.3">
      <c r="B7" s="4">
        <f t="shared" si="0"/>
        <v>5</v>
      </c>
      <c r="C7" s="4" t="s">
        <v>2580</v>
      </c>
      <c r="D7" s="4" t="s">
        <v>2145</v>
      </c>
      <c r="E7"/>
      <c r="F7" s="4" t="s">
        <v>2147</v>
      </c>
      <c r="G7" s="5">
        <v>46147</v>
      </c>
    </row>
    <row r="8" spans="2:7" x14ac:dyDescent="0.3">
      <c r="B8" s="4">
        <f t="shared" si="0"/>
        <v>6</v>
      </c>
      <c r="C8" s="4" t="s">
        <v>2581</v>
      </c>
      <c r="D8" s="4" t="s">
        <v>2430</v>
      </c>
      <c r="E8"/>
      <c r="F8" s="4" t="s">
        <v>2582</v>
      </c>
      <c r="G8" s="5" t="s">
        <v>2583</v>
      </c>
    </row>
    <row r="9" spans="2:7" x14ac:dyDescent="0.3">
      <c r="B9" s="4">
        <f t="shared" si="0"/>
        <v>7</v>
      </c>
      <c r="D9" s="4" t="s">
        <v>2425</v>
      </c>
      <c r="E9"/>
      <c r="G9" s="5"/>
    </row>
    <row r="10" spans="2:7" x14ac:dyDescent="0.3">
      <c r="B10" s="4">
        <f t="shared" si="0"/>
        <v>8</v>
      </c>
      <c r="D10" s="4" t="s">
        <v>2276</v>
      </c>
      <c r="E10"/>
      <c r="G10" s="5"/>
    </row>
    <row r="11" spans="2:7" x14ac:dyDescent="0.3">
      <c r="B11" s="4">
        <f t="shared" si="0"/>
        <v>9</v>
      </c>
      <c r="C11" s="4" t="s">
        <v>2584</v>
      </c>
      <c r="D11" s="4" t="s">
        <v>2585</v>
      </c>
      <c r="E11"/>
      <c r="F11" s="4" t="s">
        <v>2586</v>
      </c>
      <c r="G11" s="5" t="s">
        <v>2587</v>
      </c>
    </row>
    <row r="12" spans="2:7" x14ac:dyDescent="0.3">
      <c r="B12" s="4">
        <f t="shared" si="0"/>
        <v>10</v>
      </c>
      <c r="C12" s="4" t="s">
        <v>2588</v>
      </c>
      <c r="D12" s="4" t="s">
        <v>1992</v>
      </c>
      <c r="E12"/>
      <c r="F12" s="4" t="s">
        <v>2067</v>
      </c>
      <c r="G12" s="5">
        <v>45611</v>
      </c>
    </row>
    <row r="13" spans="2:7" x14ac:dyDescent="0.3">
      <c r="B13" s="4">
        <f t="shared" si="0"/>
        <v>11</v>
      </c>
      <c r="C13" s="4" t="s">
        <v>2589</v>
      </c>
      <c r="D13" s="4" t="s">
        <v>2009</v>
      </c>
      <c r="E13"/>
      <c r="G13" s="5" t="s">
        <v>2064</v>
      </c>
    </row>
    <row r="14" spans="2:7" x14ac:dyDescent="0.3">
      <c r="B14" s="4">
        <f t="shared" si="0"/>
        <v>12</v>
      </c>
      <c r="C14" s="4" t="s">
        <v>2590</v>
      </c>
      <c r="D14" s="4" t="s">
        <v>1894</v>
      </c>
      <c r="E14"/>
      <c r="F14" s="4" t="s">
        <v>1895</v>
      </c>
      <c r="G14" s="5">
        <v>46178</v>
      </c>
    </row>
    <row r="15" spans="2:7" x14ac:dyDescent="0.3">
      <c r="B15" s="4">
        <f t="shared" si="0"/>
        <v>13</v>
      </c>
      <c r="C15" s="4" t="s">
        <v>2591</v>
      </c>
      <c r="D15" s="4" t="s">
        <v>1906</v>
      </c>
      <c r="E15"/>
      <c r="F15" s="4" t="s">
        <v>1907</v>
      </c>
      <c r="G15" s="5">
        <v>46178</v>
      </c>
    </row>
    <row r="16" spans="2:7" x14ac:dyDescent="0.3">
      <c r="B16" s="4">
        <f t="shared" si="0"/>
        <v>14</v>
      </c>
      <c r="C16" s="4" t="s">
        <v>2592</v>
      </c>
      <c r="D16" s="4" t="s">
        <v>900</v>
      </c>
      <c r="E16"/>
      <c r="F16" s="4" t="s">
        <v>901</v>
      </c>
      <c r="G16" s="5">
        <v>46177</v>
      </c>
    </row>
    <row r="17" spans="2:7" x14ac:dyDescent="0.3">
      <c r="B17" s="4">
        <f t="shared" si="0"/>
        <v>15</v>
      </c>
      <c r="D17" s="4" t="s">
        <v>2288</v>
      </c>
      <c r="E17"/>
      <c r="G17" s="5"/>
    </row>
    <row r="18" spans="2:7" x14ac:dyDescent="0.3">
      <c r="B18" s="4">
        <f t="shared" si="0"/>
        <v>16</v>
      </c>
      <c r="C18" s="4" t="s">
        <v>2593</v>
      </c>
      <c r="D18" s="4" t="s">
        <v>2277</v>
      </c>
      <c r="E18"/>
      <c r="F18" s="4" t="s">
        <v>2060</v>
      </c>
      <c r="G18" s="5" t="s">
        <v>2065</v>
      </c>
    </row>
    <row r="19" spans="2:7" x14ac:dyDescent="0.3">
      <c r="B19" s="4">
        <f t="shared" si="0"/>
        <v>17</v>
      </c>
      <c r="C19" s="4" t="s">
        <v>2594</v>
      </c>
      <c r="D19" s="4" t="s">
        <v>2281</v>
      </c>
      <c r="E19"/>
      <c r="F19" s="4" t="s">
        <v>2282</v>
      </c>
      <c r="G19" s="5" t="s">
        <v>2595</v>
      </c>
    </row>
    <row r="20" spans="2:7" x14ac:dyDescent="0.3">
      <c r="B20" s="4">
        <f t="shared" si="0"/>
        <v>18</v>
      </c>
      <c r="C20" s="4" t="s">
        <v>2596</v>
      </c>
      <c r="D20" s="4" t="s">
        <v>893</v>
      </c>
      <c r="E20"/>
      <c r="G20" s="5">
        <v>46174</v>
      </c>
    </row>
    <row r="21" spans="2:7" x14ac:dyDescent="0.3">
      <c r="B21" s="4">
        <f t="shared" si="0"/>
        <v>19</v>
      </c>
      <c r="D21" s="4" t="s">
        <v>2019</v>
      </c>
      <c r="E21"/>
      <c r="G21" s="5"/>
    </row>
    <row r="22" spans="2:7" x14ac:dyDescent="0.3">
      <c r="B22" s="4">
        <f>ROW()-2</f>
        <v>20</v>
      </c>
      <c r="D22" s="4" t="s">
        <v>2627</v>
      </c>
    </row>
  </sheetData>
  <phoneticPr fontId="3" type="noConversion"/>
  <dataValidations count="1">
    <dataValidation type="textLength" allowBlank="1" showInputMessage="1" showErrorMessage="1" sqref="C3:C18" xr:uid="{CDAB40A1-864D-4E22-89A0-EDDC10DB1012}">
      <formula1>10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FF14-01A8-4306-9D9F-BF5B46359732}">
  <dimension ref="B2:C9"/>
  <sheetViews>
    <sheetView workbookViewId="0">
      <selection activeCell="P10" sqref="P10"/>
    </sheetView>
  </sheetViews>
  <sheetFormatPr defaultColWidth="9.109375" defaultRowHeight="15" x14ac:dyDescent="0.25"/>
  <cols>
    <col min="1" max="1" width="9.109375" style="3"/>
    <col min="2" max="2" width="9.109375" style="4"/>
    <col min="3" max="3" width="26.88671875" style="4" customWidth="1"/>
    <col min="4" max="16384" width="9.109375" style="3"/>
  </cols>
  <sheetData>
    <row r="2" spans="2:3" s="2" customFormat="1" ht="15.6" x14ac:dyDescent="0.3">
      <c r="B2" s="2" t="s">
        <v>0</v>
      </c>
      <c r="C2" s="2" t="s">
        <v>909</v>
      </c>
    </row>
    <row r="3" spans="2:3" x14ac:dyDescent="0.25">
      <c r="B3" s="4">
        <f t="shared" ref="B3:B8" si="0">ROW()-2</f>
        <v>1</v>
      </c>
      <c r="C3" s="4" t="s">
        <v>903</v>
      </c>
    </row>
    <row r="4" spans="2:3" x14ac:dyDescent="0.25">
      <c r="B4" s="4">
        <f t="shared" si="0"/>
        <v>2</v>
      </c>
      <c r="C4" s="4" t="s">
        <v>904</v>
      </c>
    </row>
    <row r="5" spans="2:3" x14ac:dyDescent="0.25">
      <c r="B5" s="4">
        <f t="shared" si="0"/>
        <v>3</v>
      </c>
      <c r="C5" s="4" t="s">
        <v>905</v>
      </c>
    </row>
    <row r="6" spans="2:3" x14ac:dyDescent="0.25">
      <c r="B6" s="4">
        <f t="shared" si="0"/>
        <v>4</v>
      </c>
      <c r="C6" s="4" t="s">
        <v>910</v>
      </c>
    </row>
    <row r="7" spans="2:3" x14ac:dyDescent="0.25">
      <c r="B7" s="4">
        <f t="shared" si="0"/>
        <v>5</v>
      </c>
      <c r="C7" s="4" t="s">
        <v>911</v>
      </c>
    </row>
    <row r="8" spans="2:3" x14ac:dyDescent="0.25">
      <c r="B8" s="4">
        <f t="shared" si="0"/>
        <v>6</v>
      </c>
      <c r="C8" s="4" t="s">
        <v>1897</v>
      </c>
    </row>
    <row r="9" spans="2:3" x14ac:dyDescent="0.25">
      <c r="B9" s="4">
        <f>ROW()-2</f>
        <v>7</v>
      </c>
      <c r="C9" s="4" t="s">
        <v>1918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520080-9142-460A-A7FA-2C5C79D7ED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Mal hereket</vt:lpstr>
      <vt:lpstr>Checkup</vt:lpstr>
      <vt:lpstr>Filtrasiya</vt:lpstr>
      <vt:lpstr>Hesabat Anbar</vt:lpstr>
      <vt:lpstr>Hesabat Filtrasiya</vt:lpstr>
      <vt:lpstr>Ələt (Anbar)</vt:lpstr>
      <vt:lpstr>Yasamal (Qanlı göl) (Anbar)</vt:lpstr>
      <vt:lpstr>Astara (Anbar)</vt:lpstr>
      <vt:lpstr>Ofis (Anbar)</vt:lpstr>
      <vt:lpstr>Xocahəsən (Anbar)</vt:lpstr>
      <vt:lpstr>Nomenklatura bazası</vt:lpstr>
      <vt:lpstr>Kontragent bazası</vt:lpstr>
      <vt:lpstr>Layihə anbarlarının siyahısı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Rəna İsgəndərova</dc:creator>
  <cp:lastModifiedBy>K5 512</cp:lastModifiedBy>
  <cp:lastPrinted>2026-07-24T05:17:11Z</cp:lastPrinted>
  <dcterms:created xsi:type="dcterms:W3CDTF">2026-06-05T06:10:51Z</dcterms:created>
  <dcterms:modified xsi:type="dcterms:W3CDTF">2026-07-28T10:41:28Z</dcterms:modified>
</cp:coreProperties>
</file>